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jozek\Desktop\SWAK\"/>
    </mc:Choice>
  </mc:AlternateContent>
  <xr:revisionPtr revIDLastSave="0" documentId="8_{11A406B6-93D4-4687-9004-BBA03565245C}" xr6:coauthVersionLast="47" xr6:coauthVersionMax="47" xr10:uidLastSave="{00000000-0000-0000-0000-000000000000}"/>
  <bookViews>
    <workbookView xWindow="-108" yWindow="-108" windowWidth="30936" windowHeight="16776" activeTab="2" xr2:uid="{00000000-000D-0000-FFFF-FFFF00000000}"/>
  </bookViews>
  <sheets>
    <sheet name="Podsumowanie" sheetId="1" r:id="rId1"/>
    <sheet name="Przychody z biletów" sheetId="2" r:id="rId2"/>
    <sheet name="Tornado" sheetId="23" r:id="rId3"/>
    <sheet name="Koszty pracowników" sheetId="8" r:id="rId4"/>
    <sheet name="Koszty paliwa" sheetId="6" r:id="rId5"/>
    <sheet name="Koszty napraw" sheetId="24" r:id="rId6"/>
  </sheet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1" i="24" l="1"/>
  <c r="E141" i="24" s="1"/>
  <c r="D140" i="24"/>
  <c r="E140" i="24" s="1"/>
  <c r="D139" i="24"/>
  <c r="E139" i="24" s="1"/>
  <c r="D138" i="24"/>
  <c r="E138" i="24" s="1"/>
  <c r="D137" i="24"/>
  <c r="E137" i="24" s="1"/>
  <c r="K137" i="24" s="1"/>
  <c r="V137" i="24" s="1"/>
  <c r="D136" i="24"/>
  <c r="E136" i="24" s="1"/>
  <c r="D135" i="24"/>
  <c r="E135" i="24" s="1"/>
  <c r="H135" i="24" s="1"/>
  <c r="S135" i="24" s="1"/>
  <c r="D134" i="24"/>
  <c r="E134" i="24" s="1"/>
  <c r="I134" i="24" s="1"/>
  <c r="T134" i="24" s="1"/>
  <c r="D133" i="24"/>
  <c r="E133" i="24" s="1"/>
  <c r="D132" i="24"/>
  <c r="E132" i="24" s="1"/>
  <c r="M132" i="24" s="1"/>
  <c r="X132" i="24" s="1"/>
  <c r="D131" i="24"/>
  <c r="E131" i="24" s="1"/>
  <c r="D130" i="24"/>
  <c r="E130" i="24" s="1"/>
  <c r="D129" i="24"/>
  <c r="E129" i="24" s="1"/>
  <c r="D128" i="24"/>
  <c r="E128" i="24" s="1"/>
  <c r="D127" i="24"/>
  <c r="E127" i="24" s="1"/>
  <c r="D126" i="24"/>
  <c r="E126" i="24" s="1"/>
  <c r="N126" i="24" s="1"/>
  <c r="Y126" i="24" s="1"/>
  <c r="D125" i="24"/>
  <c r="E125" i="24" s="1"/>
  <c r="L125" i="24" s="1"/>
  <c r="W125" i="24" s="1"/>
  <c r="D124" i="24"/>
  <c r="E124" i="24" s="1"/>
  <c r="O124" i="24" s="1"/>
  <c r="Z124" i="24" s="1"/>
  <c r="D123" i="24"/>
  <c r="E123" i="24" s="1"/>
  <c r="D122" i="24"/>
  <c r="E122" i="24" s="1"/>
  <c r="N122" i="24" s="1"/>
  <c r="Y122" i="24" s="1"/>
  <c r="D121" i="24"/>
  <c r="E121" i="24" s="1"/>
  <c r="D120" i="24"/>
  <c r="E120" i="24" s="1"/>
  <c r="G120" i="24" s="1"/>
  <c r="R120" i="24" s="1"/>
  <c r="D119" i="24"/>
  <c r="E119" i="24" s="1"/>
  <c r="N119" i="24" s="1"/>
  <c r="Y119" i="24" s="1"/>
  <c r="D118" i="24"/>
  <c r="E118" i="24" s="1"/>
  <c r="D117" i="24"/>
  <c r="E117" i="24" s="1"/>
  <c r="G117" i="24" s="1"/>
  <c r="R117" i="24" s="1"/>
  <c r="D116" i="24"/>
  <c r="E116" i="24" s="1"/>
  <c r="J116" i="24" s="1"/>
  <c r="U116" i="24" s="1"/>
  <c r="D115" i="24"/>
  <c r="E115" i="24" s="1"/>
  <c r="D114" i="24"/>
  <c r="E114" i="24" s="1"/>
  <c r="D113" i="24"/>
  <c r="E113" i="24" s="1"/>
  <c r="D112" i="24"/>
  <c r="E112" i="24" s="1"/>
  <c r="G112" i="24" s="1"/>
  <c r="R112" i="24" s="1"/>
  <c r="D111" i="24"/>
  <c r="E111" i="24" s="1"/>
  <c r="D110" i="24"/>
  <c r="E110" i="24" s="1"/>
  <c r="D109" i="24"/>
  <c r="E109" i="24" s="1"/>
  <c r="D108" i="24"/>
  <c r="E108" i="24" s="1"/>
  <c r="D107" i="24"/>
  <c r="E107" i="24" s="1"/>
  <c r="D106" i="24"/>
  <c r="E106" i="24" s="1"/>
  <c r="D105" i="24"/>
  <c r="E105" i="24" s="1"/>
  <c r="O105" i="24" s="1"/>
  <c r="Z105" i="24" s="1"/>
  <c r="D104" i="24"/>
  <c r="E104" i="24" s="1"/>
  <c r="D103" i="24"/>
  <c r="E103" i="24" s="1"/>
  <c r="O103" i="24" s="1"/>
  <c r="Z103" i="24" s="1"/>
  <c r="D102" i="24"/>
  <c r="E102" i="24" s="1"/>
  <c r="D101" i="24"/>
  <c r="E101" i="24" s="1"/>
  <c r="O101" i="24" s="1"/>
  <c r="Z101" i="24" s="1"/>
  <c r="D100" i="24"/>
  <c r="E100" i="24" s="1"/>
  <c r="O100" i="24" s="1"/>
  <c r="Z100" i="24" s="1"/>
  <c r="D99" i="24"/>
  <c r="E99" i="24" s="1"/>
  <c r="D98" i="24"/>
  <c r="E98" i="24" s="1"/>
  <c r="D97" i="24"/>
  <c r="E97" i="24" s="1"/>
  <c r="D96" i="24"/>
  <c r="E96" i="24" s="1"/>
  <c r="D95" i="24"/>
  <c r="E95" i="24" s="1"/>
  <c r="H95" i="24" s="1"/>
  <c r="S95" i="24" s="1"/>
  <c r="D94" i="24"/>
  <c r="E94" i="24" s="1"/>
  <c r="D93" i="24"/>
  <c r="E93" i="24" s="1"/>
  <c r="D92" i="24"/>
  <c r="E92" i="24" s="1"/>
  <c r="O92" i="24" s="1"/>
  <c r="Z92" i="24" s="1"/>
  <c r="D91" i="24"/>
  <c r="E91" i="24" s="1"/>
  <c r="D90" i="24"/>
  <c r="E90" i="24" s="1"/>
  <c r="D89" i="24"/>
  <c r="E89" i="24" s="1"/>
  <c r="F89" i="24" s="1"/>
  <c r="Q89" i="24" s="1"/>
  <c r="D88" i="24"/>
  <c r="E88" i="24" s="1"/>
  <c r="O88" i="24" s="1"/>
  <c r="Z88" i="24" s="1"/>
  <c r="D87" i="24"/>
  <c r="E87" i="24" s="1"/>
  <c r="F87" i="24" s="1"/>
  <c r="Q87" i="24" s="1"/>
  <c r="D86" i="24"/>
  <c r="E86" i="24" s="1"/>
  <c r="O86" i="24" s="1"/>
  <c r="Z86" i="24" s="1"/>
  <c r="D85" i="24"/>
  <c r="E85" i="24" s="1"/>
  <c r="D84" i="24"/>
  <c r="E84" i="24" s="1"/>
  <c r="D83" i="24"/>
  <c r="E83" i="24" s="1"/>
  <c r="M83" i="24" s="1"/>
  <c r="X83" i="24" s="1"/>
  <c r="D82" i="24"/>
  <c r="E82" i="24" s="1"/>
  <c r="D81" i="24"/>
  <c r="E81" i="24" s="1"/>
  <c r="D80" i="24"/>
  <c r="E80" i="24" s="1"/>
  <c r="O80" i="24" s="1"/>
  <c r="Z80" i="24" s="1"/>
  <c r="D79" i="24"/>
  <c r="E79" i="24" s="1"/>
  <c r="F79" i="24" s="1"/>
  <c r="Q79" i="24" s="1"/>
  <c r="D78" i="24"/>
  <c r="E78" i="24" s="1"/>
  <c r="D77" i="24"/>
  <c r="E77" i="24" s="1"/>
  <c r="D76" i="24"/>
  <c r="E76" i="24" s="1"/>
  <c r="I76" i="24" s="1"/>
  <c r="T76" i="24" s="1"/>
  <c r="D75" i="24"/>
  <c r="E75" i="24" s="1"/>
  <c r="N75" i="24" s="1"/>
  <c r="Y75" i="24" s="1"/>
  <c r="D74" i="24"/>
  <c r="E74" i="24" s="1"/>
  <c r="N74" i="24" s="1"/>
  <c r="Y74" i="24" s="1"/>
  <c r="D73" i="24"/>
  <c r="E73" i="24" s="1"/>
  <c r="N73" i="24" s="1"/>
  <c r="Y73" i="24" s="1"/>
  <c r="D72" i="24"/>
  <c r="E72" i="24" s="1"/>
  <c r="I72" i="24" s="1"/>
  <c r="T72" i="24" s="1"/>
  <c r="D71" i="24"/>
  <c r="E71" i="24" s="1"/>
  <c r="M71" i="24" s="1"/>
  <c r="X71" i="24" s="1"/>
  <c r="D70" i="24"/>
  <c r="E70" i="24" s="1"/>
  <c r="D69" i="24"/>
  <c r="E69" i="24" s="1"/>
  <c r="D68" i="24"/>
  <c r="E68" i="24" s="1"/>
  <c r="D67" i="24"/>
  <c r="E67" i="24" s="1"/>
  <c r="D66" i="24"/>
  <c r="E66" i="24" s="1"/>
  <c r="D65" i="24"/>
  <c r="E65" i="24" s="1"/>
  <c r="D64" i="24"/>
  <c r="E64" i="24" s="1"/>
  <c r="D63" i="24"/>
  <c r="E63" i="24" s="1"/>
  <c r="F63" i="24" s="1"/>
  <c r="Q63" i="24" s="1"/>
  <c r="D62" i="24"/>
  <c r="E62" i="24" s="1"/>
  <c r="D61" i="24"/>
  <c r="E61" i="24" s="1"/>
  <c r="D60" i="24"/>
  <c r="E60" i="24" s="1"/>
  <c r="D59" i="24"/>
  <c r="E59" i="24" s="1"/>
  <c r="O59" i="24" s="1"/>
  <c r="Z59" i="24" s="1"/>
  <c r="D58" i="24"/>
  <c r="E58" i="24" s="1"/>
  <c r="M58" i="24" s="1"/>
  <c r="X58" i="24" s="1"/>
  <c r="D57" i="24"/>
  <c r="E57" i="24" s="1"/>
  <c r="H57" i="24" s="1"/>
  <c r="S57" i="24" s="1"/>
  <c r="D56" i="24"/>
  <c r="E56" i="24" s="1"/>
  <c r="N56" i="24" s="1"/>
  <c r="Y56" i="24" s="1"/>
  <c r="D55" i="24"/>
  <c r="E55" i="24" s="1"/>
  <c r="D54" i="24"/>
  <c r="E54" i="24" s="1"/>
  <c r="J54" i="24" s="1"/>
  <c r="U54" i="24" s="1"/>
  <c r="D53" i="24"/>
  <c r="E53" i="24" s="1"/>
  <c r="D52" i="24"/>
  <c r="E52" i="24" s="1"/>
  <c r="D51" i="24"/>
  <c r="E51" i="24" s="1"/>
  <c r="D50" i="24"/>
  <c r="E50" i="24" s="1"/>
  <c r="O50" i="24" s="1"/>
  <c r="Z50" i="24" s="1"/>
  <c r="D49" i="24"/>
  <c r="E49" i="24" s="1"/>
  <c r="F49" i="24" s="1"/>
  <c r="Q49" i="24" s="1"/>
  <c r="D48" i="24"/>
  <c r="E48" i="24" s="1"/>
  <c r="D47" i="24"/>
  <c r="E47" i="24" s="1"/>
  <c r="D46" i="24"/>
  <c r="E46" i="24" s="1"/>
  <c r="I46" i="24" s="1"/>
  <c r="T46" i="24" s="1"/>
  <c r="D45" i="24"/>
  <c r="E45" i="24" s="1"/>
  <c r="D44" i="24"/>
  <c r="E44" i="24" s="1"/>
  <c r="D43" i="24"/>
  <c r="E43" i="24" s="1"/>
  <c r="H43" i="24" s="1"/>
  <c r="S43" i="24" s="1"/>
  <c r="D42" i="24"/>
  <c r="E42" i="24" s="1"/>
  <c r="N42" i="24" s="1"/>
  <c r="Y42" i="24" s="1"/>
  <c r="D41" i="24"/>
  <c r="E41" i="24" s="1"/>
  <c r="N41" i="24" s="1"/>
  <c r="Y41" i="24" s="1"/>
  <c r="D40" i="24"/>
  <c r="E40" i="24" s="1"/>
  <c r="D39" i="24"/>
  <c r="E39" i="24" s="1"/>
  <c r="M39" i="24" s="1"/>
  <c r="X39" i="24" s="1"/>
  <c r="D38" i="24"/>
  <c r="E38" i="24" s="1"/>
  <c r="D37" i="24"/>
  <c r="E37" i="24" s="1"/>
  <c r="D36" i="24"/>
  <c r="E36" i="24" s="1"/>
  <c r="D35" i="24"/>
  <c r="E35" i="24" s="1"/>
  <c r="D34" i="24"/>
  <c r="E34" i="24" s="1"/>
  <c r="F34" i="24" s="1"/>
  <c r="Q34" i="24" s="1"/>
  <c r="D33" i="24"/>
  <c r="E33" i="24" s="1"/>
  <c r="D32" i="24"/>
  <c r="E32" i="24" s="1"/>
  <c r="D31" i="24"/>
  <c r="E31" i="24" s="1"/>
  <c r="K31" i="24" s="1"/>
  <c r="V31" i="24" s="1"/>
  <c r="D30" i="24"/>
  <c r="E30" i="24" s="1"/>
  <c r="D29" i="24"/>
  <c r="E29" i="24" s="1"/>
  <c r="D28" i="24"/>
  <c r="E28" i="24" s="1"/>
  <c r="D27" i="24"/>
  <c r="E27" i="24" s="1"/>
  <c r="D26" i="24"/>
  <c r="E26" i="24" s="1"/>
  <c r="D25" i="24"/>
  <c r="E25" i="24" s="1"/>
  <c r="D24" i="24"/>
  <c r="E24" i="24" s="1"/>
  <c r="D23" i="24"/>
  <c r="E23" i="24" s="1"/>
  <c r="D22" i="24"/>
  <c r="E22" i="24" s="1"/>
  <c r="D21" i="24"/>
  <c r="E21" i="24" s="1"/>
  <c r="D20" i="24"/>
  <c r="E20" i="24" s="1"/>
  <c r="D19" i="24"/>
  <c r="E19" i="24" s="1"/>
  <c r="D18" i="24"/>
  <c r="E18" i="24" s="1"/>
  <c r="D17" i="24"/>
  <c r="E17" i="24" s="1"/>
  <c r="D16" i="24"/>
  <c r="E16" i="24" s="1"/>
  <c r="F16" i="24" s="1"/>
  <c r="Q16" i="24" s="1"/>
  <c r="D15" i="24"/>
  <c r="E15" i="24" s="1"/>
  <c r="D14" i="24"/>
  <c r="E14" i="24" s="1"/>
  <c r="D13" i="24"/>
  <c r="E13" i="24" s="1"/>
  <c r="AJ12" i="24"/>
  <c r="AI12" i="24"/>
  <c r="AH12" i="24"/>
  <c r="AG12" i="24"/>
  <c r="D12" i="24"/>
  <c r="E12" i="24" s="1"/>
  <c r="AJ11" i="24"/>
  <c r="AI11" i="24"/>
  <c r="AH11" i="24"/>
  <c r="AG11" i="24"/>
  <c r="D11" i="24"/>
  <c r="E11" i="24" s="1"/>
  <c r="AJ10" i="24"/>
  <c r="AI10" i="24"/>
  <c r="AH10" i="24"/>
  <c r="AG10" i="24"/>
  <c r="D10" i="24"/>
  <c r="E10" i="24" s="1"/>
  <c r="AJ9" i="24"/>
  <c r="AI9" i="24"/>
  <c r="AH9" i="24"/>
  <c r="AG9" i="24"/>
  <c r="D9" i="24"/>
  <c r="E9" i="24" s="1"/>
  <c r="J9" i="24" s="1"/>
  <c r="U9" i="24" s="1"/>
  <c r="AJ8" i="24"/>
  <c r="AI8" i="24"/>
  <c r="AH8" i="24"/>
  <c r="AG8" i="24"/>
  <c r="D8" i="24"/>
  <c r="E8" i="24" s="1"/>
  <c r="M8" i="24" s="1"/>
  <c r="X8" i="24" s="1"/>
  <c r="AJ7" i="24"/>
  <c r="AI7" i="24"/>
  <c r="AH7" i="24"/>
  <c r="AG7" i="24"/>
  <c r="D7" i="24"/>
  <c r="E7" i="24" s="1"/>
  <c r="F7" i="24" s="1"/>
  <c r="Q7" i="24" s="1"/>
  <c r="AJ6" i="24"/>
  <c r="AI6" i="24"/>
  <c r="AH6" i="24"/>
  <c r="AG6" i="24"/>
  <c r="D6" i="24"/>
  <c r="E6" i="24" s="1"/>
  <c r="J6" i="24" s="1"/>
  <c r="U6" i="24" s="1"/>
  <c r="AJ5" i="24"/>
  <c r="AI5" i="24"/>
  <c r="AH5" i="24"/>
  <c r="AG5" i="24"/>
  <c r="D5" i="24"/>
  <c r="E5" i="24" s="1"/>
  <c r="M5" i="24" s="1"/>
  <c r="X5" i="24" s="1"/>
  <c r="AJ4" i="24"/>
  <c r="AI4" i="24"/>
  <c r="AH4" i="24"/>
  <c r="AG4" i="24"/>
  <c r="D4" i="24"/>
  <c r="E4" i="24" s="1"/>
  <c r="AO3" i="24"/>
  <c r="AJ3" i="24"/>
  <c r="AI3" i="24"/>
  <c r="AH3" i="24"/>
  <c r="AG3" i="24"/>
  <c r="D3" i="24"/>
  <c r="E3" i="24" s="1"/>
  <c r="L3" i="24" s="1"/>
  <c r="W3" i="24" s="1"/>
  <c r="AJ2" i="24"/>
  <c r="AI2" i="24"/>
  <c r="AG2" i="24"/>
  <c r="D2" i="24"/>
  <c r="E2" i="24" s="1"/>
  <c r="O2" i="24" s="1"/>
  <c r="Z2" i="24" s="1"/>
  <c r="A23" i="6"/>
  <c r="D29" i="6" s="1"/>
  <c r="A22" i="6"/>
  <c r="F9" i="6"/>
  <c r="G8" i="6"/>
  <c r="A8" i="6"/>
  <c r="E14" i="6" s="1"/>
  <c r="CA7" i="6"/>
  <c r="BZ7" i="6"/>
  <c r="BY7" i="6"/>
  <c r="BX7" i="6"/>
  <c r="BW7" i="6"/>
  <c r="BV7" i="6"/>
  <c r="BU7" i="6"/>
  <c r="BT7" i="6"/>
  <c r="BS7" i="6"/>
  <c r="BR7" i="6"/>
  <c r="BQ7" i="6"/>
  <c r="BP7" i="6"/>
  <c r="A7" i="6"/>
  <c r="C13" i="6" s="1"/>
  <c r="A6" i="6"/>
  <c r="C13" i="8"/>
  <c r="C12" i="8"/>
  <c r="C11" i="8"/>
  <c r="C10" i="8"/>
  <c r="C9" i="8"/>
  <c r="Q5" i="8"/>
  <c r="R5" i="8" s="1"/>
  <c r="P5" i="8"/>
  <c r="Q4" i="8"/>
  <c r="R4" i="8" s="1"/>
  <c r="P4" i="8"/>
  <c r="Q3" i="8"/>
  <c r="P3" i="8"/>
  <c r="E25" i="2"/>
  <c r="D25" i="2"/>
  <c r="C25" i="2"/>
  <c r="E24" i="2"/>
  <c r="D24" i="2"/>
  <c r="C24" i="2"/>
  <c r="F23" i="2"/>
  <c r="E23" i="2"/>
  <c r="D23" i="2"/>
  <c r="C23" i="2"/>
  <c r="F22" i="2"/>
  <c r="E22" i="2"/>
  <c r="D22" i="2"/>
  <c r="C22" i="2"/>
  <c r="K17" i="2"/>
  <c r="J17" i="2"/>
  <c r="I17" i="2"/>
  <c r="E17" i="2"/>
  <c r="D17" i="2"/>
  <c r="C17" i="2"/>
  <c r="K16" i="2"/>
  <c r="J16" i="2"/>
  <c r="I16" i="2"/>
  <c r="E16" i="2"/>
  <c r="D16" i="2"/>
  <c r="C16" i="2"/>
  <c r="L15" i="2"/>
  <c r="K15" i="2"/>
  <c r="J15" i="2"/>
  <c r="I15" i="2"/>
  <c r="F15" i="2"/>
  <c r="E15" i="2"/>
  <c r="D15" i="2"/>
  <c r="C15" i="2"/>
  <c r="L14" i="2"/>
  <c r="K14" i="2"/>
  <c r="J14" i="2"/>
  <c r="I14" i="2"/>
  <c r="F14" i="2"/>
  <c r="E14" i="2"/>
  <c r="D14" i="2"/>
  <c r="C14" i="2"/>
  <c r="K9" i="2"/>
  <c r="J9" i="2"/>
  <c r="I9" i="2"/>
  <c r="E9" i="2"/>
  <c r="D9" i="2"/>
  <c r="C9" i="2"/>
  <c r="K8" i="2"/>
  <c r="J8" i="2"/>
  <c r="I8" i="2"/>
  <c r="E8" i="2"/>
  <c r="D8" i="2"/>
  <c r="C8" i="2"/>
  <c r="L7" i="2"/>
  <c r="K7" i="2"/>
  <c r="J7" i="2"/>
  <c r="I7" i="2"/>
  <c r="F7" i="2"/>
  <c r="E7" i="2"/>
  <c r="D7" i="2"/>
  <c r="C7" i="2"/>
  <c r="L6" i="2"/>
  <c r="K6" i="2"/>
  <c r="J6" i="2"/>
  <c r="I6" i="2"/>
  <c r="F6" i="2"/>
  <c r="E6" i="2"/>
  <c r="D6" i="2"/>
  <c r="C6" i="2"/>
  <c r="Q15" i="1"/>
  <c r="Q14" i="1"/>
  <c r="P14" i="1"/>
  <c r="O14" i="1"/>
  <c r="Q10" i="1"/>
  <c r="Q11" i="1" s="1"/>
  <c r="P10" i="1"/>
  <c r="P11" i="1" s="1"/>
  <c r="O10" i="1"/>
  <c r="O11" i="1" s="1"/>
  <c r="Q9" i="1"/>
  <c r="P9" i="1"/>
  <c r="O9" i="1"/>
  <c r="J4" i="1"/>
  <c r="I4" i="1"/>
  <c r="H4" i="1"/>
  <c r="G4" i="1"/>
  <c r="F4" i="1"/>
  <c r="E4" i="1"/>
  <c r="D4" i="1"/>
  <c r="C4" i="1"/>
  <c r="B4" i="1"/>
  <c r="J3" i="1"/>
  <c r="I3" i="1"/>
  <c r="H3" i="1"/>
  <c r="G3" i="1"/>
  <c r="F3" i="1"/>
  <c r="E3" i="1"/>
  <c r="D3" i="1"/>
  <c r="C3" i="1"/>
  <c r="B3" i="1"/>
  <c r="J2" i="1"/>
  <c r="N12" i="23" s="1"/>
  <c r="I2" i="1"/>
  <c r="H2" i="1"/>
  <c r="G2" i="1"/>
  <c r="F2" i="1"/>
  <c r="E2" i="1"/>
  <c r="D2" i="1"/>
  <c r="C2" i="1"/>
  <c r="B2" i="1"/>
  <c r="O12" i="1" l="1"/>
  <c r="Q12" i="1"/>
  <c r="M56" i="24"/>
  <c r="X56" i="24" s="1"/>
  <c r="O12" i="23"/>
  <c r="P12" i="23" s="1"/>
  <c r="J41" i="24"/>
  <c r="U41" i="24" s="1"/>
  <c r="G95" i="24"/>
  <c r="R95" i="24" s="1"/>
  <c r="N13" i="23"/>
  <c r="O41" i="24"/>
  <c r="Z41" i="24" s="1"/>
  <c r="I95" i="24"/>
  <c r="T95" i="24" s="1"/>
  <c r="O15" i="23"/>
  <c r="K95" i="24"/>
  <c r="V95" i="24" s="1"/>
  <c r="P13" i="1"/>
  <c r="K100" i="24"/>
  <c r="V100" i="24" s="1"/>
  <c r="L100" i="24"/>
  <c r="W100" i="24" s="1"/>
  <c r="Q13" i="1"/>
  <c r="O90" i="24"/>
  <c r="Z90" i="24" s="1"/>
  <c r="I90" i="24"/>
  <c r="T90" i="24" s="1"/>
  <c r="J90" i="24"/>
  <c r="U90" i="24" s="1"/>
  <c r="L90" i="24"/>
  <c r="W90" i="24" s="1"/>
  <c r="K90" i="24"/>
  <c r="V90" i="24" s="1"/>
  <c r="M100" i="24"/>
  <c r="X100" i="24" s="1"/>
  <c r="M105" i="24"/>
  <c r="X105" i="24" s="1"/>
  <c r="N86" i="24"/>
  <c r="Y86" i="24" s="1"/>
  <c r="N100" i="24"/>
  <c r="Y100" i="24" s="1"/>
  <c r="N134" i="24"/>
  <c r="Y134" i="24" s="1"/>
  <c r="H76" i="24"/>
  <c r="S76" i="24" s="1"/>
  <c r="D13" i="6"/>
  <c r="E13" i="6"/>
  <c r="C14" i="6"/>
  <c r="D14" i="6"/>
  <c r="K101" i="24"/>
  <c r="V101" i="24" s="1"/>
  <c r="I75" i="24"/>
  <c r="T75" i="24" s="1"/>
  <c r="G100" i="24"/>
  <c r="R100" i="24" s="1"/>
  <c r="L101" i="24"/>
  <c r="W101" i="24" s="1"/>
  <c r="I6" i="24"/>
  <c r="T6" i="24" s="1"/>
  <c r="G31" i="24"/>
  <c r="R31" i="24" s="1"/>
  <c r="K58" i="24"/>
  <c r="V58" i="24" s="1"/>
  <c r="J75" i="24"/>
  <c r="U75" i="24" s="1"/>
  <c r="H100" i="24"/>
  <c r="S100" i="24" s="1"/>
  <c r="F100" i="24"/>
  <c r="Q100" i="24" s="1"/>
  <c r="J31" i="24"/>
  <c r="U31" i="24" s="1"/>
  <c r="L58" i="24"/>
  <c r="W58" i="24" s="1"/>
  <c r="K75" i="24"/>
  <c r="V75" i="24" s="1"/>
  <c r="I100" i="24"/>
  <c r="T100" i="24" s="1"/>
  <c r="C30" i="2"/>
  <c r="F31" i="24"/>
  <c r="Q31" i="24" s="1"/>
  <c r="J100" i="24"/>
  <c r="U100" i="24" s="1"/>
  <c r="N112" i="24"/>
  <c r="Y112" i="24" s="1"/>
  <c r="F25" i="24"/>
  <c r="Q25" i="24" s="1"/>
  <c r="M25" i="24"/>
  <c r="X25" i="24" s="1"/>
  <c r="L25" i="24"/>
  <c r="W25" i="24" s="1"/>
  <c r="O53" i="24"/>
  <c r="Z53" i="24" s="1"/>
  <c r="J53" i="24"/>
  <c r="U53" i="24" s="1"/>
  <c r="F85" i="24"/>
  <c r="Q85" i="24" s="1"/>
  <c r="L85" i="24"/>
  <c r="W85" i="24" s="1"/>
  <c r="O133" i="24"/>
  <c r="Z133" i="24" s="1"/>
  <c r="L133" i="24"/>
  <c r="W133" i="24" s="1"/>
  <c r="I133" i="24"/>
  <c r="T133" i="24" s="1"/>
  <c r="O78" i="24"/>
  <c r="Z78" i="24" s="1"/>
  <c r="N78" i="24"/>
  <c r="Y78" i="24" s="1"/>
  <c r="I78" i="24"/>
  <c r="T78" i="24" s="1"/>
  <c r="M78" i="24"/>
  <c r="X78" i="24" s="1"/>
  <c r="L78" i="24"/>
  <c r="W78" i="24" s="1"/>
  <c r="G78" i="24"/>
  <c r="R78" i="24" s="1"/>
  <c r="F78" i="24"/>
  <c r="Q78" i="24" s="1"/>
  <c r="N99" i="24"/>
  <c r="Y99" i="24" s="1"/>
  <c r="M99" i="24"/>
  <c r="X99" i="24" s="1"/>
  <c r="K99" i="24"/>
  <c r="V99" i="24" s="1"/>
  <c r="I99" i="24"/>
  <c r="T99" i="24" s="1"/>
  <c r="F99" i="24"/>
  <c r="Q99" i="24" s="1"/>
  <c r="M108" i="24"/>
  <c r="X108" i="24" s="1"/>
  <c r="L108" i="24"/>
  <c r="W108" i="24" s="1"/>
  <c r="J108" i="24"/>
  <c r="U108" i="24" s="1"/>
  <c r="I108" i="24"/>
  <c r="T108" i="24" s="1"/>
  <c r="N108" i="24"/>
  <c r="Y108" i="24" s="1"/>
  <c r="K108" i="24"/>
  <c r="V108" i="24" s="1"/>
  <c r="H108" i="24"/>
  <c r="S108" i="24" s="1"/>
  <c r="F108" i="24"/>
  <c r="Q108" i="24" s="1"/>
  <c r="G108" i="24"/>
  <c r="R108" i="24" s="1"/>
  <c r="N110" i="24"/>
  <c r="Y110" i="24" s="1"/>
  <c r="M110" i="24"/>
  <c r="X110" i="24" s="1"/>
  <c r="L110" i="24"/>
  <c r="W110" i="24" s="1"/>
  <c r="I110" i="24"/>
  <c r="T110" i="24" s="1"/>
  <c r="F110" i="24"/>
  <c r="Q110" i="24" s="1"/>
  <c r="O94" i="24"/>
  <c r="Z94" i="24" s="1"/>
  <c r="K94" i="24"/>
  <c r="V94" i="24" s="1"/>
  <c r="J94" i="24"/>
  <c r="U94" i="24" s="1"/>
  <c r="I94" i="24"/>
  <c r="T94" i="24" s="1"/>
  <c r="H94" i="24"/>
  <c r="S94" i="24" s="1"/>
  <c r="F94" i="24"/>
  <c r="Q94" i="24" s="1"/>
  <c r="O21" i="24"/>
  <c r="Z21" i="24" s="1"/>
  <c r="K21" i="24"/>
  <c r="V21" i="24" s="1"/>
  <c r="I21" i="24"/>
  <c r="T21" i="24" s="1"/>
  <c r="L22" i="24"/>
  <c r="W22" i="24" s="1"/>
  <c r="J22" i="24"/>
  <c r="U22" i="24" s="1"/>
  <c r="I22" i="24"/>
  <c r="T22" i="24" s="1"/>
  <c r="O22" i="24"/>
  <c r="Z22" i="24" s="1"/>
  <c r="N22" i="24"/>
  <c r="Y22" i="24" s="1"/>
  <c r="F22" i="24"/>
  <c r="Q22" i="24" s="1"/>
  <c r="M22" i="24"/>
  <c r="X22" i="24" s="1"/>
  <c r="K22" i="24"/>
  <c r="V22" i="24" s="1"/>
  <c r="L68" i="24"/>
  <c r="W68" i="24" s="1"/>
  <c r="K68" i="24"/>
  <c r="V68" i="24" s="1"/>
  <c r="N68" i="24"/>
  <c r="Y68" i="24" s="1"/>
  <c r="H68" i="24"/>
  <c r="S68" i="24" s="1"/>
  <c r="J68" i="24"/>
  <c r="U68" i="24" s="1"/>
  <c r="I68" i="24"/>
  <c r="T68" i="24" s="1"/>
  <c r="G68" i="24"/>
  <c r="R68" i="24" s="1"/>
  <c r="F68" i="24"/>
  <c r="Q68" i="24" s="1"/>
  <c r="G123" i="24"/>
  <c r="R123" i="24" s="1"/>
  <c r="F123" i="24"/>
  <c r="Q123" i="24" s="1"/>
  <c r="M23" i="24"/>
  <c r="X23" i="24" s="1"/>
  <c r="O23" i="24"/>
  <c r="Z23" i="24" s="1"/>
  <c r="G23" i="24"/>
  <c r="R23" i="24" s="1"/>
  <c r="O69" i="24"/>
  <c r="Z69" i="24" s="1"/>
  <c r="L69" i="24"/>
  <c r="W69" i="24" s="1"/>
  <c r="K69" i="24"/>
  <c r="V69" i="24" s="1"/>
  <c r="O13" i="1"/>
  <c r="K3" i="24"/>
  <c r="V3" i="24" s="1"/>
  <c r="F14" i="24"/>
  <c r="Q14" i="24" s="1"/>
  <c r="N14" i="24"/>
  <c r="Y14" i="24" s="1"/>
  <c r="M14" i="24"/>
  <c r="X14" i="24" s="1"/>
  <c r="J14" i="24"/>
  <c r="U14" i="24" s="1"/>
  <c r="L131" i="24"/>
  <c r="W131" i="24" s="1"/>
  <c r="O131" i="24"/>
  <c r="Z131" i="24" s="1"/>
  <c r="K131" i="24"/>
  <c r="V131" i="24" s="1"/>
  <c r="H131" i="24"/>
  <c r="S131" i="24" s="1"/>
  <c r="G14" i="24"/>
  <c r="R14" i="24" s="1"/>
  <c r="O18" i="24"/>
  <c r="Z18" i="24" s="1"/>
  <c r="I18" i="24"/>
  <c r="T18" i="24" s="1"/>
  <c r="L44" i="24"/>
  <c r="W44" i="24" s="1"/>
  <c r="I44" i="24"/>
  <c r="T44" i="24" s="1"/>
  <c r="M122" i="24"/>
  <c r="X122" i="24" s="1"/>
  <c r="O125" i="24"/>
  <c r="Z125" i="24" s="1"/>
  <c r="F131" i="24"/>
  <c r="Q131" i="24" s="1"/>
  <c r="H14" i="24"/>
  <c r="S14" i="24" s="1"/>
  <c r="G18" i="24"/>
  <c r="R18" i="24" s="1"/>
  <c r="F39" i="24"/>
  <c r="Q39" i="24" s="1"/>
  <c r="N59" i="24"/>
  <c r="Y59" i="24" s="1"/>
  <c r="M131" i="24"/>
  <c r="X131" i="24" s="1"/>
  <c r="I14" i="24"/>
  <c r="T14" i="24" s="1"/>
  <c r="N18" i="24"/>
  <c r="Y18" i="24" s="1"/>
  <c r="G44" i="24"/>
  <c r="R44" i="24" s="1"/>
  <c r="J10" i="24"/>
  <c r="U10" i="24" s="1"/>
  <c r="N10" i="24"/>
  <c r="Y10" i="24" s="1"/>
  <c r="L10" i="24"/>
  <c r="W10" i="24" s="1"/>
  <c r="O14" i="24"/>
  <c r="Z14" i="24" s="1"/>
  <c r="I39" i="24"/>
  <c r="T39" i="24" s="1"/>
  <c r="F45" i="24"/>
  <c r="Q45" i="24" s="1"/>
  <c r="M45" i="24"/>
  <c r="X45" i="24" s="1"/>
  <c r="J45" i="24"/>
  <c r="U45" i="24" s="1"/>
  <c r="K50" i="24"/>
  <c r="V50" i="24" s="1"/>
  <c r="F57" i="24"/>
  <c r="Q57" i="24" s="1"/>
  <c r="N61" i="24"/>
  <c r="Y61" i="24" s="1"/>
  <c r="M61" i="24"/>
  <c r="X61" i="24" s="1"/>
  <c r="M81" i="24"/>
  <c r="X81" i="24" s="1"/>
  <c r="K81" i="24"/>
  <c r="V81" i="24" s="1"/>
  <c r="M113" i="24"/>
  <c r="X113" i="24" s="1"/>
  <c r="O113" i="24"/>
  <c r="Z113" i="24" s="1"/>
  <c r="L113" i="24"/>
  <c r="W113" i="24" s="1"/>
  <c r="K113" i="24"/>
  <c r="V113" i="24" s="1"/>
  <c r="J119" i="24"/>
  <c r="U119" i="24" s="1"/>
  <c r="G132" i="24"/>
  <c r="R132" i="24" s="1"/>
  <c r="N14" i="23"/>
  <c r="N15" i="23"/>
  <c r="O14" i="23"/>
  <c r="O13" i="23"/>
  <c r="P13" i="23" s="1"/>
  <c r="O19" i="24"/>
  <c r="Z19" i="24" s="1"/>
  <c r="M19" i="24"/>
  <c r="X19" i="24" s="1"/>
  <c r="K19" i="24"/>
  <c r="V19" i="24" s="1"/>
  <c r="I33" i="24"/>
  <c r="T33" i="24" s="1"/>
  <c r="L33" i="24"/>
  <c r="W33" i="24" s="1"/>
  <c r="M50" i="24"/>
  <c r="X50" i="24" s="1"/>
  <c r="O61" i="24"/>
  <c r="Z61" i="24" s="1"/>
  <c r="K132" i="24"/>
  <c r="V132" i="24" s="1"/>
  <c r="C12" i="6"/>
  <c r="C15" i="6" s="1"/>
  <c r="G26" i="6" s="1"/>
  <c r="D9" i="1" s="1"/>
  <c r="E12" i="6"/>
  <c r="E15" i="6" s="1"/>
  <c r="D12" i="6"/>
  <c r="G10" i="24"/>
  <c r="R10" i="24" s="1"/>
  <c r="K40" i="24"/>
  <c r="V40" i="24" s="1"/>
  <c r="I40" i="24"/>
  <c r="T40" i="24" s="1"/>
  <c r="G40" i="24"/>
  <c r="R40" i="24" s="1"/>
  <c r="N50" i="24"/>
  <c r="Y50" i="24" s="1"/>
  <c r="M103" i="24"/>
  <c r="X103" i="24" s="1"/>
  <c r="J113" i="24"/>
  <c r="U113" i="24" s="1"/>
  <c r="O119" i="24"/>
  <c r="Z119" i="24" s="1"/>
  <c r="L124" i="24"/>
  <c r="W124" i="24" s="1"/>
  <c r="P12" i="1"/>
  <c r="R3" i="8"/>
  <c r="Q6" i="8"/>
  <c r="R6" i="8" s="1"/>
  <c r="S6" i="8" s="1"/>
  <c r="T6" i="8" s="1"/>
  <c r="E9" i="1" s="1"/>
  <c r="K15" i="24"/>
  <c r="V15" i="24" s="1"/>
  <c r="G15" i="24"/>
  <c r="R15" i="24" s="1"/>
  <c r="O81" i="24"/>
  <c r="Z81" i="24" s="1"/>
  <c r="N93" i="24"/>
  <c r="Y93" i="24" s="1"/>
  <c r="K93" i="24"/>
  <c r="V93" i="24" s="1"/>
  <c r="F93" i="24"/>
  <c r="Q93" i="24" s="1"/>
  <c r="N113" i="24"/>
  <c r="Y113" i="24" s="1"/>
  <c r="N15" i="24"/>
  <c r="Y15" i="24" s="1"/>
  <c r="H19" i="24"/>
  <c r="S19" i="24" s="1"/>
  <c r="M48" i="24"/>
  <c r="X48" i="24" s="1"/>
  <c r="J48" i="24"/>
  <c r="U48" i="24" s="1"/>
  <c r="I48" i="24"/>
  <c r="T48" i="24" s="1"/>
  <c r="I55" i="24"/>
  <c r="T55" i="24" s="1"/>
  <c r="G55" i="24"/>
  <c r="R55" i="24" s="1"/>
  <c r="J71" i="24"/>
  <c r="U71" i="24" s="1"/>
  <c r="O82" i="24"/>
  <c r="Z82" i="24" s="1"/>
  <c r="N82" i="24"/>
  <c r="Y82" i="24" s="1"/>
  <c r="K82" i="24"/>
  <c r="V82" i="24" s="1"/>
  <c r="I82" i="24"/>
  <c r="T82" i="24" s="1"/>
  <c r="G93" i="24"/>
  <c r="R93" i="24" s="1"/>
  <c r="F120" i="24"/>
  <c r="Q120" i="24" s="1"/>
  <c r="O15" i="24"/>
  <c r="Z15" i="24" s="1"/>
  <c r="I19" i="24"/>
  <c r="T19" i="24" s="1"/>
  <c r="H48" i="24"/>
  <c r="S48" i="24" s="1"/>
  <c r="N83" i="24"/>
  <c r="Y83" i="24" s="1"/>
  <c r="J83" i="24"/>
  <c r="U83" i="24" s="1"/>
  <c r="H93" i="24"/>
  <c r="S93" i="24" s="1"/>
  <c r="C31" i="2"/>
  <c r="B9" i="1" s="1"/>
  <c r="C9" i="1" s="1"/>
  <c r="I9" i="1" s="1"/>
  <c r="G17" i="24"/>
  <c r="R17" i="24" s="1"/>
  <c r="K17" i="24"/>
  <c r="V17" i="24" s="1"/>
  <c r="J17" i="24"/>
  <c r="U17" i="24" s="1"/>
  <c r="N23" i="24"/>
  <c r="Y23" i="24" s="1"/>
  <c r="M49" i="24"/>
  <c r="X49" i="24" s="1"/>
  <c r="K49" i="24"/>
  <c r="V49" i="24" s="1"/>
  <c r="I49" i="24"/>
  <c r="T49" i="24" s="1"/>
  <c r="N66" i="24"/>
  <c r="Y66" i="24" s="1"/>
  <c r="L66" i="24"/>
  <c r="W66" i="24" s="1"/>
  <c r="O66" i="24"/>
  <c r="Z66" i="24" s="1"/>
  <c r="J66" i="24"/>
  <c r="U66" i="24" s="1"/>
  <c r="F69" i="24"/>
  <c r="Q69" i="24" s="1"/>
  <c r="M98" i="24"/>
  <c r="X98" i="24" s="1"/>
  <c r="I98" i="24"/>
  <c r="T98" i="24" s="1"/>
  <c r="G98" i="24"/>
  <c r="R98" i="24" s="1"/>
  <c r="N98" i="24"/>
  <c r="Y98" i="24" s="1"/>
  <c r="L98" i="24"/>
  <c r="W98" i="24" s="1"/>
  <c r="M125" i="24"/>
  <c r="X125" i="24" s="1"/>
  <c r="G69" i="24"/>
  <c r="R69" i="24" s="1"/>
  <c r="H80" i="24"/>
  <c r="S80" i="24" s="1"/>
  <c r="G88" i="24"/>
  <c r="R88" i="24" s="1"/>
  <c r="J88" i="24"/>
  <c r="U88" i="24" s="1"/>
  <c r="I88" i="24"/>
  <c r="T88" i="24" s="1"/>
  <c r="H88" i="24"/>
  <c r="S88" i="24" s="1"/>
  <c r="F88" i="24"/>
  <c r="Q88" i="24" s="1"/>
  <c r="I135" i="24"/>
  <c r="T135" i="24" s="1"/>
  <c r="F44" i="24"/>
  <c r="Q44" i="24" s="1"/>
  <c r="J69" i="24"/>
  <c r="U69" i="24" s="1"/>
  <c r="M80" i="24"/>
  <c r="X80" i="24" s="1"/>
  <c r="L88" i="24"/>
  <c r="W88" i="24" s="1"/>
  <c r="M126" i="24"/>
  <c r="X126" i="24" s="1"/>
  <c r="O126" i="24"/>
  <c r="Z126" i="24" s="1"/>
  <c r="J126" i="24"/>
  <c r="U126" i="24" s="1"/>
  <c r="I126" i="24"/>
  <c r="T126" i="24" s="1"/>
  <c r="M135" i="24"/>
  <c r="X135" i="24" s="1"/>
  <c r="G39" i="24"/>
  <c r="R39" i="24" s="1"/>
  <c r="J50" i="24"/>
  <c r="U50" i="24" s="1"/>
  <c r="L50" i="24"/>
  <c r="W50" i="24" s="1"/>
  <c r="H50" i="24"/>
  <c r="S50" i="24" s="1"/>
  <c r="F50" i="24"/>
  <c r="Q50" i="24" s="1"/>
  <c r="M69" i="24"/>
  <c r="X69" i="24" s="1"/>
  <c r="M88" i="24"/>
  <c r="X88" i="24" s="1"/>
  <c r="L126" i="24"/>
  <c r="W126" i="24" s="1"/>
  <c r="F10" i="24"/>
  <c r="Q10" i="24" s="1"/>
  <c r="L81" i="24"/>
  <c r="W81" i="24" s="1"/>
  <c r="K103" i="24"/>
  <c r="V103" i="24" s="1"/>
  <c r="H113" i="24"/>
  <c r="S113" i="24" s="1"/>
  <c r="N124" i="24"/>
  <c r="Y124" i="24" s="1"/>
  <c r="F124" i="24"/>
  <c r="Q124" i="24" s="1"/>
  <c r="J124" i="24"/>
  <c r="U124" i="24" s="1"/>
  <c r="I124" i="24"/>
  <c r="T124" i="24" s="1"/>
  <c r="H124" i="24"/>
  <c r="S124" i="24" s="1"/>
  <c r="G124" i="24"/>
  <c r="R124" i="24" s="1"/>
  <c r="F19" i="24"/>
  <c r="Q19" i="24" s="1"/>
  <c r="M33" i="24"/>
  <c r="X33" i="24" s="1"/>
  <c r="F71" i="24"/>
  <c r="Q71" i="24" s="1"/>
  <c r="N71" i="24"/>
  <c r="Y71" i="24" s="1"/>
  <c r="L71" i="24"/>
  <c r="W71" i="24" s="1"/>
  <c r="K71" i="24"/>
  <c r="V71" i="24" s="1"/>
  <c r="H71" i="24"/>
  <c r="S71" i="24" s="1"/>
  <c r="G71" i="24"/>
  <c r="R71" i="24" s="1"/>
  <c r="N81" i="24"/>
  <c r="Y81" i="24" s="1"/>
  <c r="N132" i="24"/>
  <c r="Y132" i="24" s="1"/>
  <c r="G19" i="24"/>
  <c r="R19" i="24" s="1"/>
  <c r="I71" i="24"/>
  <c r="T71" i="24" s="1"/>
  <c r="N31" i="24"/>
  <c r="Y31" i="24" s="1"/>
  <c r="O31" i="24"/>
  <c r="Z31" i="24" s="1"/>
  <c r="M31" i="24"/>
  <c r="X31" i="24" s="1"/>
  <c r="L31" i="24"/>
  <c r="W31" i="24" s="1"/>
  <c r="N36" i="24"/>
  <c r="Y36" i="24" s="1"/>
  <c r="L36" i="24"/>
  <c r="W36" i="24" s="1"/>
  <c r="H36" i="24"/>
  <c r="S36" i="24" s="1"/>
  <c r="F36" i="24"/>
  <c r="Q36" i="24" s="1"/>
  <c r="K48" i="24"/>
  <c r="V48" i="24" s="1"/>
  <c r="O71" i="24"/>
  <c r="Z71" i="24" s="1"/>
  <c r="L76" i="24"/>
  <c r="W76" i="24" s="1"/>
  <c r="K76" i="24"/>
  <c r="V76" i="24" s="1"/>
  <c r="M76" i="24"/>
  <c r="X76" i="24" s="1"/>
  <c r="J76" i="24"/>
  <c r="U76" i="24" s="1"/>
  <c r="O93" i="24"/>
  <c r="Z93" i="24" s="1"/>
  <c r="N51" i="24"/>
  <c r="Y51" i="24" s="1"/>
  <c r="K51" i="24"/>
  <c r="V51" i="24" s="1"/>
  <c r="O56" i="24"/>
  <c r="Z56" i="24" s="1"/>
  <c r="F56" i="24"/>
  <c r="Q56" i="24" s="1"/>
  <c r="J58" i="24"/>
  <c r="U58" i="24" s="1"/>
  <c r="O58" i="24"/>
  <c r="Z58" i="24" s="1"/>
  <c r="N58" i="24"/>
  <c r="Y58" i="24" s="1"/>
  <c r="F51" i="24"/>
  <c r="Q51" i="24" s="1"/>
  <c r="H56" i="24"/>
  <c r="S56" i="24" s="1"/>
  <c r="G58" i="24"/>
  <c r="R58" i="24" s="1"/>
  <c r="K86" i="24"/>
  <c r="V86" i="24" s="1"/>
  <c r="H86" i="24"/>
  <c r="S86" i="24" s="1"/>
  <c r="F90" i="24"/>
  <c r="Q90" i="24" s="1"/>
  <c r="N101" i="24"/>
  <c r="Y101" i="24" s="1"/>
  <c r="M101" i="24"/>
  <c r="X101" i="24" s="1"/>
  <c r="J121" i="24"/>
  <c r="U121" i="24" s="1"/>
  <c r="H121" i="24"/>
  <c r="S121" i="24" s="1"/>
  <c r="G121" i="24"/>
  <c r="R121" i="24" s="1"/>
  <c r="F20" i="24"/>
  <c r="Q20" i="24" s="1"/>
  <c r="K20" i="24"/>
  <c r="V20" i="24" s="1"/>
  <c r="K56" i="24"/>
  <c r="V56" i="24" s="1"/>
  <c r="H58" i="24"/>
  <c r="S58" i="24" s="1"/>
  <c r="J86" i="24"/>
  <c r="U86" i="24" s="1"/>
  <c r="G90" i="24"/>
  <c r="R90" i="24" s="1"/>
  <c r="G101" i="24"/>
  <c r="R101" i="24" s="1"/>
  <c r="F112" i="24"/>
  <c r="Q112" i="24" s="1"/>
  <c r="I121" i="24"/>
  <c r="T121" i="24" s="1"/>
  <c r="L20" i="24"/>
  <c r="W20" i="24" s="1"/>
  <c r="L56" i="24"/>
  <c r="W56" i="24" s="1"/>
  <c r="I58" i="24"/>
  <c r="T58" i="24" s="1"/>
  <c r="O74" i="24"/>
  <c r="Z74" i="24" s="1"/>
  <c r="M86" i="24"/>
  <c r="X86" i="24" s="1"/>
  <c r="H90" i="24"/>
  <c r="S90" i="24" s="1"/>
  <c r="I101" i="24"/>
  <c r="T101" i="24" s="1"/>
  <c r="L117" i="24"/>
  <c r="W117" i="24" s="1"/>
  <c r="H117" i="24"/>
  <c r="S117" i="24" s="1"/>
  <c r="M121" i="24"/>
  <c r="X121" i="24" s="1"/>
  <c r="L105" i="24"/>
  <c r="W105" i="24" s="1"/>
  <c r="N105" i="24"/>
  <c r="Y105" i="24" s="1"/>
  <c r="L13" i="24"/>
  <c r="W13" i="24" s="1"/>
  <c r="K13" i="24"/>
  <c r="V13" i="24" s="1"/>
  <c r="O13" i="24"/>
  <c r="Z13" i="24" s="1"/>
  <c r="J13" i="24"/>
  <c r="U13" i="24" s="1"/>
  <c r="N13" i="24"/>
  <c r="Y13" i="24" s="1"/>
  <c r="M13" i="24"/>
  <c r="X13" i="24" s="1"/>
  <c r="I13" i="24"/>
  <c r="T13" i="24" s="1"/>
  <c r="H13" i="24"/>
  <c r="S13" i="24" s="1"/>
  <c r="G13" i="24"/>
  <c r="R13" i="24" s="1"/>
  <c r="F13" i="24"/>
  <c r="Q13" i="24" s="1"/>
  <c r="L26" i="24"/>
  <c r="W26" i="24" s="1"/>
  <c r="K26" i="24"/>
  <c r="V26" i="24" s="1"/>
  <c r="O26" i="24"/>
  <c r="Z26" i="24" s="1"/>
  <c r="N26" i="24"/>
  <c r="Y26" i="24" s="1"/>
  <c r="J26" i="24"/>
  <c r="U26" i="24" s="1"/>
  <c r="M26" i="24"/>
  <c r="X26" i="24" s="1"/>
  <c r="I26" i="24"/>
  <c r="T26" i="24" s="1"/>
  <c r="H26" i="24"/>
  <c r="S26" i="24" s="1"/>
  <c r="G26" i="24"/>
  <c r="R26" i="24" s="1"/>
  <c r="F26" i="24"/>
  <c r="Q26" i="24" s="1"/>
  <c r="AM11" i="24"/>
  <c r="AM6" i="24"/>
  <c r="M2" i="24"/>
  <c r="X2" i="24" s="1"/>
  <c r="AM9" i="24"/>
  <c r="AM3" i="24"/>
  <c r="L2" i="24"/>
  <c r="W2" i="24" s="1"/>
  <c r="K2" i="24"/>
  <c r="V2" i="24" s="1"/>
  <c r="J2" i="24"/>
  <c r="U2" i="24" s="1"/>
  <c r="AM8" i="24"/>
  <c r="AM5" i="24"/>
  <c r="I2" i="24"/>
  <c r="T2" i="24" s="1"/>
  <c r="H2" i="24"/>
  <c r="S2" i="24" s="1"/>
  <c r="AM2" i="24"/>
  <c r="G2" i="24"/>
  <c r="R2" i="24" s="1"/>
  <c r="F2" i="24"/>
  <c r="Q2" i="24" s="1"/>
  <c r="AM7" i="24"/>
  <c r="AM4" i="24"/>
  <c r="AM10" i="24"/>
  <c r="N2" i="24"/>
  <c r="Y2" i="24" s="1"/>
  <c r="F11" i="24"/>
  <c r="Q11" i="24" s="1"/>
  <c r="O11" i="24"/>
  <c r="Z11" i="24" s="1"/>
  <c r="M11" i="24"/>
  <c r="X11" i="24" s="1"/>
  <c r="N11" i="24"/>
  <c r="Y11" i="24" s="1"/>
  <c r="L11" i="24"/>
  <c r="W11" i="24" s="1"/>
  <c r="K11" i="24"/>
  <c r="V11" i="24" s="1"/>
  <c r="J11" i="24"/>
  <c r="U11" i="24" s="1"/>
  <c r="I11" i="24"/>
  <c r="T11" i="24" s="1"/>
  <c r="H11" i="24"/>
  <c r="S11" i="24" s="1"/>
  <c r="G11" i="24"/>
  <c r="R11" i="24" s="1"/>
  <c r="I9" i="24"/>
  <c r="T9" i="24" s="1"/>
  <c r="H34" i="24"/>
  <c r="S34" i="24" s="1"/>
  <c r="G34" i="24"/>
  <c r="R34" i="24" s="1"/>
  <c r="N34" i="24"/>
  <c r="Y34" i="24" s="1"/>
  <c r="O34" i="24"/>
  <c r="Z34" i="24" s="1"/>
  <c r="M34" i="24"/>
  <c r="X34" i="24" s="1"/>
  <c r="L34" i="24"/>
  <c r="W34" i="24" s="1"/>
  <c r="K34" i="24"/>
  <c r="V34" i="24" s="1"/>
  <c r="J34" i="24"/>
  <c r="U34" i="24" s="1"/>
  <c r="I34" i="24"/>
  <c r="T34" i="24" s="1"/>
  <c r="K37" i="24"/>
  <c r="V37" i="24" s="1"/>
  <c r="J37" i="24"/>
  <c r="U37" i="24" s="1"/>
  <c r="H37" i="24"/>
  <c r="S37" i="24" s="1"/>
  <c r="N37" i="24"/>
  <c r="Y37" i="24" s="1"/>
  <c r="I37" i="24"/>
  <c r="T37" i="24" s="1"/>
  <c r="M37" i="24"/>
  <c r="X37" i="24" s="1"/>
  <c r="L37" i="24"/>
  <c r="W37" i="24" s="1"/>
  <c r="G37" i="24"/>
  <c r="R37" i="24" s="1"/>
  <c r="F37" i="24"/>
  <c r="Q37" i="24" s="1"/>
  <c r="O37" i="24"/>
  <c r="Z37" i="24" s="1"/>
  <c r="K5" i="24"/>
  <c r="V5" i="24" s="1"/>
  <c r="H5" i="24"/>
  <c r="S5" i="24" s="1"/>
  <c r="J5" i="24"/>
  <c r="U5" i="24" s="1"/>
  <c r="I5" i="24"/>
  <c r="T5" i="24" s="1"/>
  <c r="G5" i="24"/>
  <c r="R5" i="24" s="1"/>
  <c r="F5" i="24"/>
  <c r="Q5" i="24" s="1"/>
  <c r="O5" i="24"/>
  <c r="Z5" i="24" s="1"/>
  <c r="L5" i="24"/>
  <c r="W5" i="24" s="1"/>
  <c r="N5" i="24"/>
  <c r="Y5" i="24" s="1"/>
  <c r="M27" i="24"/>
  <c r="X27" i="24" s="1"/>
  <c r="L27" i="24"/>
  <c r="W27" i="24" s="1"/>
  <c r="J27" i="24"/>
  <c r="U27" i="24" s="1"/>
  <c r="G27" i="24"/>
  <c r="R27" i="24" s="1"/>
  <c r="F27" i="24"/>
  <c r="Q27" i="24" s="1"/>
  <c r="O27" i="24"/>
  <c r="Z27" i="24" s="1"/>
  <c r="N27" i="24"/>
  <c r="Y27" i="24" s="1"/>
  <c r="H27" i="24"/>
  <c r="S27" i="24" s="1"/>
  <c r="K27" i="24"/>
  <c r="V27" i="24" s="1"/>
  <c r="M47" i="24"/>
  <c r="X47" i="24" s="1"/>
  <c r="O47" i="24"/>
  <c r="Z47" i="24" s="1"/>
  <c r="N47" i="24"/>
  <c r="Y47" i="24" s="1"/>
  <c r="K47" i="24"/>
  <c r="V47" i="24" s="1"/>
  <c r="I47" i="24"/>
  <c r="T47" i="24" s="1"/>
  <c r="J47" i="24"/>
  <c r="U47" i="24" s="1"/>
  <c r="F47" i="24"/>
  <c r="Q47" i="24" s="1"/>
  <c r="H47" i="24"/>
  <c r="S47" i="24" s="1"/>
  <c r="G47" i="24"/>
  <c r="R47" i="24" s="1"/>
  <c r="L47" i="24"/>
  <c r="W47" i="24" s="1"/>
  <c r="G9" i="24"/>
  <c r="R9" i="24" s="1"/>
  <c r="F9" i="24"/>
  <c r="Q9" i="24" s="1"/>
  <c r="O9" i="24"/>
  <c r="Z9" i="24" s="1"/>
  <c r="N9" i="24"/>
  <c r="Y9" i="24" s="1"/>
  <c r="M9" i="24"/>
  <c r="X9" i="24" s="1"/>
  <c r="L9" i="24"/>
  <c r="W9" i="24" s="1"/>
  <c r="K9" i="24"/>
  <c r="V9" i="24" s="1"/>
  <c r="H9" i="24"/>
  <c r="S9" i="24" s="1"/>
  <c r="I27" i="24"/>
  <c r="T27" i="24" s="1"/>
  <c r="L38" i="24"/>
  <c r="W38" i="24" s="1"/>
  <c r="K38" i="24"/>
  <c r="V38" i="24" s="1"/>
  <c r="I38" i="24"/>
  <c r="T38" i="24" s="1"/>
  <c r="F38" i="24"/>
  <c r="Q38" i="24" s="1"/>
  <c r="O38" i="24"/>
  <c r="Z38" i="24" s="1"/>
  <c r="N38" i="24"/>
  <c r="Y38" i="24" s="1"/>
  <c r="M38" i="24"/>
  <c r="X38" i="24" s="1"/>
  <c r="J38" i="24"/>
  <c r="U38" i="24" s="1"/>
  <c r="G38" i="24"/>
  <c r="R38" i="24" s="1"/>
  <c r="F52" i="24"/>
  <c r="Q52" i="24" s="1"/>
  <c r="O52" i="24"/>
  <c r="Z52" i="24" s="1"/>
  <c r="M52" i="24"/>
  <c r="X52" i="24" s="1"/>
  <c r="L52" i="24"/>
  <c r="W52" i="24" s="1"/>
  <c r="K52" i="24"/>
  <c r="V52" i="24" s="1"/>
  <c r="N52" i="24"/>
  <c r="Y52" i="24" s="1"/>
  <c r="I52" i="24"/>
  <c r="T52" i="24" s="1"/>
  <c r="J52" i="24"/>
  <c r="U52" i="24" s="1"/>
  <c r="H52" i="24"/>
  <c r="S52" i="24" s="1"/>
  <c r="G52" i="24"/>
  <c r="R52" i="24" s="1"/>
  <c r="O4" i="24"/>
  <c r="Z4" i="24" s="1"/>
  <c r="L4" i="24"/>
  <c r="W4" i="24" s="1"/>
  <c r="N4" i="24"/>
  <c r="Y4" i="24" s="1"/>
  <c r="M4" i="24"/>
  <c r="X4" i="24" s="1"/>
  <c r="K4" i="24"/>
  <c r="V4" i="24" s="1"/>
  <c r="J4" i="24"/>
  <c r="U4" i="24" s="1"/>
  <c r="I4" i="24"/>
  <c r="T4" i="24" s="1"/>
  <c r="H4" i="24"/>
  <c r="S4" i="24" s="1"/>
  <c r="G4" i="24"/>
  <c r="R4" i="24" s="1"/>
  <c r="N28" i="24"/>
  <c r="Y28" i="24" s="1"/>
  <c r="M28" i="24"/>
  <c r="X28" i="24" s="1"/>
  <c r="K28" i="24"/>
  <c r="V28" i="24" s="1"/>
  <c r="L28" i="24"/>
  <c r="W28" i="24" s="1"/>
  <c r="O28" i="24"/>
  <c r="Z28" i="24" s="1"/>
  <c r="J28" i="24"/>
  <c r="U28" i="24" s="1"/>
  <c r="I28" i="24"/>
  <c r="T28" i="24" s="1"/>
  <c r="H28" i="24"/>
  <c r="S28" i="24" s="1"/>
  <c r="G28" i="24"/>
  <c r="R28" i="24" s="1"/>
  <c r="F28" i="24"/>
  <c r="Q28" i="24" s="1"/>
  <c r="I35" i="24"/>
  <c r="T35" i="24" s="1"/>
  <c r="H35" i="24"/>
  <c r="S35" i="24" s="1"/>
  <c r="F35" i="24"/>
  <c r="Q35" i="24" s="1"/>
  <c r="L35" i="24"/>
  <c r="W35" i="24" s="1"/>
  <c r="K35" i="24"/>
  <c r="V35" i="24" s="1"/>
  <c r="G35" i="24"/>
  <c r="R35" i="24" s="1"/>
  <c r="O35" i="24"/>
  <c r="Z35" i="24" s="1"/>
  <c r="J35" i="24"/>
  <c r="U35" i="24" s="1"/>
  <c r="M35" i="24"/>
  <c r="X35" i="24" s="1"/>
  <c r="H38" i="24"/>
  <c r="S38" i="24" s="1"/>
  <c r="I62" i="24"/>
  <c r="T62" i="24" s="1"/>
  <c r="G62" i="24"/>
  <c r="R62" i="24" s="1"/>
  <c r="L62" i="24"/>
  <c r="W62" i="24" s="1"/>
  <c r="O62" i="24"/>
  <c r="Z62" i="24" s="1"/>
  <c r="M62" i="24"/>
  <c r="X62" i="24" s="1"/>
  <c r="K62" i="24"/>
  <c r="V62" i="24" s="1"/>
  <c r="J62" i="24"/>
  <c r="U62" i="24" s="1"/>
  <c r="N62" i="24"/>
  <c r="Y62" i="24" s="1"/>
  <c r="H62" i="24"/>
  <c r="S62" i="24" s="1"/>
  <c r="F62" i="24"/>
  <c r="Q62" i="24" s="1"/>
  <c r="K8" i="24"/>
  <c r="V8" i="24" s="1"/>
  <c r="H8" i="24"/>
  <c r="S8" i="24" s="1"/>
  <c r="J8" i="24"/>
  <c r="U8" i="24" s="1"/>
  <c r="I8" i="24"/>
  <c r="T8" i="24" s="1"/>
  <c r="G8" i="24"/>
  <c r="R8" i="24" s="1"/>
  <c r="F8" i="24"/>
  <c r="Q8" i="24" s="1"/>
  <c r="O8" i="24"/>
  <c r="Z8" i="24" s="1"/>
  <c r="L8" i="24"/>
  <c r="W8" i="24" s="1"/>
  <c r="I3" i="24"/>
  <c r="T3" i="24" s="1"/>
  <c r="G3" i="24"/>
  <c r="R3" i="24" s="1"/>
  <c r="H3" i="24"/>
  <c r="S3" i="24" s="1"/>
  <c r="F3" i="24"/>
  <c r="Q3" i="24" s="1"/>
  <c r="O3" i="24"/>
  <c r="Z3" i="24" s="1"/>
  <c r="N3" i="24"/>
  <c r="Y3" i="24" s="1"/>
  <c r="M3" i="24"/>
  <c r="X3" i="24" s="1"/>
  <c r="J3" i="24"/>
  <c r="U3" i="24" s="1"/>
  <c r="F4" i="24"/>
  <c r="Q4" i="24" s="1"/>
  <c r="N8" i="24"/>
  <c r="Y8" i="24" s="1"/>
  <c r="O12" i="24"/>
  <c r="Z12" i="24" s="1"/>
  <c r="N12" i="24"/>
  <c r="Y12" i="24" s="1"/>
  <c r="M12" i="24"/>
  <c r="X12" i="24" s="1"/>
  <c r="L12" i="24"/>
  <c r="W12" i="24" s="1"/>
  <c r="J12" i="24"/>
  <c r="U12" i="24" s="1"/>
  <c r="K12" i="24"/>
  <c r="V12" i="24" s="1"/>
  <c r="I12" i="24"/>
  <c r="T12" i="24" s="1"/>
  <c r="H12" i="24"/>
  <c r="S12" i="24" s="1"/>
  <c r="G12" i="24"/>
  <c r="R12" i="24" s="1"/>
  <c r="F12" i="24"/>
  <c r="Q12" i="24" s="1"/>
  <c r="J24" i="24"/>
  <c r="U24" i="24" s="1"/>
  <c r="I24" i="24"/>
  <c r="T24" i="24" s="1"/>
  <c r="N24" i="24"/>
  <c r="Y24" i="24" s="1"/>
  <c r="O24" i="24"/>
  <c r="Z24" i="24" s="1"/>
  <c r="M24" i="24"/>
  <c r="X24" i="24" s="1"/>
  <c r="L24" i="24"/>
  <c r="W24" i="24" s="1"/>
  <c r="K24" i="24"/>
  <c r="V24" i="24" s="1"/>
  <c r="F24" i="24"/>
  <c r="Q24" i="24" s="1"/>
  <c r="H24" i="24"/>
  <c r="S24" i="24" s="1"/>
  <c r="G24" i="24"/>
  <c r="R24" i="24" s="1"/>
  <c r="N35" i="24"/>
  <c r="Y35" i="24" s="1"/>
  <c r="O29" i="24"/>
  <c r="Z29" i="24" s="1"/>
  <c r="N29" i="24"/>
  <c r="Y29" i="24" s="1"/>
  <c r="L29" i="24"/>
  <c r="W29" i="24" s="1"/>
  <c r="I29" i="24"/>
  <c r="T29" i="24" s="1"/>
  <c r="H29" i="24"/>
  <c r="S29" i="24" s="1"/>
  <c r="F29" i="24"/>
  <c r="Q29" i="24" s="1"/>
  <c r="M29" i="24"/>
  <c r="X29" i="24" s="1"/>
  <c r="G29" i="24"/>
  <c r="R29" i="24" s="1"/>
  <c r="J29" i="24"/>
  <c r="U29" i="24" s="1"/>
  <c r="F32" i="24"/>
  <c r="Q32" i="24" s="1"/>
  <c r="O32" i="24"/>
  <c r="Z32" i="24" s="1"/>
  <c r="G32" i="24"/>
  <c r="R32" i="24" s="1"/>
  <c r="M32" i="24"/>
  <c r="X32" i="24" s="1"/>
  <c r="N32" i="24"/>
  <c r="Y32" i="24" s="1"/>
  <c r="L32" i="24"/>
  <c r="W32" i="24" s="1"/>
  <c r="K32" i="24"/>
  <c r="V32" i="24" s="1"/>
  <c r="J32" i="24"/>
  <c r="U32" i="24" s="1"/>
  <c r="I32" i="24"/>
  <c r="T32" i="24" s="1"/>
  <c r="H32" i="24"/>
  <c r="S32" i="24" s="1"/>
  <c r="L65" i="24"/>
  <c r="W65" i="24" s="1"/>
  <c r="J65" i="24"/>
  <c r="U65" i="24" s="1"/>
  <c r="O65" i="24"/>
  <c r="Z65" i="24" s="1"/>
  <c r="N65" i="24"/>
  <c r="Y65" i="24" s="1"/>
  <c r="M65" i="24"/>
  <c r="X65" i="24" s="1"/>
  <c r="K65" i="24"/>
  <c r="V65" i="24" s="1"/>
  <c r="I65" i="24"/>
  <c r="T65" i="24" s="1"/>
  <c r="H65" i="24"/>
  <c r="S65" i="24" s="1"/>
  <c r="G65" i="24"/>
  <c r="R65" i="24" s="1"/>
  <c r="F65" i="24"/>
  <c r="Q65" i="24" s="1"/>
  <c r="E28" i="6"/>
  <c r="D28" i="6"/>
  <c r="D30" i="6" s="1"/>
  <c r="C28" i="6"/>
  <c r="K29" i="24"/>
  <c r="V29" i="24" s="1"/>
  <c r="N16" i="24"/>
  <c r="Y16" i="24" s="1"/>
  <c r="M16" i="24"/>
  <c r="X16" i="24" s="1"/>
  <c r="L16" i="24"/>
  <c r="W16" i="24" s="1"/>
  <c r="O16" i="24"/>
  <c r="Z16" i="24" s="1"/>
  <c r="K16" i="24"/>
  <c r="V16" i="24" s="1"/>
  <c r="J16" i="24"/>
  <c r="U16" i="24" s="1"/>
  <c r="I16" i="24"/>
  <c r="T16" i="24" s="1"/>
  <c r="H16" i="24"/>
  <c r="S16" i="24" s="1"/>
  <c r="G16" i="24"/>
  <c r="R16" i="24" s="1"/>
  <c r="O7" i="24"/>
  <c r="Z7" i="24" s="1"/>
  <c r="L7" i="24"/>
  <c r="W7" i="24" s="1"/>
  <c r="N7" i="24"/>
  <c r="Y7" i="24" s="1"/>
  <c r="M7" i="24"/>
  <c r="X7" i="24" s="1"/>
  <c r="K7" i="24"/>
  <c r="V7" i="24" s="1"/>
  <c r="J7" i="24"/>
  <c r="U7" i="24" s="1"/>
  <c r="I7" i="24"/>
  <c r="T7" i="24" s="1"/>
  <c r="H7" i="24"/>
  <c r="S7" i="24" s="1"/>
  <c r="G7" i="24"/>
  <c r="R7" i="24" s="1"/>
  <c r="H42" i="24"/>
  <c r="S42" i="24" s="1"/>
  <c r="L42" i="24"/>
  <c r="W42" i="24" s="1"/>
  <c r="K42" i="24"/>
  <c r="V42" i="24" s="1"/>
  <c r="I42" i="24"/>
  <c r="T42" i="24" s="1"/>
  <c r="F42" i="24"/>
  <c r="Q42" i="24" s="1"/>
  <c r="J42" i="24"/>
  <c r="U42" i="24" s="1"/>
  <c r="G42" i="24"/>
  <c r="R42" i="24" s="1"/>
  <c r="O42" i="24"/>
  <c r="Z42" i="24" s="1"/>
  <c r="M42" i="24"/>
  <c r="X42" i="24" s="1"/>
  <c r="G6" i="24"/>
  <c r="R6" i="24" s="1"/>
  <c r="F6" i="24"/>
  <c r="Q6" i="24" s="1"/>
  <c r="O6" i="24"/>
  <c r="Z6" i="24" s="1"/>
  <c r="N6" i="24"/>
  <c r="Y6" i="24" s="1"/>
  <c r="M6" i="24"/>
  <c r="X6" i="24" s="1"/>
  <c r="L6" i="24"/>
  <c r="W6" i="24" s="1"/>
  <c r="K6" i="24"/>
  <c r="V6" i="24" s="1"/>
  <c r="H6" i="24"/>
  <c r="S6" i="24" s="1"/>
  <c r="O30" i="24"/>
  <c r="Z30" i="24" s="1"/>
  <c r="M30" i="24"/>
  <c r="X30" i="24" s="1"/>
  <c r="F30" i="24"/>
  <c r="Q30" i="24" s="1"/>
  <c r="L30" i="24"/>
  <c r="W30" i="24" s="1"/>
  <c r="N30" i="24"/>
  <c r="Y30" i="24" s="1"/>
  <c r="K30" i="24"/>
  <c r="V30" i="24" s="1"/>
  <c r="J30" i="24"/>
  <c r="U30" i="24" s="1"/>
  <c r="I30" i="24"/>
  <c r="T30" i="24" s="1"/>
  <c r="H30" i="24"/>
  <c r="S30" i="24" s="1"/>
  <c r="G30" i="24"/>
  <c r="R30" i="24" s="1"/>
  <c r="I43" i="24"/>
  <c r="T43" i="24" s="1"/>
  <c r="O43" i="24"/>
  <c r="Z43" i="24" s="1"/>
  <c r="N43" i="24"/>
  <c r="Y43" i="24" s="1"/>
  <c r="L43" i="24"/>
  <c r="W43" i="24" s="1"/>
  <c r="J43" i="24"/>
  <c r="U43" i="24" s="1"/>
  <c r="F43" i="24"/>
  <c r="Q43" i="24" s="1"/>
  <c r="K43" i="24"/>
  <c r="V43" i="24" s="1"/>
  <c r="M43" i="24"/>
  <c r="X43" i="24" s="1"/>
  <c r="G43" i="24"/>
  <c r="R43" i="24" s="1"/>
  <c r="G60" i="24"/>
  <c r="R60" i="24" s="1"/>
  <c r="O60" i="24"/>
  <c r="Z60" i="24" s="1"/>
  <c r="M60" i="24"/>
  <c r="X60" i="24" s="1"/>
  <c r="L60" i="24"/>
  <c r="W60" i="24" s="1"/>
  <c r="K60" i="24"/>
  <c r="V60" i="24" s="1"/>
  <c r="J60" i="24"/>
  <c r="U60" i="24" s="1"/>
  <c r="I60" i="24"/>
  <c r="T60" i="24" s="1"/>
  <c r="H60" i="24"/>
  <c r="S60" i="24" s="1"/>
  <c r="F60" i="24"/>
  <c r="Q60" i="24" s="1"/>
  <c r="N60" i="24"/>
  <c r="Y60" i="24" s="1"/>
  <c r="K64" i="24"/>
  <c r="V64" i="24" s="1"/>
  <c r="I64" i="24"/>
  <c r="T64" i="24" s="1"/>
  <c r="J64" i="24"/>
  <c r="U64" i="24" s="1"/>
  <c r="H64" i="24"/>
  <c r="S64" i="24" s="1"/>
  <c r="O64" i="24"/>
  <c r="Z64" i="24" s="1"/>
  <c r="N64" i="24"/>
  <c r="Y64" i="24" s="1"/>
  <c r="M64" i="24"/>
  <c r="X64" i="24" s="1"/>
  <c r="L64" i="24"/>
  <c r="W64" i="24" s="1"/>
  <c r="G64" i="24"/>
  <c r="R64" i="24" s="1"/>
  <c r="F64" i="24"/>
  <c r="Q64" i="24" s="1"/>
  <c r="I17" i="24"/>
  <c r="T17" i="24" s="1"/>
  <c r="M18" i="24"/>
  <c r="X18" i="24" s="1"/>
  <c r="J20" i="24"/>
  <c r="U20" i="24" s="1"/>
  <c r="I25" i="24"/>
  <c r="T25" i="24" s="1"/>
  <c r="K33" i="24"/>
  <c r="V33" i="24" s="1"/>
  <c r="J36" i="24"/>
  <c r="U36" i="24" s="1"/>
  <c r="I36" i="24"/>
  <c r="T36" i="24" s="1"/>
  <c r="G36" i="24"/>
  <c r="R36" i="24" s="1"/>
  <c r="O39" i="24"/>
  <c r="Z39" i="24" s="1"/>
  <c r="N39" i="24"/>
  <c r="Y39" i="24" s="1"/>
  <c r="L39" i="24"/>
  <c r="W39" i="24" s="1"/>
  <c r="J39" i="24"/>
  <c r="U39" i="24" s="1"/>
  <c r="J44" i="24"/>
  <c r="U44" i="24" s="1"/>
  <c r="O44" i="24"/>
  <c r="Z44" i="24" s="1"/>
  <c r="M44" i="24"/>
  <c r="X44" i="24" s="1"/>
  <c r="O49" i="24"/>
  <c r="Z49" i="24" s="1"/>
  <c r="H49" i="24"/>
  <c r="S49" i="24" s="1"/>
  <c r="G49" i="24"/>
  <c r="R49" i="24" s="1"/>
  <c r="G72" i="24"/>
  <c r="R72" i="24" s="1"/>
  <c r="K72" i="24"/>
  <c r="V72" i="24" s="1"/>
  <c r="J72" i="24"/>
  <c r="U72" i="24" s="1"/>
  <c r="O72" i="24"/>
  <c r="Z72" i="24" s="1"/>
  <c r="N72" i="24"/>
  <c r="Y72" i="24" s="1"/>
  <c r="M72" i="24"/>
  <c r="X72" i="24" s="1"/>
  <c r="L72" i="24"/>
  <c r="W72" i="24" s="1"/>
  <c r="H72" i="24"/>
  <c r="S72" i="24" s="1"/>
  <c r="F72" i="24"/>
  <c r="Q72" i="24" s="1"/>
  <c r="H10" i="24"/>
  <c r="S10" i="24" s="1"/>
  <c r="L17" i="24"/>
  <c r="W17" i="24" s="1"/>
  <c r="M20" i="24"/>
  <c r="X20" i="24" s="1"/>
  <c r="N25" i="24"/>
  <c r="Y25" i="24" s="1"/>
  <c r="N33" i="24"/>
  <c r="Y33" i="24" s="1"/>
  <c r="K36" i="24"/>
  <c r="V36" i="24" s="1"/>
  <c r="H39" i="24"/>
  <c r="S39" i="24" s="1"/>
  <c r="F40" i="24"/>
  <c r="Q40" i="24" s="1"/>
  <c r="O40" i="24"/>
  <c r="Z40" i="24" s="1"/>
  <c r="M40" i="24"/>
  <c r="X40" i="24" s="1"/>
  <c r="H44" i="24"/>
  <c r="S44" i="24" s="1"/>
  <c r="K45" i="24"/>
  <c r="V45" i="24" s="1"/>
  <c r="H45" i="24"/>
  <c r="S45" i="24" s="1"/>
  <c r="G45" i="24"/>
  <c r="R45" i="24" s="1"/>
  <c r="J49" i="24"/>
  <c r="U49" i="24" s="1"/>
  <c r="O89" i="24"/>
  <c r="Z89" i="24" s="1"/>
  <c r="M89" i="24"/>
  <c r="X89" i="24" s="1"/>
  <c r="L89" i="24"/>
  <c r="W89" i="24" s="1"/>
  <c r="K89" i="24"/>
  <c r="V89" i="24" s="1"/>
  <c r="J89" i="24"/>
  <c r="U89" i="24" s="1"/>
  <c r="I89" i="24"/>
  <c r="T89" i="24" s="1"/>
  <c r="H89" i="24"/>
  <c r="S89" i="24" s="1"/>
  <c r="N89" i="24"/>
  <c r="Y89" i="24" s="1"/>
  <c r="G89" i="24"/>
  <c r="R89" i="24" s="1"/>
  <c r="G21" i="24"/>
  <c r="R21" i="24" s="1"/>
  <c r="F21" i="24"/>
  <c r="Q21" i="24" s="1"/>
  <c r="N55" i="24"/>
  <c r="Y55" i="24" s="1"/>
  <c r="O55" i="24"/>
  <c r="Z55" i="24" s="1"/>
  <c r="M55" i="24"/>
  <c r="X55" i="24" s="1"/>
  <c r="L55" i="24"/>
  <c r="W55" i="24" s="1"/>
  <c r="O70" i="24"/>
  <c r="Z70" i="24" s="1"/>
  <c r="N70" i="24"/>
  <c r="Y70" i="24" s="1"/>
  <c r="M70" i="24"/>
  <c r="X70" i="24" s="1"/>
  <c r="L70" i="24"/>
  <c r="W70" i="24" s="1"/>
  <c r="K70" i="24"/>
  <c r="V70" i="24" s="1"/>
  <c r="J70" i="24"/>
  <c r="U70" i="24" s="1"/>
  <c r="I70" i="24"/>
  <c r="T70" i="24" s="1"/>
  <c r="G70" i="24"/>
  <c r="R70" i="24" s="1"/>
  <c r="F70" i="24"/>
  <c r="Q70" i="24" s="1"/>
  <c r="I10" i="24"/>
  <c r="T10" i="24" s="1"/>
  <c r="M17" i="24"/>
  <c r="X17" i="24" s="1"/>
  <c r="N20" i="24"/>
  <c r="Y20" i="24" s="1"/>
  <c r="O25" i="24"/>
  <c r="Z25" i="24" s="1"/>
  <c r="O33" i="24"/>
  <c r="Z33" i="24" s="1"/>
  <c r="K10" i="24"/>
  <c r="V10" i="24" s="1"/>
  <c r="F18" i="24"/>
  <c r="Q18" i="24" s="1"/>
  <c r="J19" i="24"/>
  <c r="U19" i="24" s="1"/>
  <c r="O20" i="24"/>
  <c r="Z20" i="24" s="1"/>
  <c r="H21" i="24"/>
  <c r="S21" i="24" s="1"/>
  <c r="M36" i="24"/>
  <c r="X36" i="24" s="1"/>
  <c r="K39" i="24"/>
  <c r="V39" i="24" s="1"/>
  <c r="H40" i="24"/>
  <c r="S40" i="24" s="1"/>
  <c r="K44" i="24"/>
  <c r="V44" i="24" s="1"/>
  <c r="I45" i="24"/>
  <c r="T45" i="24" s="1"/>
  <c r="L49" i="24"/>
  <c r="W49" i="24" s="1"/>
  <c r="M51" i="24"/>
  <c r="X51" i="24" s="1"/>
  <c r="L51" i="24"/>
  <c r="W51" i="24" s="1"/>
  <c r="J51" i="24"/>
  <c r="U51" i="24" s="1"/>
  <c r="I51" i="24"/>
  <c r="T51" i="24" s="1"/>
  <c r="H51" i="24"/>
  <c r="S51" i="24" s="1"/>
  <c r="F55" i="24"/>
  <c r="Q55" i="24" s="1"/>
  <c r="J63" i="24"/>
  <c r="U63" i="24" s="1"/>
  <c r="H63" i="24"/>
  <c r="S63" i="24" s="1"/>
  <c r="I63" i="24"/>
  <c r="T63" i="24" s="1"/>
  <c r="G63" i="24"/>
  <c r="R63" i="24" s="1"/>
  <c r="H70" i="24"/>
  <c r="S70" i="24" s="1"/>
  <c r="K73" i="24"/>
  <c r="V73" i="24" s="1"/>
  <c r="H73" i="24"/>
  <c r="S73" i="24" s="1"/>
  <c r="F73" i="24"/>
  <c r="Q73" i="24" s="1"/>
  <c r="M73" i="24"/>
  <c r="X73" i="24" s="1"/>
  <c r="L73" i="24"/>
  <c r="W73" i="24" s="1"/>
  <c r="J73" i="24"/>
  <c r="U73" i="24" s="1"/>
  <c r="I73" i="24"/>
  <c r="T73" i="24" s="1"/>
  <c r="G73" i="24"/>
  <c r="R73" i="24" s="1"/>
  <c r="M15" i="24"/>
  <c r="X15" i="24" s="1"/>
  <c r="L15" i="24"/>
  <c r="W15" i="24" s="1"/>
  <c r="I23" i="24"/>
  <c r="T23" i="24" s="1"/>
  <c r="H23" i="24"/>
  <c r="S23" i="24" s="1"/>
  <c r="G41" i="24"/>
  <c r="R41" i="24" s="1"/>
  <c r="I41" i="24"/>
  <c r="T41" i="24" s="1"/>
  <c r="H41" i="24"/>
  <c r="S41" i="24" s="1"/>
  <c r="L46" i="24"/>
  <c r="W46" i="24" s="1"/>
  <c r="K46" i="24"/>
  <c r="V46" i="24" s="1"/>
  <c r="J46" i="24"/>
  <c r="U46" i="24" s="1"/>
  <c r="H46" i="24"/>
  <c r="S46" i="24" s="1"/>
  <c r="F46" i="24"/>
  <c r="Q46" i="24" s="1"/>
  <c r="L53" i="24"/>
  <c r="W53" i="24" s="1"/>
  <c r="H53" i="24"/>
  <c r="S53" i="24" s="1"/>
  <c r="G53" i="24"/>
  <c r="R53" i="24" s="1"/>
  <c r="F53" i="24"/>
  <c r="Q53" i="24" s="1"/>
  <c r="M54" i="24"/>
  <c r="X54" i="24" s="1"/>
  <c r="K54" i="24"/>
  <c r="V54" i="24" s="1"/>
  <c r="N54" i="24"/>
  <c r="Y54" i="24" s="1"/>
  <c r="L54" i="24"/>
  <c r="W54" i="24" s="1"/>
  <c r="I54" i="24"/>
  <c r="T54" i="24" s="1"/>
  <c r="H54" i="24"/>
  <c r="S54" i="24" s="1"/>
  <c r="G54" i="24"/>
  <c r="R54" i="24" s="1"/>
  <c r="N67" i="24"/>
  <c r="Y67" i="24" s="1"/>
  <c r="L67" i="24"/>
  <c r="W67" i="24" s="1"/>
  <c r="M67" i="24"/>
  <c r="X67" i="24" s="1"/>
  <c r="K67" i="24"/>
  <c r="V67" i="24" s="1"/>
  <c r="O67" i="24"/>
  <c r="Z67" i="24" s="1"/>
  <c r="O77" i="24"/>
  <c r="Z77" i="24" s="1"/>
  <c r="I77" i="24"/>
  <c r="T77" i="24" s="1"/>
  <c r="H77" i="24"/>
  <c r="S77" i="24" s="1"/>
  <c r="F77" i="24"/>
  <c r="Q77" i="24" s="1"/>
  <c r="L77" i="24"/>
  <c r="W77" i="24" s="1"/>
  <c r="K77" i="24"/>
  <c r="V77" i="24" s="1"/>
  <c r="M77" i="24"/>
  <c r="X77" i="24" s="1"/>
  <c r="J77" i="24"/>
  <c r="U77" i="24" s="1"/>
  <c r="M10" i="24"/>
  <c r="X10" i="24" s="1"/>
  <c r="F15" i="24"/>
  <c r="Q15" i="24" s="1"/>
  <c r="H18" i="24"/>
  <c r="S18" i="24" s="1"/>
  <c r="L19" i="24"/>
  <c r="W19" i="24" s="1"/>
  <c r="J21" i="24"/>
  <c r="U21" i="24" s="1"/>
  <c r="F23" i="24"/>
  <c r="Q23" i="24" s="1"/>
  <c r="O36" i="24"/>
  <c r="Z36" i="24" s="1"/>
  <c r="J40" i="24"/>
  <c r="U40" i="24" s="1"/>
  <c r="F41" i="24"/>
  <c r="Q41" i="24" s="1"/>
  <c r="N44" i="24"/>
  <c r="Y44" i="24" s="1"/>
  <c r="L45" i="24"/>
  <c r="W45" i="24" s="1"/>
  <c r="G46" i="24"/>
  <c r="R46" i="24" s="1"/>
  <c r="N49" i="24"/>
  <c r="Y49" i="24" s="1"/>
  <c r="G51" i="24"/>
  <c r="R51" i="24" s="1"/>
  <c r="I53" i="24"/>
  <c r="T53" i="24" s="1"/>
  <c r="F54" i="24"/>
  <c r="Q54" i="24" s="1"/>
  <c r="H55" i="24"/>
  <c r="S55" i="24" s="1"/>
  <c r="G57" i="24"/>
  <c r="R57" i="24" s="1"/>
  <c r="N57" i="24"/>
  <c r="Y57" i="24" s="1"/>
  <c r="M57" i="24"/>
  <c r="X57" i="24" s="1"/>
  <c r="K57" i="24"/>
  <c r="V57" i="24" s="1"/>
  <c r="J57" i="24"/>
  <c r="U57" i="24" s="1"/>
  <c r="I57" i="24"/>
  <c r="T57" i="24" s="1"/>
  <c r="K63" i="24"/>
  <c r="V63" i="24" s="1"/>
  <c r="F67" i="24"/>
  <c r="Q67" i="24" s="1"/>
  <c r="O73" i="24"/>
  <c r="Z73" i="24" s="1"/>
  <c r="G77" i="24"/>
  <c r="R77" i="24" s="1"/>
  <c r="H61" i="24"/>
  <c r="S61" i="24" s="1"/>
  <c r="F61" i="24"/>
  <c r="Q61" i="24" s="1"/>
  <c r="I61" i="24"/>
  <c r="T61" i="24" s="1"/>
  <c r="G61" i="24"/>
  <c r="R61" i="24" s="1"/>
  <c r="L63" i="24"/>
  <c r="W63" i="24" s="1"/>
  <c r="G67" i="24"/>
  <c r="R67" i="24" s="1"/>
  <c r="N77" i="24"/>
  <c r="Y77" i="24" s="1"/>
  <c r="O10" i="24"/>
  <c r="Z10" i="24" s="1"/>
  <c r="H15" i="24"/>
  <c r="S15" i="24" s="1"/>
  <c r="F17" i="24"/>
  <c r="Q17" i="24" s="1"/>
  <c r="J18" i="24"/>
  <c r="U18" i="24" s="1"/>
  <c r="N19" i="24"/>
  <c r="Y19" i="24" s="1"/>
  <c r="G20" i="24"/>
  <c r="R20" i="24" s="1"/>
  <c r="L21" i="24"/>
  <c r="W21" i="24" s="1"/>
  <c r="J23" i="24"/>
  <c r="U23" i="24" s="1"/>
  <c r="H33" i="24"/>
  <c r="S33" i="24" s="1"/>
  <c r="L40" i="24"/>
  <c r="W40" i="24" s="1"/>
  <c r="K41" i="24"/>
  <c r="V41" i="24" s="1"/>
  <c r="N45" i="24"/>
  <c r="Y45" i="24" s="1"/>
  <c r="M46" i="24"/>
  <c r="X46" i="24" s="1"/>
  <c r="N48" i="24"/>
  <c r="Y48" i="24" s="1"/>
  <c r="O48" i="24"/>
  <c r="Z48" i="24" s="1"/>
  <c r="L48" i="24"/>
  <c r="W48" i="24" s="1"/>
  <c r="K53" i="24"/>
  <c r="V53" i="24" s="1"/>
  <c r="O54" i="24"/>
  <c r="Z54" i="24" s="1"/>
  <c r="J55" i="24"/>
  <c r="U55" i="24" s="1"/>
  <c r="F59" i="24"/>
  <c r="Q59" i="24" s="1"/>
  <c r="M59" i="24"/>
  <c r="X59" i="24" s="1"/>
  <c r="K59" i="24"/>
  <c r="V59" i="24" s="1"/>
  <c r="J59" i="24"/>
  <c r="U59" i="24" s="1"/>
  <c r="H59" i="24"/>
  <c r="S59" i="24" s="1"/>
  <c r="G59" i="24"/>
  <c r="R59" i="24" s="1"/>
  <c r="J61" i="24"/>
  <c r="U61" i="24" s="1"/>
  <c r="M63" i="24"/>
  <c r="X63" i="24" s="1"/>
  <c r="H67" i="24"/>
  <c r="S67" i="24" s="1"/>
  <c r="K25" i="24"/>
  <c r="V25" i="24" s="1"/>
  <c r="J25" i="24"/>
  <c r="U25" i="24" s="1"/>
  <c r="E29" i="6"/>
  <c r="I15" i="24"/>
  <c r="T15" i="24" s="1"/>
  <c r="K18" i="24"/>
  <c r="V18" i="24" s="1"/>
  <c r="H20" i="24"/>
  <c r="S20" i="24" s="1"/>
  <c r="M21" i="24"/>
  <c r="X21" i="24" s="1"/>
  <c r="K23" i="24"/>
  <c r="V23" i="24" s="1"/>
  <c r="G25" i="24"/>
  <c r="R25" i="24" s="1"/>
  <c r="H31" i="24"/>
  <c r="S31" i="24" s="1"/>
  <c r="N40" i="24"/>
  <c r="Y40" i="24" s="1"/>
  <c r="L41" i="24"/>
  <c r="W41" i="24" s="1"/>
  <c r="O45" i="24"/>
  <c r="Z45" i="24" s="1"/>
  <c r="N46" i="24"/>
  <c r="Y46" i="24" s="1"/>
  <c r="F48" i="24"/>
  <c r="Q48" i="24" s="1"/>
  <c r="O51" i="24"/>
  <c r="Z51" i="24" s="1"/>
  <c r="M53" i="24"/>
  <c r="X53" i="24" s="1"/>
  <c r="K55" i="24"/>
  <c r="V55" i="24" s="1"/>
  <c r="L57" i="24"/>
  <c r="W57" i="24" s="1"/>
  <c r="I59" i="24"/>
  <c r="T59" i="24" s="1"/>
  <c r="K61" i="24"/>
  <c r="V61" i="24" s="1"/>
  <c r="N63" i="24"/>
  <c r="Y63" i="24" s="1"/>
  <c r="I67" i="24"/>
  <c r="T67" i="24" s="1"/>
  <c r="C29" i="6"/>
  <c r="O17" i="24"/>
  <c r="Z17" i="24" s="1"/>
  <c r="N17" i="24"/>
  <c r="Y17" i="24" s="1"/>
  <c r="G33" i="24"/>
  <c r="R33" i="24" s="1"/>
  <c r="F33" i="24"/>
  <c r="Q33" i="24" s="1"/>
  <c r="L14" i="24"/>
  <c r="W14" i="24" s="1"/>
  <c r="K14" i="24"/>
  <c r="V14" i="24" s="1"/>
  <c r="J15" i="24"/>
  <c r="U15" i="24" s="1"/>
  <c r="H17" i="24"/>
  <c r="S17" i="24" s="1"/>
  <c r="L18" i="24"/>
  <c r="W18" i="24" s="1"/>
  <c r="I20" i="24"/>
  <c r="T20" i="24" s="1"/>
  <c r="N21" i="24"/>
  <c r="Y21" i="24" s="1"/>
  <c r="H22" i="24"/>
  <c r="S22" i="24" s="1"/>
  <c r="G22" i="24"/>
  <c r="R22" i="24" s="1"/>
  <c r="L23" i="24"/>
  <c r="W23" i="24" s="1"/>
  <c r="H25" i="24"/>
  <c r="S25" i="24" s="1"/>
  <c r="I31" i="24"/>
  <c r="T31" i="24" s="1"/>
  <c r="J33" i="24"/>
  <c r="U33" i="24" s="1"/>
  <c r="M41" i="24"/>
  <c r="X41" i="24" s="1"/>
  <c r="O46" i="24"/>
  <c r="Z46" i="24" s="1"/>
  <c r="G48" i="24"/>
  <c r="R48" i="24" s="1"/>
  <c r="N53" i="24"/>
  <c r="Y53" i="24" s="1"/>
  <c r="O57" i="24"/>
  <c r="Z57" i="24" s="1"/>
  <c r="L59" i="24"/>
  <c r="W59" i="24" s="1"/>
  <c r="L61" i="24"/>
  <c r="W61" i="24" s="1"/>
  <c r="O63" i="24"/>
  <c r="Z63" i="24" s="1"/>
  <c r="J67" i="24"/>
  <c r="U67" i="24" s="1"/>
  <c r="K92" i="24"/>
  <c r="V92" i="24" s="1"/>
  <c r="I92" i="24"/>
  <c r="T92" i="24" s="1"/>
  <c r="G92" i="24"/>
  <c r="R92" i="24" s="1"/>
  <c r="F92" i="24"/>
  <c r="Q92" i="24" s="1"/>
  <c r="N92" i="24"/>
  <c r="Y92" i="24" s="1"/>
  <c r="L92" i="24"/>
  <c r="W92" i="24" s="1"/>
  <c r="J92" i="24"/>
  <c r="U92" i="24" s="1"/>
  <c r="H92" i="24"/>
  <c r="S92" i="24" s="1"/>
  <c r="N97" i="24"/>
  <c r="Y97" i="24" s="1"/>
  <c r="G97" i="24"/>
  <c r="R97" i="24" s="1"/>
  <c r="O97" i="24"/>
  <c r="Z97" i="24" s="1"/>
  <c r="L97" i="24"/>
  <c r="W97" i="24" s="1"/>
  <c r="K97" i="24"/>
  <c r="V97" i="24" s="1"/>
  <c r="M97" i="24"/>
  <c r="X97" i="24" s="1"/>
  <c r="J97" i="24"/>
  <c r="U97" i="24" s="1"/>
  <c r="I97" i="24"/>
  <c r="T97" i="24" s="1"/>
  <c r="H97" i="24"/>
  <c r="S97" i="24" s="1"/>
  <c r="F97" i="24"/>
  <c r="Q97" i="24" s="1"/>
  <c r="K130" i="24"/>
  <c r="V130" i="24" s="1"/>
  <c r="J130" i="24"/>
  <c r="U130" i="24" s="1"/>
  <c r="G130" i="24"/>
  <c r="R130" i="24" s="1"/>
  <c r="F130" i="24"/>
  <c r="Q130" i="24" s="1"/>
  <c r="N130" i="24"/>
  <c r="Y130" i="24" s="1"/>
  <c r="M130" i="24"/>
  <c r="X130" i="24" s="1"/>
  <c r="L130" i="24"/>
  <c r="W130" i="24" s="1"/>
  <c r="I130" i="24"/>
  <c r="T130" i="24" s="1"/>
  <c r="O130" i="24"/>
  <c r="Z130" i="24" s="1"/>
  <c r="N79" i="24"/>
  <c r="Y79" i="24" s="1"/>
  <c r="M79" i="24"/>
  <c r="X79" i="24" s="1"/>
  <c r="K79" i="24"/>
  <c r="V79" i="24" s="1"/>
  <c r="M87" i="24"/>
  <c r="X87" i="24" s="1"/>
  <c r="J87" i="24"/>
  <c r="U87" i="24" s="1"/>
  <c r="N87" i="24"/>
  <c r="Y87" i="24" s="1"/>
  <c r="L87" i="24"/>
  <c r="W87" i="24" s="1"/>
  <c r="K87" i="24"/>
  <c r="V87" i="24" s="1"/>
  <c r="I87" i="24"/>
  <c r="T87" i="24" s="1"/>
  <c r="M92" i="24"/>
  <c r="X92" i="24" s="1"/>
  <c r="H130" i="24"/>
  <c r="S130" i="24" s="1"/>
  <c r="G102" i="24"/>
  <c r="R102" i="24" s="1"/>
  <c r="K102" i="24"/>
  <c r="V102" i="24" s="1"/>
  <c r="I102" i="24"/>
  <c r="T102" i="24" s="1"/>
  <c r="O102" i="24"/>
  <c r="Z102" i="24" s="1"/>
  <c r="N102" i="24"/>
  <c r="Y102" i="24" s="1"/>
  <c r="M102" i="24"/>
  <c r="X102" i="24" s="1"/>
  <c r="F102" i="24"/>
  <c r="Q102" i="24" s="1"/>
  <c r="J102" i="24"/>
  <c r="U102" i="24" s="1"/>
  <c r="H102" i="24"/>
  <c r="S102" i="24" s="1"/>
  <c r="G79" i="24"/>
  <c r="R79" i="24" s="1"/>
  <c r="K85" i="24"/>
  <c r="V85" i="24" s="1"/>
  <c r="H85" i="24"/>
  <c r="S85" i="24" s="1"/>
  <c r="O85" i="24"/>
  <c r="Z85" i="24" s="1"/>
  <c r="N85" i="24"/>
  <c r="Y85" i="24" s="1"/>
  <c r="M85" i="24"/>
  <c r="X85" i="24" s="1"/>
  <c r="I85" i="24"/>
  <c r="T85" i="24" s="1"/>
  <c r="G85" i="24"/>
  <c r="R85" i="24" s="1"/>
  <c r="G87" i="24"/>
  <c r="R87" i="24" s="1"/>
  <c r="L102" i="24"/>
  <c r="W102" i="24" s="1"/>
  <c r="K106" i="24"/>
  <c r="V106" i="24" s="1"/>
  <c r="J106" i="24"/>
  <c r="U106" i="24" s="1"/>
  <c r="H106" i="24"/>
  <c r="S106" i="24" s="1"/>
  <c r="O106" i="24"/>
  <c r="Z106" i="24" s="1"/>
  <c r="N106" i="24"/>
  <c r="Y106" i="24" s="1"/>
  <c r="I106" i="24"/>
  <c r="T106" i="24" s="1"/>
  <c r="G106" i="24"/>
  <c r="R106" i="24" s="1"/>
  <c r="L106" i="24"/>
  <c r="W106" i="24" s="1"/>
  <c r="F106" i="24"/>
  <c r="Q106" i="24" s="1"/>
  <c r="M106" i="24"/>
  <c r="X106" i="24" s="1"/>
  <c r="H79" i="24"/>
  <c r="S79" i="24" s="1"/>
  <c r="F80" i="24"/>
  <c r="Q80" i="24" s="1"/>
  <c r="N80" i="24"/>
  <c r="Y80" i="24" s="1"/>
  <c r="J80" i="24"/>
  <c r="U80" i="24" s="1"/>
  <c r="I80" i="24"/>
  <c r="T80" i="24" s="1"/>
  <c r="H87" i="24"/>
  <c r="S87" i="24" s="1"/>
  <c r="G50" i="24"/>
  <c r="R50" i="24" s="1"/>
  <c r="G56" i="24"/>
  <c r="R56" i="24" s="1"/>
  <c r="I79" i="24"/>
  <c r="T79" i="24" s="1"/>
  <c r="G80" i="24"/>
  <c r="R80" i="24" s="1"/>
  <c r="J85" i="24"/>
  <c r="U85" i="24" s="1"/>
  <c r="O87" i="24"/>
  <c r="Z87" i="24" s="1"/>
  <c r="M66" i="24"/>
  <c r="X66" i="24" s="1"/>
  <c r="K66" i="24"/>
  <c r="V66" i="24" s="1"/>
  <c r="G66" i="24"/>
  <c r="R66" i="24" s="1"/>
  <c r="F66" i="24"/>
  <c r="Q66" i="24" s="1"/>
  <c r="L74" i="24"/>
  <c r="W74" i="24" s="1"/>
  <c r="M74" i="24"/>
  <c r="X74" i="24" s="1"/>
  <c r="K74" i="24"/>
  <c r="V74" i="24" s="1"/>
  <c r="I74" i="24"/>
  <c r="T74" i="24" s="1"/>
  <c r="J74" i="24"/>
  <c r="U74" i="24" s="1"/>
  <c r="H74" i="24"/>
  <c r="S74" i="24" s="1"/>
  <c r="M75" i="24"/>
  <c r="X75" i="24" s="1"/>
  <c r="O75" i="24"/>
  <c r="Z75" i="24" s="1"/>
  <c r="L75" i="24"/>
  <c r="W75" i="24" s="1"/>
  <c r="F75" i="24"/>
  <c r="Q75" i="24" s="1"/>
  <c r="J79" i="24"/>
  <c r="U79" i="24" s="1"/>
  <c r="G81" i="24"/>
  <c r="R81" i="24" s="1"/>
  <c r="H81" i="24"/>
  <c r="S81" i="24" s="1"/>
  <c r="F81" i="24"/>
  <c r="Q81" i="24" s="1"/>
  <c r="H82" i="24"/>
  <c r="S82" i="24" s="1"/>
  <c r="M82" i="24"/>
  <c r="X82" i="24" s="1"/>
  <c r="L82" i="24"/>
  <c r="W82" i="24" s="1"/>
  <c r="J82" i="24"/>
  <c r="U82" i="24" s="1"/>
  <c r="J84" i="24"/>
  <c r="U84" i="24" s="1"/>
  <c r="G84" i="24"/>
  <c r="R84" i="24" s="1"/>
  <c r="K84" i="24"/>
  <c r="V84" i="24" s="1"/>
  <c r="I84" i="24"/>
  <c r="T84" i="24" s="1"/>
  <c r="H84" i="24"/>
  <c r="S84" i="24" s="1"/>
  <c r="F84" i="24"/>
  <c r="Q84" i="24" s="1"/>
  <c r="M84" i="24"/>
  <c r="X84" i="24" s="1"/>
  <c r="L84" i="24"/>
  <c r="W84" i="24" s="1"/>
  <c r="G114" i="24"/>
  <c r="R114" i="24" s="1"/>
  <c r="J114" i="24"/>
  <c r="U114" i="24" s="1"/>
  <c r="I114" i="24"/>
  <c r="T114" i="24" s="1"/>
  <c r="F114" i="24"/>
  <c r="Q114" i="24" s="1"/>
  <c r="O114" i="24"/>
  <c r="Z114" i="24" s="1"/>
  <c r="N114" i="24"/>
  <c r="Y114" i="24" s="1"/>
  <c r="M114" i="24"/>
  <c r="X114" i="24" s="1"/>
  <c r="K114" i="24"/>
  <c r="V114" i="24" s="1"/>
  <c r="H114" i="24"/>
  <c r="S114" i="24" s="1"/>
  <c r="L114" i="24"/>
  <c r="W114" i="24" s="1"/>
  <c r="H127" i="24"/>
  <c r="S127" i="24" s="1"/>
  <c r="N127" i="24"/>
  <c r="Y127" i="24" s="1"/>
  <c r="K127" i="24"/>
  <c r="V127" i="24" s="1"/>
  <c r="J127" i="24"/>
  <c r="U127" i="24" s="1"/>
  <c r="G127" i="24"/>
  <c r="R127" i="24" s="1"/>
  <c r="O127" i="24"/>
  <c r="Z127" i="24" s="1"/>
  <c r="L127" i="24"/>
  <c r="W127" i="24" s="1"/>
  <c r="I127" i="24"/>
  <c r="T127" i="24" s="1"/>
  <c r="M127" i="24"/>
  <c r="X127" i="24" s="1"/>
  <c r="F127" i="24"/>
  <c r="Q127" i="24" s="1"/>
  <c r="I50" i="24"/>
  <c r="T50" i="24" s="1"/>
  <c r="I56" i="24"/>
  <c r="T56" i="24" s="1"/>
  <c r="H66" i="24"/>
  <c r="S66" i="24" s="1"/>
  <c r="F74" i="24"/>
  <c r="Q74" i="24" s="1"/>
  <c r="G75" i="24"/>
  <c r="R75" i="24" s="1"/>
  <c r="N76" i="24"/>
  <c r="Y76" i="24" s="1"/>
  <c r="F76" i="24"/>
  <c r="Q76" i="24" s="1"/>
  <c r="O76" i="24"/>
  <c r="Z76" i="24" s="1"/>
  <c r="L79" i="24"/>
  <c r="W79" i="24" s="1"/>
  <c r="K80" i="24"/>
  <c r="V80" i="24" s="1"/>
  <c r="I81" i="24"/>
  <c r="T81" i="24" s="1"/>
  <c r="F82" i="24"/>
  <c r="Q82" i="24" s="1"/>
  <c r="I83" i="24"/>
  <c r="T83" i="24" s="1"/>
  <c r="F83" i="24"/>
  <c r="Q83" i="24" s="1"/>
  <c r="O83" i="24"/>
  <c r="Z83" i="24" s="1"/>
  <c r="L83" i="24"/>
  <c r="W83" i="24" s="1"/>
  <c r="K83" i="24"/>
  <c r="V83" i="24" s="1"/>
  <c r="G83" i="24"/>
  <c r="R83" i="24" s="1"/>
  <c r="N84" i="24"/>
  <c r="Y84" i="24" s="1"/>
  <c r="J91" i="24"/>
  <c r="U91" i="24" s="1"/>
  <c r="F91" i="24"/>
  <c r="Q91" i="24" s="1"/>
  <c r="K91" i="24"/>
  <c r="V91" i="24" s="1"/>
  <c r="N91" i="24"/>
  <c r="Y91" i="24" s="1"/>
  <c r="M91" i="24"/>
  <c r="X91" i="24" s="1"/>
  <c r="L91" i="24"/>
  <c r="W91" i="24" s="1"/>
  <c r="I91" i="24"/>
  <c r="T91" i="24" s="1"/>
  <c r="H91" i="24"/>
  <c r="S91" i="24" s="1"/>
  <c r="G91" i="24"/>
  <c r="R91" i="24" s="1"/>
  <c r="J56" i="24"/>
  <c r="U56" i="24" s="1"/>
  <c r="F58" i="24"/>
  <c r="Q58" i="24" s="1"/>
  <c r="I66" i="24"/>
  <c r="T66" i="24" s="1"/>
  <c r="N69" i="24"/>
  <c r="Y69" i="24" s="1"/>
  <c r="I69" i="24"/>
  <c r="T69" i="24" s="1"/>
  <c r="H69" i="24"/>
  <c r="S69" i="24" s="1"/>
  <c r="G74" i="24"/>
  <c r="R74" i="24" s="1"/>
  <c r="H75" i="24"/>
  <c r="S75" i="24" s="1"/>
  <c r="G76" i="24"/>
  <c r="R76" i="24" s="1"/>
  <c r="O79" i="24"/>
  <c r="Z79" i="24" s="1"/>
  <c r="L80" i="24"/>
  <c r="W80" i="24" s="1"/>
  <c r="J81" i="24"/>
  <c r="U81" i="24" s="1"/>
  <c r="G82" i="24"/>
  <c r="R82" i="24" s="1"/>
  <c r="H83" i="24"/>
  <c r="S83" i="24" s="1"/>
  <c r="O84" i="24"/>
  <c r="Z84" i="24" s="1"/>
  <c r="O91" i="24"/>
  <c r="Z91" i="24" s="1"/>
  <c r="M96" i="24"/>
  <c r="X96" i="24" s="1"/>
  <c r="I96" i="24"/>
  <c r="T96" i="24" s="1"/>
  <c r="G96" i="24"/>
  <c r="R96" i="24" s="1"/>
  <c r="F96" i="24"/>
  <c r="Q96" i="24" s="1"/>
  <c r="N96" i="24"/>
  <c r="Y96" i="24" s="1"/>
  <c r="O96" i="24"/>
  <c r="Z96" i="24" s="1"/>
  <c r="L96" i="24"/>
  <c r="W96" i="24" s="1"/>
  <c r="K96" i="24"/>
  <c r="V96" i="24" s="1"/>
  <c r="J96" i="24"/>
  <c r="U96" i="24" s="1"/>
  <c r="H96" i="24"/>
  <c r="S96" i="24" s="1"/>
  <c r="K118" i="24"/>
  <c r="V118" i="24" s="1"/>
  <c r="I118" i="24"/>
  <c r="T118" i="24" s="1"/>
  <c r="H118" i="24"/>
  <c r="S118" i="24" s="1"/>
  <c r="F118" i="24"/>
  <c r="Q118" i="24" s="1"/>
  <c r="O118" i="24"/>
  <c r="Z118" i="24" s="1"/>
  <c r="N118" i="24"/>
  <c r="Y118" i="24" s="1"/>
  <c r="M118" i="24"/>
  <c r="X118" i="24" s="1"/>
  <c r="L118" i="24"/>
  <c r="W118" i="24" s="1"/>
  <c r="J118" i="24"/>
  <c r="U118" i="24" s="1"/>
  <c r="G118" i="24"/>
  <c r="R118" i="24" s="1"/>
  <c r="I116" i="24"/>
  <c r="T116" i="24" s="1"/>
  <c r="O116" i="24"/>
  <c r="Z116" i="24" s="1"/>
  <c r="M116" i="24"/>
  <c r="X116" i="24" s="1"/>
  <c r="H116" i="24"/>
  <c r="S116" i="24" s="1"/>
  <c r="G116" i="24"/>
  <c r="R116" i="24" s="1"/>
  <c r="F116" i="24"/>
  <c r="Q116" i="24" s="1"/>
  <c r="N116" i="24"/>
  <c r="Y116" i="24" s="1"/>
  <c r="L116" i="24"/>
  <c r="W116" i="24" s="1"/>
  <c r="K116" i="24"/>
  <c r="V116" i="24" s="1"/>
  <c r="I104" i="24"/>
  <c r="T104" i="24" s="1"/>
  <c r="O104" i="24"/>
  <c r="Z104" i="24" s="1"/>
  <c r="N104" i="24"/>
  <c r="Y104" i="24" s="1"/>
  <c r="M104" i="24"/>
  <c r="X104" i="24" s="1"/>
  <c r="L104" i="24"/>
  <c r="W104" i="24" s="1"/>
  <c r="H104" i="24"/>
  <c r="S104" i="24" s="1"/>
  <c r="G104" i="24"/>
  <c r="R104" i="24" s="1"/>
  <c r="K104" i="24"/>
  <c r="V104" i="24" s="1"/>
  <c r="J104" i="24"/>
  <c r="U104" i="24" s="1"/>
  <c r="F104" i="24"/>
  <c r="Q104" i="24" s="1"/>
  <c r="L107" i="24"/>
  <c r="W107" i="24" s="1"/>
  <c r="N107" i="24"/>
  <c r="Y107" i="24" s="1"/>
  <c r="K107" i="24"/>
  <c r="V107" i="24" s="1"/>
  <c r="J107" i="24"/>
  <c r="U107" i="24" s="1"/>
  <c r="I107" i="24"/>
  <c r="T107" i="24" s="1"/>
  <c r="H107" i="24"/>
  <c r="S107" i="24" s="1"/>
  <c r="G107" i="24"/>
  <c r="R107" i="24" s="1"/>
  <c r="F107" i="24"/>
  <c r="Q107" i="24" s="1"/>
  <c r="O107" i="24"/>
  <c r="Z107" i="24" s="1"/>
  <c r="M107" i="24"/>
  <c r="X107" i="24" s="1"/>
  <c r="N109" i="24"/>
  <c r="Y109" i="24" s="1"/>
  <c r="H109" i="24"/>
  <c r="S109" i="24" s="1"/>
  <c r="G109" i="24"/>
  <c r="R109" i="24" s="1"/>
  <c r="M109" i="24"/>
  <c r="X109" i="24" s="1"/>
  <c r="L109" i="24"/>
  <c r="W109" i="24" s="1"/>
  <c r="K109" i="24"/>
  <c r="V109" i="24" s="1"/>
  <c r="J109" i="24"/>
  <c r="U109" i="24" s="1"/>
  <c r="I109" i="24"/>
  <c r="T109" i="24" s="1"/>
  <c r="O109" i="24"/>
  <c r="Z109" i="24" s="1"/>
  <c r="I128" i="24"/>
  <c r="T128" i="24" s="1"/>
  <c r="N128" i="24"/>
  <c r="Y128" i="24" s="1"/>
  <c r="M128" i="24"/>
  <c r="X128" i="24" s="1"/>
  <c r="K128" i="24"/>
  <c r="V128" i="24" s="1"/>
  <c r="G128" i="24"/>
  <c r="R128" i="24" s="1"/>
  <c r="F128" i="24"/>
  <c r="Q128" i="24" s="1"/>
  <c r="O128" i="24"/>
  <c r="Z128" i="24" s="1"/>
  <c r="J128" i="24"/>
  <c r="U128" i="24" s="1"/>
  <c r="H128" i="24"/>
  <c r="S128" i="24" s="1"/>
  <c r="L128" i="24"/>
  <c r="W128" i="24" s="1"/>
  <c r="N95" i="24"/>
  <c r="Y95" i="24" s="1"/>
  <c r="F95" i="24"/>
  <c r="Q95" i="24" s="1"/>
  <c r="J95" i="24"/>
  <c r="U95" i="24" s="1"/>
  <c r="O95" i="24"/>
  <c r="Z95" i="24" s="1"/>
  <c r="M95" i="24"/>
  <c r="X95" i="24" s="1"/>
  <c r="L95" i="24"/>
  <c r="W95" i="24" s="1"/>
  <c r="F109" i="24"/>
  <c r="Q109" i="24" s="1"/>
  <c r="O68" i="24"/>
  <c r="Z68" i="24" s="1"/>
  <c r="M68" i="24"/>
  <c r="X68" i="24" s="1"/>
  <c r="K78" i="24"/>
  <c r="V78" i="24" s="1"/>
  <c r="J78" i="24"/>
  <c r="U78" i="24" s="1"/>
  <c r="H78" i="24"/>
  <c r="S78" i="24" s="1"/>
  <c r="M120" i="24"/>
  <c r="X120" i="24" s="1"/>
  <c r="O120" i="24"/>
  <c r="Z120" i="24" s="1"/>
  <c r="L120" i="24"/>
  <c r="W120" i="24" s="1"/>
  <c r="N120" i="24"/>
  <c r="Y120" i="24" s="1"/>
  <c r="J120" i="24"/>
  <c r="U120" i="24" s="1"/>
  <c r="I120" i="24"/>
  <c r="T120" i="24" s="1"/>
  <c r="K123" i="24"/>
  <c r="V123" i="24" s="1"/>
  <c r="J123" i="24"/>
  <c r="U123" i="24" s="1"/>
  <c r="H123" i="24"/>
  <c r="S123" i="24" s="1"/>
  <c r="O123" i="24"/>
  <c r="Z123" i="24" s="1"/>
  <c r="N123" i="24"/>
  <c r="Y123" i="24" s="1"/>
  <c r="L123" i="24"/>
  <c r="W123" i="24" s="1"/>
  <c r="I123" i="24"/>
  <c r="T123" i="24" s="1"/>
  <c r="M111" i="24"/>
  <c r="X111" i="24" s="1"/>
  <c r="L111" i="24"/>
  <c r="W111" i="24" s="1"/>
  <c r="J111" i="24"/>
  <c r="U111" i="24" s="1"/>
  <c r="O111" i="24"/>
  <c r="Z111" i="24" s="1"/>
  <c r="N111" i="24"/>
  <c r="Y111" i="24" s="1"/>
  <c r="H111" i="24"/>
  <c r="S111" i="24" s="1"/>
  <c r="G111" i="24"/>
  <c r="R111" i="24" s="1"/>
  <c r="H120" i="24"/>
  <c r="S120" i="24" s="1"/>
  <c r="M123" i="24"/>
  <c r="X123" i="24" s="1"/>
  <c r="O98" i="24"/>
  <c r="Z98" i="24" s="1"/>
  <c r="J98" i="24"/>
  <c r="U98" i="24" s="1"/>
  <c r="F98" i="24"/>
  <c r="Q98" i="24" s="1"/>
  <c r="K98" i="24"/>
  <c r="V98" i="24" s="1"/>
  <c r="F111" i="24"/>
  <c r="Q111" i="24" s="1"/>
  <c r="K120" i="24"/>
  <c r="V120" i="24" s="1"/>
  <c r="L86" i="24"/>
  <c r="W86" i="24" s="1"/>
  <c r="I86" i="24"/>
  <c r="T86" i="24" s="1"/>
  <c r="I111" i="24"/>
  <c r="T111" i="24" s="1"/>
  <c r="J129" i="24"/>
  <c r="U129" i="24" s="1"/>
  <c r="G129" i="24"/>
  <c r="R129" i="24" s="1"/>
  <c r="N129" i="24"/>
  <c r="Y129" i="24" s="1"/>
  <c r="K129" i="24"/>
  <c r="V129" i="24" s="1"/>
  <c r="I129" i="24"/>
  <c r="T129" i="24" s="1"/>
  <c r="O129" i="24"/>
  <c r="Z129" i="24" s="1"/>
  <c r="L129" i="24"/>
  <c r="W129" i="24" s="1"/>
  <c r="H129" i="24"/>
  <c r="S129" i="24" s="1"/>
  <c r="L139" i="24"/>
  <c r="W139" i="24" s="1"/>
  <c r="H139" i="24"/>
  <c r="S139" i="24" s="1"/>
  <c r="O139" i="24"/>
  <c r="Z139" i="24" s="1"/>
  <c r="N139" i="24"/>
  <c r="Y139" i="24" s="1"/>
  <c r="M139" i="24"/>
  <c r="X139" i="24" s="1"/>
  <c r="K139" i="24"/>
  <c r="V139" i="24" s="1"/>
  <c r="J139" i="24"/>
  <c r="U139" i="24" s="1"/>
  <c r="I139" i="24"/>
  <c r="T139" i="24" s="1"/>
  <c r="F139" i="24"/>
  <c r="Q139" i="24" s="1"/>
  <c r="G139" i="24"/>
  <c r="R139" i="24" s="1"/>
  <c r="F86" i="24"/>
  <c r="Q86" i="24" s="1"/>
  <c r="L93" i="24"/>
  <c r="W93" i="24" s="1"/>
  <c r="M93" i="24"/>
  <c r="X93" i="24" s="1"/>
  <c r="J93" i="24"/>
  <c r="U93" i="24" s="1"/>
  <c r="I93" i="24"/>
  <c r="T93" i="24" s="1"/>
  <c r="H98" i="24"/>
  <c r="S98" i="24" s="1"/>
  <c r="L99" i="24"/>
  <c r="W99" i="24" s="1"/>
  <c r="J99" i="24"/>
  <c r="U99" i="24" s="1"/>
  <c r="H99" i="24"/>
  <c r="S99" i="24" s="1"/>
  <c r="G99" i="24"/>
  <c r="R99" i="24" s="1"/>
  <c r="O99" i="24"/>
  <c r="Z99" i="24" s="1"/>
  <c r="K111" i="24"/>
  <c r="V111" i="24" s="1"/>
  <c r="J117" i="24"/>
  <c r="U117" i="24" s="1"/>
  <c r="F117" i="24"/>
  <c r="Q117" i="24" s="1"/>
  <c r="O117" i="24"/>
  <c r="Z117" i="24" s="1"/>
  <c r="N117" i="24"/>
  <c r="Y117" i="24" s="1"/>
  <c r="M117" i="24"/>
  <c r="X117" i="24" s="1"/>
  <c r="K117" i="24"/>
  <c r="V117" i="24" s="1"/>
  <c r="I117" i="24"/>
  <c r="T117" i="24" s="1"/>
  <c r="O122" i="24"/>
  <c r="Z122" i="24" s="1"/>
  <c r="I122" i="24"/>
  <c r="T122" i="24" s="1"/>
  <c r="H122" i="24"/>
  <c r="S122" i="24" s="1"/>
  <c r="F122" i="24"/>
  <c r="Q122" i="24" s="1"/>
  <c r="K122" i="24"/>
  <c r="V122" i="24" s="1"/>
  <c r="J122" i="24"/>
  <c r="U122" i="24" s="1"/>
  <c r="G122" i="24"/>
  <c r="R122" i="24" s="1"/>
  <c r="F129" i="24"/>
  <c r="Q129" i="24" s="1"/>
  <c r="G86" i="24"/>
  <c r="R86" i="24" s="1"/>
  <c r="N88" i="24"/>
  <c r="Y88" i="24" s="1"/>
  <c r="K88" i="24"/>
  <c r="V88" i="24" s="1"/>
  <c r="N90" i="24"/>
  <c r="Y90" i="24" s="1"/>
  <c r="M90" i="24"/>
  <c r="X90" i="24" s="1"/>
  <c r="H103" i="24"/>
  <c r="S103" i="24" s="1"/>
  <c r="N103" i="24"/>
  <c r="Y103" i="24" s="1"/>
  <c r="L103" i="24"/>
  <c r="W103" i="24" s="1"/>
  <c r="J103" i="24"/>
  <c r="U103" i="24" s="1"/>
  <c r="I103" i="24"/>
  <c r="T103" i="24" s="1"/>
  <c r="G103" i="24"/>
  <c r="R103" i="24" s="1"/>
  <c r="F103" i="24"/>
  <c r="Q103" i="24" s="1"/>
  <c r="L119" i="24"/>
  <c r="W119" i="24" s="1"/>
  <c r="M119" i="24"/>
  <c r="X119" i="24" s="1"/>
  <c r="K119" i="24"/>
  <c r="V119" i="24" s="1"/>
  <c r="I119" i="24"/>
  <c r="T119" i="24" s="1"/>
  <c r="H119" i="24"/>
  <c r="S119" i="24" s="1"/>
  <c r="G119" i="24"/>
  <c r="R119" i="24" s="1"/>
  <c r="F119" i="24"/>
  <c r="Q119" i="24" s="1"/>
  <c r="L122" i="24"/>
  <c r="W122" i="24" s="1"/>
  <c r="M129" i="24"/>
  <c r="X129" i="24" s="1"/>
  <c r="M94" i="24"/>
  <c r="X94" i="24" s="1"/>
  <c r="N94" i="24"/>
  <c r="Y94" i="24" s="1"/>
  <c r="L94" i="24"/>
  <c r="W94" i="24" s="1"/>
  <c r="G94" i="24"/>
  <c r="R94" i="24" s="1"/>
  <c r="H115" i="24"/>
  <c r="S115" i="24" s="1"/>
  <c r="M115" i="24"/>
  <c r="X115" i="24" s="1"/>
  <c r="L115" i="24"/>
  <c r="W115" i="24" s="1"/>
  <c r="J115" i="24"/>
  <c r="U115" i="24" s="1"/>
  <c r="O115" i="24"/>
  <c r="Z115" i="24" s="1"/>
  <c r="N115" i="24"/>
  <c r="Y115" i="24" s="1"/>
  <c r="K115" i="24"/>
  <c r="V115" i="24" s="1"/>
  <c r="I115" i="24"/>
  <c r="T115" i="24" s="1"/>
  <c r="G115" i="24"/>
  <c r="R115" i="24" s="1"/>
  <c r="F115" i="24"/>
  <c r="Q115" i="24" s="1"/>
  <c r="N121" i="24"/>
  <c r="Y121" i="24" s="1"/>
  <c r="F121" i="24"/>
  <c r="Q121" i="24" s="1"/>
  <c r="K138" i="24"/>
  <c r="V138" i="24" s="1"/>
  <c r="G138" i="24"/>
  <c r="R138" i="24" s="1"/>
  <c r="J138" i="24"/>
  <c r="U138" i="24" s="1"/>
  <c r="I138" i="24"/>
  <c r="T138" i="24" s="1"/>
  <c r="H138" i="24"/>
  <c r="S138" i="24" s="1"/>
  <c r="F138" i="24"/>
  <c r="Q138" i="24" s="1"/>
  <c r="O138" i="24"/>
  <c r="Z138" i="24" s="1"/>
  <c r="N138" i="24"/>
  <c r="Y138" i="24" s="1"/>
  <c r="M138" i="24"/>
  <c r="X138" i="24" s="1"/>
  <c r="L138" i="24"/>
  <c r="W138" i="24" s="1"/>
  <c r="O112" i="24"/>
  <c r="Z112" i="24" s="1"/>
  <c r="M112" i="24"/>
  <c r="X112" i="24" s="1"/>
  <c r="J105" i="24"/>
  <c r="U105" i="24" s="1"/>
  <c r="G105" i="24"/>
  <c r="R105" i="24" s="1"/>
  <c r="H112" i="24"/>
  <c r="S112" i="24" s="1"/>
  <c r="F125" i="24"/>
  <c r="Q125" i="24" s="1"/>
  <c r="H125" i="24"/>
  <c r="S125" i="24" s="1"/>
  <c r="N125" i="24"/>
  <c r="Y125" i="24" s="1"/>
  <c r="F101" i="24"/>
  <c r="Q101" i="24" s="1"/>
  <c r="H101" i="24"/>
  <c r="S101" i="24" s="1"/>
  <c r="F105" i="24"/>
  <c r="Q105" i="24" s="1"/>
  <c r="I112" i="24"/>
  <c r="T112" i="24" s="1"/>
  <c r="K121" i="24"/>
  <c r="V121" i="24" s="1"/>
  <c r="G125" i="24"/>
  <c r="R125" i="24" s="1"/>
  <c r="I136" i="24"/>
  <c r="T136" i="24" s="1"/>
  <c r="M136" i="24"/>
  <c r="X136" i="24" s="1"/>
  <c r="L136" i="24"/>
  <c r="W136" i="24" s="1"/>
  <c r="K136" i="24"/>
  <c r="V136" i="24" s="1"/>
  <c r="J136" i="24"/>
  <c r="U136" i="24" s="1"/>
  <c r="H136" i="24"/>
  <c r="S136" i="24" s="1"/>
  <c r="G136" i="24"/>
  <c r="R136" i="24" s="1"/>
  <c r="F136" i="24"/>
  <c r="Q136" i="24" s="1"/>
  <c r="O136" i="24"/>
  <c r="Z136" i="24" s="1"/>
  <c r="M140" i="24"/>
  <c r="X140" i="24" s="1"/>
  <c r="I140" i="24"/>
  <c r="T140" i="24" s="1"/>
  <c r="G140" i="24"/>
  <c r="R140" i="24" s="1"/>
  <c r="F140" i="24"/>
  <c r="Q140" i="24" s="1"/>
  <c r="O140" i="24"/>
  <c r="Z140" i="24" s="1"/>
  <c r="L140" i="24"/>
  <c r="W140" i="24" s="1"/>
  <c r="K140" i="24"/>
  <c r="V140" i="24" s="1"/>
  <c r="J140" i="24"/>
  <c r="U140" i="24" s="1"/>
  <c r="H140" i="24"/>
  <c r="S140" i="24" s="1"/>
  <c r="H105" i="24"/>
  <c r="S105" i="24" s="1"/>
  <c r="O110" i="24"/>
  <c r="Z110" i="24" s="1"/>
  <c r="K110" i="24"/>
  <c r="V110" i="24" s="1"/>
  <c r="J110" i="24"/>
  <c r="U110" i="24" s="1"/>
  <c r="H110" i="24"/>
  <c r="S110" i="24" s="1"/>
  <c r="J112" i="24"/>
  <c r="U112" i="24" s="1"/>
  <c r="F113" i="24"/>
  <c r="Q113" i="24" s="1"/>
  <c r="G113" i="24"/>
  <c r="R113" i="24" s="1"/>
  <c r="L121" i="24"/>
  <c r="W121" i="24" s="1"/>
  <c r="I125" i="24"/>
  <c r="T125" i="24" s="1"/>
  <c r="N136" i="24"/>
  <c r="Y136" i="24" s="1"/>
  <c r="N140" i="24"/>
  <c r="Y140" i="24" s="1"/>
  <c r="I105" i="24"/>
  <c r="T105" i="24" s="1"/>
  <c r="K112" i="24"/>
  <c r="V112" i="24" s="1"/>
  <c r="J125" i="24"/>
  <c r="U125" i="24" s="1"/>
  <c r="G134" i="24"/>
  <c r="R134" i="24" s="1"/>
  <c r="O134" i="24"/>
  <c r="Z134" i="24" s="1"/>
  <c r="M134" i="24"/>
  <c r="X134" i="24" s="1"/>
  <c r="L134" i="24"/>
  <c r="W134" i="24" s="1"/>
  <c r="K134" i="24"/>
  <c r="V134" i="24" s="1"/>
  <c r="J134" i="24"/>
  <c r="U134" i="24" s="1"/>
  <c r="H134" i="24"/>
  <c r="S134" i="24" s="1"/>
  <c r="F134" i="24"/>
  <c r="Q134" i="24" s="1"/>
  <c r="J101" i="24"/>
  <c r="U101" i="24" s="1"/>
  <c r="K105" i="24"/>
  <c r="V105" i="24" s="1"/>
  <c r="G110" i="24"/>
  <c r="R110" i="24" s="1"/>
  <c r="L112" i="24"/>
  <c r="W112" i="24" s="1"/>
  <c r="I113" i="24"/>
  <c r="T113" i="24" s="1"/>
  <c r="O121" i="24"/>
  <c r="Z121" i="24" s="1"/>
  <c r="K125" i="24"/>
  <c r="V125" i="24" s="1"/>
  <c r="G126" i="24"/>
  <c r="R126" i="24" s="1"/>
  <c r="K126" i="24"/>
  <c r="V126" i="24" s="1"/>
  <c r="H126" i="24"/>
  <c r="S126" i="24" s="1"/>
  <c r="F126" i="24"/>
  <c r="Q126" i="24" s="1"/>
  <c r="J137" i="24"/>
  <c r="U137" i="24" s="1"/>
  <c r="F137" i="24"/>
  <c r="Q137" i="24" s="1"/>
  <c r="H132" i="24"/>
  <c r="S132" i="24" s="1"/>
  <c r="M133" i="24"/>
  <c r="X133" i="24" s="1"/>
  <c r="J135" i="24"/>
  <c r="U135" i="24" s="1"/>
  <c r="G137" i="24"/>
  <c r="R137" i="24" s="1"/>
  <c r="I132" i="24"/>
  <c r="T132" i="24" s="1"/>
  <c r="K135" i="24"/>
  <c r="V135" i="24" s="1"/>
  <c r="H137" i="24"/>
  <c r="S137" i="24" s="1"/>
  <c r="J132" i="24"/>
  <c r="U132" i="24" s="1"/>
  <c r="L135" i="24"/>
  <c r="W135" i="24" s="1"/>
  <c r="I137" i="24"/>
  <c r="T137" i="24" s="1"/>
  <c r="N141" i="24"/>
  <c r="Y141" i="24" s="1"/>
  <c r="J141" i="24"/>
  <c r="U141" i="24" s="1"/>
  <c r="O141" i="24"/>
  <c r="Z141" i="24" s="1"/>
  <c r="O108" i="24"/>
  <c r="Z108" i="24" s="1"/>
  <c r="K124" i="24"/>
  <c r="V124" i="24" s="1"/>
  <c r="G131" i="24"/>
  <c r="R131" i="24" s="1"/>
  <c r="L132" i="24"/>
  <c r="W132" i="24" s="1"/>
  <c r="N135" i="24"/>
  <c r="Y135" i="24" s="1"/>
  <c r="L137" i="24"/>
  <c r="W137" i="24" s="1"/>
  <c r="F141" i="24"/>
  <c r="Q141" i="24" s="1"/>
  <c r="F133" i="24"/>
  <c r="Q133" i="24" s="1"/>
  <c r="N133" i="24"/>
  <c r="Y133" i="24" s="1"/>
  <c r="O135" i="24"/>
  <c r="Z135" i="24" s="1"/>
  <c r="M137" i="24"/>
  <c r="X137" i="24" s="1"/>
  <c r="G141" i="24"/>
  <c r="R141" i="24" s="1"/>
  <c r="M124" i="24"/>
  <c r="X124" i="24" s="1"/>
  <c r="I131" i="24"/>
  <c r="T131" i="24" s="1"/>
  <c r="O132" i="24"/>
  <c r="Z132" i="24" s="1"/>
  <c r="G133" i="24"/>
  <c r="R133" i="24" s="1"/>
  <c r="N137" i="24"/>
  <c r="Y137" i="24" s="1"/>
  <c r="H141" i="24"/>
  <c r="S141" i="24" s="1"/>
  <c r="J131" i="24"/>
  <c r="U131" i="24" s="1"/>
  <c r="H133" i="24"/>
  <c r="S133" i="24" s="1"/>
  <c r="O137" i="24"/>
  <c r="Z137" i="24" s="1"/>
  <c r="I141" i="24"/>
  <c r="T141" i="24" s="1"/>
  <c r="K141" i="24"/>
  <c r="V141" i="24" s="1"/>
  <c r="J133" i="24"/>
  <c r="U133" i="24" s="1"/>
  <c r="F135" i="24"/>
  <c r="Q135" i="24" s="1"/>
  <c r="L141" i="24"/>
  <c r="W141" i="24" s="1"/>
  <c r="N131" i="24"/>
  <c r="Y131" i="24" s="1"/>
  <c r="F132" i="24"/>
  <c r="Q132" i="24" s="1"/>
  <c r="K133" i="24"/>
  <c r="V133" i="24" s="1"/>
  <c r="G135" i="24"/>
  <c r="R135" i="24" s="1"/>
  <c r="M141" i="24"/>
  <c r="X141" i="24" s="1"/>
  <c r="AA89" i="24" l="1"/>
  <c r="AA72" i="24"/>
  <c r="P15" i="23"/>
  <c r="AA100" i="24"/>
  <c r="AA14" i="24"/>
  <c r="AA26" i="24"/>
  <c r="D15" i="6"/>
  <c r="AA63" i="24"/>
  <c r="AA65" i="24"/>
  <c r="AA39" i="24"/>
  <c r="AA124" i="24"/>
  <c r="AA34" i="24"/>
  <c r="AA19" i="24"/>
  <c r="AA113" i="24"/>
  <c r="AA93" i="24"/>
  <c r="AA94" i="24"/>
  <c r="AA69" i="24"/>
  <c r="AA85" i="24"/>
  <c r="AA7" i="24"/>
  <c r="AA20" i="24"/>
  <c r="AA108" i="24"/>
  <c r="AA136" i="24"/>
  <c r="AA10" i="24"/>
  <c r="AA120" i="24"/>
  <c r="AA58" i="24"/>
  <c r="AA123" i="24"/>
  <c r="AA137" i="24"/>
  <c r="AA57" i="24"/>
  <c r="AA66" i="24"/>
  <c r="AA36" i="24"/>
  <c r="AA131" i="24"/>
  <c r="AA45" i="24"/>
  <c r="AA71" i="24"/>
  <c r="AA31" i="24"/>
  <c r="AA87" i="24"/>
  <c r="AA48" i="24"/>
  <c r="AA90" i="24"/>
  <c r="AA84" i="24"/>
  <c r="AA68" i="24"/>
  <c r="AA22" i="24"/>
  <c r="AA49" i="24"/>
  <c r="AA86" i="24"/>
  <c r="AA44" i="24"/>
  <c r="P14" i="23"/>
  <c r="AA135" i="24"/>
  <c r="AA110" i="24"/>
  <c r="AA56" i="24"/>
  <c r="AA77" i="24"/>
  <c r="AA51" i="24"/>
  <c r="AA28" i="24"/>
  <c r="AA78" i="24"/>
  <c r="AA33" i="24"/>
  <c r="AA79" i="24"/>
  <c r="AA112" i="24"/>
  <c r="AA88" i="24"/>
  <c r="AA96" i="24"/>
  <c r="AA82" i="24"/>
  <c r="AA127" i="24"/>
  <c r="AA16" i="24"/>
  <c r="AA119" i="24"/>
  <c r="AA99" i="24"/>
  <c r="AA95" i="24"/>
  <c r="AA102" i="24"/>
  <c r="AA130" i="24"/>
  <c r="AA64" i="24"/>
  <c r="AA43" i="24"/>
  <c r="AA24" i="24"/>
  <c r="AA3" i="24"/>
  <c r="AA6" i="24"/>
  <c r="AA38" i="24"/>
  <c r="AA134" i="24"/>
  <c r="AA126" i="24"/>
  <c r="AA125" i="24"/>
  <c r="AA91" i="24"/>
  <c r="AA54" i="24"/>
  <c r="AA53" i="24"/>
  <c r="AA40" i="24"/>
  <c r="AA30" i="24"/>
  <c r="AA5" i="24"/>
  <c r="AA11" i="24"/>
  <c r="AA114" i="24"/>
  <c r="AA111" i="24"/>
  <c r="AA101" i="24"/>
  <c r="AA59" i="24"/>
  <c r="AA9" i="24"/>
  <c r="AA141" i="24"/>
  <c r="AA76" i="24"/>
  <c r="AA17" i="24"/>
  <c r="AA15" i="24"/>
  <c r="AA29" i="24"/>
  <c r="AA62" i="24"/>
  <c r="AA73" i="24"/>
  <c r="AA75" i="24"/>
  <c r="AA140" i="24"/>
  <c r="AA97" i="24"/>
  <c r="AA67" i="24"/>
  <c r="AA42" i="24"/>
  <c r="AA118" i="24"/>
  <c r="AA139" i="24"/>
  <c r="AA23" i="24"/>
  <c r="AA60" i="24"/>
  <c r="AA121" i="24"/>
  <c r="AA25" i="24"/>
  <c r="AA46" i="24"/>
  <c r="C30" i="6"/>
  <c r="AA52" i="24"/>
  <c r="AA47" i="24"/>
  <c r="AA27" i="24"/>
  <c r="AA18" i="24"/>
  <c r="AA122" i="24"/>
  <c r="AA132" i="24"/>
  <c r="AA128" i="24"/>
  <c r="AA74" i="24"/>
  <c r="AA50" i="24"/>
  <c r="AA55" i="24"/>
  <c r="AA70" i="24"/>
  <c r="AA2" i="24"/>
  <c r="AA107" i="24"/>
  <c r="AA80" i="24"/>
  <c r="AA106" i="24"/>
  <c r="AA103" i="24"/>
  <c r="AA129" i="24"/>
  <c r="AA109" i="24"/>
  <c r="AA104" i="24"/>
  <c r="AA81" i="24"/>
  <c r="AA92" i="24"/>
  <c r="AA21" i="24"/>
  <c r="E30" i="6"/>
  <c r="AA32" i="24"/>
  <c r="AA4" i="24"/>
  <c r="AA8" i="24"/>
  <c r="AA13" i="24"/>
  <c r="AA138" i="24"/>
  <c r="AA98" i="24"/>
  <c r="AA61" i="24"/>
  <c r="AA133" i="24"/>
  <c r="AA105" i="24"/>
  <c r="AA115" i="24"/>
  <c r="AA117" i="24"/>
  <c r="AA116" i="24"/>
  <c r="AA83" i="24"/>
  <c r="AA41" i="24"/>
  <c r="AA12" i="24"/>
  <c r="AA35" i="24"/>
  <c r="AA37" i="24"/>
  <c r="AD3" i="24" l="1"/>
  <c r="AD2" i="24"/>
  <c r="F9" i="1" s="1"/>
  <c r="H9" i="1" s="1"/>
  <c r="J9" i="1" s="1"/>
  <c r="G8" i="23" s="1"/>
  <c r="AK13" i="24"/>
</calcChain>
</file>

<file path=xl/sharedStrings.xml><?xml version="1.0" encoding="utf-8"?>
<sst xmlns="http://schemas.openxmlformats.org/spreadsheetml/2006/main" count="585" uniqueCount="156">
  <si>
    <t>nr. sym</t>
  </si>
  <si>
    <t>Przychody biletów</t>
  </si>
  <si>
    <t>Dofinansowanie miasta</t>
  </si>
  <si>
    <t>Koszty paliwa</t>
  </si>
  <si>
    <t>Koszty pracowników</t>
  </si>
  <si>
    <t>Koszty napraw</t>
  </si>
  <si>
    <t>Inne koszty</t>
  </si>
  <si>
    <t>Koszty Razem</t>
  </si>
  <si>
    <t>Przychody razem</t>
  </si>
  <si>
    <t>Wynik</t>
  </si>
  <si>
    <t xml:space="preserve"> </t>
  </si>
  <si>
    <t xml:space="preserve">  </t>
  </si>
  <si>
    <t>Szacowana ilość sprzedanych biletów</t>
  </si>
  <si>
    <t>Wzrost ceny biletów</t>
  </si>
  <si>
    <t>Elastyczność</t>
  </si>
  <si>
    <t>jednorazowy</t>
  </si>
  <si>
    <t>dobowy</t>
  </si>
  <si>
    <t>miesięczny</t>
  </si>
  <si>
    <t>karnet</t>
  </si>
  <si>
    <t>0,5/0,7/0,8</t>
  </si>
  <si>
    <t>ulgowy 1</t>
  </si>
  <si>
    <t>Wzrost ceny paliw</t>
  </si>
  <si>
    <t>ulgowy 1+2</t>
  </si>
  <si>
    <t>normalny 1</t>
  </si>
  <si>
    <t>-</t>
  </si>
  <si>
    <t>normalny 1+2</t>
  </si>
  <si>
    <t>Realna ilość sprzedanych biletów</t>
  </si>
  <si>
    <t>NOWE CENY</t>
  </si>
  <si>
    <t>Ilość sprzedanych biletów z nowymi cenami</t>
  </si>
  <si>
    <t>Przychód</t>
  </si>
  <si>
    <t>Awaryjność</t>
  </si>
  <si>
    <t>Cena Paliwa</t>
  </si>
  <si>
    <t>DANE DO WYKRESU TORNADO</t>
  </si>
  <si>
    <t>min</t>
  </si>
  <si>
    <t>max</t>
  </si>
  <si>
    <t>Etykieta</t>
  </si>
  <si>
    <t>Nr autobusu</t>
  </si>
  <si>
    <t>Koszty przeglądów</t>
  </si>
  <si>
    <t>Liczba losowa</t>
  </si>
  <si>
    <t>Naprawa 1</t>
  </si>
  <si>
    <t>Naprawa 2</t>
  </si>
  <si>
    <t>Naprawa 3</t>
  </si>
  <si>
    <t>Naprawa 4</t>
  </si>
  <si>
    <t>Naprawa 5</t>
  </si>
  <si>
    <t>Naprawa 6</t>
  </si>
  <si>
    <t>Naprawa 7</t>
  </si>
  <si>
    <t>Naprawa 8</t>
  </si>
  <si>
    <t>Naprawa 9</t>
  </si>
  <si>
    <t>Naprawa 10</t>
  </si>
  <si>
    <t>Koszt naprawy 1</t>
  </si>
  <si>
    <t>Koszt naprawy 2</t>
  </si>
  <si>
    <t>Koszt naprawy 3</t>
  </si>
  <si>
    <t>Koszt naprawy 4</t>
  </si>
  <si>
    <t>Koszt naprawy 5</t>
  </si>
  <si>
    <t>Koszt naprawy 6</t>
  </si>
  <si>
    <t>Koszt naprawy 7</t>
  </si>
  <si>
    <t>Koszt naprawy 8</t>
  </si>
  <si>
    <t>Koszt naprawy 9</t>
  </si>
  <si>
    <t>Koszt naprawy 10</t>
  </si>
  <si>
    <t>Koszty razem</t>
  </si>
  <si>
    <t>F(x)</t>
  </si>
  <si>
    <t xml:space="preserve">Suma kosztów </t>
  </si>
  <si>
    <t>Koszt Naprawy</t>
  </si>
  <si>
    <t>Średnia kosztów autobusu</t>
  </si>
  <si>
    <t>Chi^2</t>
  </si>
  <si>
    <t>Średnia cena szkody</t>
  </si>
  <si>
    <t>Grupa pracownicza</t>
  </si>
  <si>
    <t>I</t>
  </si>
  <si>
    <t>II</t>
  </si>
  <si>
    <t>III</t>
  </si>
  <si>
    <t>IV</t>
  </si>
  <si>
    <t>V</t>
  </si>
  <si>
    <t>VI</t>
  </si>
  <si>
    <t>VII</t>
  </si>
  <si>
    <t>VIII</t>
  </si>
  <si>
    <t>IX</t>
  </si>
  <si>
    <t>X</t>
  </si>
  <si>
    <t>XI</t>
  </si>
  <si>
    <t>XII</t>
  </si>
  <si>
    <t>2024 (średnia)</t>
  </si>
  <si>
    <t>2024 odch</t>
  </si>
  <si>
    <t>miesieczne</t>
  </si>
  <si>
    <t>roczne</t>
  </si>
  <si>
    <t>"+ WYNAGRODZENIE RADY NADZORCZEJ"</t>
  </si>
  <si>
    <t>"+ WYNAGRODZENIE ZARZĄDU"</t>
  </si>
  <si>
    <t>Kierowcy</t>
  </si>
  <si>
    <t>Stacja Obsługi i Zapl. Techn.</t>
  </si>
  <si>
    <t>Stanowiska nierobotnicze</t>
  </si>
  <si>
    <t>OGÓŁEM</t>
  </si>
  <si>
    <t>Wyszczególnienie</t>
  </si>
  <si>
    <t>Kwota (zł)</t>
  </si>
  <si>
    <t>Ogółem</t>
  </si>
  <si>
    <t>na stanowiskach nierobotniczych</t>
  </si>
  <si>
    <t>na stanowiskach robotniczych</t>
  </si>
  <si>
    <t>- w tym: kierowcy</t>
  </si>
  <si>
    <t>- w tym: pozostali SO+ZT</t>
  </si>
  <si>
    <t>Koszta paliwa</t>
  </si>
  <si>
    <t>DIESEL</t>
  </si>
  <si>
    <t>Rodzaje autobusów</t>
  </si>
  <si>
    <t>Płatne</t>
  </si>
  <si>
    <t>Pozostałe (dojazdowe, techniczne)</t>
  </si>
  <si>
    <t>CENY PALIW</t>
  </si>
  <si>
    <t>MEGA</t>
  </si>
  <si>
    <t>DATA</t>
  </si>
  <si>
    <t>MAXI</t>
  </si>
  <si>
    <t>cena oleju napędowego za litr w świętokrzyskiem</t>
  </si>
  <si>
    <t>MIDI</t>
  </si>
  <si>
    <t>RAZEM</t>
  </si>
  <si>
    <t>Cena przejazdów</t>
  </si>
  <si>
    <t>HYBRYDY</t>
  </si>
  <si>
    <t>sr 2026 rok</t>
  </si>
  <si>
    <t>MEGA_H</t>
  </si>
  <si>
    <t>MAXI_H</t>
  </si>
  <si>
    <t>Wynik z działalności finansowej</t>
  </si>
  <si>
    <t>Oś czasu</t>
  </si>
  <si>
    <t>Wartości</t>
  </si>
  <si>
    <t>Prognoza</t>
  </si>
  <si>
    <t>Dolna granica ufności</t>
  </si>
  <si>
    <t>Górna granica ufności</t>
  </si>
  <si>
    <t>Liczba czynników</t>
  </si>
  <si>
    <t>Przeciętna wartość końcowa</t>
  </si>
  <si>
    <t>Odchylenie standardowe</t>
  </si>
  <si>
    <t>Pół długości 90% przedziału ufności</t>
  </si>
  <si>
    <t>Górna granica</t>
  </si>
  <si>
    <t>Dolna granica</t>
  </si>
  <si>
    <t>VaR</t>
  </si>
  <si>
    <t>Przychody</t>
  </si>
  <si>
    <t>Koszty</t>
  </si>
  <si>
    <t>Zmiana wynagrodzeń</t>
  </si>
  <si>
    <t>procent rentowności (Wynik &gt; 0)</t>
  </si>
  <si>
    <t>Liczba pasażerów (rocznie)</t>
  </si>
  <si>
    <t>CENY 2024-2025</t>
  </si>
  <si>
    <t>średnia</t>
  </si>
  <si>
    <t>STAŁA</t>
  </si>
  <si>
    <t>Wskaźnik wynagrodzeń</t>
  </si>
  <si>
    <t>liczba napraw</t>
  </si>
  <si>
    <t>P(x)</t>
  </si>
  <si>
    <t>Dolne progi</t>
  </si>
  <si>
    <t>Dystr(bazowa)</t>
  </si>
  <si>
    <t>P(x)(bazowe)</t>
  </si>
  <si>
    <t>Szkody</t>
  </si>
  <si>
    <t>liczba poszczególnych szkód</t>
  </si>
  <si>
    <t>Awaryjność (100% - wartość bazowa)</t>
  </si>
  <si>
    <t>'Koszty paliwa'!P25</t>
  </si>
  <si>
    <t>'Koszty napraw'!AN7</t>
  </si>
  <si>
    <t>'Przychody z biletów'!N5</t>
  </si>
  <si>
    <t>'Koszty pracowników'!E9</t>
  </si>
  <si>
    <t>MIN</t>
  </si>
  <si>
    <t>MAX</t>
  </si>
  <si>
    <t>Wskaźnik ceny biletów</t>
  </si>
  <si>
    <t>Wskaźnik zmiany wynagrodzeń</t>
  </si>
  <si>
    <t>Zmienna</t>
  </si>
  <si>
    <t>Rozstęp</t>
  </si>
  <si>
    <t>Makra działają naprzemiennie przez wspólne użycie kolumny P, próby naprawienia niszczyły jednak VBA, więc podjęta została decyzja o pozostawieniu arkusza w tej konfiguracji</t>
  </si>
  <si>
    <t>Wynagrodzenia pracowników</t>
  </si>
  <si>
    <t>Ceny biletów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</si>
</sst>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#,##0.00\ [$zł-415]"/>
    <numFmt numFmtId="165" formatCode="#,##0\ [$zł-415]"/>
    <numFmt numFmtId="166" formatCode="mm\.yyyy"/>
    <numFmt numFmtId="167" formatCode="dd\.mm\.yyyy"/>
    <numFmt numFmtId="168" formatCode="mmm\.d"/>
    <numFmt numFmtId="169" formatCode="0.0"/>
    <numFmt numFmtId="170" formatCode="_(* #,##0.00_);_(* \(#,##0.00\);_(* &quot;-&quot;??_);_(@_)"/>
    <numFmt numFmtId="171" formatCode="_-* #,##0.00\ [$zł-415]_-;\-* #,##0.00\ [$zł-415]_-;_-* &quot;-&quot;??\ [$zł-415]_-;_-@_-"/>
  </numFmts>
  <fonts count="32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b/>
      <sz val="10"/>
      <color theme="1"/>
      <name val="Google Sans Text"/>
    </font>
    <font>
      <sz val="10"/>
      <color theme="1"/>
      <name val="Google Sans Text"/>
    </font>
    <font>
      <b/>
      <sz val="10"/>
      <color rgb="FF000000"/>
      <name val="&quot;Google Sans Text&quot;"/>
    </font>
    <font>
      <sz val="10"/>
      <color rgb="FF000000"/>
      <name val="&quot;Google Sans Text&quot;"/>
    </font>
    <font>
      <b/>
      <sz val="10"/>
      <color theme="1"/>
      <name val="Arial"/>
      <family val="2"/>
    </font>
    <font>
      <sz val="11"/>
      <color rgb="FF000000"/>
      <name val="&quot;Aptos Narrow&quot;"/>
    </font>
    <font>
      <b/>
      <sz val="11"/>
      <color rgb="FFFFFFFF"/>
      <name val="&quot;Aptos Narrow&quot;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1"/>
      <color theme="1"/>
      <name val="Arial (Body)"/>
    </font>
    <font>
      <b/>
      <sz val="11"/>
      <color rgb="FF000000"/>
      <name val="Arial (Body)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Calibri"/>
      <family val="2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sz val="10"/>
      <color rgb="FF000000"/>
      <name val="Arial"/>
      <family val="2"/>
      <charset val="238"/>
      <scheme val="minor"/>
    </font>
    <font>
      <sz val="10"/>
      <color rgb="FFFF0000"/>
      <name val="Arial"/>
      <family val="2"/>
      <charset val="238"/>
      <scheme val="minor"/>
    </font>
    <font>
      <b/>
      <sz val="10"/>
      <color rgb="FF000000"/>
      <name val="Arial"/>
      <family val="2"/>
      <charset val="238"/>
      <scheme val="minor"/>
    </font>
    <font>
      <sz val="10"/>
      <color rgb="FF000000"/>
      <name val="Arial"/>
      <family val="2"/>
      <charset val="238"/>
      <scheme val="minor"/>
    </font>
    <font>
      <b/>
      <sz val="11"/>
      <color rgb="FF00B05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0"/>
      <color theme="1"/>
      <name val="Arial"/>
      <family val="2"/>
      <charset val="238"/>
      <scheme val="minor"/>
    </font>
    <font>
      <sz val="12"/>
      <color rgb="FFFF0000"/>
      <name val="Arial"/>
      <family val="2"/>
      <charset val="238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B6D7A8"/>
        <bgColor rgb="FFB6D7A8"/>
      </patternFill>
    </fill>
    <fill>
      <patternFill patternType="solid">
        <fgColor rgb="FFCC0000"/>
        <bgColor rgb="FFCC0000"/>
      </patternFill>
    </fill>
    <fill>
      <patternFill patternType="solid">
        <fgColor rgb="FF6AA84F"/>
        <bgColor rgb="FF6AA84F"/>
      </patternFill>
    </fill>
    <fill>
      <patternFill patternType="solid">
        <fgColor rgb="FFFFD966"/>
        <bgColor rgb="FFFFD966"/>
      </patternFill>
    </fill>
    <fill>
      <patternFill patternType="solid">
        <fgColor rgb="FFFFFFFF"/>
        <bgColor rgb="FFFFFFFF"/>
      </patternFill>
    </fill>
    <fill>
      <patternFill patternType="solid">
        <fgColor rgb="FF8E7CC3"/>
        <bgColor rgb="FF8E7CC3"/>
      </patternFill>
    </fill>
    <fill>
      <patternFill patternType="solid">
        <fgColor rgb="FF93C47D"/>
        <bgColor rgb="FF93C47D"/>
      </patternFill>
    </fill>
    <fill>
      <patternFill patternType="solid">
        <fgColor rgb="FFF9CB9C"/>
        <bgColor rgb="FFF9CB9C"/>
      </patternFill>
    </fill>
    <fill>
      <patternFill patternType="solid">
        <fgColor rgb="FFEAD1DC"/>
        <bgColor rgb="FFEAD1DC"/>
      </patternFill>
    </fill>
    <fill>
      <patternFill patternType="solid">
        <fgColor rgb="FFFFF2CC"/>
        <bgColor rgb="FFFFF2CC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156082"/>
        <bgColor rgb="FF156082"/>
      </patternFill>
    </fill>
    <fill>
      <patternFill patternType="solid">
        <fgColor rgb="FFC0E6F5"/>
        <bgColor rgb="FFC0E6F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rgb="FFCFE2F3"/>
      </patternFill>
    </fill>
    <fill>
      <patternFill patternType="solid">
        <fgColor theme="0"/>
        <bgColor rgb="FFCFE2F3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theme="6"/>
      </patternFill>
    </fill>
    <fill>
      <patternFill patternType="solid">
        <fgColor theme="0"/>
        <bgColor rgb="FF8E7CC3"/>
      </patternFill>
    </fill>
    <fill>
      <patternFill patternType="solid">
        <fgColor theme="0"/>
        <bgColor rgb="FFFFFFFF"/>
      </patternFill>
    </fill>
    <fill>
      <patternFill patternType="solid">
        <fgColor theme="5" tint="0.39997558519241921"/>
        <bgColor rgb="FFFFD966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rgb="FFFFD966"/>
      </patternFill>
    </fill>
    <fill>
      <patternFill patternType="solid">
        <fgColor theme="4" tint="0.59999389629810485"/>
        <bgColor rgb="FFFFD966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C9DAF8"/>
      </patternFill>
    </fill>
    <fill>
      <patternFill patternType="solid">
        <fgColor theme="8" tint="0.59999389629810485"/>
        <bgColor rgb="FFFFD966"/>
      </patternFill>
    </fill>
    <fill>
      <patternFill patternType="solid">
        <fgColor theme="6" tint="0.59999389629810485"/>
        <bgColor rgb="FFFFD966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rgb="FFB6D7A8"/>
      </patternFill>
    </fill>
    <fill>
      <patternFill patternType="solid">
        <fgColor theme="5" tint="0.59999389629810485"/>
        <bgColor rgb="FFEA9999"/>
      </patternFill>
    </fill>
    <fill>
      <patternFill patternType="solid">
        <fgColor theme="4" tint="0.79998168889431442"/>
        <bgColor rgb="FFCFE2F3"/>
      </patternFill>
    </fill>
    <fill>
      <patternFill patternType="solid">
        <fgColor theme="7" tint="0.79998168889431442"/>
        <bgColor rgb="FFCFE2F3"/>
      </patternFill>
    </fill>
  </fills>
  <borders count="5">
    <border>
      <left/>
      <right/>
      <top/>
      <bottom/>
      <diagonal/>
    </border>
    <border>
      <left style="thin">
        <color rgb="FF44B3E1"/>
      </left>
      <right/>
      <top style="thin">
        <color rgb="FF44B3E1"/>
      </top>
      <bottom style="thin">
        <color rgb="FF44B3E1"/>
      </bottom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 style="thin">
        <color rgb="FF44B3E1"/>
      </right>
      <top style="thin">
        <color rgb="FF44B3E1"/>
      </top>
      <bottom style="thin">
        <color rgb="FF44B3E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23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23" fillId="0" borderId="0"/>
  </cellStyleXfs>
  <cellXfs count="163">
    <xf numFmtId="0" fontId="0" fillId="0" borderId="0" xfId="0"/>
    <xf numFmtId="164" fontId="1" fillId="0" borderId="0" xfId="0" applyNumberFormat="1" applyFont="1"/>
    <xf numFmtId="0" fontId="1" fillId="6" borderId="0" xfId="0" applyFont="1" applyFill="1"/>
    <xf numFmtId="0" fontId="3" fillId="0" borderId="0" xfId="0" applyFont="1"/>
    <xf numFmtId="0" fontId="3" fillId="0" borderId="0" xfId="0" applyFont="1" applyAlignment="1">
      <alignment horizontal="right"/>
    </xf>
    <xf numFmtId="0" fontId="3" fillId="6" borderId="0" xfId="0" applyFont="1" applyFill="1"/>
    <xf numFmtId="0" fontId="7" fillId="10" borderId="0" xfId="0" applyFont="1" applyFill="1"/>
    <xf numFmtId="0" fontId="1" fillId="10" borderId="0" xfId="0" applyFont="1" applyFill="1"/>
    <xf numFmtId="0" fontId="6" fillId="10" borderId="0" xfId="0" applyFont="1" applyFill="1"/>
    <xf numFmtId="164" fontId="1" fillId="10" borderId="0" xfId="0" applyNumberFormat="1" applyFont="1" applyFill="1"/>
    <xf numFmtId="0" fontId="7" fillId="11" borderId="0" xfId="0" applyFont="1" applyFill="1"/>
    <xf numFmtId="0" fontId="6" fillId="11" borderId="0" xfId="0" applyFont="1" applyFill="1"/>
    <xf numFmtId="0" fontId="3" fillId="2" borderId="0" xfId="0" applyFont="1" applyFill="1"/>
    <xf numFmtId="0" fontId="5" fillId="2" borderId="0" xfId="0" applyFont="1" applyFill="1"/>
    <xf numFmtId="0" fontId="8" fillId="12" borderId="0" xfId="0" applyFont="1" applyFill="1"/>
    <xf numFmtId="0" fontId="4" fillId="2" borderId="0" xfId="0" applyFont="1" applyFill="1"/>
    <xf numFmtId="0" fontId="5" fillId="2" borderId="0" xfId="0" applyFont="1" applyFill="1" applyAlignment="1">
      <alignment horizontal="right"/>
    </xf>
    <xf numFmtId="0" fontId="3" fillId="12" borderId="0" xfId="0" applyFont="1" applyFill="1"/>
    <xf numFmtId="166" fontId="3" fillId="12" borderId="0" xfId="0" applyNumberFormat="1" applyFont="1" applyFill="1" applyAlignment="1">
      <alignment horizontal="right"/>
    </xf>
    <xf numFmtId="0" fontId="3" fillId="12" borderId="0" xfId="0" applyFont="1" applyFill="1" applyAlignment="1">
      <alignment horizontal="right"/>
    </xf>
    <xf numFmtId="0" fontId="4" fillId="2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64" fontId="5" fillId="2" borderId="0" xfId="0" applyNumberFormat="1" applyFont="1" applyFill="1" applyAlignment="1">
      <alignment horizontal="right"/>
    </xf>
    <xf numFmtId="0" fontId="9" fillId="12" borderId="0" xfId="0" applyFont="1" applyFill="1" applyAlignment="1">
      <alignment horizontal="right"/>
    </xf>
    <xf numFmtId="0" fontId="3" fillId="13" borderId="0" xfId="0" applyFont="1" applyFill="1"/>
    <xf numFmtId="0" fontId="3" fillId="6" borderId="0" xfId="0" applyFont="1" applyFill="1" applyAlignment="1">
      <alignment horizontal="right"/>
    </xf>
    <xf numFmtId="0" fontId="9" fillId="6" borderId="0" xfId="0" applyFont="1" applyFill="1" applyAlignment="1">
      <alignment horizontal="right"/>
    </xf>
    <xf numFmtId="167" fontId="3" fillId="2" borderId="0" xfId="0" applyNumberFormat="1" applyFont="1" applyFill="1"/>
    <xf numFmtId="167" fontId="3" fillId="0" borderId="0" xfId="0" applyNumberFormat="1" applyFont="1"/>
    <xf numFmtId="164" fontId="4" fillId="2" borderId="0" xfId="0" applyNumberFormat="1" applyFont="1" applyFill="1" applyAlignment="1">
      <alignment horizontal="right"/>
    </xf>
    <xf numFmtId="164" fontId="3" fillId="6" borderId="0" xfId="0" applyNumberFormat="1" applyFont="1" applyFill="1" applyAlignment="1">
      <alignment horizontal="right"/>
    </xf>
    <xf numFmtId="164" fontId="3" fillId="6" borderId="0" xfId="0" applyNumberFormat="1" applyFont="1" applyFill="1"/>
    <xf numFmtId="0" fontId="10" fillId="14" borderId="1" xfId="0" applyFont="1" applyFill="1" applyBorder="1"/>
    <xf numFmtId="0" fontId="10" fillId="14" borderId="2" xfId="0" applyFont="1" applyFill="1" applyBorder="1"/>
    <xf numFmtId="0" fontId="10" fillId="14" borderId="3" xfId="0" applyFont="1" applyFill="1" applyBorder="1"/>
    <xf numFmtId="168" fontId="9" fillId="15" borderId="1" xfId="0" applyNumberFormat="1" applyFont="1" applyFill="1" applyBorder="1" applyAlignment="1">
      <alignment horizontal="right"/>
    </xf>
    <xf numFmtId="0" fontId="9" fillId="15" borderId="2" xfId="0" applyFont="1" applyFill="1" applyBorder="1" applyAlignment="1">
      <alignment horizontal="right"/>
    </xf>
    <xf numFmtId="0" fontId="9" fillId="15" borderId="2" xfId="0" applyFont="1" applyFill="1" applyBorder="1"/>
    <xf numFmtId="0" fontId="9" fillId="15" borderId="3" xfId="0" applyFont="1" applyFill="1" applyBorder="1"/>
    <xf numFmtId="168" fontId="9" fillId="0" borderId="1" xfId="0" applyNumberFormat="1" applyFont="1" applyBorder="1" applyAlignment="1">
      <alignment horizontal="right"/>
    </xf>
    <xf numFmtId="0" fontId="9" fillId="0" borderId="2" xfId="0" applyFont="1" applyBorder="1" applyAlignment="1">
      <alignment horizontal="right"/>
    </xf>
    <xf numFmtId="0" fontId="9" fillId="0" borderId="2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right"/>
    </xf>
    <xf numFmtId="0" fontId="9" fillId="15" borderId="3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0" fillId="17" borderId="0" xfId="0" applyFill="1"/>
    <xf numFmtId="169" fontId="7" fillId="10" borderId="0" xfId="0" applyNumberFormat="1" applyFont="1" applyFill="1"/>
    <xf numFmtId="0" fontId="23" fillId="0" borderId="0" xfId="0" applyFont="1"/>
    <xf numFmtId="0" fontId="0" fillId="33" borderId="0" xfId="0" applyFill="1"/>
    <xf numFmtId="0" fontId="0" fillId="34" borderId="0" xfId="0" applyFill="1"/>
    <xf numFmtId="0" fontId="0" fillId="21" borderId="0" xfId="0" applyFill="1"/>
    <xf numFmtId="0" fontId="24" fillId="0" borderId="0" xfId="0" applyFont="1"/>
    <xf numFmtId="0" fontId="23" fillId="35" borderId="0" xfId="0" applyFont="1" applyFill="1"/>
    <xf numFmtId="0" fontId="0" fillId="35" borderId="0" xfId="0" applyFill="1"/>
    <xf numFmtId="0" fontId="23" fillId="36" borderId="0" xfId="0" applyFont="1" applyFill="1"/>
    <xf numFmtId="0" fontId="25" fillId="36" borderId="0" xfId="0" applyFont="1" applyFill="1"/>
    <xf numFmtId="0" fontId="25" fillId="34" borderId="0" xfId="0" applyFont="1" applyFill="1"/>
    <xf numFmtId="0" fontId="25" fillId="33" borderId="0" xfId="0" applyFont="1" applyFill="1"/>
    <xf numFmtId="0" fontId="11" fillId="0" borderId="0" xfId="0" applyFont="1"/>
    <xf numFmtId="0" fontId="23" fillId="37" borderId="0" xfId="0" applyFont="1" applyFill="1"/>
    <xf numFmtId="9" fontId="0" fillId="37" borderId="0" xfId="1" applyFont="1" applyFill="1"/>
    <xf numFmtId="164" fontId="27" fillId="38" borderId="0" xfId="0" applyNumberFormat="1" applyFont="1" applyFill="1" applyAlignment="1">
      <alignment horizontal="center"/>
    </xf>
    <xf numFmtId="164" fontId="28" fillId="39" borderId="0" xfId="0" applyNumberFormat="1" applyFont="1" applyFill="1" applyAlignment="1">
      <alignment horizontal="center"/>
    </xf>
    <xf numFmtId="0" fontId="29" fillId="0" borderId="0" xfId="0" applyFont="1" applyAlignment="1">
      <alignment horizontal="center"/>
    </xf>
    <xf numFmtId="164" fontId="12" fillId="40" borderId="0" xfId="0" applyNumberFormat="1" applyFont="1" applyFill="1" applyAlignment="1">
      <alignment horizontal="center"/>
    </xf>
    <xf numFmtId="9" fontId="12" fillId="40" borderId="0" xfId="1" applyFont="1" applyFill="1" applyAlignment="1">
      <alignment horizontal="center"/>
    </xf>
    <xf numFmtId="164" fontId="27" fillId="38" borderId="4" xfId="0" applyNumberFormat="1" applyFont="1" applyFill="1" applyBorder="1" applyAlignment="1">
      <alignment horizontal="center"/>
    </xf>
    <xf numFmtId="164" fontId="28" fillId="39" borderId="4" xfId="0" applyNumberFormat="1" applyFont="1" applyFill="1" applyBorder="1" applyAlignment="1">
      <alignment horizontal="center"/>
    </xf>
    <xf numFmtId="164" fontId="12" fillId="40" borderId="4" xfId="0" applyNumberFormat="1" applyFont="1" applyFill="1" applyBorder="1" applyAlignment="1">
      <alignment horizontal="center"/>
    </xf>
    <xf numFmtId="0" fontId="2" fillId="41" borderId="0" xfId="0" applyFont="1" applyFill="1" applyAlignment="1">
      <alignment horizontal="center"/>
    </xf>
    <xf numFmtId="0" fontId="2" fillId="4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64" fontId="2" fillId="41" borderId="0" xfId="0" applyNumberFormat="1" applyFont="1" applyFill="1" applyAlignment="1">
      <alignment horizontal="center"/>
    </xf>
    <xf numFmtId="164" fontId="2" fillId="42" borderId="0" xfId="0" applyNumberFormat="1" applyFont="1" applyFill="1" applyAlignment="1">
      <alignment horizontal="center"/>
    </xf>
    <xf numFmtId="165" fontId="2" fillId="42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164" fontId="2" fillId="4" borderId="0" xfId="0" applyNumberFormat="1" applyFont="1" applyFill="1" applyAlignment="1">
      <alignment horizontal="center"/>
    </xf>
    <xf numFmtId="164" fontId="2" fillId="5" borderId="0" xfId="0" applyNumberFormat="1" applyFont="1" applyFill="1" applyAlignment="1">
      <alignment horizontal="center"/>
    </xf>
    <xf numFmtId="0" fontId="1" fillId="17" borderId="0" xfId="0" applyFont="1" applyFill="1"/>
    <xf numFmtId="9" fontId="0" fillId="33" borderId="0" xfId="0" applyNumberFormat="1" applyFill="1"/>
    <xf numFmtId="164" fontId="1" fillId="17" borderId="0" xfId="0" applyNumberFormat="1" applyFont="1" applyFill="1" applyAlignment="1">
      <alignment horizontal="center"/>
    </xf>
    <xf numFmtId="164" fontId="0" fillId="17" borderId="0" xfId="0" applyNumberFormat="1" applyFill="1" applyAlignment="1">
      <alignment horizontal="center"/>
    </xf>
    <xf numFmtId="0" fontId="0" fillId="17" borderId="0" xfId="0" applyFill="1" applyAlignment="1">
      <alignment horizontal="left"/>
    </xf>
    <xf numFmtId="164" fontId="11" fillId="17" borderId="0" xfId="0" applyNumberFormat="1" applyFont="1" applyFill="1" applyAlignment="1">
      <alignment horizontal="center"/>
    </xf>
    <xf numFmtId="0" fontId="11" fillId="17" borderId="0" xfId="0" applyFont="1" applyFill="1"/>
    <xf numFmtId="0" fontId="0" fillId="17" borderId="4" xfId="0" applyFill="1" applyBorder="1"/>
    <xf numFmtId="0" fontId="23" fillId="17" borderId="0" xfId="0" applyFont="1" applyFill="1"/>
    <xf numFmtId="170" fontId="21" fillId="26" borderId="0" xfId="2" applyNumberFormat="1" applyFont="1" applyFill="1" applyAlignment="1">
      <alignment horizontal="center"/>
    </xf>
    <xf numFmtId="170" fontId="15" fillId="17" borderId="0" xfId="2" applyNumberFormat="1" applyFont="1" applyFill="1"/>
    <xf numFmtId="170" fontId="16" fillId="24" borderId="0" xfId="2" applyNumberFormat="1" applyFont="1" applyFill="1"/>
    <xf numFmtId="170" fontId="16" fillId="17" borderId="0" xfId="2" applyNumberFormat="1" applyFont="1" applyFill="1"/>
    <xf numFmtId="170" fontId="16" fillId="29" borderId="0" xfId="2" applyNumberFormat="1" applyFont="1" applyFill="1" applyAlignment="1">
      <alignment horizontal="center"/>
    </xf>
    <xf numFmtId="170" fontId="16" fillId="32" borderId="0" xfId="2" applyNumberFormat="1" applyFont="1" applyFill="1" applyAlignment="1">
      <alignment horizontal="center"/>
    </xf>
    <xf numFmtId="170" fontId="16" fillId="28" borderId="0" xfId="2" applyNumberFormat="1" applyFont="1" applyFill="1" applyAlignment="1">
      <alignment horizontal="center"/>
    </xf>
    <xf numFmtId="170" fontId="17" fillId="32" borderId="0" xfId="2" applyNumberFormat="1" applyFont="1" applyFill="1" applyAlignment="1">
      <alignment horizontal="center"/>
    </xf>
    <xf numFmtId="170" fontId="16" fillId="31" borderId="0" xfId="2" applyNumberFormat="1" applyFont="1" applyFill="1" applyAlignment="1">
      <alignment horizontal="center"/>
    </xf>
    <xf numFmtId="170" fontId="16" fillId="27" borderId="0" xfId="2" applyNumberFormat="1" applyFont="1" applyFill="1"/>
    <xf numFmtId="170" fontId="16" fillId="27" borderId="0" xfId="2" applyNumberFormat="1" applyFont="1" applyFill="1" applyAlignment="1">
      <alignment horizontal="right"/>
    </xf>
    <xf numFmtId="170" fontId="16" fillId="25" borderId="0" xfId="2" applyNumberFormat="1" applyFont="1" applyFill="1"/>
    <xf numFmtId="170" fontId="16" fillId="25" borderId="0" xfId="2" applyNumberFormat="1" applyFont="1" applyFill="1" applyAlignment="1">
      <alignment horizontal="right"/>
    </xf>
    <xf numFmtId="170" fontId="16" fillId="17" borderId="0" xfId="2" applyNumberFormat="1" applyFont="1" applyFill="1" applyAlignment="1">
      <alignment horizontal="right"/>
    </xf>
    <xf numFmtId="170" fontId="19" fillId="17" borderId="0" xfId="2" applyNumberFormat="1" applyFont="1" applyFill="1" applyAlignment="1">
      <alignment horizontal="center" vertical="center"/>
    </xf>
    <xf numFmtId="170" fontId="20" fillId="17" borderId="0" xfId="2" applyNumberFormat="1" applyFont="1" applyFill="1" applyAlignment="1">
      <alignment horizontal="center" vertical="center"/>
    </xf>
    <xf numFmtId="170" fontId="22" fillId="26" borderId="0" xfId="2" applyNumberFormat="1" applyFont="1" applyFill="1" applyAlignment="1">
      <alignment horizontal="center"/>
    </xf>
    <xf numFmtId="9" fontId="16" fillId="30" borderId="0" xfId="1" applyFont="1" applyFill="1" applyAlignment="1">
      <alignment horizontal="center"/>
    </xf>
    <xf numFmtId="0" fontId="0" fillId="17" borderId="0" xfId="0" applyFill="1" applyAlignment="1">
      <alignment horizontal="center"/>
    </xf>
    <xf numFmtId="171" fontId="0" fillId="0" borderId="0" xfId="0" applyNumberFormat="1"/>
    <xf numFmtId="0" fontId="23" fillId="33" borderId="0" xfId="0" applyFont="1" applyFill="1"/>
    <xf numFmtId="0" fontId="13" fillId="16" borderId="0" xfId="3" applyFont="1" applyFill="1" applyAlignment="1">
      <alignment horizontal="center"/>
    </xf>
    <xf numFmtId="0" fontId="13" fillId="7" borderId="0" xfId="3" applyFont="1" applyFill="1" applyAlignment="1">
      <alignment horizontal="center"/>
    </xf>
    <xf numFmtId="0" fontId="13" fillId="23" borderId="0" xfId="3" applyFont="1" applyFill="1" applyAlignment="1">
      <alignment horizontal="center"/>
    </xf>
    <xf numFmtId="0" fontId="13" fillId="17" borderId="0" xfId="3" applyFont="1" applyFill="1" applyAlignment="1">
      <alignment horizontal="center"/>
    </xf>
    <xf numFmtId="0" fontId="13" fillId="18" borderId="0" xfId="3" applyFont="1" applyFill="1" applyAlignment="1">
      <alignment horizontal="center"/>
    </xf>
    <xf numFmtId="0" fontId="13" fillId="19" borderId="0" xfId="3" applyFont="1" applyFill="1" applyAlignment="1">
      <alignment horizontal="center"/>
    </xf>
    <xf numFmtId="0" fontId="13" fillId="20" borderId="0" xfId="3" applyFont="1" applyFill="1" applyAlignment="1">
      <alignment horizontal="center"/>
    </xf>
    <xf numFmtId="0" fontId="13" fillId="8" borderId="0" xfId="3" applyFont="1" applyFill="1" applyAlignment="1">
      <alignment horizontal="center"/>
    </xf>
    <xf numFmtId="0" fontId="13" fillId="22" borderId="0" xfId="3" applyFont="1" applyFill="1" applyAlignment="1">
      <alignment horizontal="center"/>
    </xf>
    <xf numFmtId="0" fontId="14" fillId="17" borderId="0" xfId="3" applyFont="1" applyFill="1" applyAlignment="1">
      <alignment horizontal="center"/>
    </xf>
    <xf numFmtId="0" fontId="1" fillId="17" borderId="0" xfId="3" applyFont="1" applyFill="1" applyAlignment="1">
      <alignment horizontal="center"/>
    </xf>
    <xf numFmtId="0" fontId="30" fillId="43" borderId="0" xfId="3" applyFont="1" applyFill="1" applyAlignment="1">
      <alignment horizontal="center"/>
    </xf>
    <xf numFmtId="0" fontId="30" fillId="44" borderId="0" xfId="3" applyFont="1" applyFill="1" applyAlignment="1">
      <alignment horizontal="center"/>
    </xf>
    <xf numFmtId="4" fontId="13" fillId="44" borderId="0" xfId="3" applyNumberFormat="1" applyFont="1" applyFill="1" applyAlignment="1">
      <alignment horizontal="center"/>
    </xf>
    <xf numFmtId="0" fontId="13" fillId="37" borderId="0" xfId="3" applyFont="1" applyFill="1" applyAlignment="1">
      <alignment horizontal="center"/>
    </xf>
    <xf numFmtId="0" fontId="2" fillId="16" borderId="0" xfId="3" applyFont="1" applyFill="1" applyAlignment="1">
      <alignment horizontal="center"/>
    </xf>
    <xf numFmtId="0" fontId="1" fillId="7" borderId="0" xfId="3" applyFont="1" applyFill="1" applyAlignment="1">
      <alignment horizontal="center"/>
    </xf>
    <xf numFmtId="0" fontId="1" fillId="23" borderId="0" xfId="3" applyFont="1" applyFill="1" applyAlignment="1">
      <alignment horizontal="center"/>
    </xf>
    <xf numFmtId="4" fontId="1" fillId="17" borderId="0" xfId="3" applyNumberFormat="1" applyFont="1" applyFill="1" applyAlignment="1">
      <alignment horizontal="center"/>
    </xf>
    <xf numFmtId="0" fontId="1" fillId="18" borderId="0" xfId="3" applyFont="1" applyFill="1" applyAlignment="1">
      <alignment horizontal="center"/>
    </xf>
    <xf numFmtId="0" fontId="1" fillId="19" borderId="0" xfId="3" applyFont="1" applyFill="1" applyAlignment="1">
      <alignment horizontal="center"/>
    </xf>
    <xf numFmtId="0" fontId="1" fillId="20" borderId="0" xfId="3" applyFont="1" applyFill="1" applyAlignment="1">
      <alignment horizontal="center"/>
    </xf>
    <xf numFmtId="165" fontId="1" fillId="8" borderId="0" xfId="3" applyNumberFormat="1" applyFont="1" applyFill="1" applyAlignment="1">
      <alignment horizontal="center"/>
    </xf>
    <xf numFmtId="165" fontId="1" fillId="22" borderId="0" xfId="3" applyNumberFormat="1" applyFont="1" applyFill="1" applyAlignment="1">
      <alignment horizontal="center"/>
    </xf>
    <xf numFmtId="165" fontId="1" fillId="17" borderId="0" xfId="3" applyNumberFormat="1" applyFont="1" applyFill="1" applyAlignment="1">
      <alignment horizontal="center"/>
    </xf>
    <xf numFmtId="0" fontId="12" fillId="21" borderId="0" xfId="3" applyFont="1" applyFill="1"/>
    <xf numFmtId="165" fontId="2" fillId="21" borderId="0" xfId="3" applyNumberFormat="1" applyFont="1" applyFill="1" applyAlignment="1">
      <alignment horizontal="center"/>
    </xf>
    <xf numFmtId="0" fontId="1" fillId="43" borderId="0" xfId="3" applyFont="1" applyFill="1" applyAlignment="1">
      <alignment horizontal="center"/>
    </xf>
    <xf numFmtId="0" fontId="1" fillId="44" borderId="0" xfId="3" applyFont="1" applyFill="1" applyAlignment="1">
      <alignment horizontal="center"/>
    </xf>
    <xf numFmtId="0" fontId="1" fillId="37" borderId="0" xfId="3" applyFont="1" applyFill="1" applyAlignment="1">
      <alignment horizontal="center"/>
    </xf>
    <xf numFmtId="0" fontId="23" fillId="17" borderId="0" xfId="3" applyFill="1" applyAlignment="1">
      <alignment horizontal="center"/>
    </xf>
    <xf numFmtId="0" fontId="1" fillId="5" borderId="0" xfId="3" applyFont="1" applyFill="1" applyAlignment="1">
      <alignment horizontal="center"/>
    </xf>
    <xf numFmtId="0" fontId="23" fillId="17" borderId="0" xfId="3" applyFill="1"/>
    <xf numFmtId="0" fontId="1" fillId="17" borderId="0" xfId="3" applyFont="1" applyFill="1"/>
    <xf numFmtId="0" fontId="1" fillId="9" borderId="0" xfId="3" applyFont="1" applyFill="1"/>
    <xf numFmtId="10" fontId="1" fillId="9" borderId="0" xfId="3" applyNumberFormat="1" applyFont="1" applyFill="1"/>
    <xf numFmtId="0" fontId="23" fillId="37" borderId="0" xfId="3" applyFill="1" applyAlignment="1">
      <alignment horizontal="center"/>
    </xf>
    <xf numFmtId="0" fontId="23" fillId="37" borderId="0" xfId="3" applyFill="1"/>
    <xf numFmtId="0" fontId="23" fillId="0" borderId="0" xfId="3"/>
    <xf numFmtId="0" fontId="12" fillId="17" borderId="0" xfId="3" applyFont="1" applyFill="1"/>
    <xf numFmtId="0" fontId="23" fillId="21" borderId="0" xfId="0" quotePrefix="1" applyFont="1" applyFill="1"/>
    <xf numFmtId="0" fontId="23" fillId="36" borderId="0" xfId="1" quotePrefix="1" applyNumberFormat="1" applyFont="1" applyFill="1"/>
    <xf numFmtId="0" fontId="0" fillId="36" borderId="0" xfId="1" applyNumberFormat="1" applyFont="1" applyFill="1"/>
    <xf numFmtId="0" fontId="23" fillId="36" borderId="0" xfId="1" applyNumberFormat="1" applyFont="1" applyFill="1"/>
    <xf numFmtId="0" fontId="0" fillId="36" borderId="0" xfId="0" applyFill="1"/>
    <xf numFmtId="9" fontId="0" fillId="0" borderId="0" xfId="1" applyFont="1"/>
    <xf numFmtId="0" fontId="23" fillId="34" borderId="0" xfId="0" applyFont="1" applyFill="1"/>
    <xf numFmtId="0" fontId="23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170" fontId="18" fillId="24" borderId="0" xfId="2" applyNumberFormat="1" applyFont="1" applyFill="1" applyAlignment="1">
      <alignment horizontal="center"/>
    </xf>
    <xf numFmtId="170" fontId="19" fillId="17" borderId="0" xfId="2" applyNumberFormat="1" applyFont="1" applyFill="1" applyAlignment="1">
      <alignment horizontal="center"/>
    </xf>
    <xf numFmtId="170" fontId="19" fillId="24" borderId="0" xfId="2" applyNumberFormat="1" applyFont="1" applyFill="1" applyAlignment="1">
      <alignment horizontal="center"/>
    </xf>
  </cellXfs>
  <cellStyles count="4">
    <cellStyle name="Dziesiętny" xfId="2" builtinId="3"/>
    <cellStyle name="Normalny" xfId="0" builtinId="0"/>
    <cellStyle name="Normalny 2" xfId="3" xr:uid="{C27D0E7B-5856-49D0-A08E-AD70DC02CF17}"/>
    <cellStyle name="Procentowy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Wykres Tornado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Minimum</c:v>
          </c:tx>
          <c:invertIfNegative val="0"/>
          <c:cat>
            <c:strRef>
              <c:f>Tornado!$N$4:$N$7</c:f>
              <c:strCache>
                <c:ptCount val="4"/>
                <c:pt idx="0">
                  <c:v>Awaryjność</c:v>
                </c:pt>
                <c:pt idx="1">
                  <c:v>Cena Paliwa</c:v>
                </c:pt>
                <c:pt idx="2">
                  <c:v>Wynagrodzenia pracowników</c:v>
                </c:pt>
                <c:pt idx="3">
                  <c:v>Ceny biletów</c:v>
                </c:pt>
              </c:strCache>
            </c:strRef>
          </c:cat>
          <c:val>
            <c:numRef>
              <c:f>Tornado!$O$4:$O$7</c:f>
              <c:numCache>
                <c:formatCode>General</c:formatCode>
                <c:ptCount val="4"/>
                <c:pt idx="0">
                  <c:v>-7470993.2159618419</c:v>
                </c:pt>
                <c:pt idx="1">
                  <c:v>-7916245.8614270259</c:v>
                </c:pt>
                <c:pt idx="2">
                  <c:v>-7620126.174327991</c:v>
                </c:pt>
                <c:pt idx="3">
                  <c:v>-19102458.301866494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4C-49E7-84A5-C0100FAF2794}"/>
            </c:ext>
          </c:extLst>
        </c:ser>
        <c:ser>
          <c:idx val="1"/>
          <c:order val="1"/>
          <c:tx>
            <c:v>Maksimum</c:v>
          </c:tx>
          <c:invertIfNegative val="0"/>
          <c:cat>
            <c:strRef>
              <c:f>Tornado!$N$4:$N$7</c:f>
              <c:strCache>
                <c:ptCount val="4"/>
                <c:pt idx="0">
                  <c:v>Awaryjność</c:v>
                </c:pt>
                <c:pt idx="1">
                  <c:v>Cena Paliwa</c:v>
                </c:pt>
                <c:pt idx="2">
                  <c:v>Wynagrodzenia pracowników</c:v>
                </c:pt>
                <c:pt idx="3">
                  <c:v>Ceny biletów</c:v>
                </c:pt>
              </c:strCache>
            </c:strRef>
          </c:cat>
          <c:val>
            <c:numRef>
              <c:f>Tornado!$P$4:$P$7</c:f>
              <c:numCache>
                <c:formatCode>General</c:formatCode>
                <c:ptCount val="4"/>
                <c:pt idx="0">
                  <c:v>8971904.9914156459</c:v>
                </c:pt>
                <c:pt idx="1">
                  <c:v>11287609.895356894</c:v>
                </c:pt>
                <c:pt idx="2">
                  <c:v>17699567.128306016</c:v>
                </c:pt>
                <c:pt idx="3">
                  <c:v>-16354811.64000495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4C-49E7-84A5-C0100FAF2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319241791"/>
        <c:axId val="1319242271"/>
      </c:barChart>
      <c:catAx>
        <c:axId val="13192417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crossAx val="1319242271"/>
        <c:crosses val="autoZero"/>
        <c:auto val="1"/>
        <c:lblAlgn val="ctr"/>
        <c:lblOffset val="100"/>
        <c:noMultiLvlLbl val="0"/>
      </c:catAx>
      <c:valAx>
        <c:axId val="1319242271"/>
        <c:scaling>
          <c:orientation val="minMax"/>
        </c:scaling>
        <c:delete val="0"/>
        <c:axPos val="b"/>
        <c:majorGridlines/>
        <c:numFmt formatCode="#\ ##0;\ #\ ##0" sourceLinked="0"/>
        <c:majorTickMark val="out"/>
        <c:minorTickMark val="none"/>
        <c:tickLblPos val="nextTo"/>
        <c:crossAx val="1319241791"/>
        <c:crosses val="autoZero"/>
        <c:crossBetween val="between"/>
        <c:dispUnits>
          <c:builtInUnit val="millions"/>
          <c:dispUnitsLbl>
            <c:tx>
              <c:rich>
                <a:bodyPr/>
                <a:lstStyle/>
                <a:p>
                  <a:pPr>
                    <a:defRPr/>
                  </a:pPr>
                  <a:r>
                    <a:rPr lang="pl-PL"/>
                    <a:t>Miliony zł.</a:t>
                  </a:r>
                </a:p>
              </c:rich>
            </c:tx>
          </c:dispUnitsLbl>
        </c:dispUnits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 Spider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Awaryjność</c:v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pPr>
              <a:solidFill>
                <a:schemeClr val="accent2"/>
              </a:solidFill>
              <a:ln w="6350" cap="flat" cmpd="sng" algn="ctr">
                <a:solidFill>
                  <a:schemeClr val="accent2"/>
                </a:solidFill>
                <a:prstDash val="solid"/>
                <a:round/>
              </a:ln>
              <a:effectLst/>
            </c:spPr>
          </c:marker>
          <c:xVal>
            <c:numRef>
              <c:f>Tornado!$P$2:$X$2</c:f>
              <c:numCache>
                <c:formatCode>0%</c:formatCode>
                <c:ptCount val="9"/>
                <c:pt idx="0">
                  <c:v>0.7</c:v>
                </c:pt>
                <c:pt idx="1">
                  <c:v>0.8</c:v>
                </c:pt>
                <c:pt idx="2">
                  <c:v>0.9</c:v>
                </c:pt>
                <c:pt idx="3">
                  <c:v>1</c:v>
                </c:pt>
                <c:pt idx="4">
                  <c:v>1.1000000000000001</c:v>
                </c:pt>
                <c:pt idx="5">
                  <c:v>1.2</c:v>
                </c:pt>
                <c:pt idx="6">
                  <c:v>1.3</c:v>
                </c:pt>
                <c:pt idx="7">
                  <c:v>1.4</c:v>
                </c:pt>
                <c:pt idx="8">
                  <c:v>1.5</c:v>
                </c:pt>
              </c:numCache>
            </c:numRef>
          </c:xVal>
          <c:yVal>
            <c:numRef>
              <c:f>Tornado!$P$4:$X$4</c:f>
              <c:numCache>
                <c:formatCode>0%</c:formatCode>
                <c:ptCount val="9"/>
                <c:pt idx="0" formatCode="General">
                  <c:v>8971904.9914156459</c:v>
                </c:pt>
                <c:pt idx="1">
                  <c:v>6015934.4271172369</c:v>
                </c:pt>
                <c:pt idx="2">
                  <c:v>5165374.8506666049</c:v>
                </c:pt>
                <c:pt idx="3">
                  <c:v>2820407.6593312966</c:v>
                </c:pt>
                <c:pt idx="4">
                  <c:v>2408432.2675064621</c:v>
                </c:pt>
                <c:pt idx="5">
                  <c:v>1369677.1786709202</c:v>
                </c:pt>
                <c:pt idx="6">
                  <c:v>1362551.5468427972</c:v>
                </c:pt>
                <c:pt idx="7">
                  <c:v>50868.330234498681</c:v>
                </c:pt>
                <c:pt idx="8">
                  <c:v>-1278421.6367820725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6B-46BA-BF3B-37B089DC35DF}"/>
            </c:ext>
          </c:extLst>
        </c:ser>
        <c:ser>
          <c:idx val="1"/>
          <c:order val="1"/>
          <c:tx>
            <c:v>Cena Paliwa</c:v>
          </c:tx>
          <c:spPr>
            <a:ln w="19050" cap="rnd" cmpd="sng" algn="ctr">
              <a:solidFill>
                <a:schemeClr val="accent4"/>
              </a:solidFill>
              <a:prstDash val="solid"/>
              <a:round/>
            </a:ln>
            <a:effectLst/>
          </c:spPr>
          <c:marker>
            <c:spPr>
              <a:solidFill>
                <a:schemeClr val="accent4"/>
              </a:solidFill>
              <a:ln w="6350" cap="flat" cmpd="sng" algn="ctr">
                <a:solidFill>
                  <a:schemeClr val="accent4"/>
                </a:solidFill>
                <a:prstDash val="solid"/>
                <a:round/>
              </a:ln>
              <a:effectLst/>
            </c:spPr>
          </c:marker>
          <c:xVal>
            <c:numRef>
              <c:f>Tornado!$P$2:$X$2</c:f>
              <c:numCache>
                <c:formatCode>0%</c:formatCode>
                <c:ptCount val="9"/>
                <c:pt idx="0">
                  <c:v>0.7</c:v>
                </c:pt>
                <c:pt idx="1">
                  <c:v>0.8</c:v>
                </c:pt>
                <c:pt idx="2">
                  <c:v>0.9</c:v>
                </c:pt>
                <c:pt idx="3">
                  <c:v>1</c:v>
                </c:pt>
                <c:pt idx="4">
                  <c:v>1.1000000000000001</c:v>
                </c:pt>
                <c:pt idx="5">
                  <c:v>1.2</c:v>
                </c:pt>
                <c:pt idx="6">
                  <c:v>1.3</c:v>
                </c:pt>
                <c:pt idx="7">
                  <c:v>1.4</c:v>
                </c:pt>
                <c:pt idx="8">
                  <c:v>1.5</c:v>
                </c:pt>
              </c:numCache>
            </c:numRef>
          </c:xVal>
          <c:yVal>
            <c:numRef>
              <c:f>Tornado!$P$5:$X$5</c:f>
              <c:numCache>
                <c:formatCode>General</c:formatCode>
                <c:ptCount val="9"/>
                <c:pt idx="0">
                  <c:v>11287609.895356894</c:v>
                </c:pt>
                <c:pt idx="1">
                  <c:v>8972606.9519092683</c:v>
                </c:pt>
                <c:pt idx="2">
                  <c:v>4867520.6169800349</c:v>
                </c:pt>
                <c:pt idx="3">
                  <c:v>2820407.6593312966</c:v>
                </c:pt>
                <c:pt idx="4">
                  <c:v>884128.06527943641</c:v>
                </c:pt>
                <c:pt idx="5">
                  <c:v>-1144834.6676276021</c:v>
                </c:pt>
                <c:pt idx="6">
                  <c:v>-2248017.412679011</c:v>
                </c:pt>
                <c:pt idx="7">
                  <c:v>-4601465.602729396</c:v>
                </c:pt>
                <c:pt idx="8">
                  <c:v>-6554217.9524352923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6B-46BA-BF3B-37B089DC35DF}"/>
            </c:ext>
          </c:extLst>
        </c:ser>
        <c:ser>
          <c:idx val="2"/>
          <c:order val="2"/>
          <c:tx>
            <c:v>Wynagrodzenia pracowników</c:v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pPr>
              <a:solidFill>
                <a:schemeClr val="accent6"/>
              </a:solidFill>
              <a:ln w="6350" cap="flat" cmpd="sng" algn="ctr">
                <a:solidFill>
                  <a:schemeClr val="accent6"/>
                </a:solidFill>
                <a:prstDash val="solid"/>
                <a:round/>
              </a:ln>
              <a:effectLst/>
            </c:spPr>
          </c:marker>
          <c:xVal>
            <c:numRef>
              <c:f>Tornado!$P$2:$X$2</c:f>
              <c:numCache>
                <c:formatCode>0%</c:formatCode>
                <c:ptCount val="9"/>
                <c:pt idx="0">
                  <c:v>0.7</c:v>
                </c:pt>
                <c:pt idx="1">
                  <c:v>0.8</c:v>
                </c:pt>
                <c:pt idx="2">
                  <c:v>0.9</c:v>
                </c:pt>
                <c:pt idx="3">
                  <c:v>1</c:v>
                </c:pt>
                <c:pt idx="4">
                  <c:v>1.1000000000000001</c:v>
                </c:pt>
                <c:pt idx="5">
                  <c:v>1.2</c:v>
                </c:pt>
                <c:pt idx="6">
                  <c:v>1.3</c:v>
                </c:pt>
                <c:pt idx="7">
                  <c:v>1.4</c:v>
                </c:pt>
                <c:pt idx="8">
                  <c:v>1.5</c:v>
                </c:pt>
              </c:numCache>
            </c:numRef>
          </c:xVal>
          <c:yVal>
            <c:numRef>
              <c:f>Tornado!$P$6:$X$6</c:f>
              <c:numCache>
                <c:formatCode>General</c:formatCode>
                <c:ptCount val="9"/>
                <c:pt idx="0">
                  <c:v>17699567.128306016</c:v>
                </c:pt>
                <c:pt idx="1">
                  <c:v>12795084.388491249</c:v>
                </c:pt>
                <c:pt idx="2">
                  <c:v>9001079.0557379015</c:v>
                </c:pt>
                <c:pt idx="3">
                  <c:v>2820407.6593312966</c:v>
                </c:pt>
                <c:pt idx="4">
                  <c:v>-879687.25078328734</c:v>
                </c:pt>
                <c:pt idx="5">
                  <c:v>-5500156.6528720167</c:v>
                </c:pt>
                <c:pt idx="6">
                  <c:v>-7914002.5861424254</c:v>
                </c:pt>
                <c:pt idx="7">
                  <c:v>-12565968.328099245</c:v>
                </c:pt>
                <c:pt idx="8">
                  <c:v>-16886155.105379093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6B-46BA-BF3B-37B089DC35DF}"/>
            </c:ext>
          </c:extLst>
        </c:ser>
        <c:ser>
          <c:idx val="3"/>
          <c:order val="3"/>
          <c:tx>
            <c:v>Ceny biletów</c:v>
          </c:tx>
          <c:spPr>
            <a:ln w="19050" cap="rnd" cmpd="sng" algn="ctr">
              <a:solidFill>
                <a:schemeClr val="accent2">
                  <a:lumMod val="60000"/>
                </a:schemeClr>
              </a:solidFill>
              <a:prstDash val="solid"/>
              <a:round/>
            </a:ln>
            <a:effectLst/>
          </c:spPr>
          <c:marker>
            <c:spPr>
              <a:noFill/>
              <a:ln w="6350" cap="flat" cmpd="sng" algn="ctr">
                <a:solidFill>
                  <a:schemeClr val="accent2">
                    <a:lumMod val="60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Tornado!$P$2:$X$2</c:f>
              <c:numCache>
                <c:formatCode>0%</c:formatCode>
                <c:ptCount val="9"/>
                <c:pt idx="0">
                  <c:v>0.7</c:v>
                </c:pt>
                <c:pt idx="1">
                  <c:v>0.8</c:v>
                </c:pt>
                <c:pt idx="2">
                  <c:v>0.9</c:v>
                </c:pt>
                <c:pt idx="3">
                  <c:v>1</c:v>
                </c:pt>
                <c:pt idx="4">
                  <c:v>1.1000000000000001</c:v>
                </c:pt>
                <c:pt idx="5">
                  <c:v>1.2</c:v>
                </c:pt>
                <c:pt idx="6">
                  <c:v>1.3</c:v>
                </c:pt>
                <c:pt idx="7">
                  <c:v>1.4</c:v>
                </c:pt>
                <c:pt idx="8">
                  <c:v>1.5</c:v>
                </c:pt>
              </c:numCache>
            </c:numRef>
          </c:xVal>
          <c:yVal>
            <c:numRef>
              <c:f>Tornado!$P$7:$X$7</c:f>
              <c:numCache>
                <c:formatCode>General</c:formatCode>
                <c:ptCount val="9"/>
                <c:pt idx="0">
                  <c:v>-16354811.64000495</c:v>
                </c:pt>
                <c:pt idx="1">
                  <c:v>-7875554.0515289996</c:v>
                </c:pt>
                <c:pt idx="2">
                  <c:v>-2555205.430686777</c:v>
                </c:pt>
                <c:pt idx="3">
                  <c:v>2820407.6593312966</c:v>
                </c:pt>
                <c:pt idx="4">
                  <c:v>7240307.5732160518</c:v>
                </c:pt>
                <c:pt idx="5">
                  <c:v>10581643.56606002</c:v>
                </c:pt>
                <c:pt idx="6">
                  <c:v>10488974.247434724</c:v>
                </c:pt>
                <c:pt idx="7">
                  <c:v>11858553.174788665</c:v>
                </c:pt>
                <c:pt idx="8">
                  <c:v>9130815.6176998615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6B-46BA-BF3B-37B089DC3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51055"/>
        <c:axId val="482553935"/>
      </c:scatterChart>
      <c:valAx>
        <c:axId val="482551055"/>
        <c:scaling>
          <c:orientation val="minMax"/>
          <c:min val="0.6500000000000001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Zmiana parametru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82553935"/>
        <c:crossesAt val="1"/>
        <c:crossBetween val="midCat"/>
      </c:valAx>
      <c:valAx>
        <c:axId val="482553935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#\ ##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82551055"/>
        <c:crosses val="autoZero"/>
        <c:crossBetween val="midCat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pl-PL"/>
                    <a:t>Miliony zł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</c:dispUnitsLbl>
        </c:dispUnits>
      </c:valAx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b="0">
                <a:solidFill>
                  <a:srgbClr val="757575"/>
                </a:solidFill>
                <a:latin typeface="+mn-lt"/>
              </a:rPr>
              <a:t>ilość poszczególnych szkód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'Koszty napraw'!$AM$1</c:f>
              <c:strCache>
                <c:ptCount val="1"/>
                <c:pt idx="0">
                  <c:v>liczba poszczególnych szkód</c:v>
                </c:pt>
              </c:strCache>
            </c:strRef>
          </c:tx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'Koszty napraw'!$AM$2:$AM$12</c:f>
              <c:numCache>
                <c:formatCode>General</c:formatCode>
                <c:ptCount val="11"/>
                <c:pt idx="0">
                  <c:v>7</c:v>
                </c:pt>
                <c:pt idx="1">
                  <c:v>17</c:v>
                </c:pt>
                <c:pt idx="2">
                  <c:v>12</c:v>
                </c:pt>
                <c:pt idx="3">
                  <c:v>15</c:v>
                </c:pt>
                <c:pt idx="4">
                  <c:v>22</c:v>
                </c:pt>
                <c:pt idx="5">
                  <c:v>20</c:v>
                </c:pt>
                <c:pt idx="6">
                  <c:v>19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4CC-4F5A-A43D-7AD080A1C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4468255"/>
        <c:axId val="593685476"/>
      </c:barChart>
      <c:catAx>
        <c:axId val="19644682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93685476"/>
        <c:crosses val="autoZero"/>
        <c:auto val="1"/>
        <c:lblAlgn val="ctr"/>
        <c:lblOffset val="100"/>
        <c:noMultiLvlLbl val="1"/>
      </c:catAx>
      <c:valAx>
        <c:axId val="59368547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ilość poszczególnych szkód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64468255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 rt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Wykres dystrybuanty</a:t>
            </a:r>
            <a:r>
              <a:rPr lang="en-US" baseline="0"/>
              <a:t> szkód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'Koszty napraw'!$AL$1</c:f>
              <c:strCache>
                <c:ptCount val="1"/>
                <c:pt idx="0">
                  <c:v>Szkody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'Koszty napraw'!$AK$2:$AK$13</c:f>
              <c:numCache>
                <c:formatCode>General</c:formatCode>
                <c:ptCount val="12"/>
                <c:pt idx="0">
                  <c:v>7.0000000000000007E-2</c:v>
                </c:pt>
                <c:pt idx="1">
                  <c:v>0.09</c:v>
                </c:pt>
                <c:pt idx="2">
                  <c:v>0.11</c:v>
                </c:pt>
                <c:pt idx="3">
                  <c:v>0.13</c:v>
                </c:pt>
                <c:pt idx="4">
                  <c:v>0.15</c:v>
                </c:pt>
                <c:pt idx="5">
                  <c:v>0.13</c:v>
                </c:pt>
                <c:pt idx="6">
                  <c:v>0.11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0.05</c:v>
                </c:pt>
                <c:pt idx="10">
                  <c:v>0.03</c:v>
                </c:pt>
                <c:pt idx="11">
                  <c:v>1.0000000000000002</c:v>
                </c:pt>
              </c:numCache>
            </c:numRef>
          </c:cat>
          <c:val>
            <c:numRef>
              <c:f>'Koszty napraw'!$AL$2:$AL$13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37-4E39-9B9E-4F95C974F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47395999"/>
        <c:axId val="637188160"/>
      </c:barChart>
      <c:catAx>
        <c:axId val="21473959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188160"/>
        <c:crosses val="autoZero"/>
        <c:auto val="1"/>
        <c:lblAlgn val="ctr"/>
        <c:lblOffset val="100"/>
        <c:noMultiLvlLbl val="0"/>
      </c:catAx>
      <c:valAx>
        <c:axId val="63718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395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449036</xdr:colOff>
      <xdr:row>18</xdr:row>
      <xdr:rowOff>12246</xdr:rowOff>
    </xdr:from>
    <xdr:to>
      <xdr:col>16</xdr:col>
      <xdr:colOff>360681</xdr:colOff>
      <xdr:row>40</xdr:row>
      <xdr:rowOff>50347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79B0610A-CFBB-488D-0908-3B84D98B61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471352</xdr:colOff>
      <xdr:row>24</xdr:row>
      <xdr:rowOff>52795</xdr:rowOff>
    </xdr:from>
    <xdr:to>
      <xdr:col>25</xdr:col>
      <xdr:colOff>423454</xdr:colOff>
      <xdr:row>53</xdr:row>
      <xdr:rowOff>162378</xdr:rowOff>
    </xdr:to>
    <xdr:graphicFrame macro="">
      <xdr:nvGraphicFramePr>
        <xdr:cNvPr id="4" name="WykresSpider">
          <a:extLst>
            <a:ext uri="{FF2B5EF4-FFF2-40B4-BE49-F238E27FC236}">
              <a16:creationId xmlns:a16="http://schemas.microsoft.com/office/drawing/2014/main" id="{E48019AD-BAC8-39F2-8672-BA53C67BD0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177165</xdr:colOff>
      <xdr:row>23</xdr:row>
      <xdr:rowOff>125730</xdr:rowOff>
    </xdr:from>
    <xdr:ext cx="6048375" cy="2895600"/>
    <xdr:pic>
      <xdr:nvPicPr>
        <xdr:cNvPr id="2" name="image1.png" title="Obraz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01890" y="4726305"/>
          <a:ext cx="6048375" cy="2895600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38</xdr:col>
      <xdr:colOff>1565506</xdr:colOff>
      <xdr:row>15</xdr:row>
      <xdr:rowOff>173291</xdr:rowOff>
    </xdr:from>
    <xdr:ext cx="5715000" cy="35337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EA959C00-FC1C-4160-8FC5-672EBEE882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twoCellAnchor>
    <xdr:from>
      <xdr:col>38</xdr:col>
      <xdr:colOff>162854</xdr:colOff>
      <xdr:row>37</xdr:row>
      <xdr:rowOff>143712</xdr:rowOff>
    </xdr:from>
    <xdr:to>
      <xdr:col>41</xdr:col>
      <xdr:colOff>591930</xdr:colOff>
      <xdr:row>57</xdr:row>
      <xdr:rowOff>146657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732B0396-748A-43B8-A1DD-37CFA15D25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outlinePr summaryBelow="0" summaryRight="0"/>
  </sheetPr>
  <dimension ref="A1:R509"/>
  <sheetViews>
    <sheetView topLeftCell="B1" zoomScale="74" workbookViewId="0">
      <selection activeCell="J2" sqref="J2"/>
    </sheetView>
  </sheetViews>
  <sheetFormatPr defaultColWidth="12.6640625" defaultRowHeight="15.75" customHeight="1"/>
  <cols>
    <col min="2" max="2" width="18.6640625" style="46" bestFit="1" customWidth="1"/>
    <col min="3" max="3" width="19.44140625" style="46" bestFit="1" customWidth="1"/>
    <col min="4" max="4" width="17" style="46" bestFit="1" customWidth="1"/>
    <col min="5" max="5" width="19.33203125" style="46" bestFit="1" customWidth="1"/>
    <col min="6" max="7" width="17" style="46" bestFit="1" customWidth="1"/>
    <col min="8" max="8" width="21.88671875" style="46" customWidth="1"/>
    <col min="9" max="9" width="19.33203125" style="46" customWidth="1"/>
    <col min="10" max="10" width="17.5546875" style="46" bestFit="1" customWidth="1"/>
    <col min="11" max="13" width="12.6640625" style="46"/>
    <col min="14" max="14" width="35.109375" style="46" bestFit="1" customWidth="1"/>
    <col min="15" max="16" width="18.33203125" style="46" bestFit="1" customWidth="1"/>
    <col min="17" max="17" width="17.109375" style="46" bestFit="1" customWidth="1"/>
    <col min="18" max="16384" width="12.6640625" style="46"/>
  </cols>
  <sheetData>
    <row r="1" spans="1:17" ht="15.75" customHeight="1">
      <c r="A1" s="108"/>
      <c r="B1" s="108"/>
      <c r="C1" s="108"/>
      <c r="D1" s="108"/>
      <c r="E1" s="108"/>
      <c r="F1" s="108"/>
      <c r="G1" s="45" t="s">
        <v>133</v>
      </c>
      <c r="H1" s="108"/>
      <c r="I1" s="108"/>
      <c r="J1" s="108"/>
    </row>
    <row r="2" spans="1:17" ht="15.75" customHeight="1">
      <c r="A2" s="45" t="s">
        <v>132</v>
      </c>
      <c r="B2" s="84">
        <f t="shared" ref="B2:J2" si="0">AVERAGE(B10:B509)</f>
        <v>56618809.523999996</v>
      </c>
      <c r="C2" s="84">
        <f t="shared" si="0"/>
        <v>56618809.523999996</v>
      </c>
      <c r="D2" s="84">
        <f t="shared" si="0"/>
        <v>24320914.256882966</v>
      </c>
      <c r="E2" s="84">
        <f t="shared" si="0"/>
        <v>42798291.527559809</v>
      </c>
      <c r="F2" s="84">
        <f t="shared" si="0"/>
        <v>27285853.933433212</v>
      </c>
      <c r="G2" s="84">
        <f t="shared" si="0"/>
        <v>15000000</v>
      </c>
      <c r="H2" s="84">
        <f t="shared" si="0"/>
        <v>109405059.717876</v>
      </c>
      <c r="I2" s="84">
        <f t="shared" si="0"/>
        <v>113237619.04799999</v>
      </c>
      <c r="J2" s="84">
        <f t="shared" si="0"/>
        <v>3832559.3301239945</v>
      </c>
    </row>
    <row r="3" spans="1:17" ht="15.75" customHeight="1">
      <c r="A3" s="45" t="s">
        <v>34</v>
      </c>
      <c r="B3" s="84">
        <f t="shared" ref="B3:J3" si="1">MAX(B10:B509)</f>
        <v>65130914</v>
      </c>
      <c r="C3" s="84">
        <f t="shared" si="1"/>
        <v>65130914</v>
      </c>
      <c r="D3" s="84">
        <f t="shared" si="1"/>
        <v>26589954.338597979</v>
      </c>
      <c r="E3" s="84">
        <f t="shared" si="1"/>
        <v>44911319.040202871</v>
      </c>
      <c r="F3" s="84">
        <f t="shared" si="1"/>
        <v>32201385.799735498</v>
      </c>
      <c r="G3" s="84">
        <f t="shared" si="1"/>
        <v>15000000</v>
      </c>
      <c r="H3" s="84">
        <f t="shared" si="1"/>
        <v>115992843.33928767</v>
      </c>
      <c r="I3" s="84">
        <f t="shared" si="1"/>
        <v>130261828</v>
      </c>
      <c r="J3" s="84">
        <f t="shared" si="1"/>
        <v>21399310.696426272</v>
      </c>
    </row>
    <row r="4" spans="1:17" ht="15.75" customHeight="1">
      <c r="A4" s="45" t="s">
        <v>33</v>
      </c>
      <c r="B4" s="84">
        <f t="shared" ref="B4:J4" si="2">MIN(B10:B509)</f>
        <v>49572858</v>
      </c>
      <c r="C4" s="84">
        <f t="shared" si="2"/>
        <v>49572858</v>
      </c>
      <c r="D4" s="84">
        <f t="shared" si="2"/>
        <v>22030232.235703215</v>
      </c>
      <c r="E4" s="84">
        <f t="shared" si="2"/>
        <v>39982494.15756014</v>
      </c>
      <c r="F4" s="84">
        <f t="shared" si="2"/>
        <v>23395327.092211977</v>
      </c>
      <c r="G4" s="84">
        <f t="shared" si="2"/>
        <v>15000000</v>
      </c>
      <c r="H4" s="84">
        <f t="shared" si="2"/>
        <v>102992791.74924867</v>
      </c>
      <c r="I4" s="84">
        <f t="shared" si="2"/>
        <v>99145716</v>
      </c>
      <c r="J4" s="84">
        <f t="shared" si="2"/>
        <v>-11268266.762078732</v>
      </c>
    </row>
    <row r="5" spans="1:17" ht="15.75" customHeight="1">
      <c r="A5" s="46"/>
    </row>
    <row r="6" spans="1:17" ht="15.75" customHeight="1">
      <c r="A6" s="46"/>
    </row>
    <row r="7" spans="1:17" ht="15.75" customHeight="1">
      <c r="A7" s="46"/>
    </row>
    <row r="8" spans="1:17" ht="15.75" customHeight="1">
      <c r="A8" s="81" t="s">
        <v>0</v>
      </c>
      <c r="B8" s="70" t="s">
        <v>1</v>
      </c>
      <c r="C8" s="70" t="s">
        <v>2</v>
      </c>
      <c r="D8" s="71" t="s">
        <v>3</v>
      </c>
      <c r="E8" s="71" t="s">
        <v>4</v>
      </c>
      <c r="F8" s="71" t="s">
        <v>5</v>
      </c>
      <c r="G8" s="71" t="s">
        <v>6</v>
      </c>
      <c r="H8" s="72" t="s">
        <v>7</v>
      </c>
      <c r="I8" s="73" t="s">
        <v>8</v>
      </c>
      <c r="J8" s="74" t="s">
        <v>9</v>
      </c>
      <c r="K8" s="46" t="s">
        <v>10</v>
      </c>
      <c r="N8" s="87"/>
      <c r="O8" s="64" t="s">
        <v>126</v>
      </c>
      <c r="P8" s="64" t="s">
        <v>127</v>
      </c>
      <c r="Q8" s="64" t="s">
        <v>9</v>
      </c>
    </row>
    <row r="9" spans="1:17" ht="15.75" customHeight="1">
      <c r="A9" s="81"/>
      <c r="B9" s="75">
        <f ca="1">'Przychody z biletów'!C31</f>
        <v>57874847</v>
      </c>
      <c r="C9" s="75">
        <f ca="1">B9</f>
        <v>57874847</v>
      </c>
      <c r="D9" s="76">
        <f ca="1">'Koszty paliwa'!G26</f>
        <v>23110956.65163175</v>
      </c>
      <c r="E9" s="76">
        <f ca="1">'Koszty pracowników'!T6</f>
        <v>42472448.446070589</v>
      </c>
      <c r="F9" s="77">
        <f ca="1">'Koszty napraw'!AD2</f>
        <v>26086874.411889274</v>
      </c>
      <c r="G9" s="76">
        <v>15000000</v>
      </c>
      <c r="H9" s="78">
        <f ca="1">SUM(D9:G9)</f>
        <v>106670279.50959161</v>
      </c>
      <c r="I9" s="79">
        <f ca="1">SUM(B9:C9)</f>
        <v>115749694</v>
      </c>
      <c r="J9" s="80">
        <f ca="1">I9-H9</f>
        <v>9079414.4904083908</v>
      </c>
      <c r="K9" s="46" t="s">
        <v>10</v>
      </c>
      <c r="N9" s="85" t="s">
        <v>120</v>
      </c>
      <c r="O9" s="62">
        <f>AVERAGE(I10:I509)</f>
        <v>113237619.04799999</v>
      </c>
      <c r="P9" s="63">
        <f>AVERAGE(H10:H509)</f>
        <v>109405059.717876</v>
      </c>
      <c r="Q9" s="65">
        <f>AVERAGE(J10:J509)</f>
        <v>3832559.3301239945</v>
      </c>
    </row>
    <row r="10" spans="1:17" ht="15.75" customHeight="1">
      <c r="A10" s="81">
        <v>1</v>
      </c>
      <c r="B10" s="83">
        <f t="dataTable" ref="B10:J509" dt2D="0" dtr="0" r1="L20" ca="1"/>
        <v>58655702</v>
      </c>
      <c r="C10" s="83">
        <v>58655702</v>
      </c>
      <c r="D10" s="84">
        <v>23373179.89786401</v>
      </c>
      <c r="E10" s="84">
        <v>42893998.218567491</v>
      </c>
      <c r="F10" s="84">
        <v>27439199.271106873</v>
      </c>
      <c r="G10" s="83">
        <v>15000000</v>
      </c>
      <c r="H10" s="83">
        <v>108706377.38753837</v>
      </c>
      <c r="I10" s="83">
        <v>117311404</v>
      </c>
      <c r="J10" s="84">
        <v>8605026.6124616265</v>
      </c>
      <c r="K10" s="84" t="s">
        <v>10</v>
      </c>
      <c r="N10" s="46" t="s">
        <v>121</v>
      </c>
      <c r="O10" s="62">
        <f>STDEVA(I10:I509)</f>
        <v>5129991.4309787378</v>
      </c>
      <c r="P10" s="63">
        <f>STDEVA(H10:H509)</f>
        <v>1979967.0472230315</v>
      </c>
      <c r="Q10" s="65">
        <f>STDEVA(J10:J509)</f>
        <v>5477181.0535669336</v>
      </c>
    </row>
    <row r="11" spans="1:17" ht="15.75" customHeight="1">
      <c r="A11" s="81">
        <v>2</v>
      </c>
      <c r="B11" s="84">
        <v>56603325.5</v>
      </c>
      <c r="C11" s="83">
        <v>56603325.5</v>
      </c>
      <c r="D11" s="84">
        <v>25244525.615842342</v>
      </c>
      <c r="E11" s="84">
        <v>43228466.497012332</v>
      </c>
      <c r="F11" s="84">
        <v>26224380.536038216</v>
      </c>
      <c r="G11" s="83">
        <v>15000000</v>
      </c>
      <c r="H11" s="83">
        <v>109697372.64889289</v>
      </c>
      <c r="I11" s="83">
        <v>113206651</v>
      </c>
      <c r="J11" s="83">
        <v>3509278.3511071056</v>
      </c>
      <c r="K11" s="84" t="s">
        <v>10</v>
      </c>
      <c r="M11" s="46" t="s">
        <v>10</v>
      </c>
      <c r="N11" s="85" t="s">
        <v>122</v>
      </c>
      <c r="O11" s="62">
        <f>NORMSINV(0.95)*O10/SQRT(500)</f>
        <v>377362.63371161936</v>
      </c>
      <c r="P11" s="63">
        <f>NORMSINV(0.95)*P10/SQRT(500)</f>
        <v>145646.55509760792</v>
      </c>
      <c r="Q11" s="65">
        <f>NORMSINV(0.95)*Q10/SQRT(500)</f>
        <v>402901.93375528982</v>
      </c>
    </row>
    <row r="12" spans="1:17" ht="15.75" customHeight="1">
      <c r="A12" s="81">
        <v>3</v>
      </c>
      <c r="B12" s="84">
        <v>63042272.5</v>
      </c>
      <c r="C12" s="83">
        <v>63042272.5</v>
      </c>
      <c r="D12" s="84">
        <v>22850332.164339416</v>
      </c>
      <c r="E12" s="84">
        <v>43104054.069836937</v>
      </c>
      <c r="F12" s="83">
        <v>25631912.252682056</v>
      </c>
      <c r="G12" s="83">
        <v>15000000</v>
      </c>
      <c r="H12" s="83">
        <v>106586298.48685841</v>
      </c>
      <c r="I12" s="83">
        <v>126084545</v>
      </c>
      <c r="J12" s="83">
        <v>19498246.513141587</v>
      </c>
      <c r="K12" s="84" t="s">
        <v>10</v>
      </c>
      <c r="L12" s="46" t="s">
        <v>10</v>
      </c>
      <c r="M12" s="46" t="s">
        <v>10</v>
      </c>
      <c r="N12" s="46" t="s">
        <v>123</v>
      </c>
      <c r="O12" s="62">
        <f>O9+O11</f>
        <v>113614981.68171161</v>
      </c>
      <c r="P12" s="63">
        <f>P9+P11</f>
        <v>109550706.27297361</v>
      </c>
      <c r="Q12" s="65">
        <f>Q9+Q11</f>
        <v>4235461.2638792843</v>
      </c>
    </row>
    <row r="13" spans="1:17" ht="15.75" customHeight="1">
      <c r="A13" s="81">
        <v>4</v>
      </c>
      <c r="B13" s="84">
        <v>57774912.5</v>
      </c>
      <c r="C13" s="83">
        <v>57774912.5</v>
      </c>
      <c r="D13" s="84">
        <v>22843183.083106548</v>
      </c>
      <c r="E13" s="84">
        <v>43797611.779975712</v>
      </c>
      <c r="F13" s="83">
        <v>27340391.882440757</v>
      </c>
      <c r="G13" s="83">
        <v>15000000</v>
      </c>
      <c r="H13" s="83">
        <v>108981186.74552302</v>
      </c>
      <c r="I13" s="83">
        <v>115549825</v>
      </c>
      <c r="J13" s="83">
        <v>6568638.2544769794</v>
      </c>
      <c r="K13" s="86" t="s">
        <v>10</v>
      </c>
      <c r="L13" s="81" t="s">
        <v>10</v>
      </c>
      <c r="M13" s="87" t="s">
        <v>10</v>
      </c>
      <c r="N13" s="46" t="s">
        <v>124</v>
      </c>
      <c r="O13" s="62">
        <f>O9-O11</f>
        <v>112860256.41428837</v>
      </c>
      <c r="P13" s="63">
        <f>P9-P11</f>
        <v>109259413.16277839</v>
      </c>
      <c r="Q13" s="65">
        <f>Q9-Q11</f>
        <v>3429657.3963687047</v>
      </c>
    </row>
    <row r="14" spans="1:17" ht="15.75" customHeight="1">
      <c r="A14" s="81">
        <v>5</v>
      </c>
      <c r="B14" s="84">
        <v>54654619</v>
      </c>
      <c r="C14" s="84">
        <v>54654619</v>
      </c>
      <c r="D14" s="84">
        <v>24458278.233878955</v>
      </c>
      <c r="E14" s="83">
        <v>43833262.589456297</v>
      </c>
      <c r="F14" s="83">
        <v>29504666.867507316</v>
      </c>
      <c r="G14" s="83">
        <v>15000000</v>
      </c>
      <c r="H14" s="83">
        <v>112796207.69084257</v>
      </c>
      <c r="I14" s="83">
        <v>109309238</v>
      </c>
      <c r="J14" s="83">
        <v>-3486969.6908425689</v>
      </c>
      <c r="K14" s="86" t="s">
        <v>10</v>
      </c>
      <c r="L14" s="81" t="s">
        <v>10</v>
      </c>
      <c r="M14" s="87" t="s">
        <v>10</v>
      </c>
      <c r="N14" s="88" t="s">
        <v>125</v>
      </c>
      <c r="O14" s="67">
        <f>SMALL(I10:I509,(1-0.95)*500)</f>
        <v>104801847</v>
      </c>
      <c r="P14" s="68">
        <f>SMALL(H10:H509,(1-0.95)*500)</f>
        <v>106113063.03758894</v>
      </c>
      <c r="Q14" s="69">
        <f>SMALL(J10:J509,(1-0.95)*500)</f>
        <v>-5573939.7744174898</v>
      </c>
    </row>
    <row r="15" spans="1:17" ht="15.75" customHeight="1">
      <c r="A15" s="81">
        <v>6</v>
      </c>
      <c r="B15" s="84">
        <v>57849308.5</v>
      </c>
      <c r="C15" s="84">
        <v>57849308.5</v>
      </c>
      <c r="D15" s="84">
        <v>24704310.458153892</v>
      </c>
      <c r="E15" s="83">
        <v>42533279.222269207</v>
      </c>
      <c r="F15" s="83">
        <v>29508801.243073739</v>
      </c>
      <c r="G15" s="83">
        <v>15000000</v>
      </c>
      <c r="H15" s="83">
        <v>111746390.92349684</v>
      </c>
      <c r="I15" s="83">
        <v>115698617</v>
      </c>
      <c r="J15" s="83">
        <v>3952226.0765031576</v>
      </c>
      <c r="K15" s="86" t="s">
        <v>10</v>
      </c>
      <c r="L15" s="81" t="s">
        <v>10</v>
      </c>
      <c r="M15" s="87" t="s">
        <v>10</v>
      </c>
      <c r="N15" s="46" t="s">
        <v>129</v>
      </c>
      <c r="Q15" s="66">
        <f>COUNTIF(J10:J509,"&gt; 0")/500</f>
        <v>0.746</v>
      </c>
    </row>
    <row r="16" spans="1:17" ht="15.75" customHeight="1">
      <c r="A16" s="81">
        <v>7</v>
      </c>
      <c r="B16" s="84">
        <v>54801042</v>
      </c>
      <c r="C16" s="84">
        <v>54801042</v>
      </c>
      <c r="D16" s="84">
        <v>24981420.067955181</v>
      </c>
      <c r="E16" s="83">
        <v>43420922.822320536</v>
      </c>
      <c r="F16" s="83">
        <v>23881394.731635571</v>
      </c>
      <c r="G16" s="83">
        <v>15000000</v>
      </c>
      <c r="H16" s="83">
        <v>107283737.62191129</v>
      </c>
      <c r="I16" s="83">
        <v>109602084</v>
      </c>
      <c r="J16" s="83">
        <v>2318346.3780887127</v>
      </c>
      <c r="K16" s="86" t="s">
        <v>10</v>
      </c>
      <c r="L16" s="81" t="s">
        <v>10</v>
      </c>
      <c r="M16" s="87" t="s">
        <v>10</v>
      </c>
    </row>
    <row r="17" spans="1:18" ht="15.75" customHeight="1">
      <c r="A17" s="81">
        <v>8</v>
      </c>
      <c r="B17" s="84">
        <v>52820670.5</v>
      </c>
      <c r="C17" s="84">
        <v>52820670.5</v>
      </c>
      <c r="D17" s="84">
        <v>24848479.713438362</v>
      </c>
      <c r="E17" s="83">
        <v>43224412.950070947</v>
      </c>
      <c r="F17" s="83">
        <v>24846881.686609879</v>
      </c>
      <c r="G17" s="83">
        <v>15000000</v>
      </c>
      <c r="H17" s="83">
        <v>107919774.35011919</v>
      </c>
      <c r="I17" s="83">
        <v>105641341</v>
      </c>
      <c r="J17" s="83">
        <v>-2278433.3501191884</v>
      </c>
      <c r="K17" s="86" t="s">
        <v>10</v>
      </c>
      <c r="L17" s="81" t="s">
        <v>10</v>
      </c>
      <c r="O17" s="89" t="s">
        <v>10</v>
      </c>
    </row>
    <row r="18" spans="1:18" ht="15.75" customHeight="1">
      <c r="A18" s="81">
        <v>9</v>
      </c>
      <c r="B18" s="84">
        <v>59672441.5</v>
      </c>
      <c r="C18" s="84">
        <v>59672441.5</v>
      </c>
      <c r="D18" s="83">
        <v>25777297.591746286</v>
      </c>
      <c r="E18" s="83">
        <v>43724944.433599442</v>
      </c>
      <c r="F18" s="83">
        <v>26409499.679549597</v>
      </c>
      <c r="G18" s="83">
        <v>15000000</v>
      </c>
      <c r="H18" s="83">
        <v>110911741.70489532</v>
      </c>
      <c r="I18" s="83">
        <v>119344883</v>
      </c>
      <c r="J18" s="83">
        <v>8433141.2951046824</v>
      </c>
      <c r="K18" s="86" t="s">
        <v>10</v>
      </c>
      <c r="L18" s="81" t="s">
        <v>10</v>
      </c>
      <c r="M18" s="46" t="s">
        <v>10</v>
      </c>
      <c r="N18" s="81" t="s">
        <v>10</v>
      </c>
      <c r="O18" s="89" t="s">
        <v>10</v>
      </c>
    </row>
    <row r="19" spans="1:18" ht="15.75" customHeight="1">
      <c r="A19" s="81">
        <v>10</v>
      </c>
      <c r="B19" s="84">
        <v>55125088.5</v>
      </c>
      <c r="C19" s="84">
        <v>55125088.5</v>
      </c>
      <c r="D19" s="83">
        <v>23773893.820906036</v>
      </c>
      <c r="E19" s="83">
        <v>41351632.762354657</v>
      </c>
      <c r="F19" s="83">
        <v>26901483.776501082</v>
      </c>
      <c r="G19" s="83">
        <v>15000000</v>
      </c>
      <c r="H19" s="83">
        <v>107027010.35976177</v>
      </c>
      <c r="I19" s="83">
        <v>110250177</v>
      </c>
      <c r="J19" s="83">
        <v>3223166.6402382255</v>
      </c>
      <c r="K19" s="86" t="s">
        <v>10</v>
      </c>
      <c r="L19" s="81" t="s">
        <v>10</v>
      </c>
      <c r="N19" s="81" t="s">
        <v>10</v>
      </c>
      <c r="O19" s="89" t="s">
        <v>10</v>
      </c>
    </row>
    <row r="20" spans="1:18" ht="15.75" customHeight="1">
      <c r="A20" s="81">
        <v>11</v>
      </c>
      <c r="B20" s="84">
        <v>57613202</v>
      </c>
      <c r="C20" s="84">
        <v>57613202</v>
      </c>
      <c r="D20" s="83">
        <v>24185836.644715708</v>
      </c>
      <c r="E20" s="83">
        <v>42724399.101609163</v>
      </c>
      <c r="F20" s="83">
        <v>27799433.999828201</v>
      </c>
      <c r="G20" s="83">
        <v>15000000</v>
      </c>
      <c r="H20" s="83">
        <v>109709669.74615307</v>
      </c>
      <c r="I20" s="83">
        <v>115226404</v>
      </c>
      <c r="J20" s="83">
        <v>5516734.2538469285</v>
      </c>
      <c r="K20" s="86" t="s">
        <v>10</v>
      </c>
      <c r="L20" s="81" t="s">
        <v>10</v>
      </c>
      <c r="N20" s="81" t="s">
        <v>10</v>
      </c>
      <c r="O20" s="89" t="s">
        <v>10</v>
      </c>
      <c r="R20" s="46" t="s">
        <v>10</v>
      </c>
    </row>
    <row r="21" spans="1:18" ht="15.75" customHeight="1">
      <c r="A21" s="81">
        <v>12</v>
      </c>
      <c r="B21" s="84">
        <v>59648179.5</v>
      </c>
      <c r="C21" s="84">
        <v>59648179.5</v>
      </c>
      <c r="D21" s="83">
        <v>26184572.394917917</v>
      </c>
      <c r="E21" s="83">
        <v>43302778.182274632</v>
      </c>
      <c r="F21" s="83">
        <v>29488727.353027795</v>
      </c>
      <c r="G21" s="83">
        <v>15000000</v>
      </c>
      <c r="H21" s="83">
        <v>113976077.93022034</v>
      </c>
      <c r="I21" s="83">
        <v>119296359</v>
      </c>
      <c r="J21" s="83">
        <v>5320281.0697796643</v>
      </c>
      <c r="K21" s="86" t="s">
        <v>10</v>
      </c>
      <c r="L21" s="81" t="s">
        <v>10</v>
      </c>
      <c r="N21" s="81" t="s">
        <v>10</v>
      </c>
      <c r="R21" s="46" t="s">
        <v>11</v>
      </c>
    </row>
    <row r="22" spans="1:18" ht="15.75" customHeight="1">
      <c r="A22" s="81">
        <v>13</v>
      </c>
      <c r="B22" s="84">
        <v>60600095</v>
      </c>
      <c r="C22" s="84">
        <v>60600095</v>
      </c>
      <c r="D22" s="83">
        <v>26061850.383332077</v>
      </c>
      <c r="E22" s="83">
        <v>42240776.13012363</v>
      </c>
      <c r="F22" s="83">
        <v>27516216.932664301</v>
      </c>
      <c r="G22" s="83">
        <v>15000000</v>
      </c>
      <c r="H22" s="83">
        <v>110818843.44612001</v>
      </c>
      <c r="I22" s="83">
        <v>121200190</v>
      </c>
      <c r="J22" s="83">
        <v>10381346.553879991</v>
      </c>
      <c r="K22" s="86" t="s">
        <v>10</v>
      </c>
      <c r="L22" s="81" t="s">
        <v>10</v>
      </c>
      <c r="N22" s="81" t="s">
        <v>10</v>
      </c>
      <c r="R22" s="46" t="s">
        <v>10</v>
      </c>
    </row>
    <row r="23" spans="1:18" ht="15.75" customHeight="1">
      <c r="A23" s="81">
        <v>14</v>
      </c>
      <c r="B23" s="84">
        <v>57493227</v>
      </c>
      <c r="C23" s="84">
        <v>57493227</v>
      </c>
      <c r="D23" s="83">
        <v>24053484.491302155</v>
      </c>
      <c r="E23" s="83">
        <v>42198893.998659715</v>
      </c>
      <c r="F23" s="83">
        <v>27798696.894016601</v>
      </c>
      <c r="G23" s="83">
        <v>15000000</v>
      </c>
      <c r="H23" s="83">
        <v>109051075.38397847</v>
      </c>
      <c r="I23" s="83">
        <v>114986454</v>
      </c>
      <c r="J23" s="83">
        <v>5935378.6160215288</v>
      </c>
      <c r="K23" s="86" t="s">
        <v>10</v>
      </c>
      <c r="L23" s="81" t="s">
        <v>10</v>
      </c>
      <c r="N23" s="89" t="s">
        <v>10</v>
      </c>
      <c r="R23" s="87" t="s">
        <v>10</v>
      </c>
    </row>
    <row r="24" spans="1:18" ht="15.75" customHeight="1">
      <c r="A24" s="81">
        <v>15</v>
      </c>
      <c r="B24" s="84">
        <v>56358854</v>
      </c>
      <c r="C24" s="84">
        <v>56358854</v>
      </c>
      <c r="D24" s="83">
        <v>25119322.543661669</v>
      </c>
      <c r="E24" s="83">
        <v>44792110.162445791</v>
      </c>
      <c r="F24" s="83">
        <v>26027767.136855222</v>
      </c>
      <c r="G24" s="83">
        <v>15000000</v>
      </c>
      <c r="H24" s="83">
        <v>110939199.84296268</v>
      </c>
      <c r="I24" s="83">
        <v>112717708</v>
      </c>
      <c r="J24" s="83">
        <v>1778508.1570373178</v>
      </c>
      <c r="K24" s="86" t="s">
        <v>10</v>
      </c>
      <c r="L24" s="81" t="s">
        <v>10</v>
      </c>
      <c r="R24" s="87" t="s">
        <v>10</v>
      </c>
    </row>
    <row r="25" spans="1:18" ht="15.75" customHeight="1">
      <c r="A25" s="81">
        <v>16</v>
      </c>
      <c r="B25" s="84">
        <v>55594553</v>
      </c>
      <c r="C25" s="84">
        <v>55594553</v>
      </c>
      <c r="D25" s="83">
        <v>24029262.086457059</v>
      </c>
      <c r="E25" s="83">
        <v>43479841.688639954</v>
      </c>
      <c r="F25" s="83">
        <v>27789098.330815926</v>
      </c>
      <c r="G25" s="83">
        <v>15000000</v>
      </c>
      <c r="H25" s="83">
        <v>110298202.10591294</v>
      </c>
      <c r="I25" s="83">
        <v>111189106</v>
      </c>
      <c r="J25" s="83">
        <v>890903.89408706129</v>
      </c>
      <c r="K25" s="86" t="s">
        <v>10</v>
      </c>
      <c r="L25" s="81" t="s">
        <v>10</v>
      </c>
    </row>
    <row r="26" spans="1:18" ht="15.75" customHeight="1">
      <c r="A26" s="81">
        <v>17</v>
      </c>
      <c r="B26" s="84">
        <v>57176128</v>
      </c>
      <c r="C26" s="84">
        <v>57176128</v>
      </c>
      <c r="D26" s="83">
        <v>25391470.032273281</v>
      </c>
      <c r="E26" s="83">
        <v>42944686.477422133</v>
      </c>
      <c r="F26" s="83">
        <v>28387609.661704224</v>
      </c>
      <c r="G26" s="83">
        <v>15000000</v>
      </c>
      <c r="H26" s="83">
        <v>111723766.17139964</v>
      </c>
      <c r="I26" s="83">
        <v>114352256</v>
      </c>
      <c r="J26" s="83">
        <v>2628489.8286003619</v>
      </c>
      <c r="K26" s="86" t="s">
        <v>10</v>
      </c>
      <c r="L26" s="81" t="s">
        <v>10</v>
      </c>
    </row>
    <row r="27" spans="1:18" ht="15.75" customHeight="1">
      <c r="A27" s="81">
        <v>18</v>
      </c>
      <c r="B27" s="84">
        <v>52748418</v>
      </c>
      <c r="C27" s="84">
        <v>52748418</v>
      </c>
      <c r="D27" s="83">
        <v>25516379.003902324</v>
      </c>
      <c r="E27" s="83">
        <v>43086350.21210409</v>
      </c>
      <c r="F27" s="83">
        <v>27273999.807951566</v>
      </c>
      <c r="G27" s="83">
        <v>15000000</v>
      </c>
      <c r="H27" s="83">
        <v>110876729.02395798</v>
      </c>
      <c r="I27" s="83">
        <v>105496836</v>
      </c>
      <c r="J27" s="83">
        <v>-5379893.0239579827</v>
      </c>
      <c r="K27" s="86" t="s">
        <v>10</v>
      </c>
      <c r="L27" s="81" t="s">
        <v>10</v>
      </c>
    </row>
    <row r="28" spans="1:18" ht="15.75" customHeight="1">
      <c r="A28" s="81">
        <v>19</v>
      </c>
      <c r="B28" s="84">
        <v>55688746.5</v>
      </c>
      <c r="C28" s="84">
        <v>55688746.5</v>
      </c>
      <c r="D28" s="83">
        <v>23233972.763769221</v>
      </c>
      <c r="E28" s="83">
        <v>43396126.721340075</v>
      </c>
      <c r="F28" s="84">
        <v>27110301.545396391</v>
      </c>
      <c r="G28" s="83">
        <v>15000000</v>
      </c>
      <c r="H28" s="83">
        <v>108740401.03050569</v>
      </c>
      <c r="I28" s="83">
        <v>111377493</v>
      </c>
      <c r="J28" s="83">
        <v>2637091.969494313</v>
      </c>
      <c r="K28" s="86" t="s">
        <v>10</v>
      </c>
      <c r="L28" s="81" t="s">
        <v>10</v>
      </c>
    </row>
    <row r="29" spans="1:18" ht="15.75" customHeight="1">
      <c r="A29" s="81">
        <v>20</v>
      </c>
      <c r="B29" s="84">
        <v>54609881.5</v>
      </c>
      <c r="C29" s="84">
        <v>54609881.5</v>
      </c>
      <c r="D29" s="84">
        <v>23775786.680397604</v>
      </c>
      <c r="E29" s="83">
        <v>42501840.047398694</v>
      </c>
      <c r="F29" s="84">
        <v>25921762.273119628</v>
      </c>
      <c r="G29" s="83">
        <v>15000000</v>
      </c>
      <c r="H29" s="83">
        <v>107199389.00091593</v>
      </c>
      <c r="I29" s="83">
        <v>109219763</v>
      </c>
      <c r="J29" s="83">
        <v>2020373.9990840703</v>
      </c>
      <c r="K29" s="86" t="s">
        <v>10</v>
      </c>
      <c r="L29" s="81" t="s">
        <v>10</v>
      </c>
    </row>
    <row r="30" spans="1:18" ht="15.75" customHeight="1">
      <c r="A30" s="81">
        <v>21</v>
      </c>
      <c r="B30" s="84">
        <v>55567001.5</v>
      </c>
      <c r="C30" s="84">
        <v>55567001.5</v>
      </c>
      <c r="D30" s="84">
        <v>24860885.016412545</v>
      </c>
      <c r="E30" s="83">
        <v>42401865.878562167</v>
      </c>
      <c r="F30" s="84">
        <v>25120238.396037765</v>
      </c>
      <c r="G30" s="83">
        <v>15000000</v>
      </c>
      <c r="H30" s="83">
        <v>107382989.29101247</v>
      </c>
      <c r="I30" s="83">
        <v>111134003</v>
      </c>
      <c r="J30" s="83">
        <v>3751013.708987534</v>
      </c>
      <c r="K30" s="86" t="s">
        <v>10</v>
      </c>
      <c r="L30" s="81" t="s">
        <v>10</v>
      </c>
    </row>
    <row r="31" spans="1:18" ht="15.75" customHeight="1">
      <c r="A31" s="81">
        <v>22</v>
      </c>
      <c r="B31" s="84">
        <v>57126212</v>
      </c>
      <c r="C31" s="84">
        <v>57126212</v>
      </c>
      <c r="D31" s="84">
        <v>26314737.588288262</v>
      </c>
      <c r="E31" s="83">
        <v>43087809.81649968</v>
      </c>
      <c r="F31" s="84">
        <v>26933433.119541209</v>
      </c>
      <c r="G31" s="83">
        <v>15000000</v>
      </c>
      <c r="H31" s="83">
        <v>111335980.52432916</v>
      </c>
      <c r="I31" s="83">
        <v>114252424</v>
      </c>
      <c r="J31" s="83">
        <v>2916443.4756708443</v>
      </c>
      <c r="K31" s="86" t="s">
        <v>10</v>
      </c>
      <c r="L31" s="81" t="s">
        <v>10</v>
      </c>
    </row>
    <row r="32" spans="1:18" ht="15.75" customHeight="1">
      <c r="A32" s="81">
        <v>23</v>
      </c>
      <c r="B32" s="84">
        <v>56066605</v>
      </c>
      <c r="C32" s="84">
        <v>56066605</v>
      </c>
      <c r="D32" s="84">
        <v>26587473.278003141</v>
      </c>
      <c r="E32" s="83">
        <v>42476059.135047138</v>
      </c>
      <c r="F32" s="83">
        <v>26993610.076656334</v>
      </c>
      <c r="G32" s="83">
        <v>15000000</v>
      </c>
      <c r="H32" s="83">
        <v>111057142.48970661</v>
      </c>
      <c r="I32" s="83">
        <v>112133210</v>
      </c>
      <c r="J32" s="83">
        <v>1076067.5102933943</v>
      </c>
      <c r="K32" s="86" t="s">
        <v>10</v>
      </c>
      <c r="L32" s="81" t="s">
        <v>10</v>
      </c>
    </row>
    <row r="33" spans="1:12" ht="15.75" customHeight="1">
      <c r="A33" s="81">
        <v>24</v>
      </c>
      <c r="B33" s="84">
        <v>58060631.5</v>
      </c>
      <c r="C33" s="84">
        <v>58060631.5</v>
      </c>
      <c r="D33" s="84">
        <v>22172802.732047744</v>
      </c>
      <c r="E33" s="83">
        <v>43417371.640817598</v>
      </c>
      <c r="F33" s="83">
        <v>28016499.254795596</v>
      </c>
      <c r="G33" s="83">
        <v>15000000</v>
      </c>
      <c r="H33" s="83">
        <v>108606673.62766093</v>
      </c>
      <c r="I33" s="83">
        <v>116121263</v>
      </c>
      <c r="J33" s="83">
        <v>7514589.3723390698</v>
      </c>
      <c r="K33" s="86" t="s">
        <v>10</v>
      </c>
      <c r="L33" s="81" t="s">
        <v>10</v>
      </c>
    </row>
    <row r="34" spans="1:12" ht="15.75" customHeight="1">
      <c r="A34" s="81">
        <v>25</v>
      </c>
      <c r="B34" s="84">
        <v>50273855</v>
      </c>
      <c r="C34" s="84">
        <v>50273855</v>
      </c>
      <c r="D34" s="84">
        <v>25519448.265600428</v>
      </c>
      <c r="E34" s="83">
        <v>42136741.75821092</v>
      </c>
      <c r="F34" s="83">
        <v>25267292.848269124</v>
      </c>
      <c r="G34" s="83">
        <v>15000000</v>
      </c>
      <c r="H34" s="83">
        <v>107923482.87208046</v>
      </c>
      <c r="I34" s="83">
        <v>100547710</v>
      </c>
      <c r="J34" s="83">
        <v>-7375772.8720804602</v>
      </c>
      <c r="K34" s="86" t="s">
        <v>10</v>
      </c>
    </row>
    <row r="35" spans="1:12" ht="15.75" customHeight="1">
      <c r="A35" s="81">
        <v>26</v>
      </c>
      <c r="B35" s="84">
        <v>58827786.5</v>
      </c>
      <c r="C35" s="84">
        <v>58827786.5</v>
      </c>
      <c r="D35" s="84">
        <v>24976457.946765509</v>
      </c>
      <c r="E35" s="83">
        <v>41469243.336119846</v>
      </c>
      <c r="F35" s="83">
        <v>26546074.091760226</v>
      </c>
      <c r="G35" s="83">
        <v>15000000</v>
      </c>
      <c r="H35" s="83">
        <v>107991775.37464559</v>
      </c>
      <c r="I35" s="83">
        <v>117655573</v>
      </c>
      <c r="J35" s="83">
        <v>9663797.6253544092</v>
      </c>
      <c r="K35" s="86" t="s">
        <v>10</v>
      </c>
    </row>
    <row r="36" spans="1:12" ht="15.75" customHeight="1">
      <c r="A36" s="81">
        <v>27</v>
      </c>
      <c r="B36" s="84">
        <v>54228444.5</v>
      </c>
      <c r="C36" s="84">
        <v>54228444.5</v>
      </c>
      <c r="D36" s="84">
        <v>24972084.026679099</v>
      </c>
      <c r="E36" s="83">
        <v>43060164.951600544</v>
      </c>
      <c r="F36" s="83">
        <v>28693846.854522359</v>
      </c>
      <c r="G36" s="83">
        <v>15000000</v>
      </c>
      <c r="H36" s="83">
        <v>111726095.83280201</v>
      </c>
      <c r="I36" s="83">
        <v>108456889</v>
      </c>
      <c r="J36" s="83">
        <v>-3269206.8328020126</v>
      </c>
      <c r="K36" s="86" t="s">
        <v>10</v>
      </c>
    </row>
    <row r="37" spans="1:12" ht="15.75" customHeight="1">
      <c r="A37" s="81">
        <v>28</v>
      </c>
      <c r="B37" s="84">
        <v>53854255.5</v>
      </c>
      <c r="C37" s="84">
        <v>53854255.5</v>
      </c>
      <c r="D37" s="84">
        <v>23785710.922776952</v>
      </c>
      <c r="E37" s="83">
        <v>43510227.232166603</v>
      </c>
      <c r="F37" s="83">
        <v>26957474.850392155</v>
      </c>
      <c r="G37" s="84">
        <v>15000000</v>
      </c>
      <c r="H37" s="84">
        <v>109253413.00533572</v>
      </c>
      <c r="I37" s="84">
        <v>107708511</v>
      </c>
      <c r="J37" s="83">
        <v>-1544902.0053357184</v>
      </c>
      <c r="K37" s="84"/>
    </row>
    <row r="38" spans="1:12" ht="15.75" customHeight="1">
      <c r="A38" s="81">
        <v>29</v>
      </c>
      <c r="B38" s="84">
        <v>56783963</v>
      </c>
      <c r="C38" s="84">
        <v>56783963</v>
      </c>
      <c r="D38" s="84">
        <v>24581588.446568057</v>
      </c>
      <c r="E38" s="83">
        <v>42924662.416889764</v>
      </c>
      <c r="F38" s="83">
        <v>29239470.58925321</v>
      </c>
      <c r="G38" s="84">
        <v>15000000</v>
      </c>
      <c r="H38" s="84">
        <v>111745721.45271105</v>
      </c>
      <c r="I38" s="84">
        <v>113567926</v>
      </c>
      <c r="J38" s="83">
        <v>1822204.5472889543</v>
      </c>
      <c r="K38" s="84"/>
    </row>
    <row r="39" spans="1:12" ht="15.75" customHeight="1">
      <c r="A39" s="81">
        <v>30</v>
      </c>
      <c r="B39" s="84">
        <v>56349038</v>
      </c>
      <c r="C39" s="84">
        <v>56349038</v>
      </c>
      <c r="D39" s="84">
        <v>24043854.349474441</v>
      </c>
      <c r="E39" s="83">
        <v>43488212.872450531</v>
      </c>
      <c r="F39" s="83">
        <v>28304260.063967165</v>
      </c>
      <c r="G39" s="84">
        <v>15000000</v>
      </c>
      <c r="H39" s="84">
        <v>110836327.28589214</v>
      </c>
      <c r="I39" s="84">
        <v>112698076</v>
      </c>
      <c r="J39" s="84">
        <v>1861748.7141078562</v>
      </c>
      <c r="K39" s="84"/>
    </row>
    <row r="40" spans="1:12" ht="15.75" customHeight="1">
      <c r="A40" s="81">
        <v>31</v>
      </c>
      <c r="B40" s="84">
        <v>57443562.5</v>
      </c>
      <c r="C40" s="84">
        <v>57443562.5</v>
      </c>
      <c r="D40" s="84">
        <v>24455797.173284117</v>
      </c>
      <c r="E40" s="83">
        <v>42823351.816166632</v>
      </c>
      <c r="F40" s="83">
        <v>28177204.563933223</v>
      </c>
      <c r="G40" s="84">
        <v>15000000</v>
      </c>
      <c r="H40" s="84">
        <v>110456353.55338398</v>
      </c>
      <c r="I40" s="84">
        <v>114887125</v>
      </c>
      <c r="J40" s="84">
        <v>4430771.4466160238</v>
      </c>
      <c r="K40" s="84"/>
    </row>
    <row r="41" spans="1:12" ht="15.75" customHeight="1">
      <c r="A41" s="81">
        <v>32</v>
      </c>
      <c r="B41" s="84">
        <v>56543313.5</v>
      </c>
      <c r="C41" s="84">
        <v>56543313.5</v>
      </c>
      <c r="D41" s="84">
        <v>24169351.52220675</v>
      </c>
      <c r="E41" s="83">
        <v>41733029.758630663</v>
      </c>
      <c r="F41" s="83">
        <v>28049133.520915214</v>
      </c>
      <c r="G41" s="84">
        <v>15000000</v>
      </c>
      <c r="H41" s="84">
        <v>108951514.80175263</v>
      </c>
      <c r="I41" s="84">
        <v>113086627</v>
      </c>
      <c r="J41" s="84">
        <v>4135112.1982473731</v>
      </c>
      <c r="K41" s="84"/>
    </row>
    <row r="42" spans="1:12" ht="15.75" customHeight="1">
      <c r="A42" s="81">
        <v>33</v>
      </c>
      <c r="B42" s="84">
        <v>56521500</v>
      </c>
      <c r="C42" s="84">
        <v>56521500</v>
      </c>
      <c r="D42" s="84">
        <v>25121509.503704876</v>
      </c>
      <c r="E42" s="84">
        <v>43981108.840247385</v>
      </c>
      <c r="F42" s="83">
        <v>28401800.964900568</v>
      </c>
      <c r="G42" s="84">
        <v>15000000</v>
      </c>
      <c r="H42" s="84">
        <v>112504419.30885284</v>
      </c>
      <c r="I42" s="84">
        <v>113043000</v>
      </c>
      <c r="J42" s="84">
        <v>538580.69114716351</v>
      </c>
      <c r="K42" s="84"/>
    </row>
    <row r="43" spans="1:12" ht="15.75" customHeight="1">
      <c r="A43" s="81">
        <v>34</v>
      </c>
      <c r="B43" s="84">
        <v>59566671</v>
      </c>
      <c r="C43" s="84">
        <v>59566671</v>
      </c>
      <c r="D43" s="84">
        <v>23646209.68813052</v>
      </c>
      <c r="E43" s="84">
        <v>41831957.753696077</v>
      </c>
      <c r="F43" s="83">
        <v>26548000.55588587</v>
      </c>
      <c r="G43" s="84">
        <v>15000000</v>
      </c>
      <c r="H43" s="84">
        <v>107026167.99771246</v>
      </c>
      <c r="I43" s="84">
        <v>119133342</v>
      </c>
      <c r="J43" s="84">
        <v>12107174.002287537</v>
      </c>
      <c r="K43" s="84"/>
    </row>
    <row r="44" spans="1:12" ht="15.75" customHeight="1">
      <c r="A44" s="81">
        <v>35</v>
      </c>
      <c r="B44" s="84">
        <v>53853251</v>
      </c>
      <c r="C44" s="84">
        <v>53853251</v>
      </c>
      <c r="D44" s="84">
        <v>24704310.458153892</v>
      </c>
      <c r="E44" s="84">
        <v>42925576.928090788</v>
      </c>
      <c r="F44" s="83">
        <v>28601646.155424878</v>
      </c>
      <c r="G44" s="84">
        <v>15000000</v>
      </c>
      <c r="H44" s="84">
        <v>111231533.54166956</v>
      </c>
      <c r="I44" s="84">
        <v>107706502</v>
      </c>
      <c r="J44" s="84">
        <v>-3525031.5416695625</v>
      </c>
      <c r="K44" s="84"/>
    </row>
    <row r="45" spans="1:12" ht="15.75" customHeight="1">
      <c r="A45" s="81">
        <v>36</v>
      </c>
      <c r="B45" s="84">
        <v>55501863</v>
      </c>
      <c r="C45" s="84">
        <v>55501863</v>
      </c>
      <c r="D45" s="84">
        <v>24048228.269560851</v>
      </c>
      <c r="E45" s="84">
        <v>42306460.768138558</v>
      </c>
      <c r="F45" s="84">
        <v>29204998.119871065</v>
      </c>
      <c r="G45" s="84">
        <v>15000000</v>
      </c>
      <c r="H45" s="84">
        <v>110559687.15757048</v>
      </c>
      <c r="I45" s="84">
        <v>111003726</v>
      </c>
      <c r="J45" s="84">
        <v>444038.8424295187</v>
      </c>
      <c r="K45" s="84"/>
    </row>
    <row r="46" spans="1:12" ht="15.75" customHeight="1">
      <c r="A46" s="81">
        <v>37</v>
      </c>
      <c r="B46" s="84">
        <v>52628571</v>
      </c>
      <c r="C46" s="84">
        <v>52628571</v>
      </c>
      <c r="D46" s="84">
        <v>24441204.910266731</v>
      </c>
      <c r="E46" s="84">
        <v>42508668.930949576</v>
      </c>
      <c r="F46" s="84">
        <v>31054114.882937301</v>
      </c>
      <c r="G46" s="84">
        <v>15000000</v>
      </c>
      <c r="H46" s="84">
        <v>113003988.72415361</v>
      </c>
      <c r="I46" s="84">
        <v>105257142</v>
      </c>
      <c r="J46" s="84">
        <v>-7746846.7241536081</v>
      </c>
      <c r="K46" s="84"/>
    </row>
    <row r="47" spans="1:12" ht="15.75" customHeight="1">
      <c r="A47" s="81">
        <v>38</v>
      </c>
      <c r="B47" s="84">
        <v>59333477</v>
      </c>
      <c r="C47" s="84">
        <v>59333477</v>
      </c>
      <c r="D47" s="84">
        <v>22828590.820089158</v>
      </c>
      <c r="E47" s="84">
        <v>42965156.842472784</v>
      </c>
      <c r="F47" s="84">
        <v>28987544.747727435</v>
      </c>
      <c r="G47" s="84">
        <v>15000000</v>
      </c>
      <c r="H47" s="84">
        <v>109781292.41028938</v>
      </c>
      <c r="I47" s="84">
        <v>118666954</v>
      </c>
      <c r="J47" s="84">
        <v>8885661.589710623</v>
      </c>
      <c r="K47" s="84"/>
    </row>
    <row r="48" spans="1:12" ht="15.75" customHeight="1">
      <c r="A48" s="81">
        <v>39</v>
      </c>
      <c r="B48" s="84">
        <v>61094016.5</v>
      </c>
      <c r="C48" s="84">
        <v>61094016.5</v>
      </c>
      <c r="D48" s="84">
        <v>22167840.610858072</v>
      </c>
      <c r="E48" s="84">
        <v>42762118.783796564</v>
      </c>
      <c r="F48" s="84">
        <v>26117509.483772594</v>
      </c>
      <c r="G48" s="84">
        <v>15000000</v>
      </c>
      <c r="H48" s="84">
        <v>106047468.87842722</v>
      </c>
      <c r="I48" s="84">
        <v>122188033</v>
      </c>
      <c r="J48" s="84">
        <v>16140564.121572778</v>
      </c>
      <c r="K48" s="84"/>
    </row>
    <row r="49" spans="1:11" ht="15.75" customHeight="1">
      <c r="A49" s="81">
        <v>40</v>
      </c>
      <c r="B49" s="84">
        <v>54324696</v>
      </c>
      <c r="C49" s="84">
        <v>54324696</v>
      </c>
      <c r="D49" s="84">
        <v>25372209.748617854</v>
      </c>
      <c r="E49" s="84">
        <v>41993124.680989534</v>
      </c>
      <c r="F49" s="84">
        <v>28257065.622373503</v>
      </c>
      <c r="G49" s="84">
        <v>15000000</v>
      </c>
      <c r="H49" s="84">
        <v>110622400.0519809</v>
      </c>
      <c r="I49" s="84">
        <v>108649392</v>
      </c>
      <c r="J49" s="84">
        <v>-1973008.0519808978</v>
      </c>
      <c r="K49" s="84"/>
    </row>
    <row r="50" spans="1:11" ht="15.75" customHeight="1">
      <c r="A50" s="81">
        <v>41</v>
      </c>
      <c r="B50" s="84">
        <v>54022864.5</v>
      </c>
      <c r="C50" s="84">
        <v>54022864.5</v>
      </c>
      <c r="D50" s="84">
        <v>24460759.29447379</v>
      </c>
      <c r="E50" s="84">
        <v>43071562.725851215</v>
      </c>
      <c r="F50" s="84">
        <v>27874290.709587667</v>
      </c>
      <c r="G50" s="84">
        <v>15000000</v>
      </c>
      <c r="H50" s="84">
        <v>110406612.72991267</v>
      </c>
      <c r="I50" s="84">
        <v>108045729</v>
      </c>
      <c r="J50" s="84">
        <v>-2360883.7299126685</v>
      </c>
      <c r="K50" s="84"/>
    </row>
    <row r="51" spans="1:11" ht="15.75" customHeight="1">
      <c r="A51" s="81">
        <v>42</v>
      </c>
      <c r="B51" s="84">
        <v>58256153.5</v>
      </c>
      <c r="C51" s="84">
        <v>58256153.5</v>
      </c>
      <c r="D51" s="84">
        <v>23655545.729406603</v>
      </c>
      <c r="E51" s="84">
        <v>41900725.400046587</v>
      </c>
      <c r="F51" s="84">
        <v>29314420.583843194</v>
      </c>
      <c r="G51" s="84">
        <v>15000000</v>
      </c>
      <c r="H51" s="84">
        <v>109870691.71329638</v>
      </c>
      <c r="I51" s="84">
        <v>116512307</v>
      </c>
      <c r="J51" s="84">
        <v>6641615.2867036164</v>
      </c>
      <c r="K51" s="84"/>
    </row>
    <row r="52" spans="1:11" ht="15.75" customHeight="1">
      <c r="A52" s="81">
        <v>43</v>
      </c>
      <c r="B52" s="84">
        <v>57620882.5</v>
      </c>
      <c r="C52" s="84">
        <v>57620882.5</v>
      </c>
      <c r="D52" s="84">
        <v>23766450.639121525</v>
      </c>
      <c r="E52" s="84">
        <v>42737191.419323869</v>
      </c>
      <c r="F52" s="84">
        <v>27360149.520443503</v>
      </c>
      <c r="G52" s="84">
        <v>15000000</v>
      </c>
      <c r="H52" s="84">
        <v>108863791.57888889</v>
      </c>
      <c r="I52" s="84">
        <v>115241765</v>
      </c>
      <c r="J52" s="84">
        <v>6377973.4211111069</v>
      </c>
      <c r="K52" s="84"/>
    </row>
    <row r="53" spans="1:11" ht="15.75" customHeight="1">
      <c r="A53" s="81">
        <v>44</v>
      </c>
      <c r="B53" s="84">
        <v>55675944.5</v>
      </c>
      <c r="C53" s="84">
        <v>55675944.5</v>
      </c>
      <c r="D53" s="84">
        <v>22432839.018236808</v>
      </c>
      <c r="E53" s="84">
        <v>42753290.694479726</v>
      </c>
      <c r="F53" s="84">
        <v>27261262.77825813</v>
      </c>
      <c r="G53" s="84">
        <v>15000000</v>
      </c>
      <c r="H53" s="84">
        <v>107447392.49097466</v>
      </c>
      <c r="I53" s="84">
        <v>111351889</v>
      </c>
      <c r="J53" s="84">
        <v>3904496.5090253353</v>
      </c>
      <c r="K53" s="84"/>
    </row>
    <row r="54" spans="1:11" ht="15.75" customHeight="1">
      <c r="A54" s="81">
        <v>45</v>
      </c>
      <c r="B54" s="84">
        <v>52436604.5</v>
      </c>
      <c r="C54" s="84">
        <v>52436604.5</v>
      </c>
      <c r="D54" s="84">
        <v>24974565.087273933</v>
      </c>
      <c r="E54" s="84">
        <v>41936009.73911801</v>
      </c>
      <c r="F54" s="84">
        <v>29273616.483442217</v>
      </c>
      <c r="G54" s="84">
        <v>15000000</v>
      </c>
      <c r="H54" s="84">
        <v>111184191.30983415</v>
      </c>
      <c r="I54" s="84">
        <v>104873209</v>
      </c>
      <c r="J54" s="84">
        <v>-6310982.3098341525</v>
      </c>
      <c r="K54" s="84"/>
    </row>
    <row r="55" spans="1:11" ht="13.2">
      <c r="A55" s="81">
        <v>46</v>
      </c>
      <c r="B55" s="84">
        <v>58878170.5</v>
      </c>
      <c r="C55" s="84">
        <v>58878170.5</v>
      </c>
      <c r="D55" s="84">
        <v>25128658.584937748</v>
      </c>
      <c r="E55" s="84">
        <v>41545199.87609946</v>
      </c>
      <c r="F55" s="84">
        <v>29145336.639757361</v>
      </c>
      <c r="G55" s="84">
        <v>15000000</v>
      </c>
      <c r="H55" s="84">
        <v>110819195.10079457</v>
      </c>
      <c r="I55" s="84">
        <v>117756341</v>
      </c>
      <c r="J55" s="84">
        <v>6937145.8992054313</v>
      </c>
      <c r="K55" s="84"/>
    </row>
    <row r="56" spans="1:11" ht="13.2">
      <c r="A56" s="81">
        <v>47</v>
      </c>
      <c r="B56" s="84">
        <v>56118678.5</v>
      </c>
      <c r="C56" s="84">
        <v>56118678.5</v>
      </c>
      <c r="D56" s="84">
        <v>25651800.419013973</v>
      </c>
      <c r="E56" s="84">
        <v>43597161.216857225</v>
      </c>
      <c r="F56" s="84">
        <v>25610502.336000592</v>
      </c>
      <c r="G56" s="84">
        <v>15000000</v>
      </c>
      <c r="H56" s="84">
        <v>109859463.97187179</v>
      </c>
      <c r="I56" s="84">
        <v>112237357</v>
      </c>
      <c r="J56" s="84">
        <v>2377893.0281282067</v>
      </c>
      <c r="K56" s="84"/>
    </row>
    <row r="57" spans="1:11" ht="13.2">
      <c r="A57" s="81">
        <v>48</v>
      </c>
      <c r="B57" s="84">
        <v>57970096.5</v>
      </c>
      <c r="C57" s="84">
        <v>57970096.5</v>
      </c>
      <c r="D57" s="84">
        <v>26182091.334323078</v>
      </c>
      <c r="E57" s="84">
        <v>43738606.81529507</v>
      </c>
      <c r="F57" s="84">
        <v>25688682.86912613</v>
      </c>
      <c r="G57" s="84">
        <v>15000000</v>
      </c>
      <c r="H57" s="84">
        <v>110609381.01874427</v>
      </c>
      <c r="I57" s="84">
        <v>115940193</v>
      </c>
      <c r="J57" s="84">
        <v>5330811.981255725</v>
      </c>
      <c r="K57" s="84"/>
    </row>
    <row r="58" spans="1:11" ht="13.2">
      <c r="A58" s="81">
        <v>49</v>
      </c>
      <c r="B58" s="84">
        <v>55042034.5</v>
      </c>
      <c r="C58" s="84">
        <v>55042034.5</v>
      </c>
      <c r="D58" s="84">
        <v>25786927.733573996</v>
      </c>
      <c r="E58" s="84">
        <v>44288275.33740738</v>
      </c>
      <c r="F58" s="84">
        <v>24767242.007785942</v>
      </c>
      <c r="G58" s="84">
        <v>15000000</v>
      </c>
      <c r="H58" s="84">
        <v>109842445.07876733</v>
      </c>
      <c r="I58" s="84">
        <v>110084069</v>
      </c>
      <c r="J58" s="84">
        <v>241623.92123267055</v>
      </c>
      <c r="K58" s="84"/>
    </row>
    <row r="59" spans="1:11" ht="13.2">
      <c r="A59" s="81">
        <v>50</v>
      </c>
      <c r="B59" s="84">
        <v>53456939</v>
      </c>
      <c r="C59" s="84">
        <v>53456939</v>
      </c>
      <c r="D59" s="84">
        <v>24569183.143593874</v>
      </c>
      <c r="E59" s="84">
        <v>42584845.737927444</v>
      </c>
      <c r="F59" s="84">
        <v>27859844.708668929</v>
      </c>
      <c r="G59" s="84">
        <v>15000000</v>
      </c>
      <c r="H59" s="84">
        <v>110013873.59019025</v>
      </c>
      <c r="I59" s="84">
        <v>106913878</v>
      </c>
      <c r="J59" s="84">
        <v>-3099995.5901902467</v>
      </c>
      <c r="K59" s="84"/>
    </row>
    <row r="60" spans="1:11" ht="13.2">
      <c r="A60" s="81">
        <v>51</v>
      </c>
      <c r="B60" s="84">
        <v>58648762.5</v>
      </c>
      <c r="C60" s="84">
        <v>58648762.5</v>
      </c>
      <c r="D60" s="84">
        <v>24043560.24892281</v>
      </c>
      <c r="E60" s="84">
        <v>42932905.132701039</v>
      </c>
      <c r="F60" s="84">
        <v>26128389.859281708</v>
      </c>
      <c r="G60" s="84">
        <v>15000000</v>
      </c>
      <c r="H60" s="84">
        <v>108104855.24090555</v>
      </c>
      <c r="I60" s="84">
        <v>117297525</v>
      </c>
      <c r="J60" s="84">
        <v>9192669.7590944469</v>
      </c>
      <c r="K60" s="84"/>
    </row>
    <row r="61" spans="1:11" ht="13.2">
      <c r="A61" s="81">
        <v>52</v>
      </c>
      <c r="B61" s="84">
        <v>54791496</v>
      </c>
      <c r="C61" s="84">
        <v>54791496</v>
      </c>
      <c r="D61" s="84">
        <v>26059369.322737243</v>
      </c>
      <c r="E61" s="84">
        <v>44077647.566909045</v>
      </c>
      <c r="F61" s="84">
        <v>27184116.805771746</v>
      </c>
      <c r="G61" s="84">
        <v>15000000</v>
      </c>
      <c r="H61" s="84">
        <v>112321133.69541803</v>
      </c>
      <c r="I61" s="84">
        <v>109582992</v>
      </c>
      <c r="J61" s="84">
        <v>-2738141.69541803</v>
      </c>
      <c r="K61" s="84"/>
    </row>
    <row r="62" spans="1:11" ht="13.2">
      <c r="A62" s="81">
        <v>53</v>
      </c>
      <c r="B62" s="84">
        <v>52784491.5</v>
      </c>
      <c r="C62" s="84">
        <v>52784491.5</v>
      </c>
      <c r="D62" s="84">
        <v>25526303.246281669</v>
      </c>
      <c r="E62" s="84">
        <v>42914894.672840804</v>
      </c>
      <c r="F62" s="84">
        <v>27848818.763736825</v>
      </c>
      <c r="G62" s="84">
        <v>15000000</v>
      </c>
      <c r="H62" s="84">
        <v>111290016.6828593</v>
      </c>
      <c r="I62" s="84">
        <v>105568983</v>
      </c>
      <c r="J62" s="84">
        <v>-5721033.6828593016</v>
      </c>
      <c r="K62" s="84"/>
    </row>
    <row r="63" spans="1:11" ht="13.2">
      <c r="A63" s="81">
        <v>54</v>
      </c>
      <c r="B63" s="84">
        <v>61218102.5</v>
      </c>
      <c r="C63" s="84">
        <v>61218102.5</v>
      </c>
      <c r="D63" s="84">
        <v>23508307.212424032</v>
      </c>
      <c r="E63" s="84">
        <v>42918270.984264374</v>
      </c>
      <c r="F63" s="84">
        <v>26644315.278522979</v>
      </c>
      <c r="G63" s="84">
        <v>15000000</v>
      </c>
      <c r="H63" s="84">
        <v>108070893.47521138</v>
      </c>
      <c r="I63" s="84">
        <v>122436205</v>
      </c>
      <c r="J63" s="84">
        <v>14365311.524788618</v>
      </c>
      <c r="K63" s="84"/>
    </row>
    <row r="64" spans="1:11" ht="13.2">
      <c r="A64" s="81">
        <v>55</v>
      </c>
      <c r="B64" s="84">
        <v>56423191</v>
      </c>
      <c r="C64" s="84">
        <v>56423191</v>
      </c>
      <c r="D64" s="84">
        <v>24569183.143593874</v>
      </c>
      <c r="E64" s="84">
        <v>43259418.903634287</v>
      </c>
      <c r="F64" s="84">
        <v>26177926.432247456</v>
      </c>
      <c r="G64" s="84">
        <v>15000000</v>
      </c>
      <c r="H64" s="84">
        <v>109006528.47947562</v>
      </c>
      <c r="I64" s="84">
        <v>112846382</v>
      </c>
      <c r="J64" s="84">
        <v>3839853.5205243826</v>
      </c>
      <c r="K64" s="84"/>
    </row>
    <row r="65" spans="1:11" ht="13.2">
      <c r="A65" s="81">
        <v>56</v>
      </c>
      <c r="B65" s="84">
        <v>61919981</v>
      </c>
      <c r="C65" s="84">
        <v>61919981</v>
      </c>
      <c r="D65" s="84">
        <v>22838220.961916871</v>
      </c>
      <c r="E65" s="84">
        <v>43959221.64908091</v>
      </c>
      <c r="F65" s="84">
        <v>30248255.022998907</v>
      </c>
      <c r="G65" s="84">
        <v>15000000</v>
      </c>
      <c r="H65" s="84">
        <v>112045697.6339967</v>
      </c>
      <c r="I65" s="84">
        <v>123839962</v>
      </c>
      <c r="J65" s="84">
        <v>11794264.366003305</v>
      </c>
      <c r="K65" s="84"/>
    </row>
    <row r="66" spans="1:11" ht="13.2">
      <c r="A66" s="81">
        <v>57</v>
      </c>
      <c r="B66" s="84">
        <v>57970149</v>
      </c>
      <c r="C66" s="84">
        <v>57970149</v>
      </c>
      <c r="D66" s="84">
        <v>24436536.88962869</v>
      </c>
      <c r="E66" s="84">
        <v>41758995.771227665</v>
      </c>
      <c r="F66" s="84">
        <v>25483823.128093012</v>
      </c>
      <c r="G66" s="84">
        <v>15000000</v>
      </c>
      <c r="H66" s="84">
        <v>106679355.78894937</v>
      </c>
      <c r="I66" s="84">
        <v>115940298</v>
      </c>
      <c r="J66" s="84">
        <v>9260942.2110506296</v>
      </c>
      <c r="K66" s="84"/>
    </row>
    <row r="67" spans="1:11" ht="13.2">
      <c r="A67" s="81">
        <v>58</v>
      </c>
      <c r="B67" s="84">
        <v>56226790.5</v>
      </c>
      <c r="C67" s="84">
        <v>56226790.5</v>
      </c>
      <c r="D67" s="84">
        <v>22828590.820089158</v>
      </c>
      <c r="E67" s="84">
        <v>42100834.837822653</v>
      </c>
      <c r="F67" s="84">
        <v>28710067.537449371</v>
      </c>
      <c r="G67" s="84">
        <v>15000000</v>
      </c>
      <c r="H67" s="84">
        <v>108639493.19536118</v>
      </c>
      <c r="I67" s="84">
        <v>112453581</v>
      </c>
      <c r="J67" s="84">
        <v>3814087.8046388179</v>
      </c>
      <c r="K67" s="84"/>
    </row>
    <row r="68" spans="1:11" ht="13.2">
      <c r="A68" s="81">
        <v>59</v>
      </c>
      <c r="B68" s="84">
        <v>57539745</v>
      </c>
      <c r="C68" s="84">
        <v>57539745</v>
      </c>
      <c r="D68" s="84">
        <v>23776374.881500874</v>
      </c>
      <c r="E68" s="84">
        <v>42781861.743582092</v>
      </c>
      <c r="F68" s="84">
        <v>27578494.770264409</v>
      </c>
      <c r="G68" s="84">
        <v>15000000</v>
      </c>
      <c r="H68" s="84">
        <v>109136731.39534739</v>
      </c>
      <c r="I68" s="84">
        <v>115079490</v>
      </c>
      <c r="J68" s="84">
        <v>5942758.6046526134</v>
      </c>
      <c r="K68" s="84"/>
    </row>
    <row r="69" spans="1:11" ht="13.2">
      <c r="A69" s="81">
        <v>60</v>
      </c>
      <c r="B69" s="84">
        <v>54168463.5</v>
      </c>
      <c r="C69" s="84">
        <v>54168463.5</v>
      </c>
      <c r="D69" s="84">
        <v>23505826.151829194</v>
      </c>
      <c r="E69" s="84">
        <v>42004808.821569428</v>
      </c>
      <c r="F69" s="84">
        <v>25397099.093651753</v>
      </c>
      <c r="G69" s="84">
        <v>15000000</v>
      </c>
      <c r="H69" s="84">
        <v>105907734.06705038</v>
      </c>
      <c r="I69" s="84">
        <v>108336927</v>
      </c>
      <c r="J69" s="84">
        <v>2429192.9329496175</v>
      </c>
      <c r="K69" s="84"/>
    </row>
    <row r="70" spans="1:11" ht="13.2">
      <c r="A70" s="81">
        <v>61</v>
      </c>
      <c r="B70" s="84">
        <v>58953121.5</v>
      </c>
      <c r="C70" s="84">
        <v>58953121.5</v>
      </c>
      <c r="D70" s="84">
        <v>25119028.443110038</v>
      </c>
      <c r="E70" s="84">
        <v>43861111.577617362</v>
      </c>
      <c r="F70" s="84">
        <v>28744984.712728631</v>
      </c>
      <c r="G70" s="84">
        <v>15000000</v>
      </c>
      <c r="H70" s="84">
        <v>112725124.73345603</v>
      </c>
      <c r="I70" s="84">
        <v>117906243</v>
      </c>
      <c r="J70" s="84">
        <v>5181118.2665439695</v>
      </c>
      <c r="K70" s="84"/>
    </row>
    <row r="71" spans="1:11" ht="13.2">
      <c r="A71" s="81">
        <v>62</v>
      </c>
      <c r="B71" s="84">
        <v>61377176</v>
      </c>
      <c r="C71" s="84">
        <v>61377176</v>
      </c>
      <c r="D71" s="84">
        <v>25116547.382515199</v>
      </c>
      <c r="E71" s="84">
        <v>42754512.98547858</v>
      </c>
      <c r="F71" s="84">
        <v>27174898.328237776</v>
      </c>
      <c r="G71" s="84">
        <v>15000000</v>
      </c>
      <c r="H71" s="84">
        <v>110045958.69623154</v>
      </c>
      <c r="I71" s="84">
        <v>122754352</v>
      </c>
      <c r="J71" s="84">
        <v>12708393.303768456</v>
      </c>
      <c r="K71" s="84"/>
    </row>
    <row r="72" spans="1:11" ht="13.2">
      <c r="A72" s="81">
        <v>63</v>
      </c>
      <c r="B72" s="84">
        <v>59298375</v>
      </c>
      <c r="C72" s="84">
        <v>59298375</v>
      </c>
      <c r="D72" s="84">
        <v>24303890.635663506</v>
      </c>
      <c r="E72" s="84">
        <v>41866840.13989757</v>
      </c>
      <c r="F72" s="84">
        <v>29090766.891931605</v>
      </c>
      <c r="G72" s="84">
        <v>15000000</v>
      </c>
      <c r="H72" s="84">
        <v>110261497.66749269</v>
      </c>
      <c r="I72" s="84">
        <v>118596750</v>
      </c>
      <c r="J72" s="84">
        <v>8335252.3325073123</v>
      </c>
      <c r="K72" s="84"/>
    </row>
    <row r="73" spans="1:11" ht="13.2">
      <c r="A73" s="81">
        <v>64</v>
      </c>
      <c r="B73" s="84">
        <v>57592521</v>
      </c>
      <c r="C73" s="84">
        <v>57592521</v>
      </c>
      <c r="D73" s="84">
        <v>22693463.505529139</v>
      </c>
      <c r="E73" s="84">
        <v>42922185.487366974</v>
      </c>
      <c r="F73" s="84">
        <v>26496604.410794768</v>
      </c>
      <c r="G73" s="84">
        <v>15000000</v>
      </c>
      <c r="H73" s="84">
        <v>107112253.40369087</v>
      </c>
      <c r="I73" s="84">
        <v>115185042</v>
      </c>
      <c r="J73" s="84">
        <v>8072788.5963091254</v>
      </c>
      <c r="K73" s="84"/>
    </row>
    <row r="74" spans="1:11" ht="13.2">
      <c r="A74" s="81">
        <v>65</v>
      </c>
      <c r="B74" s="84">
        <v>52204635.5</v>
      </c>
      <c r="C74" s="84">
        <v>52204635.5</v>
      </c>
      <c r="D74" s="84">
        <v>25237082.434057835</v>
      </c>
      <c r="E74" s="84">
        <v>43646896.900794178</v>
      </c>
      <c r="F74" s="84">
        <v>28266700.790533829</v>
      </c>
      <c r="G74" s="84">
        <v>15000000</v>
      </c>
      <c r="H74" s="84">
        <v>112150680.12538584</v>
      </c>
      <c r="I74" s="84">
        <v>104409271</v>
      </c>
      <c r="J74" s="84">
        <v>-7741409.1253858358</v>
      </c>
      <c r="K74" s="84"/>
    </row>
    <row r="75" spans="1:11" ht="13.2">
      <c r="A75" s="81">
        <v>66</v>
      </c>
      <c r="B75" s="84">
        <v>59351504.5</v>
      </c>
      <c r="C75" s="84">
        <v>59351504.5</v>
      </c>
      <c r="D75" s="84">
        <v>22162878.489668399</v>
      </c>
      <c r="E75" s="84">
        <v>43436227.874354109</v>
      </c>
      <c r="F75" s="84">
        <v>26863357.350202817</v>
      </c>
      <c r="G75" s="84">
        <v>15000000</v>
      </c>
      <c r="H75" s="84">
        <v>107462463.71422532</v>
      </c>
      <c r="I75" s="84">
        <v>118703009</v>
      </c>
      <c r="J75" s="84">
        <v>11240545.285774678</v>
      </c>
      <c r="K75" s="84"/>
    </row>
    <row r="76" spans="1:11" ht="13.2">
      <c r="A76" s="81">
        <v>67</v>
      </c>
      <c r="B76" s="84">
        <v>59861642</v>
      </c>
      <c r="C76" s="84">
        <v>59861642</v>
      </c>
      <c r="D76" s="84">
        <v>24708978.478791934</v>
      </c>
      <c r="E76" s="84">
        <v>42240522.321904726</v>
      </c>
      <c r="F76" s="84">
        <v>29658686.764147218</v>
      </c>
      <c r="G76" s="84">
        <v>15000000</v>
      </c>
      <c r="H76" s="84">
        <v>111608187.56484388</v>
      </c>
      <c r="I76" s="84">
        <v>119723284</v>
      </c>
      <c r="J76" s="84">
        <v>8115096.4351561219</v>
      </c>
      <c r="K76" s="84"/>
    </row>
    <row r="77" spans="1:11" ht="13.2">
      <c r="A77" s="81">
        <v>68</v>
      </c>
      <c r="B77" s="84">
        <v>57568927.5</v>
      </c>
      <c r="C77" s="84">
        <v>57568927.5</v>
      </c>
      <c r="D77" s="84">
        <v>22838515.062468506</v>
      </c>
      <c r="E77" s="84">
        <v>41142962.300964974</v>
      </c>
      <c r="F77" s="84">
        <v>27843529.657007646</v>
      </c>
      <c r="G77" s="84">
        <v>15000000</v>
      </c>
      <c r="H77" s="84">
        <v>106825007.02044113</v>
      </c>
      <c r="I77" s="84">
        <v>115137855</v>
      </c>
      <c r="J77" s="84">
        <v>8312847.9795588702</v>
      </c>
      <c r="K77" s="84"/>
    </row>
    <row r="78" spans="1:11" ht="13.2">
      <c r="A78" s="81">
        <v>69</v>
      </c>
      <c r="B78" s="84">
        <v>56152112</v>
      </c>
      <c r="C78" s="84">
        <v>56152112</v>
      </c>
      <c r="D78" s="84">
        <v>25507042.962626245</v>
      </c>
      <c r="E78" s="84">
        <v>43295657.024372786</v>
      </c>
      <c r="F78" s="84">
        <v>29516449.639551427</v>
      </c>
      <c r="G78" s="84">
        <v>15000000</v>
      </c>
      <c r="H78" s="84">
        <v>113319149.62655047</v>
      </c>
      <c r="I78" s="84">
        <v>112304224</v>
      </c>
      <c r="J78" s="84">
        <v>-1014925.6265504658</v>
      </c>
      <c r="K78" s="84"/>
    </row>
    <row r="79" spans="1:11" ht="13.2">
      <c r="A79" s="81">
        <v>70</v>
      </c>
      <c r="B79" s="84">
        <v>56073924.5</v>
      </c>
      <c r="C79" s="84">
        <v>56073924.5</v>
      </c>
      <c r="D79" s="84">
        <v>23909021.135466054</v>
      </c>
      <c r="E79" s="84">
        <v>42157729.145948999</v>
      </c>
      <c r="F79" s="84">
        <v>27564161.791935403</v>
      </c>
      <c r="G79" s="84">
        <v>15000000</v>
      </c>
      <c r="H79" s="84">
        <v>108630912.07335046</v>
      </c>
      <c r="I79" s="84">
        <v>112147849</v>
      </c>
      <c r="J79" s="84">
        <v>3516936.9266495407</v>
      </c>
      <c r="K79" s="84"/>
    </row>
    <row r="80" spans="1:11" ht="13.2">
      <c r="A80" s="81">
        <v>71</v>
      </c>
      <c r="B80" s="84">
        <v>52203831.5</v>
      </c>
      <c r="C80" s="84">
        <v>52203831.5</v>
      </c>
      <c r="D80" s="84">
        <v>22830777.780132364</v>
      </c>
      <c r="E80" s="84">
        <v>43275196.653739169</v>
      </c>
      <c r="F80" s="84">
        <v>26308285.074029472</v>
      </c>
      <c r="G80" s="84">
        <v>15000000</v>
      </c>
      <c r="H80" s="84">
        <v>107414259.50790101</v>
      </c>
      <c r="I80" s="84">
        <v>104407663</v>
      </c>
      <c r="J80" s="84">
        <v>-3006596.5079010129</v>
      </c>
      <c r="K80" s="84"/>
    </row>
    <row r="81" spans="1:11" ht="13.2">
      <c r="A81" s="81">
        <v>72</v>
      </c>
      <c r="B81" s="84">
        <v>55679322</v>
      </c>
      <c r="C81" s="84">
        <v>55679322</v>
      </c>
      <c r="D81" s="84">
        <v>26187347.556064386</v>
      </c>
      <c r="E81" s="84">
        <v>42771696.696378946</v>
      </c>
      <c r="F81" s="84">
        <v>27892913.180352081</v>
      </c>
      <c r="G81" s="84">
        <v>15000000</v>
      </c>
      <c r="H81" s="84">
        <v>111851957.43279541</v>
      </c>
      <c r="I81" s="84">
        <v>111358644</v>
      </c>
      <c r="J81" s="84">
        <v>-493313.43279540539</v>
      </c>
      <c r="K81" s="84"/>
    </row>
    <row r="82" spans="1:11" ht="13.2">
      <c r="A82" s="81">
        <v>73</v>
      </c>
      <c r="B82" s="84">
        <v>54092503</v>
      </c>
      <c r="C82" s="84">
        <v>54092503</v>
      </c>
      <c r="D82" s="84">
        <v>24839143.672162283</v>
      </c>
      <c r="E82" s="84">
        <v>43862194.884698324</v>
      </c>
      <c r="F82" s="84">
        <v>26112309.860572506</v>
      </c>
      <c r="G82" s="84">
        <v>15000000</v>
      </c>
      <c r="H82" s="84">
        <v>109813648.41743311</v>
      </c>
      <c r="I82" s="84">
        <v>108185006</v>
      </c>
      <c r="J82" s="84">
        <v>-1628642.4174331129</v>
      </c>
      <c r="K82" s="84"/>
    </row>
    <row r="83" spans="1:11" ht="13.2">
      <c r="A83" s="81">
        <v>74</v>
      </c>
      <c r="B83" s="84">
        <v>55166166.5</v>
      </c>
      <c r="C83" s="84">
        <v>55166166.5</v>
      </c>
      <c r="D83" s="84">
        <v>23236453.824364059</v>
      </c>
      <c r="E83" s="84">
        <v>41512195.29731255</v>
      </c>
      <c r="F83" s="84">
        <v>28623022.079731219</v>
      </c>
      <c r="G83" s="84">
        <v>15000000</v>
      </c>
      <c r="H83" s="84">
        <v>108371671.20140782</v>
      </c>
      <c r="I83" s="84">
        <v>110332333</v>
      </c>
      <c r="J83" s="84">
        <v>1960661.79859218</v>
      </c>
      <c r="K83" s="84"/>
    </row>
    <row r="84" spans="1:11" ht="13.2">
      <c r="A84" s="81">
        <v>75</v>
      </c>
      <c r="B84" s="84">
        <v>55350756</v>
      </c>
      <c r="C84" s="84">
        <v>55350756</v>
      </c>
      <c r="D84" s="84">
        <v>25249193.636480384</v>
      </c>
      <c r="E84" s="84">
        <v>42765157.97285147</v>
      </c>
      <c r="F84" s="84">
        <v>27182379.896027692</v>
      </c>
      <c r="G84" s="84">
        <v>15000000</v>
      </c>
      <c r="H84" s="84">
        <v>110196731.50535953</v>
      </c>
      <c r="I84" s="84">
        <v>110701512</v>
      </c>
      <c r="J84" s="84">
        <v>504780.49464046955</v>
      </c>
      <c r="K84" s="84"/>
    </row>
    <row r="85" spans="1:11" ht="13.2">
      <c r="A85" s="81">
        <v>76</v>
      </c>
      <c r="B85" s="84">
        <v>58163159.5</v>
      </c>
      <c r="C85" s="84">
        <v>58163159.5</v>
      </c>
      <c r="D85" s="84">
        <v>24053484.491302155</v>
      </c>
      <c r="E85" s="84">
        <v>41244200.512914047</v>
      </c>
      <c r="F85" s="84">
        <v>26043582.665867917</v>
      </c>
      <c r="G85" s="84">
        <v>15000000</v>
      </c>
      <c r="H85" s="84">
        <v>106341267.67008412</v>
      </c>
      <c r="I85" s="84">
        <v>116326319</v>
      </c>
      <c r="J85" s="84">
        <v>9985051.3299158812</v>
      </c>
      <c r="K85" s="84"/>
    </row>
    <row r="86" spans="1:11" ht="13.2">
      <c r="A86" s="81">
        <v>77</v>
      </c>
      <c r="B86" s="84">
        <v>58347968.5</v>
      </c>
      <c r="C86" s="84">
        <v>58347968.5</v>
      </c>
      <c r="D86" s="84">
        <v>23513269.333613705</v>
      </c>
      <c r="E86" s="84">
        <v>42962311.780873708</v>
      </c>
      <c r="F86" s="84">
        <v>26954909.007338166</v>
      </c>
      <c r="G86" s="84">
        <v>15000000</v>
      </c>
      <c r="H86" s="84">
        <v>108430490.12182558</v>
      </c>
      <c r="I86" s="84">
        <v>116695937</v>
      </c>
      <c r="J86" s="84">
        <v>8265446.8781744242</v>
      </c>
      <c r="K86" s="84"/>
    </row>
    <row r="87" spans="1:11" ht="13.2">
      <c r="A87" s="81">
        <v>78</v>
      </c>
      <c r="B87" s="84">
        <v>58065157.5</v>
      </c>
      <c r="C87" s="84">
        <v>58065157.5</v>
      </c>
      <c r="D87" s="84">
        <v>22838220.961916871</v>
      </c>
      <c r="E87" s="84">
        <v>43308510.296106249</v>
      </c>
      <c r="F87" s="84">
        <v>27158633.684612993</v>
      </c>
      <c r="G87" s="84">
        <v>15000000</v>
      </c>
      <c r="H87" s="84">
        <v>108305364.94263612</v>
      </c>
      <c r="I87" s="84">
        <v>116130315</v>
      </c>
      <c r="J87" s="84">
        <v>7824950.0573638827</v>
      </c>
      <c r="K87" s="84"/>
    </row>
    <row r="88" spans="1:11" ht="13.2">
      <c r="A88" s="81">
        <v>79</v>
      </c>
      <c r="B88" s="84">
        <v>57888130.5</v>
      </c>
      <c r="C88" s="84">
        <v>57888130.5</v>
      </c>
      <c r="D88" s="84">
        <v>24578813.285421588</v>
      </c>
      <c r="E88" s="84">
        <v>42407539.801747479</v>
      </c>
      <c r="F88" s="84">
        <v>25217449.303637728</v>
      </c>
      <c r="G88" s="84">
        <v>15000000</v>
      </c>
      <c r="H88" s="84">
        <v>107203802.39080679</v>
      </c>
      <c r="I88" s="84">
        <v>115776261</v>
      </c>
      <c r="J88" s="84">
        <v>8572458.6091932058</v>
      </c>
      <c r="K88" s="84"/>
    </row>
    <row r="89" spans="1:11" ht="13.2">
      <c r="A89" s="81">
        <v>80</v>
      </c>
      <c r="B89" s="84">
        <v>51576399.5</v>
      </c>
      <c r="C89" s="84">
        <v>51576399.5</v>
      </c>
      <c r="D89" s="84">
        <v>25386802.011635244</v>
      </c>
      <c r="E89" s="84">
        <v>42393906.98153761</v>
      </c>
      <c r="F89" s="84">
        <v>27052225.68255255</v>
      </c>
      <c r="G89" s="84">
        <v>15000000</v>
      </c>
      <c r="H89" s="84">
        <v>109832934.6757254</v>
      </c>
      <c r="I89" s="84">
        <v>103152799</v>
      </c>
      <c r="J89" s="84">
        <v>-6680135.6757254004</v>
      </c>
      <c r="K89" s="84"/>
    </row>
    <row r="90" spans="1:11" ht="13.2">
      <c r="A90" s="81">
        <v>81</v>
      </c>
      <c r="B90" s="84">
        <v>60020340.5</v>
      </c>
      <c r="C90" s="84">
        <v>60020340.5</v>
      </c>
      <c r="D90" s="84">
        <v>24834475.651524242</v>
      </c>
      <c r="E90" s="84">
        <v>43148157.587405838</v>
      </c>
      <c r="F90" s="84">
        <v>26255366.477004133</v>
      </c>
      <c r="G90" s="84">
        <v>15000000</v>
      </c>
      <c r="H90" s="84">
        <v>109237999.71593422</v>
      </c>
      <c r="I90" s="84">
        <v>120040681</v>
      </c>
      <c r="J90" s="84">
        <v>10802681.284065783</v>
      </c>
      <c r="K90" s="84"/>
    </row>
    <row r="91" spans="1:11" ht="13.2">
      <c r="A91" s="81">
        <v>82</v>
      </c>
      <c r="B91" s="84">
        <v>58218770.5</v>
      </c>
      <c r="C91" s="84">
        <v>58218770.5</v>
      </c>
      <c r="D91" s="84">
        <v>25244525.615842342</v>
      </c>
      <c r="E91" s="84">
        <v>43314603.662999801</v>
      </c>
      <c r="F91" s="84">
        <v>26692785.460588533</v>
      </c>
      <c r="G91" s="84">
        <v>15000000</v>
      </c>
      <c r="H91" s="84">
        <v>110251914.73943068</v>
      </c>
      <c r="I91" s="84">
        <v>116437541</v>
      </c>
      <c r="J91" s="84">
        <v>6185626.2605693191</v>
      </c>
      <c r="K91" s="84"/>
    </row>
    <row r="92" spans="1:11" ht="13.2">
      <c r="A92" s="81">
        <v>83</v>
      </c>
      <c r="B92" s="84">
        <v>57543622</v>
      </c>
      <c r="C92" s="84">
        <v>57543622</v>
      </c>
      <c r="D92" s="84">
        <v>22700906.687313646</v>
      </c>
      <c r="E92" s="84">
        <v>43254535.479757123</v>
      </c>
      <c r="F92" s="84">
        <v>25583258.918070439</v>
      </c>
      <c r="G92" s="84">
        <v>15000000</v>
      </c>
      <c r="H92" s="84">
        <v>106538701.08514121</v>
      </c>
      <c r="I92" s="84">
        <v>115087244</v>
      </c>
      <c r="J92" s="84">
        <v>8548542.9148587883</v>
      </c>
      <c r="K92" s="84"/>
    </row>
    <row r="93" spans="1:11" ht="13.2">
      <c r="A93" s="81">
        <v>84</v>
      </c>
      <c r="B93" s="84">
        <v>56371415</v>
      </c>
      <c r="C93" s="84">
        <v>56371415</v>
      </c>
      <c r="D93" s="84">
        <v>22698131.526167177</v>
      </c>
      <c r="E93" s="84">
        <v>44481750.652928345</v>
      </c>
      <c r="F93" s="84">
        <v>28411042.668442734</v>
      </c>
      <c r="G93" s="84">
        <v>15000000</v>
      </c>
      <c r="H93" s="84">
        <v>110590924.84753826</v>
      </c>
      <c r="I93" s="84">
        <v>112742830</v>
      </c>
      <c r="J93" s="84">
        <v>2151905.1524617374</v>
      </c>
      <c r="K93" s="84"/>
    </row>
    <row r="94" spans="1:11" ht="13.2">
      <c r="A94" s="81">
        <v>85</v>
      </c>
      <c r="B94" s="84">
        <v>55581891.5</v>
      </c>
      <c r="C94" s="84">
        <v>55581891.5</v>
      </c>
      <c r="D94" s="84">
        <v>22030232.235703215</v>
      </c>
      <c r="E94" s="84">
        <v>44780390.63822259</v>
      </c>
      <c r="F94" s="84">
        <v>27162769.002981525</v>
      </c>
      <c r="G94" s="84">
        <v>15000000</v>
      </c>
      <c r="H94" s="84">
        <v>108973391.87690733</v>
      </c>
      <c r="I94" s="84">
        <v>111163783</v>
      </c>
      <c r="J94" s="84">
        <v>2190391.1230926663</v>
      </c>
      <c r="K94" s="84"/>
    </row>
    <row r="95" spans="1:11" ht="13.2">
      <c r="A95" s="81">
        <v>86</v>
      </c>
      <c r="B95" s="84">
        <v>52067367</v>
      </c>
      <c r="C95" s="84">
        <v>52067367</v>
      </c>
      <c r="D95" s="84">
        <v>22705574.707951684</v>
      </c>
      <c r="E95" s="84">
        <v>44094580.375523485</v>
      </c>
      <c r="F95" s="84">
        <v>27333605.239284657</v>
      </c>
      <c r="G95" s="84">
        <v>15000000</v>
      </c>
      <c r="H95" s="84">
        <v>109133760.32275984</v>
      </c>
      <c r="I95" s="84">
        <v>104134734</v>
      </c>
      <c r="J95" s="84">
        <v>-4999026.3227598369</v>
      </c>
      <c r="K95" s="84"/>
    </row>
    <row r="96" spans="1:11" ht="13.2">
      <c r="A96" s="81">
        <v>87</v>
      </c>
      <c r="B96" s="84">
        <v>62942267.5</v>
      </c>
      <c r="C96" s="84">
        <v>62942267.5</v>
      </c>
      <c r="D96" s="84">
        <v>25654575.580160446</v>
      </c>
      <c r="E96" s="84">
        <v>44911319.040202871</v>
      </c>
      <c r="F96" s="84">
        <v>25899765.026132796</v>
      </c>
      <c r="G96" s="84">
        <v>15000000</v>
      </c>
      <c r="H96" s="84">
        <v>111465659.64649612</v>
      </c>
      <c r="I96" s="84">
        <v>125884535</v>
      </c>
      <c r="J96" s="84">
        <v>14418875.353503883</v>
      </c>
      <c r="K96" s="84"/>
    </row>
    <row r="97" spans="1:11" ht="13.2">
      <c r="A97" s="81">
        <v>88</v>
      </c>
      <c r="B97" s="84">
        <v>53420821</v>
      </c>
      <c r="C97" s="84">
        <v>53420821</v>
      </c>
      <c r="D97" s="84">
        <v>23245495.765088499</v>
      </c>
      <c r="E97" s="84">
        <v>42344460.184662439</v>
      </c>
      <c r="F97" s="84">
        <v>26305609.316975873</v>
      </c>
      <c r="G97" s="84">
        <v>15000000</v>
      </c>
      <c r="H97" s="84">
        <v>106895565.26672681</v>
      </c>
      <c r="I97" s="84">
        <v>106841642</v>
      </c>
      <c r="J97" s="84">
        <v>-53923.26672680676</v>
      </c>
      <c r="K97" s="84"/>
    </row>
    <row r="98" spans="1:11" ht="13.2">
      <c r="A98" s="81">
        <v>89</v>
      </c>
      <c r="B98" s="84">
        <v>55890519.5</v>
      </c>
      <c r="C98" s="84">
        <v>55890519.5</v>
      </c>
      <c r="D98" s="84">
        <v>25249193.636480384</v>
      </c>
      <c r="E98" s="84">
        <v>42715977.277099214</v>
      </c>
      <c r="F98" s="84">
        <v>30806305.721496258</v>
      </c>
      <c r="G98" s="84">
        <v>15000000</v>
      </c>
      <c r="H98" s="84">
        <v>113771476.63507585</v>
      </c>
      <c r="I98" s="84">
        <v>111781039</v>
      </c>
      <c r="J98" s="84">
        <v>-1990437.6350758523</v>
      </c>
      <c r="K98" s="84"/>
    </row>
    <row r="99" spans="1:11" ht="13.2">
      <c r="A99" s="81">
        <v>90</v>
      </c>
      <c r="B99" s="84">
        <v>52005792.5</v>
      </c>
      <c r="C99" s="84">
        <v>52005792.5</v>
      </c>
      <c r="D99" s="84">
        <v>22700906.687313646</v>
      </c>
      <c r="E99" s="84">
        <v>43796186.22051318</v>
      </c>
      <c r="F99" s="84">
        <v>26235130.905371379</v>
      </c>
      <c r="G99" s="84">
        <v>15000000</v>
      </c>
      <c r="H99" s="84">
        <v>107732223.81319821</v>
      </c>
      <c r="I99" s="84">
        <v>104011585</v>
      </c>
      <c r="J99" s="84">
        <v>-3720638.8131982088</v>
      </c>
      <c r="K99" s="84"/>
    </row>
    <row r="100" spans="1:11" ht="13.2">
      <c r="A100" s="81">
        <v>91</v>
      </c>
      <c r="B100" s="84">
        <v>62603664.5</v>
      </c>
      <c r="C100" s="84">
        <v>62603664.5</v>
      </c>
      <c r="D100" s="84">
        <v>25652094.519565612</v>
      </c>
      <c r="E100" s="84">
        <v>43497482.19308956</v>
      </c>
      <c r="F100" s="84">
        <v>28409290.959230497</v>
      </c>
      <c r="G100" s="84">
        <v>15000000</v>
      </c>
      <c r="H100" s="84">
        <v>112558867.67188567</v>
      </c>
      <c r="I100" s="84">
        <v>125207329</v>
      </c>
      <c r="J100" s="84">
        <v>12648461.328114331</v>
      </c>
      <c r="K100" s="84"/>
    </row>
    <row r="101" spans="1:11" ht="13.2">
      <c r="A101" s="81">
        <v>92</v>
      </c>
      <c r="B101" s="84">
        <v>56904734.5</v>
      </c>
      <c r="C101" s="84">
        <v>56904734.5</v>
      </c>
      <c r="D101" s="84">
        <v>23774187.921457671</v>
      </c>
      <c r="E101" s="84">
        <v>42211615.110665813</v>
      </c>
      <c r="F101" s="84">
        <v>28086869.154890023</v>
      </c>
      <c r="G101" s="84">
        <v>15000000</v>
      </c>
      <c r="H101" s="84">
        <v>109072672.18701351</v>
      </c>
      <c r="I101" s="84">
        <v>113809469</v>
      </c>
      <c r="J101" s="84">
        <v>4736796.8129864931</v>
      </c>
      <c r="K101" s="84"/>
    </row>
    <row r="102" spans="1:11" ht="13.2">
      <c r="A102" s="81">
        <v>93</v>
      </c>
      <c r="B102" s="84">
        <v>57950715</v>
      </c>
      <c r="C102" s="84">
        <v>57950715</v>
      </c>
      <c r="D102" s="84">
        <v>23774187.921457671</v>
      </c>
      <c r="E102" s="84">
        <v>43300608.177240446</v>
      </c>
      <c r="F102" s="84">
        <v>27128574.675211918</v>
      </c>
      <c r="G102" s="84">
        <v>15000000</v>
      </c>
      <c r="H102" s="84">
        <v>109203370.77391003</v>
      </c>
      <c r="I102" s="84">
        <v>115901430</v>
      </c>
      <c r="J102" s="84">
        <v>6698059.2260899693</v>
      </c>
      <c r="K102" s="84"/>
    </row>
    <row r="103" spans="1:11" ht="13.2">
      <c r="A103" s="81">
        <v>94</v>
      </c>
      <c r="B103" s="84">
        <v>60222699.5</v>
      </c>
      <c r="C103" s="84">
        <v>60222699.5</v>
      </c>
      <c r="D103" s="84">
        <v>23370698.837269176</v>
      </c>
      <c r="E103" s="84">
        <v>41765491.965815656</v>
      </c>
      <c r="F103" s="84">
        <v>25976872.234504104</v>
      </c>
      <c r="G103" s="84">
        <v>15000000</v>
      </c>
      <c r="H103" s="84">
        <v>106113063.03758894</v>
      </c>
      <c r="I103" s="84">
        <v>120445399</v>
      </c>
      <c r="J103" s="84">
        <v>14332335.962411061</v>
      </c>
      <c r="K103" s="84"/>
    </row>
    <row r="104" spans="1:11" ht="13.2">
      <c r="A104" s="81">
        <v>95</v>
      </c>
      <c r="B104" s="84">
        <v>54111706</v>
      </c>
      <c r="C104" s="84">
        <v>54111706</v>
      </c>
      <c r="D104" s="84">
        <v>22705574.707951684</v>
      </c>
      <c r="E104" s="84">
        <v>42400858.228118882</v>
      </c>
      <c r="F104" s="84">
        <v>27543821.649894234</v>
      </c>
      <c r="G104" s="84">
        <v>15000000</v>
      </c>
      <c r="H104" s="84">
        <v>107650254.5859648</v>
      </c>
      <c r="I104" s="84">
        <v>108223412</v>
      </c>
      <c r="J104" s="84">
        <v>573157.41403520107</v>
      </c>
      <c r="K104" s="84"/>
    </row>
    <row r="105" spans="1:11" ht="13.2">
      <c r="A105" s="81">
        <v>96</v>
      </c>
      <c r="B105" s="84">
        <v>59524254.5</v>
      </c>
      <c r="C105" s="84">
        <v>59524254.5</v>
      </c>
      <c r="D105" s="84">
        <v>25514192.043859117</v>
      </c>
      <c r="E105" s="84">
        <v>42586447.49864994</v>
      </c>
      <c r="F105" s="84">
        <v>27324645.099309031</v>
      </c>
      <c r="G105" s="84">
        <v>15000000</v>
      </c>
      <c r="H105" s="84">
        <v>110425284.64181808</v>
      </c>
      <c r="I105" s="84">
        <v>119048509</v>
      </c>
      <c r="J105" s="84">
        <v>8623224.3581819236</v>
      </c>
      <c r="K105" s="84"/>
    </row>
    <row r="106" spans="1:11" ht="13.2">
      <c r="A106" s="81">
        <v>97</v>
      </c>
      <c r="B106" s="84">
        <v>56537866</v>
      </c>
      <c r="C106" s="84">
        <v>56537866</v>
      </c>
      <c r="D106" s="84">
        <v>24841918.833308749</v>
      </c>
      <c r="E106" s="84">
        <v>43102497.884159602</v>
      </c>
      <c r="F106" s="84">
        <v>27668148.325219631</v>
      </c>
      <c r="G106" s="84">
        <v>15000000</v>
      </c>
      <c r="H106" s="84">
        <v>110612565.04268798</v>
      </c>
      <c r="I106" s="84">
        <v>113075732</v>
      </c>
      <c r="J106" s="84">
        <v>2463166.9573120177</v>
      </c>
      <c r="K106" s="84"/>
    </row>
    <row r="107" spans="1:11" ht="13.2">
      <c r="A107" s="81">
        <v>98</v>
      </c>
      <c r="B107" s="84">
        <v>55084502.5</v>
      </c>
      <c r="C107" s="84">
        <v>55084502.5</v>
      </c>
      <c r="D107" s="84">
        <v>22428170.997598771</v>
      </c>
      <c r="E107" s="84">
        <v>43143129.8913109</v>
      </c>
      <c r="F107" s="84">
        <v>25191361.13006299</v>
      </c>
      <c r="G107" s="84">
        <v>15000000</v>
      </c>
      <c r="H107" s="84">
        <v>105762662.01897267</v>
      </c>
      <c r="I107" s="84">
        <v>110169005</v>
      </c>
      <c r="J107" s="84">
        <v>4406342.9810273349</v>
      </c>
      <c r="K107" s="84"/>
    </row>
    <row r="108" spans="1:11" ht="13.2">
      <c r="A108" s="81">
        <v>99</v>
      </c>
      <c r="B108" s="84">
        <v>59326743.5</v>
      </c>
      <c r="C108" s="84">
        <v>59326743.5</v>
      </c>
      <c r="D108" s="84">
        <v>23096070.288062733</v>
      </c>
      <c r="E108" s="84">
        <v>41938703.995880008</v>
      </c>
      <c r="F108" s="84">
        <v>25605727.670772959</v>
      </c>
      <c r="G108" s="84">
        <v>15000000</v>
      </c>
      <c r="H108" s="84">
        <v>105640501.9547157</v>
      </c>
      <c r="I108" s="84">
        <v>118653487</v>
      </c>
      <c r="J108" s="84">
        <v>13012985.045284301</v>
      </c>
      <c r="K108" s="84"/>
    </row>
    <row r="109" spans="1:11" ht="13.2">
      <c r="A109" s="81">
        <v>100</v>
      </c>
      <c r="B109" s="84">
        <v>55659177.5</v>
      </c>
      <c r="C109" s="84">
        <v>55659177.5</v>
      </c>
      <c r="D109" s="84">
        <v>26319699.709477935</v>
      </c>
      <c r="E109" s="84">
        <v>43258348.315456584</v>
      </c>
      <c r="F109" s="84">
        <v>29601922.554631151</v>
      </c>
      <c r="G109" s="84">
        <v>15000000</v>
      </c>
      <c r="H109" s="84">
        <v>114179970.57956567</v>
      </c>
      <c r="I109" s="84">
        <v>111318355</v>
      </c>
      <c r="J109" s="84">
        <v>-2861615.5795656741</v>
      </c>
      <c r="K109" s="84"/>
    </row>
    <row r="110" spans="1:11" ht="13.2">
      <c r="A110" s="81">
        <v>101</v>
      </c>
      <c r="B110" s="84">
        <v>53349007</v>
      </c>
      <c r="C110" s="84">
        <v>53349007</v>
      </c>
      <c r="D110" s="84">
        <v>24851254.874584831</v>
      </c>
      <c r="E110" s="84">
        <v>42349307.155143373</v>
      </c>
      <c r="F110" s="84">
        <v>28782809.12903915</v>
      </c>
      <c r="G110" s="84">
        <v>15000000</v>
      </c>
      <c r="H110" s="84">
        <v>110983371.15876736</v>
      </c>
      <c r="I110" s="84">
        <v>106698014</v>
      </c>
      <c r="J110" s="84">
        <v>-4285357.1587673575</v>
      </c>
      <c r="K110" s="84"/>
    </row>
    <row r="111" spans="1:11" ht="13.2">
      <c r="A111" s="81">
        <v>102</v>
      </c>
      <c r="B111" s="84">
        <v>53964445.5</v>
      </c>
      <c r="C111" s="84">
        <v>53964445.5</v>
      </c>
      <c r="D111" s="84">
        <v>25779778.65234112</v>
      </c>
      <c r="E111" s="84">
        <v>42113754.523616105</v>
      </c>
      <c r="F111" s="84">
        <v>26626908.894312505</v>
      </c>
      <c r="G111" s="84">
        <v>15000000</v>
      </c>
      <c r="H111" s="84">
        <v>109520442.07026973</v>
      </c>
      <c r="I111" s="84">
        <v>107928891</v>
      </c>
      <c r="J111" s="84">
        <v>-1591551.0702697337</v>
      </c>
      <c r="K111" s="84"/>
    </row>
    <row r="112" spans="1:11" ht="13.2">
      <c r="A112" s="81">
        <v>103</v>
      </c>
      <c r="B112" s="84">
        <v>59662892</v>
      </c>
      <c r="C112" s="84">
        <v>59662892</v>
      </c>
      <c r="D112" s="84">
        <v>23759301.557888653</v>
      </c>
      <c r="E112" s="84">
        <v>42055150.198090866</v>
      </c>
      <c r="F112" s="84">
        <v>27641766.028124481</v>
      </c>
      <c r="G112" s="84">
        <v>15000000</v>
      </c>
      <c r="H112" s="84">
        <v>108456217.784104</v>
      </c>
      <c r="I112" s="84">
        <v>119325784</v>
      </c>
      <c r="J112" s="84">
        <v>10869566.215895995</v>
      </c>
      <c r="K112" s="84"/>
    </row>
    <row r="113" spans="1:11" ht="13.2">
      <c r="A113" s="81">
        <v>104</v>
      </c>
      <c r="B113" s="84">
        <v>61461741</v>
      </c>
      <c r="C113" s="84">
        <v>61461741</v>
      </c>
      <c r="D113" s="84">
        <v>23773305.619802769</v>
      </c>
      <c r="E113" s="84">
        <v>43298938.308652811</v>
      </c>
      <c r="F113" s="84">
        <v>27492365.607852928</v>
      </c>
      <c r="G113" s="84">
        <v>15000000</v>
      </c>
      <c r="H113" s="84">
        <v>109564609.5363085</v>
      </c>
      <c r="I113" s="84">
        <v>122923482</v>
      </c>
      <c r="J113" s="84">
        <v>13358872.463691503</v>
      </c>
      <c r="K113" s="84"/>
    </row>
    <row r="114" spans="1:11" ht="13.2">
      <c r="A114" s="81">
        <v>105</v>
      </c>
      <c r="B114" s="84">
        <v>53217412</v>
      </c>
      <c r="C114" s="84">
        <v>53217412</v>
      </c>
      <c r="D114" s="84">
        <v>24716715.761128075</v>
      </c>
      <c r="E114" s="84">
        <v>42491753.694446586</v>
      </c>
      <c r="F114" s="84">
        <v>27068357.991912395</v>
      </c>
      <c r="G114" s="84">
        <v>15000000</v>
      </c>
      <c r="H114" s="84">
        <v>109276827.44748706</v>
      </c>
      <c r="I114" s="84">
        <v>106434824</v>
      </c>
      <c r="J114" s="84">
        <v>-2842003.4474870563</v>
      </c>
      <c r="K114" s="84"/>
    </row>
    <row r="115" spans="1:11" ht="13.2">
      <c r="A115" s="81">
        <v>106</v>
      </c>
      <c r="B115" s="84">
        <v>59035178</v>
      </c>
      <c r="C115" s="84">
        <v>59035178</v>
      </c>
      <c r="D115" s="84">
        <v>24711165.43883514</v>
      </c>
      <c r="E115" s="84">
        <v>43336356.706609488</v>
      </c>
      <c r="F115" s="84">
        <v>28321128.646149501</v>
      </c>
      <c r="G115" s="84">
        <v>15000000</v>
      </c>
      <c r="H115" s="84">
        <v>111368650.79159413</v>
      </c>
      <c r="I115" s="84">
        <v>118070356</v>
      </c>
      <c r="J115" s="84">
        <v>6701705.2084058672</v>
      </c>
      <c r="K115" s="84"/>
    </row>
    <row r="116" spans="1:11" ht="13.2">
      <c r="A116" s="81">
        <v>107</v>
      </c>
      <c r="B116" s="84">
        <v>57937547.5</v>
      </c>
      <c r="C116" s="84">
        <v>57937547.5</v>
      </c>
      <c r="D116" s="84">
        <v>24981714.168506812</v>
      </c>
      <c r="E116" s="84">
        <v>42362226.144876912</v>
      </c>
      <c r="F116" s="84">
        <v>28775564.056208234</v>
      </c>
      <c r="G116" s="84">
        <v>15000000</v>
      </c>
      <c r="H116" s="84">
        <v>111119504.36959197</v>
      </c>
      <c r="I116" s="84">
        <v>115875095</v>
      </c>
      <c r="J116" s="84">
        <v>4755590.6304080337</v>
      </c>
      <c r="K116" s="84"/>
    </row>
    <row r="117" spans="1:11" ht="13.2">
      <c r="A117" s="81">
        <v>108</v>
      </c>
      <c r="B117" s="84">
        <v>56772653.5</v>
      </c>
      <c r="C117" s="84">
        <v>56772653.5</v>
      </c>
      <c r="D117" s="84">
        <v>24569477.244145505</v>
      </c>
      <c r="E117" s="84">
        <v>42302208.524168693</v>
      </c>
      <c r="F117" s="84">
        <v>29317222.294348508</v>
      </c>
      <c r="G117" s="84">
        <v>15000000</v>
      </c>
      <c r="H117" s="84">
        <v>111188908.06266271</v>
      </c>
      <c r="I117" s="84">
        <v>113545307</v>
      </c>
      <c r="J117" s="84">
        <v>2356398.9373372942</v>
      </c>
      <c r="K117" s="84"/>
    </row>
    <row r="118" spans="1:11" ht="13.2">
      <c r="A118" s="81">
        <v>109</v>
      </c>
      <c r="B118" s="84">
        <v>65130914</v>
      </c>
      <c r="C118" s="84">
        <v>65130914</v>
      </c>
      <c r="D118" s="84">
        <v>23105994.530442078</v>
      </c>
      <c r="E118" s="84">
        <v>43127829.223226607</v>
      </c>
      <c r="F118" s="84">
        <v>27628693.549905043</v>
      </c>
      <c r="G118" s="84">
        <v>15000000</v>
      </c>
      <c r="H118" s="84">
        <v>108862517.30357373</v>
      </c>
      <c r="I118" s="84">
        <v>130261828</v>
      </c>
      <c r="J118" s="84">
        <v>21399310.696426272</v>
      </c>
      <c r="K118" s="84"/>
    </row>
    <row r="119" spans="1:11" ht="13.2">
      <c r="A119" s="81">
        <v>110</v>
      </c>
      <c r="B119" s="84">
        <v>51311182</v>
      </c>
      <c r="C119" s="84">
        <v>51311182</v>
      </c>
      <c r="D119" s="84">
        <v>24846880.954498425</v>
      </c>
      <c r="E119" s="84">
        <v>42311048.743018597</v>
      </c>
      <c r="F119" s="84">
        <v>25694681.150625926</v>
      </c>
      <c r="G119" s="84">
        <v>15000000</v>
      </c>
      <c r="H119" s="84">
        <v>107852610.84814295</v>
      </c>
      <c r="I119" s="84">
        <v>102622364</v>
      </c>
      <c r="J119" s="84">
        <v>-5230246.8481429517</v>
      </c>
      <c r="K119" s="84"/>
    </row>
    <row r="120" spans="1:11" ht="13.2">
      <c r="A120" s="81">
        <v>111</v>
      </c>
      <c r="B120" s="84">
        <v>57402821.5</v>
      </c>
      <c r="C120" s="84">
        <v>57402821.5</v>
      </c>
      <c r="D120" s="84">
        <v>23231491.703174382</v>
      </c>
      <c r="E120" s="84">
        <v>43482095.838363625</v>
      </c>
      <c r="F120" s="84">
        <v>26771786.670641828</v>
      </c>
      <c r="G120" s="84">
        <v>15000000</v>
      </c>
      <c r="H120" s="84">
        <v>108485374.21217984</v>
      </c>
      <c r="I120" s="84">
        <v>114805643</v>
      </c>
      <c r="J120" s="84">
        <v>6320268.7878201604</v>
      </c>
      <c r="K120" s="84"/>
    </row>
    <row r="121" spans="1:11" ht="13.2">
      <c r="A121" s="81">
        <v>112</v>
      </c>
      <c r="B121" s="84">
        <v>52153595</v>
      </c>
      <c r="C121" s="84">
        <v>52153595</v>
      </c>
      <c r="D121" s="84">
        <v>25244525.615842342</v>
      </c>
      <c r="E121" s="84">
        <v>43350763.390053287</v>
      </c>
      <c r="F121" s="84">
        <v>28098185.504580487</v>
      </c>
      <c r="G121" s="84">
        <v>15000000</v>
      </c>
      <c r="H121" s="84">
        <v>111693474.51047611</v>
      </c>
      <c r="I121" s="84">
        <v>104307190</v>
      </c>
      <c r="J121" s="84">
        <v>-7386284.5104761124</v>
      </c>
      <c r="K121" s="84"/>
    </row>
    <row r="122" spans="1:11" ht="13.2">
      <c r="A122" s="81">
        <v>113</v>
      </c>
      <c r="B122" s="84">
        <v>58684734.5</v>
      </c>
      <c r="C122" s="84">
        <v>58684734.5</v>
      </c>
      <c r="D122" s="84">
        <v>24585962.366654463</v>
      </c>
      <c r="E122" s="84">
        <v>43181820.438225269</v>
      </c>
      <c r="F122" s="84">
        <v>26169575.946913112</v>
      </c>
      <c r="G122" s="84">
        <v>15000000</v>
      </c>
      <c r="H122" s="84">
        <v>108937358.75179283</v>
      </c>
      <c r="I122" s="84">
        <v>117369469</v>
      </c>
      <c r="J122" s="84">
        <v>8432110.2482071668</v>
      </c>
      <c r="K122" s="84"/>
    </row>
    <row r="123" spans="1:11" ht="13.2">
      <c r="A123" s="81">
        <v>114</v>
      </c>
      <c r="B123" s="84">
        <v>61364322.5</v>
      </c>
      <c r="C123" s="84">
        <v>61364322.5</v>
      </c>
      <c r="D123" s="84">
        <v>22177764.853237417</v>
      </c>
      <c r="E123" s="84">
        <v>43767726.829288155</v>
      </c>
      <c r="F123" s="84">
        <v>27842673.771755558</v>
      </c>
      <c r="G123" s="84">
        <v>15000000</v>
      </c>
      <c r="H123" s="84">
        <v>108788165.45428114</v>
      </c>
      <c r="I123" s="84">
        <v>122728645</v>
      </c>
      <c r="J123" s="84">
        <v>13940479.545718864</v>
      </c>
      <c r="K123" s="84"/>
    </row>
    <row r="124" spans="1:11" ht="13.2">
      <c r="A124" s="81">
        <v>115</v>
      </c>
      <c r="B124" s="84">
        <v>53627171</v>
      </c>
      <c r="C124" s="84">
        <v>53627171</v>
      </c>
      <c r="D124" s="84">
        <v>23498677.070596319</v>
      </c>
      <c r="E124" s="84">
        <v>43186385.241510145</v>
      </c>
      <c r="F124" s="84">
        <v>26261122.519312885</v>
      </c>
      <c r="G124" s="84">
        <v>15000000</v>
      </c>
      <c r="H124" s="84">
        <v>107946184.83141935</v>
      </c>
      <c r="I124" s="84">
        <v>107254342</v>
      </c>
      <c r="J124" s="84">
        <v>-691842.83141934872</v>
      </c>
      <c r="K124" s="84"/>
    </row>
    <row r="125" spans="1:11" ht="13.2">
      <c r="A125" s="81">
        <v>116</v>
      </c>
      <c r="B125" s="84">
        <v>61621804</v>
      </c>
      <c r="C125" s="84">
        <v>61621804</v>
      </c>
      <c r="D125" s="84">
        <v>26044777.059719853</v>
      </c>
      <c r="E125" s="84">
        <v>42388235.096611291</v>
      </c>
      <c r="F125" s="84">
        <v>28016773.905338831</v>
      </c>
      <c r="G125" s="84">
        <v>15000000</v>
      </c>
      <c r="H125" s="84">
        <v>111449786.06166998</v>
      </c>
      <c r="I125" s="84">
        <v>123243608</v>
      </c>
      <c r="J125" s="84">
        <v>11793821.938330024</v>
      </c>
      <c r="K125" s="84"/>
    </row>
    <row r="126" spans="1:11" ht="13.2">
      <c r="A126" s="81">
        <v>117</v>
      </c>
      <c r="B126" s="84">
        <v>58394220.5</v>
      </c>
      <c r="C126" s="84">
        <v>58394220.5</v>
      </c>
      <c r="D126" s="84">
        <v>24583481.306059629</v>
      </c>
      <c r="E126" s="84">
        <v>41856410.329128355</v>
      </c>
      <c r="F126" s="84">
        <v>26322923.611416496</v>
      </c>
      <c r="G126" s="84">
        <v>15000000</v>
      </c>
      <c r="H126" s="84">
        <v>107762815.24660447</v>
      </c>
      <c r="I126" s="84">
        <v>116788441</v>
      </c>
      <c r="J126" s="84">
        <v>9025625.7533955276</v>
      </c>
      <c r="K126" s="84"/>
    </row>
    <row r="127" spans="1:11" ht="13.2">
      <c r="A127" s="81">
        <v>118</v>
      </c>
      <c r="B127" s="84">
        <v>55067083</v>
      </c>
      <c r="C127" s="84">
        <v>55067083</v>
      </c>
      <c r="D127" s="84">
        <v>23513269.333613705</v>
      </c>
      <c r="E127" s="84">
        <v>43866465.500301264</v>
      </c>
      <c r="F127" s="84">
        <v>26609715.605142392</v>
      </c>
      <c r="G127" s="84">
        <v>15000000</v>
      </c>
      <c r="H127" s="84">
        <v>108989450.43905735</v>
      </c>
      <c r="I127" s="84">
        <v>110134166</v>
      </c>
      <c r="J127" s="84">
        <v>1144715.5609426498</v>
      </c>
      <c r="K127" s="84"/>
    </row>
    <row r="128" spans="1:11" ht="13.2">
      <c r="A128" s="81">
        <v>119</v>
      </c>
      <c r="B128" s="84">
        <v>57003125.5</v>
      </c>
      <c r="C128" s="84">
        <v>57003125.5</v>
      </c>
      <c r="D128" s="84">
        <v>24863366.077007379</v>
      </c>
      <c r="E128" s="84">
        <v>43401826.718688808</v>
      </c>
      <c r="F128" s="84">
        <v>26889059.83404582</v>
      </c>
      <c r="G128" s="84">
        <v>15000000</v>
      </c>
      <c r="H128" s="84">
        <v>110154252.629742</v>
      </c>
      <c r="I128" s="84">
        <v>114006251</v>
      </c>
      <c r="J128" s="84">
        <v>3851998.3702580035</v>
      </c>
      <c r="K128" s="84"/>
    </row>
    <row r="129" spans="1:11" ht="13.2">
      <c r="A129" s="81">
        <v>120</v>
      </c>
      <c r="B129" s="84">
        <v>60070452</v>
      </c>
      <c r="C129" s="84">
        <v>60070452</v>
      </c>
      <c r="D129" s="84">
        <v>24576626.325378381</v>
      </c>
      <c r="E129" s="84">
        <v>42235923.297722183</v>
      </c>
      <c r="F129" s="84">
        <v>26639067.195000052</v>
      </c>
      <c r="G129" s="84">
        <v>15000000</v>
      </c>
      <c r="H129" s="84">
        <v>108451616.81810062</v>
      </c>
      <c r="I129" s="84">
        <v>120140904</v>
      </c>
      <c r="J129" s="84">
        <v>11689287.181899384</v>
      </c>
      <c r="K129" s="84"/>
    </row>
    <row r="130" spans="1:11" ht="13.2">
      <c r="A130" s="81">
        <v>121</v>
      </c>
      <c r="B130" s="84">
        <v>57221221</v>
      </c>
      <c r="C130" s="84">
        <v>57221221</v>
      </c>
      <c r="D130" s="84">
        <v>25391470.032273281</v>
      </c>
      <c r="E130" s="84">
        <v>43570524.796149001</v>
      </c>
      <c r="F130" s="84">
        <v>26839427.084180664</v>
      </c>
      <c r="G130" s="84">
        <v>15000000</v>
      </c>
      <c r="H130" s="84">
        <v>110801421.91260295</v>
      </c>
      <c r="I130" s="84">
        <v>114442442</v>
      </c>
      <c r="J130" s="84">
        <v>3641020.0873970538</v>
      </c>
      <c r="K130" s="84"/>
    </row>
    <row r="131" spans="1:11" ht="13.2">
      <c r="A131" s="81">
        <v>122</v>
      </c>
      <c r="B131" s="84">
        <v>57665150</v>
      </c>
      <c r="C131" s="84">
        <v>57665150</v>
      </c>
      <c r="D131" s="84">
        <v>26449864.902848285</v>
      </c>
      <c r="E131" s="84">
        <v>43350262.816297069</v>
      </c>
      <c r="F131" s="84">
        <v>26986789.305673309</v>
      </c>
      <c r="G131" s="84">
        <v>15000000</v>
      </c>
      <c r="H131" s="84">
        <v>111786917.02481866</v>
      </c>
      <c r="I131" s="84">
        <v>115330300</v>
      </c>
      <c r="J131" s="84">
        <v>3543382.9751813412</v>
      </c>
      <c r="K131" s="84"/>
    </row>
    <row r="132" spans="1:11" ht="13.2">
      <c r="A132" s="81">
        <v>123</v>
      </c>
      <c r="B132" s="84">
        <v>56399698</v>
      </c>
      <c r="C132" s="84">
        <v>56399698</v>
      </c>
      <c r="D132" s="84">
        <v>23655545.729406603</v>
      </c>
      <c r="E132" s="84">
        <v>43404100.989982955</v>
      </c>
      <c r="F132" s="84">
        <v>27777470.827225495</v>
      </c>
      <c r="G132" s="84">
        <v>15000000</v>
      </c>
      <c r="H132" s="84">
        <v>109837117.54661505</v>
      </c>
      <c r="I132" s="84">
        <v>112799396</v>
      </c>
      <c r="J132" s="84">
        <v>2962278.4533849508</v>
      </c>
      <c r="K132" s="84"/>
    </row>
    <row r="133" spans="1:11" ht="13.2">
      <c r="A133" s="81">
        <v>124</v>
      </c>
      <c r="B133" s="84">
        <v>54316359</v>
      </c>
      <c r="C133" s="84">
        <v>54316359</v>
      </c>
      <c r="D133" s="84">
        <v>23759301.557888653</v>
      </c>
      <c r="E133" s="84">
        <v>42769118.349921413</v>
      </c>
      <c r="F133" s="84">
        <v>27526706.521880116</v>
      </c>
      <c r="G133" s="84">
        <v>15000000</v>
      </c>
      <c r="H133" s="84">
        <v>109055126.42969018</v>
      </c>
      <c r="I133" s="84">
        <v>108632718</v>
      </c>
      <c r="J133" s="84">
        <v>-422408.42969018221</v>
      </c>
      <c r="K133" s="84"/>
    </row>
    <row r="134" spans="1:11" ht="13.2">
      <c r="A134" s="81">
        <v>125</v>
      </c>
      <c r="B134" s="84">
        <v>59672191</v>
      </c>
      <c r="C134" s="84">
        <v>59672191</v>
      </c>
      <c r="D134" s="84">
        <v>22307930.046607766</v>
      </c>
      <c r="E134" s="84">
        <v>42566505.910582855</v>
      </c>
      <c r="F134" s="84">
        <v>24985908.600786984</v>
      </c>
      <c r="G134" s="84">
        <v>15000000</v>
      </c>
      <c r="H134" s="84">
        <v>104860344.5579776</v>
      </c>
      <c r="I134" s="84">
        <v>119344382</v>
      </c>
      <c r="J134" s="84">
        <v>14484037.442022398</v>
      </c>
      <c r="K134" s="84"/>
    </row>
    <row r="135" spans="1:11" ht="13.2">
      <c r="A135" s="81">
        <v>126</v>
      </c>
      <c r="B135" s="84">
        <v>57856899.5</v>
      </c>
      <c r="C135" s="84">
        <v>57856899.5</v>
      </c>
      <c r="D135" s="84">
        <v>22978310.397666566</v>
      </c>
      <c r="E135" s="84">
        <v>44003644.916612491</v>
      </c>
      <c r="F135" s="84">
        <v>27236244.395892553</v>
      </c>
      <c r="G135" s="84">
        <v>15000000</v>
      </c>
      <c r="H135" s="84">
        <v>109218199.71017161</v>
      </c>
      <c r="I135" s="84">
        <v>115713799</v>
      </c>
      <c r="J135" s="84">
        <v>6495599.2898283899</v>
      </c>
      <c r="K135" s="84"/>
    </row>
    <row r="136" spans="1:11" ht="13.2">
      <c r="A136" s="81">
        <v>127</v>
      </c>
      <c r="B136" s="84">
        <v>59926496.5</v>
      </c>
      <c r="C136" s="84">
        <v>59926496.5</v>
      </c>
      <c r="D136" s="84">
        <v>24585962.366654463</v>
      </c>
      <c r="E136" s="84">
        <v>44032090.765721619</v>
      </c>
      <c r="F136" s="84">
        <v>27406801.168198377</v>
      </c>
      <c r="G136" s="84">
        <v>15000000</v>
      </c>
      <c r="H136" s="84">
        <v>111024854.30057445</v>
      </c>
      <c r="I136" s="84">
        <v>119852993</v>
      </c>
      <c r="J136" s="84">
        <v>8828138.6994255483</v>
      </c>
      <c r="K136" s="84"/>
    </row>
    <row r="137" spans="1:11" ht="13.2">
      <c r="A137" s="81">
        <v>128</v>
      </c>
      <c r="B137" s="84">
        <v>58075397.5</v>
      </c>
      <c r="C137" s="84">
        <v>58075397.5</v>
      </c>
      <c r="D137" s="84">
        <v>22971161.31643369</v>
      </c>
      <c r="E137" s="84">
        <v>43328373.155833945</v>
      </c>
      <c r="F137" s="84">
        <v>26884562.679140363</v>
      </c>
      <c r="G137" s="84">
        <v>15000000</v>
      </c>
      <c r="H137" s="84">
        <v>108184097.151408</v>
      </c>
      <c r="I137" s="84">
        <v>116150795</v>
      </c>
      <c r="J137" s="84">
        <v>7966697.8485919982</v>
      </c>
      <c r="K137" s="84"/>
    </row>
    <row r="138" spans="1:11" ht="13.2">
      <c r="A138" s="81">
        <v>129</v>
      </c>
      <c r="B138" s="84">
        <v>55837613</v>
      </c>
      <c r="C138" s="84">
        <v>55837613</v>
      </c>
      <c r="D138" s="84">
        <v>24439312.050775155</v>
      </c>
      <c r="E138" s="84">
        <v>42334905.052798532</v>
      </c>
      <c r="F138" s="84">
        <v>29852879.4154949</v>
      </c>
      <c r="G138" s="84">
        <v>15000000</v>
      </c>
      <c r="H138" s="84">
        <v>111627096.51906858</v>
      </c>
      <c r="I138" s="84">
        <v>111675226</v>
      </c>
      <c r="J138" s="84">
        <v>48129.480931416154</v>
      </c>
      <c r="K138" s="84"/>
    </row>
    <row r="139" spans="1:11" ht="13.2">
      <c r="A139" s="81">
        <v>130</v>
      </c>
      <c r="B139" s="84">
        <v>55995118</v>
      </c>
      <c r="C139" s="84">
        <v>55995118</v>
      </c>
      <c r="D139" s="84">
        <v>24979233.107911974</v>
      </c>
      <c r="E139" s="84">
        <v>43099060.683616251</v>
      </c>
      <c r="F139" s="84">
        <v>26483098.732808229</v>
      </c>
      <c r="G139" s="84">
        <v>15000000</v>
      </c>
      <c r="H139" s="84">
        <v>109561392.52433646</v>
      </c>
      <c r="I139" s="84">
        <v>111990236</v>
      </c>
      <c r="J139" s="84">
        <v>2428843.4756635427</v>
      </c>
      <c r="K139" s="84"/>
    </row>
    <row r="140" spans="1:11" ht="13.2">
      <c r="A140" s="81">
        <v>131</v>
      </c>
      <c r="B140" s="84">
        <v>57507045</v>
      </c>
      <c r="C140" s="84">
        <v>57507045</v>
      </c>
      <c r="D140" s="84">
        <v>25379064.729299098</v>
      </c>
      <c r="E140" s="84">
        <v>43396466.668011934</v>
      </c>
      <c r="F140" s="84">
        <v>26642156.640585706</v>
      </c>
      <c r="G140" s="84">
        <v>15000000</v>
      </c>
      <c r="H140" s="84">
        <v>110417688.03789674</v>
      </c>
      <c r="I140" s="84">
        <v>115014090</v>
      </c>
      <c r="J140" s="84">
        <v>4596401.9621032625</v>
      </c>
      <c r="K140" s="84"/>
    </row>
    <row r="141" spans="1:11" ht="13.2">
      <c r="A141" s="81">
        <v>132</v>
      </c>
      <c r="B141" s="84">
        <v>52969420</v>
      </c>
      <c r="C141" s="84">
        <v>52969420</v>
      </c>
      <c r="D141" s="84">
        <v>24991344.310334526</v>
      </c>
      <c r="E141" s="84">
        <v>42172041.353193372</v>
      </c>
      <c r="F141" s="84">
        <v>27120746.427853659</v>
      </c>
      <c r="G141" s="84">
        <v>15000000</v>
      </c>
      <c r="H141" s="84">
        <v>109284132.09138156</v>
      </c>
      <c r="I141" s="84">
        <v>105938840</v>
      </c>
      <c r="J141" s="84">
        <v>-3345292.0913815647</v>
      </c>
      <c r="K141" s="84"/>
    </row>
    <row r="142" spans="1:11" ht="13.2">
      <c r="A142" s="81">
        <v>133</v>
      </c>
      <c r="B142" s="84">
        <v>56897689.5</v>
      </c>
      <c r="C142" s="84">
        <v>56897689.5</v>
      </c>
      <c r="D142" s="84">
        <v>25384615.051592037</v>
      </c>
      <c r="E142" s="84">
        <v>43131893.563842855</v>
      </c>
      <c r="F142" s="84">
        <v>27096400.464162361</v>
      </c>
      <c r="G142" s="84">
        <v>15000000</v>
      </c>
      <c r="H142" s="84">
        <v>110612909.07959725</v>
      </c>
      <c r="I142" s="84">
        <v>113795379</v>
      </c>
      <c r="J142" s="84">
        <v>3182469.9204027504</v>
      </c>
      <c r="K142" s="84"/>
    </row>
    <row r="143" spans="1:11" ht="13.2">
      <c r="A143" s="81">
        <v>134</v>
      </c>
      <c r="B143" s="84">
        <v>58899218</v>
      </c>
      <c r="C143" s="84">
        <v>58899218</v>
      </c>
      <c r="D143" s="84">
        <v>25656762.54020365</v>
      </c>
      <c r="E143" s="84">
        <v>42105790.154806271</v>
      </c>
      <c r="F143" s="84">
        <v>27492830.282213978</v>
      </c>
      <c r="G143" s="84">
        <v>15000000</v>
      </c>
      <c r="H143" s="84">
        <v>110255382.9772239</v>
      </c>
      <c r="I143" s="84">
        <v>117798436</v>
      </c>
      <c r="J143" s="84">
        <v>7543053.0227760971</v>
      </c>
      <c r="K143" s="84"/>
    </row>
    <row r="144" spans="1:11" ht="13.2">
      <c r="A144" s="81">
        <v>135</v>
      </c>
      <c r="B144" s="84">
        <v>59899796</v>
      </c>
      <c r="C144" s="84">
        <v>59899796</v>
      </c>
      <c r="D144" s="84">
        <v>25914317.765797876</v>
      </c>
      <c r="E144" s="84">
        <v>41343753.482919827</v>
      </c>
      <c r="F144" s="84">
        <v>27502290.509213977</v>
      </c>
      <c r="G144" s="84">
        <v>15000000</v>
      </c>
      <c r="H144" s="84">
        <v>109760361.75793168</v>
      </c>
      <c r="I144" s="84">
        <v>119799592</v>
      </c>
      <c r="J144" s="84">
        <v>10039230.242068321</v>
      </c>
      <c r="K144" s="84"/>
    </row>
    <row r="145" spans="1:11" ht="13.2">
      <c r="A145" s="81">
        <v>136</v>
      </c>
      <c r="B145" s="84">
        <v>53348044</v>
      </c>
      <c r="C145" s="84">
        <v>53348044</v>
      </c>
      <c r="D145" s="84">
        <v>26054407.201547567</v>
      </c>
      <c r="E145" s="84">
        <v>43926100.677047178</v>
      </c>
      <c r="F145" s="84">
        <v>27388432.478715193</v>
      </c>
      <c r="G145" s="84">
        <v>15000000</v>
      </c>
      <c r="H145" s="84">
        <v>112368940.35730994</v>
      </c>
      <c r="I145" s="84">
        <v>106696088</v>
      </c>
      <c r="J145" s="84">
        <v>-5672852.3573099375</v>
      </c>
      <c r="K145" s="84"/>
    </row>
    <row r="146" spans="1:11" ht="13.2">
      <c r="A146" s="81">
        <v>137</v>
      </c>
      <c r="B146" s="84">
        <v>59021581.5</v>
      </c>
      <c r="C146" s="84">
        <v>59021581.5</v>
      </c>
      <c r="D146" s="84">
        <v>25251968.797626853</v>
      </c>
      <c r="E146" s="84">
        <v>41923026.806302071</v>
      </c>
      <c r="F146" s="84">
        <v>30075530.051475752</v>
      </c>
      <c r="G146" s="84">
        <v>15000000</v>
      </c>
      <c r="H146" s="84">
        <v>112250525.65540467</v>
      </c>
      <c r="I146" s="84">
        <v>118043163</v>
      </c>
      <c r="J146" s="84">
        <v>5792637.344595328</v>
      </c>
      <c r="K146" s="84"/>
    </row>
    <row r="147" spans="1:11" ht="13.2">
      <c r="A147" s="81">
        <v>138</v>
      </c>
      <c r="B147" s="84">
        <v>57932395</v>
      </c>
      <c r="C147" s="84">
        <v>57932395</v>
      </c>
      <c r="D147" s="84">
        <v>25781965.612384323</v>
      </c>
      <c r="E147" s="84">
        <v>42349666.876011953</v>
      </c>
      <c r="F147" s="84">
        <v>28494859.023304462</v>
      </c>
      <c r="G147" s="84">
        <v>15000000</v>
      </c>
      <c r="H147" s="84">
        <v>111626491.51170073</v>
      </c>
      <c r="I147" s="84">
        <v>115864790</v>
      </c>
      <c r="J147" s="84">
        <v>4238298.4882992655</v>
      </c>
      <c r="K147" s="84"/>
    </row>
    <row r="148" spans="1:11" ht="13.2">
      <c r="A148" s="81">
        <v>139</v>
      </c>
      <c r="B148" s="84">
        <v>55017580</v>
      </c>
      <c r="C148" s="84">
        <v>55017580</v>
      </c>
      <c r="D148" s="84">
        <v>24841918.833308749</v>
      </c>
      <c r="E148" s="84">
        <v>41237873.055782534</v>
      </c>
      <c r="F148" s="84">
        <v>26901961.784815673</v>
      </c>
      <c r="G148" s="84">
        <v>15000000</v>
      </c>
      <c r="H148" s="84">
        <v>107981753.67390695</v>
      </c>
      <c r="I148" s="84">
        <v>110035160</v>
      </c>
      <c r="J148" s="84">
        <v>2053406.3260930479</v>
      </c>
      <c r="K148" s="84"/>
    </row>
    <row r="149" spans="1:11" ht="13.2">
      <c r="A149" s="81">
        <v>140</v>
      </c>
      <c r="B149" s="84">
        <v>52277636.5</v>
      </c>
      <c r="C149" s="84">
        <v>52277636.5</v>
      </c>
      <c r="D149" s="84">
        <v>25109104.200730693</v>
      </c>
      <c r="E149" s="84">
        <v>43195125.444656186</v>
      </c>
      <c r="F149" s="84">
        <v>27373538.513396338</v>
      </c>
      <c r="G149" s="84">
        <v>15000000</v>
      </c>
      <c r="H149" s="84">
        <v>110677768.15878321</v>
      </c>
      <c r="I149" s="84">
        <v>104555273</v>
      </c>
      <c r="J149" s="84">
        <v>-6122495.1587832123</v>
      </c>
      <c r="K149" s="84"/>
    </row>
    <row r="150" spans="1:11" ht="13.2">
      <c r="A150" s="81">
        <v>141</v>
      </c>
      <c r="B150" s="84">
        <v>58432117.5</v>
      </c>
      <c r="C150" s="84">
        <v>58432117.5</v>
      </c>
      <c r="D150" s="84">
        <v>24171538.482249953</v>
      </c>
      <c r="E150" s="84">
        <v>42444527.678575285</v>
      </c>
      <c r="F150" s="84">
        <v>27028739.775766287</v>
      </c>
      <c r="G150" s="84">
        <v>15000000</v>
      </c>
      <c r="H150" s="84">
        <v>108644805.93659152</v>
      </c>
      <c r="I150" s="84">
        <v>116864235</v>
      </c>
      <c r="J150" s="84">
        <v>8219429.0634084791</v>
      </c>
      <c r="K150" s="84"/>
    </row>
    <row r="151" spans="1:11" ht="13.2">
      <c r="A151" s="81">
        <v>142</v>
      </c>
      <c r="B151" s="84">
        <v>55554699.5</v>
      </c>
      <c r="C151" s="84">
        <v>55554699.5</v>
      </c>
      <c r="D151" s="84">
        <v>25261010.7383513</v>
      </c>
      <c r="E151" s="84">
        <v>42976160.628840148</v>
      </c>
      <c r="F151" s="84">
        <v>26069452.535873078</v>
      </c>
      <c r="G151" s="84">
        <v>15000000</v>
      </c>
      <c r="H151" s="84">
        <v>109306623.90306452</v>
      </c>
      <c r="I151" s="84">
        <v>111109399</v>
      </c>
      <c r="J151" s="84">
        <v>1802775.0969354808</v>
      </c>
      <c r="K151" s="84"/>
    </row>
    <row r="152" spans="1:11" ht="13.2">
      <c r="A152" s="81">
        <v>143</v>
      </c>
      <c r="B152" s="84">
        <v>54183238</v>
      </c>
      <c r="C152" s="84">
        <v>54183238</v>
      </c>
      <c r="D152" s="84">
        <v>24709272.579343565</v>
      </c>
      <c r="E152" s="84">
        <v>43235589.131366998</v>
      </c>
      <c r="F152" s="84">
        <v>28470217.55736677</v>
      </c>
      <c r="G152" s="84">
        <v>15000000</v>
      </c>
      <c r="H152" s="84">
        <v>111415079.26807733</v>
      </c>
      <c r="I152" s="84">
        <v>108366476</v>
      </c>
      <c r="J152" s="84">
        <v>-3048603.2680773288</v>
      </c>
      <c r="K152" s="84"/>
    </row>
    <row r="153" spans="1:11" ht="13.2">
      <c r="A153" s="81">
        <v>144</v>
      </c>
      <c r="B153" s="84">
        <v>58689446.5</v>
      </c>
      <c r="C153" s="84">
        <v>58689446.5</v>
      </c>
      <c r="D153" s="84">
        <v>23236159.723812424</v>
      </c>
      <c r="E153" s="84">
        <v>41558880.046839461</v>
      </c>
      <c r="F153" s="84">
        <v>25563016.43098161</v>
      </c>
      <c r="G153" s="84">
        <v>15000000</v>
      </c>
      <c r="H153" s="84">
        <v>105358056.2016335</v>
      </c>
      <c r="I153" s="84">
        <v>117378893</v>
      </c>
      <c r="J153" s="84">
        <v>12020836.798366502</v>
      </c>
      <c r="K153" s="84"/>
    </row>
    <row r="154" spans="1:11" ht="13.2">
      <c r="A154" s="81">
        <v>145</v>
      </c>
      <c r="B154" s="84">
        <v>61711286.5</v>
      </c>
      <c r="C154" s="84">
        <v>61711286.5</v>
      </c>
      <c r="D154" s="84">
        <v>23108181.490485273</v>
      </c>
      <c r="E154" s="84">
        <v>42006100.288956292</v>
      </c>
      <c r="F154" s="84">
        <v>27969181.210046109</v>
      </c>
      <c r="G154" s="84">
        <v>15000000</v>
      </c>
      <c r="H154" s="84">
        <v>108083462.98948768</v>
      </c>
      <c r="I154" s="84">
        <v>123422573</v>
      </c>
      <c r="J154" s="84">
        <v>15339110.010512322</v>
      </c>
      <c r="K154" s="84"/>
    </row>
    <row r="155" spans="1:11" ht="13.2">
      <c r="A155" s="81">
        <v>146</v>
      </c>
      <c r="B155" s="84">
        <v>58210386.5</v>
      </c>
      <c r="C155" s="84">
        <v>58210386.5</v>
      </c>
      <c r="D155" s="84">
        <v>24701829.397559058</v>
      </c>
      <c r="E155" s="84">
        <v>43008738.543887086</v>
      </c>
      <c r="F155" s="84">
        <v>27812841.664153621</v>
      </c>
      <c r="G155" s="84">
        <v>15000000</v>
      </c>
      <c r="H155" s="84">
        <v>110523409.60559976</v>
      </c>
      <c r="I155" s="84">
        <v>116420773</v>
      </c>
      <c r="J155" s="84">
        <v>5897363.394400239</v>
      </c>
      <c r="K155" s="84"/>
    </row>
    <row r="156" spans="1:11" ht="13.2">
      <c r="A156" s="81">
        <v>147</v>
      </c>
      <c r="B156" s="84">
        <v>55468511</v>
      </c>
      <c r="C156" s="84">
        <v>55468511</v>
      </c>
      <c r="D156" s="84">
        <v>25774816.531151447</v>
      </c>
      <c r="E156" s="84">
        <v>42176363.316795506</v>
      </c>
      <c r="F156" s="84">
        <v>26022800.449620239</v>
      </c>
      <c r="G156" s="84">
        <v>15000000</v>
      </c>
      <c r="H156" s="84">
        <v>108973980.29756719</v>
      </c>
      <c r="I156" s="84">
        <v>110937022</v>
      </c>
      <c r="J156" s="84">
        <v>1963041.7024328113</v>
      </c>
      <c r="K156" s="84"/>
    </row>
    <row r="157" spans="1:11" ht="13.2">
      <c r="A157" s="81">
        <v>148</v>
      </c>
      <c r="B157" s="84">
        <v>59388237.5</v>
      </c>
      <c r="C157" s="84">
        <v>59388237.5</v>
      </c>
      <c r="D157" s="84">
        <v>23233678.663217589</v>
      </c>
      <c r="E157" s="84">
        <v>41080784.878106639</v>
      </c>
      <c r="F157" s="84">
        <v>29266593.87092673</v>
      </c>
      <c r="G157" s="84">
        <v>15000000</v>
      </c>
      <c r="H157" s="84">
        <v>108581057.41225097</v>
      </c>
      <c r="I157" s="84">
        <v>118776475</v>
      </c>
      <c r="J157" s="84">
        <v>10195417.587749034</v>
      </c>
      <c r="K157" s="84"/>
    </row>
    <row r="158" spans="1:11" ht="13.2">
      <c r="A158" s="81">
        <v>149</v>
      </c>
      <c r="B158" s="84">
        <v>53460028</v>
      </c>
      <c r="C158" s="84">
        <v>53460028</v>
      </c>
      <c r="D158" s="84">
        <v>24844399.893903587</v>
      </c>
      <c r="E158" s="84">
        <v>42121760.178836234</v>
      </c>
      <c r="F158" s="84">
        <v>27875813.214327965</v>
      </c>
      <c r="G158" s="84">
        <v>15000000</v>
      </c>
      <c r="H158" s="84">
        <v>109841973.28706779</v>
      </c>
      <c r="I158" s="84">
        <v>106920056</v>
      </c>
      <c r="J158" s="84">
        <v>-2921917.2870677859</v>
      </c>
      <c r="K158" s="84"/>
    </row>
    <row r="159" spans="1:11" ht="13.2">
      <c r="A159" s="81">
        <v>150</v>
      </c>
      <c r="B159" s="84">
        <v>56042101</v>
      </c>
      <c r="C159" s="84">
        <v>56042101</v>
      </c>
      <c r="D159" s="84">
        <v>24974565.087273933</v>
      </c>
      <c r="E159" s="84">
        <v>42664167.973558135</v>
      </c>
      <c r="F159" s="84">
        <v>30400818.157011308</v>
      </c>
      <c r="G159" s="84">
        <v>15000000</v>
      </c>
      <c r="H159" s="84">
        <v>113039551.21784338</v>
      </c>
      <c r="I159" s="84">
        <v>112084202</v>
      </c>
      <c r="J159" s="84">
        <v>-955349.21784338355</v>
      </c>
      <c r="K159" s="84"/>
    </row>
    <row r="160" spans="1:11" ht="13.2">
      <c r="A160" s="81">
        <v>151</v>
      </c>
      <c r="B160" s="84">
        <v>54699737</v>
      </c>
      <c r="C160" s="84">
        <v>54699737</v>
      </c>
      <c r="D160" s="84">
        <v>24031743.147051893</v>
      </c>
      <c r="E160" s="84">
        <v>42767395.320656873</v>
      </c>
      <c r="F160" s="84">
        <v>26316411.401233025</v>
      </c>
      <c r="G160" s="84">
        <v>15000000</v>
      </c>
      <c r="H160" s="84">
        <v>108115549.86894178</v>
      </c>
      <c r="I160" s="84">
        <v>109399474</v>
      </c>
      <c r="J160" s="84">
        <v>1283924.1310582161</v>
      </c>
      <c r="K160" s="84"/>
    </row>
    <row r="161" spans="1:11" ht="13.2">
      <c r="A161" s="81">
        <v>152</v>
      </c>
      <c r="B161" s="84">
        <v>52653645.5</v>
      </c>
      <c r="C161" s="84">
        <v>52653645.5</v>
      </c>
      <c r="D161" s="84">
        <v>24996012.330972563</v>
      </c>
      <c r="E161" s="84">
        <v>42737882.053135231</v>
      </c>
      <c r="F161" s="84">
        <v>25306950.447886374</v>
      </c>
      <c r="G161" s="84">
        <v>15000000</v>
      </c>
      <c r="H161" s="84">
        <v>108040844.83199418</v>
      </c>
      <c r="I161" s="84">
        <v>105307291</v>
      </c>
      <c r="J161" s="84">
        <v>-2733553.8319941759</v>
      </c>
      <c r="K161" s="84"/>
    </row>
    <row r="162" spans="1:11" ht="13.2">
      <c r="A162" s="81">
        <v>153</v>
      </c>
      <c r="B162" s="84">
        <v>55384537</v>
      </c>
      <c r="C162" s="84">
        <v>55384537</v>
      </c>
      <c r="D162" s="84">
        <v>24971789.926127467</v>
      </c>
      <c r="E162" s="84">
        <v>42295448.565946117</v>
      </c>
      <c r="F162" s="84">
        <v>27102061.464020133</v>
      </c>
      <c r="G162" s="84">
        <v>15000000</v>
      </c>
      <c r="H162" s="84">
        <v>109369299.95609371</v>
      </c>
      <c r="I162" s="84">
        <v>110769074</v>
      </c>
      <c r="J162" s="84">
        <v>1399774.0439062864</v>
      </c>
      <c r="K162" s="84"/>
    </row>
    <row r="163" spans="1:11" ht="13.2">
      <c r="A163" s="81">
        <v>154</v>
      </c>
      <c r="B163" s="84">
        <v>55012179.5</v>
      </c>
      <c r="C163" s="84">
        <v>55012179.5</v>
      </c>
      <c r="D163" s="84">
        <v>25526597.3468333</v>
      </c>
      <c r="E163" s="84">
        <v>42838092.31173671</v>
      </c>
      <c r="F163" s="84">
        <v>24954505.869403258</v>
      </c>
      <c r="G163" s="84">
        <v>15000000</v>
      </c>
      <c r="H163" s="84">
        <v>108319195.52797326</v>
      </c>
      <c r="I163" s="84">
        <v>110024359</v>
      </c>
      <c r="J163" s="84">
        <v>1705163.4720267355</v>
      </c>
      <c r="K163" s="84"/>
    </row>
    <row r="164" spans="1:11" ht="13.2">
      <c r="A164" s="81">
        <v>155</v>
      </c>
      <c r="B164" s="84">
        <v>55857882.5</v>
      </c>
      <c r="C164" s="84">
        <v>55857882.5</v>
      </c>
      <c r="D164" s="84">
        <v>25649613.458970774</v>
      </c>
      <c r="E164" s="84">
        <v>42771314.453451984</v>
      </c>
      <c r="F164" s="84">
        <v>30125803.111199081</v>
      </c>
      <c r="G164" s="84">
        <v>15000000</v>
      </c>
      <c r="H164" s="84">
        <v>113546731.02362184</v>
      </c>
      <c r="I164" s="84">
        <v>111715765</v>
      </c>
      <c r="J164" s="84">
        <v>-1830966.0236218423</v>
      </c>
      <c r="K164" s="84"/>
    </row>
    <row r="165" spans="1:11" ht="13.2">
      <c r="A165" s="81">
        <v>156</v>
      </c>
      <c r="B165" s="84">
        <v>53279081</v>
      </c>
      <c r="C165" s="84">
        <v>53279081</v>
      </c>
      <c r="D165" s="84">
        <v>24856216.995774508</v>
      </c>
      <c r="E165" s="84">
        <v>41986646.260650814</v>
      </c>
      <c r="F165" s="84">
        <v>31673305.919552051</v>
      </c>
      <c r="G165" s="84">
        <v>15000000</v>
      </c>
      <c r="H165" s="84">
        <v>113516169.17597738</v>
      </c>
      <c r="I165" s="84">
        <v>106558162</v>
      </c>
      <c r="J165" s="84">
        <v>-6958007.1759773791</v>
      </c>
      <c r="K165" s="84"/>
    </row>
    <row r="166" spans="1:11" ht="13.2">
      <c r="A166" s="81">
        <v>157</v>
      </c>
      <c r="B166" s="84">
        <v>55644233.5</v>
      </c>
      <c r="C166" s="84">
        <v>55644233.5</v>
      </c>
      <c r="D166" s="84">
        <v>24051003.430707321</v>
      </c>
      <c r="E166" s="84">
        <v>42219653.13967064</v>
      </c>
      <c r="F166" s="84">
        <v>26185688.235848587</v>
      </c>
      <c r="G166" s="84">
        <v>15000000</v>
      </c>
      <c r="H166" s="84">
        <v>107456344.80622655</v>
      </c>
      <c r="I166" s="84">
        <v>111288467</v>
      </c>
      <c r="J166" s="84">
        <v>3832122.1937734485</v>
      </c>
      <c r="K166" s="84"/>
    </row>
    <row r="167" spans="1:11" ht="13.2">
      <c r="A167" s="81">
        <v>158</v>
      </c>
      <c r="B167" s="84">
        <v>55710430.5</v>
      </c>
      <c r="C167" s="84">
        <v>55710430.5</v>
      </c>
      <c r="D167" s="84">
        <v>23913395.05555246</v>
      </c>
      <c r="E167" s="84">
        <v>42485100.024647601</v>
      </c>
      <c r="F167" s="84">
        <v>27887778.410341211</v>
      </c>
      <c r="G167" s="84">
        <v>15000000</v>
      </c>
      <c r="H167" s="84">
        <v>109286273.49054128</v>
      </c>
      <c r="I167" s="84">
        <v>111420861</v>
      </c>
      <c r="J167" s="84">
        <v>2134587.5094587207</v>
      </c>
      <c r="K167" s="84"/>
    </row>
    <row r="168" spans="1:11" ht="13.2">
      <c r="A168" s="81">
        <v>159</v>
      </c>
      <c r="B168" s="84">
        <v>60664738.5</v>
      </c>
      <c r="C168" s="84">
        <v>60664738.5</v>
      </c>
      <c r="D168" s="84">
        <v>23636579.546302814</v>
      </c>
      <c r="E168" s="84">
        <v>43990849.552721262</v>
      </c>
      <c r="F168" s="84">
        <v>27679580.651276357</v>
      </c>
      <c r="G168" s="84">
        <v>15000000</v>
      </c>
      <c r="H168" s="84">
        <v>110307009.75030044</v>
      </c>
      <c r="I168" s="84">
        <v>121329477</v>
      </c>
      <c r="J168" s="84">
        <v>11022467.249699563</v>
      </c>
      <c r="K168" s="84"/>
    </row>
    <row r="169" spans="1:11" ht="13.2">
      <c r="A169" s="81">
        <v>160</v>
      </c>
      <c r="B169" s="84">
        <v>59996465.5</v>
      </c>
      <c r="C169" s="84">
        <v>59996465.5</v>
      </c>
      <c r="D169" s="84">
        <v>24434349.929585483</v>
      </c>
      <c r="E169" s="84">
        <v>42301655.165120542</v>
      </c>
      <c r="F169" s="84">
        <v>26988633.639749087</v>
      </c>
      <c r="G169" s="84">
        <v>15000000</v>
      </c>
      <c r="H169" s="84">
        <v>108724638.73445511</v>
      </c>
      <c r="I169" s="84">
        <v>119992931</v>
      </c>
      <c r="J169" s="84">
        <v>11268292.265544891</v>
      </c>
      <c r="K169" s="84"/>
    </row>
    <row r="170" spans="1:11" ht="13.2">
      <c r="A170" s="81">
        <v>161</v>
      </c>
      <c r="B170" s="84">
        <v>50896140.5</v>
      </c>
      <c r="C170" s="84">
        <v>50896140.5</v>
      </c>
      <c r="D170" s="84">
        <v>22575409.514581338</v>
      </c>
      <c r="E170" s="84">
        <v>42134782.77869238</v>
      </c>
      <c r="F170" s="84">
        <v>25762449.50969401</v>
      </c>
      <c r="G170" s="84">
        <v>15000000</v>
      </c>
      <c r="H170" s="84">
        <v>105472641.80296773</v>
      </c>
      <c r="I170" s="84">
        <v>101792281</v>
      </c>
      <c r="J170" s="84">
        <v>-3680360.8029677272</v>
      </c>
      <c r="K170" s="84"/>
    </row>
    <row r="171" spans="1:11" ht="13.2">
      <c r="A171" s="81">
        <v>162</v>
      </c>
      <c r="B171" s="84">
        <v>58038668.5</v>
      </c>
      <c r="C171" s="84">
        <v>58038668.5</v>
      </c>
      <c r="D171" s="84">
        <v>24986382.189144854</v>
      </c>
      <c r="E171" s="84">
        <v>41850334.993736751</v>
      </c>
      <c r="F171" s="84">
        <v>29110085.696999062</v>
      </c>
      <c r="G171" s="84">
        <v>15000000</v>
      </c>
      <c r="H171" s="84">
        <v>110946802.87988067</v>
      </c>
      <c r="I171" s="84">
        <v>116077337</v>
      </c>
      <c r="J171" s="84">
        <v>5130534.1201193333</v>
      </c>
      <c r="K171" s="84"/>
    </row>
    <row r="172" spans="1:11" ht="13.2">
      <c r="A172" s="81">
        <v>163</v>
      </c>
      <c r="B172" s="84">
        <v>58892732</v>
      </c>
      <c r="C172" s="84">
        <v>58892732</v>
      </c>
      <c r="D172" s="84">
        <v>25123696.463748075</v>
      </c>
      <c r="E172" s="84">
        <v>42632671.013412155</v>
      </c>
      <c r="F172" s="84">
        <v>23994666.793992806</v>
      </c>
      <c r="G172" s="84">
        <v>15000000</v>
      </c>
      <c r="H172" s="84">
        <v>106751034.27115303</v>
      </c>
      <c r="I172" s="84">
        <v>117785464</v>
      </c>
      <c r="J172" s="84">
        <v>11034429.728846967</v>
      </c>
      <c r="K172" s="84"/>
    </row>
    <row r="173" spans="1:11" ht="13.2">
      <c r="A173" s="81">
        <v>164</v>
      </c>
      <c r="B173" s="84">
        <v>56142154.5</v>
      </c>
      <c r="C173" s="84">
        <v>56142154.5</v>
      </c>
      <c r="D173" s="84">
        <v>24569477.244145505</v>
      </c>
      <c r="E173" s="84">
        <v>43243064.36166805</v>
      </c>
      <c r="F173" s="84">
        <v>26865487.16562729</v>
      </c>
      <c r="G173" s="84">
        <v>15000000</v>
      </c>
      <c r="H173" s="84">
        <v>109678028.77144085</v>
      </c>
      <c r="I173" s="84">
        <v>112284309</v>
      </c>
      <c r="J173" s="84">
        <v>2606280.2285591513</v>
      </c>
      <c r="K173" s="84"/>
    </row>
    <row r="174" spans="1:11" ht="13.2">
      <c r="A174" s="81">
        <v>165</v>
      </c>
      <c r="B174" s="84">
        <v>62082899</v>
      </c>
      <c r="C174" s="84">
        <v>62082899</v>
      </c>
      <c r="D174" s="84">
        <v>22693463.505529139</v>
      </c>
      <c r="E174" s="84">
        <v>42354742.3114594</v>
      </c>
      <c r="F174" s="84">
        <v>26318552.428844891</v>
      </c>
      <c r="G174" s="84">
        <v>15000000</v>
      </c>
      <c r="H174" s="84">
        <v>106366758.24583343</v>
      </c>
      <c r="I174" s="84">
        <v>124165798</v>
      </c>
      <c r="J174" s="84">
        <v>17799039.754166573</v>
      </c>
      <c r="K174" s="84"/>
    </row>
    <row r="175" spans="1:11" ht="13.2">
      <c r="A175" s="81">
        <v>166</v>
      </c>
      <c r="B175" s="84">
        <v>56950888</v>
      </c>
      <c r="C175" s="84">
        <v>56950888</v>
      </c>
      <c r="D175" s="84">
        <v>26582511.156813469</v>
      </c>
      <c r="E175" s="84">
        <v>42619410.065370828</v>
      </c>
      <c r="F175" s="84">
        <v>26266149.006021276</v>
      </c>
      <c r="G175" s="84">
        <v>15000000</v>
      </c>
      <c r="H175" s="84">
        <v>110468070.22820558</v>
      </c>
      <c r="I175" s="84">
        <v>113901776</v>
      </c>
      <c r="J175" s="84">
        <v>3433705.7717944235</v>
      </c>
      <c r="K175" s="84"/>
    </row>
    <row r="176" spans="1:11" ht="13.2">
      <c r="A176" s="81">
        <v>167</v>
      </c>
      <c r="B176" s="84">
        <v>54806535</v>
      </c>
      <c r="C176" s="84">
        <v>54806535</v>
      </c>
      <c r="D176" s="84">
        <v>23508307.212424032</v>
      </c>
      <c r="E176" s="84">
        <v>43036930.417859651</v>
      </c>
      <c r="F176" s="84">
        <v>26779627.3705961</v>
      </c>
      <c r="G176" s="84">
        <v>15000000</v>
      </c>
      <c r="H176" s="84">
        <v>108324865.00087978</v>
      </c>
      <c r="I176" s="84">
        <v>109613070</v>
      </c>
      <c r="J176" s="84">
        <v>1288204.9991202205</v>
      </c>
      <c r="K176" s="84"/>
    </row>
    <row r="177" spans="1:11" ht="13.2">
      <c r="A177" s="81">
        <v>168</v>
      </c>
      <c r="B177" s="84">
        <v>58234508</v>
      </c>
      <c r="C177" s="84">
        <v>58234508</v>
      </c>
      <c r="D177" s="84">
        <v>24176206.502887994</v>
      </c>
      <c r="E177" s="84">
        <v>43727813.073763222</v>
      </c>
      <c r="F177" s="84">
        <v>28960963.294301361</v>
      </c>
      <c r="G177" s="84">
        <v>15000000</v>
      </c>
      <c r="H177" s="84">
        <v>111864982.87095258</v>
      </c>
      <c r="I177" s="84">
        <v>116469016</v>
      </c>
      <c r="J177" s="84">
        <v>4604033.1290474236</v>
      </c>
      <c r="K177" s="84"/>
    </row>
    <row r="178" spans="1:11" ht="13.2">
      <c r="A178" s="81">
        <v>169</v>
      </c>
      <c r="B178" s="84">
        <v>58170590.5</v>
      </c>
      <c r="C178" s="84">
        <v>58170590.5</v>
      </c>
      <c r="D178" s="84">
        <v>22035194.356892888</v>
      </c>
      <c r="E178" s="84">
        <v>43957794.193311363</v>
      </c>
      <c r="F178" s="84">
        <v>28143865.058177799</v>
      </c>
      <c r="G178" s="84">
        <v>15000000</v>
      </c>
      <c r="H178" s="84">
        <v>109136853.60838205</v>
      </c>
      <c r="I178" s="84">
        <v>116341181</v>
      </c>
      <c r="J178" s="84">
        <v>7204327.3916179538</v>
      </c>
      <c r="K178" s="84"/>
    </row>
    <row r="179" spans="1:11" ht="13.2">
      <c r="A179" s="81">
        <v>170</v>
      </c>
      <c r="B179" s="84">
        <v>56844998</v>
      </c>
      <c r="C179" s="84">
        <v>56844998</v>
      </c>
      <c r="D179" s="84">
        <v>24856216.995774508</v>
      </c>
      <c r="E179" s="84">
        <v>43113934.020075738</v>
      </c>
      <c r="F179" s="84">
        <v>24541981.948139172</v>
      </c>
      <c r="G179" s="84">
        <v>15000000</v>
      </c>
      <c r="H179" s="84">
        <v>107512132.96398942</v>
      </c>
      <c r="I179" s="84">
        <v>113689996</v>
      </c>
      <c r="J179" s="84">
        <v>6177863.0360105783</v>
      </c>
      <c r="K179" s="84"/>
    </row>
    <row r="180" spans="1:11" ht="13.2">
      <c r="A180" s="81">
        <v>171</v>
      </c>
      <c r="B180" s="84">
        <v>52979519.5</v>
      </c>
      <c r="C180" s="84">
        <v>52979519.5</v>
      </c>
      <c r="D180" s="84">
        <v>24038892.228284769</v>
      </c>
      <c r="E180" s="84">
        <v>42167381.562504672</v>
      </c>
      <c r="F180" s="84">
        <v>27712086.956347663</v>
      </c>
      <c r="G180" s="84">
        <v>15000000</v>
      </c>
      <c r="H180" s="84">
        <v>108918360.7471371</v>
      </c>
      <c r="I180" s="84">
        <v>105959039</v>
      </c>
      <c r="J180" s="84">
        <v>-2959321.7471370995</v>
      </c>
      <c r="K180" s="84"/>
    </row>
    <row r="181" spans="1:11" ht="13.2">
      <c r="A181" s="81">
        <v>172</v>
      </c>
      <c r="B181" s="84">
        <v>58349849</v>
      </c>
      <c r="C181" s="84">
        <v>58349849</v>
      </c>
      <c r="D181" s="84">
        <v>26052220.241504364</v>
      </c>
      <c r="E181" s="84">
        <v>42392201.792230561</v>
      </c>
      <c r="F181" s="84">
        <v>23395327.092211977</v>
      </c>
      <c r="G181" s="84">
        <v>15000000</v>
      </c>
      <c r="H181" s="84">
        <v>106839749.12594689</v>
      </c>
      <c r="I181" s="84">
        <v>116699698</v>
      </c>
      <c r="J181" s="84">
        <v>9859948.8740531057</v>
      </c>
      <c r="K181" s="84"/>
    </row>
    <row r="182" spans="1:11" ht="13.2">
      <c r="A182" s="81">
        <v>173</v>
      </c>
      <c r="B182" s="84">
        <v>58809941</v>
      </c>
      <c r="C182" s="84">
        <v>58809941</v>
      </c>
      <c r="D182" s="84">
        <v>24974270.986722302</v>
      </c>
      <c r="E182" s="84">
        <v>41946537.070533328</v>
      </c>
      <c r="F182" s="84">
        <v>26951474.578810092</v>
      </c>
      <c r="G182" s="84">
        <v>15000000</v>
      </c>
      <c r="H182" s="84">
        <v>108872282.63606572</v>
      </c>
      <c r="I182" s="84">
        <v>117619882</v>
      </c>
      <c r="J182" s="84">
        <v>8747599.3639342785</v>
      </c>
      <c r="K182" s="84"/>
    </row>
    <row r="183" spans="1:11" ht="13.2">
      <c r="A183" s="81">
        <v>174</v>
      </c>
      <c r="B183" s="84">
        <v>57180632</v>
      </c>
      <c r="C183" s="84">
        <v>57180632</v>
      </c>
      <c r="D183" s="84">
        <v>25524116.286238465</v>
      </c>
      <c r="E183" s="84">
        <v>41233068.751709633</v>
      </c>
      <c r="F183" s="84">
        <v>29798526.282758046</v>
      </c>
      <c r="G183" s="84">
        <v>15000000</v>
      </c>
      <c r="H183" s="84">
        <v>111555711.32070614</v>
      </c>
      <c r="I183" s="84">
        <v>114361264</v>
      </c>
      <c r="J183" s="84">
        <v>2805552.679293856</v>
      </c>
      <c r="K183" s="84"/>
    </row>
    <row r="184" spans="1:11" ht="13.2">
      <c r="A184" s="81">
        <v>175</v>
      </c>
      <c r="B184" s="84">
        <v>55375596.5</v>
      </c>
      <c r="C184" s="84">
        <v>55375596.5</v>
      </c>
      <c r="D184" s="84">
        <v>24701829.397559058</v>
      </c>
      <c r="E184" s="84">
        <v>42739229.387575984</v>
      </c>
      <c r="F184" s="84">
        <v>26360200.904835217</v>
      </c>
      <c r="G184" s="84">
        <v>15000000</v>
      </c>
      <c r="H184" s="84">
        <v>108801259.68997025</v>
      </c>
      <c r="I184" s="84">
        <v>110751193</v>
      </c>
      <c r="J184" s="84">
        <v>1949933.3100297451</v>
      </c>
      <c r="K184" s="84"/>
    </row>
    <row r="185" spans="1:11" ht="13.2">
      <c r="A185" s="81">
        <v>176</v>
      </c>
      <c r="B185" s="84">
        <v>56551527.5</v>
      </c>
      <c r="C185" s="84">
        <v>56551527.5</v>
      </c>
      <c r="D185" s="84">
        <v>24851548.975136466</v>
      </c>
      <c r="E185" s="84">
        <v>42523478.65547315</v>
      </c>
      <c r="F185" s="84">
        <v>25888353.310781509</v>
      </c>
      <c r="G185" s="84">
        <v>15000000</v>
      </c>
      <c r="H185" s="84">
        <v>108263380.94139113</v>
      </c>
      <c r="I185" s="84">
        <v>113103055</v>
      </c>
      <c r="J185" s="84">
        <v>4839674.0586088747</v>
      </c>
      <c r="K185" s="84"/>
    </row>
    <row r="186" spans="1:11" ht="13.2">
      <c r="A186" s="81">
        <v>177</v>
      </c>
      <c r="B186" s="84">
        <v>53855301.5</v>
      </c>
      <c r="C186" s="84">
        <v>53855301.5</v>
      </c>
      <c r="D186" s="84">
        <v>23364137.957139567</v>
      </c>
      <c r="E186" s="84">
        <v>42446005.867062226</v>
      </c>
      <c r="F186" s="84">
        <v>27165385.345311921</v>
      </c>
      <c r="G186" s="84">
        <v>15000000</v>
      </c>
      <c r="H186" s="84">
        <v>107975529.16951372</v>
      </c>
      <c r="I186" s="84">
        <v>107710603</v>
      </c>
      <c r="J186" s="84">
        <v>-264926.16951371729</v>
      </c>
      <c r="K186" s="84"/>
    </row>
    <row r="187" spans="1:11" ht="13.2">
      <c r="A187" s="81">
        <v>178</v>
      </c>
      <c r="B187" s="84">
        <v>54088825.5</v>
      </c>
      <c r="C187" s="84">
        <v>54088825.5</v>
      </c>
      <c r="D187" s="84">
        <v>25786927.733573996</v>
      </c>
      <c r="E187" s="84">
        <v>42851900.129811823</v>
      </c>
      <c r="F187" s="84">
        <v>27300328.981399719</v>
      </c>
      <c r="G187" s="84">
        <v>15000000</v>
      </c>
      <c r="H187" s="84">
        <v>110939156.84478554</v>
      </c>
      <c r="I187" s="84">
        <v>108177651</v>
      </c>
      <c r="J187" s="84">
        <v>-2761505.8447855413</v>
      </c>
      <c r="K187" s="84"/>
    </row>
    <row r="188" spans="1:11" ht="13.2">
      <c r="A188" s="81">
        <v>179</v>
      </c>
      <c r="B188" s="84">
        <v>50131500.5</v>
      </c>
      <c r="C188" s="84">
        <v>50131500.5</v>
      </c>
      <c r="D188" s="84">
        <v>26194496.637297262</v>
      </c>
      <c r="E188" s="84">
        <v>43636023.279572092</v>
      </c>
      <c r="F188" s="84">
        <v>26700747.845209371</v>
      </c>
      <c r="G188" s="84">
        <v>15000000</v>
      </c>
      <c r="H188" s="84">
        <v>111531267.76207873</v>
      </c>
      <c r="I188" s="84">
        <v>100263001</v>
      </c>
      <c r="J188" s="84">
        <v>-11268266.762078732</v>
      </c>
      <c r="K188" s="84"/>
    </row>
    <row r="189" spans="1:11" ht="13.2">
      <c r="A189" s="81">
        <v>180</v>
      </c>
      <c r="B189" s="84">
        <v>56176905</v>
      </c>
      <c r="C189" s="84">
        <v>56176905</v>
      </c>
      <c r="D189" s="84">
        <v>22840996.123063341</v>
      </c>
      <c r="E189" s="84">
        <v>42980866.095141165</v>
      </c>
      <c r="F189" s="84">
        <v>26605269.132299103</v>
      </c>
      <c r="G189" s="84">
        <v>15000000</v>
      </c>
      <c r="H189" s="84">
        <v>107427131.35050361</v>
      </c>
      <c r="I189" s="84">
        <v>112353810</v>
      </c>
      <c r="J189" s="84">
        <v>4926678.6494963914</v>
      </c>
      <c r="K189" s="84"/>
    </row>
    <row r="190" spans="1:11" ht="13.2">
      <c r="A190" s="81">
        <v>181</v>
      </c>
      <c r="B190" s="84">
        <v>57940051.5</v>
      </c>
      <c r="C190" s="84">
        <v>57940051.5</v>
      </c>
      <c r="D190" s="84">
        <v>23653064.668811768</v>
      </c>
      <c r="E190" s="84">
        <v>43042361.30160062</v>
      </c>
      <c r="F190" s="84">
        <v>28370359.461530309</v>
      </c>
      <c r="G190" s="84">
        <v>15000000</v>
      </c>
      <c r="H190" s="84">
        <v>110065785.4319427</v>
      </c>
      <c r="I190" s="84">
        <v>115880103</v>
      </c>
      <c r="J190" s="84">
        <v>5814317.5680572987</v>
      </c>
      <c r="K190" s="84"/>
    </row>
    <row r="191" spans="1:11" ht="13.2">
      <c r="A191" s="81">
        <v>182</v>
      </c>
      <c r="B191" s="84">
        <v>50117777.5</v>
      </c>
      <c r="C191" s="84">
        <v>50117777.5</v>
      </c>
      <c r="D191" s="84">
        <v>23243308.805045296</v>
      </c>
      <c r="E191" s="84">
        <v>42464623.078669548</v>
      </c>
      <c r="F191" s="84">
        <v>27496814.333222058</v>
      </c>
      <c r="G191" s="84">
        <v>15000000</v>
      </c>
      <c r="H191" s="84">
        <v>108204746.2169369</v>
      </c>
      <c r="I191" s="84">
        <v>100235555</v>
      </c>
      <c r="J191" s="84">
        <v>-7969191.2169369012</v>
      </c>
      <c r="K191" s="84"/>
    </row>
    <row r="192" spans="1:11" ht="13.2">
      <c r="A192" s="81">
        <v>183</v>
      </c>
      <c r="B192" s="84">
        <v>55708723</v>
      </c>
      <c r="C192" s="84">
        <v>55708723</v>
      </c>
      <c r="D192" s="84">
        <v>23378436.119605321</v>
      </c>
      <c r="E192" s="84">
        <v>44133292.035914876</v>
      </c>
      <c r="F192" s="84">
        <v>28488079.81264865</v>
      </c>
      <c r="G192" s="84">
        <v>15000000</v>
      </c>
      <c r="H192" s="84">
        <v>110999807.96816885</v>
      </c>
      <c r="I192" s="84">
        <v>111417446</v>
      </c>
      <c r="J192" s="84">
        <v>417638.03183114529</v>
      </c>
      <c r="K192" s="84"/>
    </row>
    <row r="193" spans="1:11" ht="13.2">
      <c r="A193" s="81">
        <v>184</v>
      </c>
      <c r="B193" s="84">
        <v>57014562</v>
      </c>
      <c r="C193" s="84">
        <v>57014562</v>
      </c>
      <c r="D193" s="84">
        <v>22435320.078831643</v>
      </c>
      <c r="E193" s="84">
        <v>42048456.228822738</v>
      </c>
      <c r="F193" s="84">
        <v>24343819.904831506</v>
      </c>
      <c r="G193" s="84">
        <v>15000000</v>
      </c>
      <c r="H193" s="84">
        <v>103827596.21248588</v>
      </c>
      <c r="I193" s="84">
        <v>114029124</v>
      </c>
      <c r="J193" s="84">
        <v>10201527.78751412</v>
      </c>
      <c r="K193" s="84"/>
    </row>
    <row r="194" spans="1:11" ht="13.2">
      <c r="A194" s="81">
        <v>185</v>
      </c>
      <c r="B194" s="84">
        <v>56894985.5</v>
      </c>
      <c r="C194" s="84">
        <v>56894985.5</v>
      </c>
      <c r="D194" s="84">
        <v>22300486.864823256</v>
      </c>
      <c r="E194" s="84">
        <v>42424612.276912838</v>
      </c>
      <c r="F194" s="84">
        <v>27275232.152212586</v>
      </c>
      <c r="G194" s="84">
        <v>15000000</v>
      </c>
      <c r="H194" s="84">
        <v>107000331.29394868</v>
      </c>
      <c r="I194" s="84">
        <v>113789971</v>
      </c>
      <c r="J194" s="84">
        <v>6789639.7060513198</v>
      </c>
      <c r="K194" s="84"/>
    </row>
    <row r="195" spans="1:11" ht="13.2">
      <c r="A195" s="81">
        <v>186</v>
      </c>
      <c r="B195" s="84">
        <v>56224597.5</v>
      </c>
      <c r="C195" s="84">
        <v>56224597.5</v>
      </c>
      <c r="D195" s="84">
        <v>22966199.195244014</v>
      </c>
      <c r="E195" s="84">
        <v>42055307.155501008</v>
      </c>
      <c r="F195" s="84">
        <v>26616528.508781735</v>
      </c>
      <c r="G195" s="84">
        <v>15000000</v>
      </c>
      <c r="H195" s="84">
        <v>106638034.85952675</v>
      </c>
      <c r="I195" s="84">
        <v>112449195</v>
      </c>
      <c r="J195" s="84">
        <v>5811160.1404732466</v>
      </c>
      <c r="K195" s="84"/>
    </row>
    <row r="196" spans="1:11" ht="13.2">
      <c r="A196" s="81">
        <v>187</v>
      </c>
      <c r="B196" s="84">
        <v>55822091</v>
      </c>
      <c r="C196" s="84">
        <v>55822091</v>
      </c>
      <c r="D196" s="84">
        <v>25256342.717713259</v>
      </c>
      <c r="E196" s="84">
        <v>43046399.165239066</v>
      </c>
      <c r="F196" s="84">
        <v>28974722.930342052</v>
      </c>
      <c r="G196" s="84">
        <v>15000000</v>
      </c>
      <c r="H196" s="84">
        <v>112277464.81329438</v>
      </c>
      <c r="I196" s="84">
        <v>111644182</v>
      </c>
      <c r="J196" s="84">
        <v>-633282.8132943809</v>
      </c>
      <c r="K196" s="84"/>
    </row>
    <row r="197" spans="1:11" ht="13.2">
      <c r="A197" s="81">
        <v>188</v>
      </c>
      <c r="B197" s="84">
        <v>57381162.5</v>
      </c>
      <c r="C197" s="84">
        <v>57381162.5</v>
      </c>
      <c r="D197" s="84">
        <v>23913395.05555246</v>
      </c>
      <c r="E197" s="84">
        <v>42838543.760314897</v>
      </c>
      <c r="F197" s="84">
        <v>28555172.62051741</v>
      </c>
      <c r="G197" s="84">
        <v>15000000</v>
      </c>
      <c r="H197" s="84">
        <v>110307111.43638477</v>
      </c>
      <c r="I197" s="84">
        <v>114762325</v>
      </c>
      <c r="J197" s="84">
        <v>4455213.5636152327</v>
      </c>
      <c r="K197" s="84"/>
    </row>
    <row r="198" spans="1:11" ht="13.2">
      <c r="A198" s="81">
        <v>189</v>
      </c>
      <c r="B198" s="84">
        <v>56653854.5</v>
      </c>
      <c r="C198" s="84">
        <v>56653854.5</v>
      </c>
      <c r="D198" s="84">
        <v>23645621.487027258</v>
      </c>
      <c r="E198" s="84">
        <v>41936422.04391297</v>
      </c>
      <c r="F198" s="84">
        <v>23670364.508521184</v>
      </c>
      <c r="G198" s="84">
        <v>15000000</v>
      </c>
      <c r="H198" s="84">
        <v>104252408.0394614</v>
      </c>
      <c r="I198" s="84">
        <v>113307709</v>
      </c>
      <c r="J198" s="84">
        <v>9055300.9605385959</v>
      </c>
      <c r="K198" s="84"/>
    </row>
    <row r="199" spans="1:11" ht="13.2">
      <c r="A199" s="81">
        <v>190</v>
      </c>
      <c r="B199" s="84">
        <v>54719180.5</v>
      </c>
      <c r="C199" s="84">
        <v>54719180.5</v>
      </c>
      <c r="D199" s="84">
        <v>24726051.802404158</v>
      </c>
      <c r="E199" s="84">
        <v>43093621.932735071</v>
      </c>
      <c r="F199" s="84">
        <v>28456442.684872422</v>
      </c>
      <c r="G199" s="84">
        <v>15000000</v>
      </c>
      <c r="H199" s="84">
        <v>111276116.42001164</v>
      </c>
      <c r="I199" s="84">
        <v>109438361</v>
      </c>
      <c r="J199" s="84">
        <v>-1837755.4200116396</v>
      </c>
      <c r="K199" s="84"/>
    </row>
    <row r="200" spans="1:11" ht="13.2">
      <c r="A200" s="81">
        <v>191</v>
      </c>
      <c r="B200" s="84">
        <v>56724779</v>
      </c>
      <c r="C200" s="84">
        <v>56724779</v>
      </c>
      <c r="D200" s="84">
        <v>24721089.681214485</v>
      </c>
      <c r="E200" s="84">
        <v>42251377.931256242</v>
      </c>
      <c r="F200" s="84">
        <v>27412368.360707887</v>
      </c>
      <c r="G200" s="84">
        <v>15000000</v>
      </c>
      <c r="H200" s="84">
        <v>109384835.97317863</v>
      </c>
      <c r="I200" s="84">
        <v>113449558</v>
      </c>
      <c r="J200" s="84">
        <v>4064722.0268213749</v>
      </c>
      <c r="K200" s="84"/>
    </row>
    <row r="201" spans="1:11" ht="13.2">
      <c r="A201" s="81">
        <v>192</v>
      </c>
      <c r="B201" s="84">
        <v>55293174.5</v>
      </c>
      <c r="C201" s="84">
        <v>55293174.5</v>
      </c>
      <c r="D201" s="84">
        <v>23771118.659759562</v>
      </c>
      <c r="E201" s="84">
        <v>42948134.0765815</v>
      </c>
      <c r="F201" s="84">
        <v>29112546.785149015</v>
      </c>
      <c r="G201" s="84">
        <v>15000000</v>
      </c>
      <c r="H201" s="84">
        <v>110831799.52149007</v>
      </c>
      <c r="I201" s="84">
        <v>110586349</v>
      </c>
      <c r="J201" s="84">
        <v>-245450.52149006724</v>
      </c>
      <c r="K201" s="84"/>
    </row>
    <row r="202" spans="1:11" ht="13.2">
      <c r="A202" s="81">
        <v>193</v>
      </c>
      <c r="B202" s="84">
        <v>54166447.5</v>
      </c>
      <c r="C202" s="84">
        <v>54166447.5</v>
      </c>
      <c r="D202" s="84">
        <v>25521635.225643627</v>
      </c>
      <c r="E202" s="84">
        <v>42198676.146970838</v>
      </c>
      <c r="F202" s="84">
        <v>28641812.409743428</v>
      </c>
      <c r="G202" s="84">
        <v>15000000</v>
      </c>
      <c r="H202" s="84">
        <v>111362123.7823579</v>
      </c>
      <c r="I202" s="84">
        <v>108332895</v>
      </c>
      <c r="J202" s="84">
        <v>-3029228.7823579013</v>
      </c>
      <c r="K202" s="84"/>
    </row>
    <row r="203" spans="1:11" ht="13.2">
      <c r="A203" s="81">
        <v>194</v>
      </c>
      <c r="B203" s="84">
        <v>56257630</v>
      </c>
      <c r="C203" s="84">
        <v>56257630</v>
      </c>
      <c r="D203" s="84">
        <v>24188317.705310546</v>
      </c>
      <c r="E203" s="84">
        <v>40987645.356525369</v>
      </c>
      <c r="F203" s="84">
        <v>28451158.918108091</v>
      </c>
      <c r="G203" s="84">
        <v>15000000</v>
      </c>
      <c r="H203" s="84">
        <v>108627121.97994401</v>
      </c>
      <c r="I203" s="84">
        <v>112515260</v>
      </c>
      <c r="J203" s="84">
        <v>3888138.0200559944</v>
      </c>
      <c r="K203" s="84"/>
    </row>
    <row r="204" spans="1:11" ht="13.2">
      <c r="A204" s="81">
        <v>195</v>
      </c>
      <c r="B204" s="84">
        <v>57015369</v>
      </c>
      <c r="C204" s="84">
        <v>57015369</v>
      </c>
      <c r="D204" s="84">
        <v>24856216.995774508</v>
      </c>
      <c r="E204" s="84">
        <v>42402972.938537933</v>
      </c>
      <c r="F204" s="84">
        <v>25819317.632588305</v>
      </c>
      <c r="G204" s="84">
        <v>15000000</v>
      </c>
      <c r="H204" s="84">
        <v>108078507.56690073</v>
      </c>
      <c r="I204" s="84">
        <v>114030738</v>
      </c>
      <c r="J204" s="84">
        <v>5952230.4330992699</v>
      </c>
      <c r="K204" s="84"/>
    </row>
    <row r="205" spans="1:11" ht="13.2">
      <c r="A205" s="81">
        <v>196</v>
      </c>
      <c r="B205" s="84">
        <v>55054616.5</v>
      </c>
      <c r="C205" s="84">
        <v>55054616.5</v>
      </c>
      <c r="D205" s="84">
        <v>24436830.990180321</v>
      </c>
      <c r="E205" s="84">
        <v>42429210.811105013</v>
      </c>
      <c r="F205" s="84">
        <v>27518818.342978757</v>
      </c>
      <c r="G205" s="84">
        <v>15000000</v>
      </c>
      <c r="H205" s="84">
        <v>109384860.14426409</v>
      </c>
      <c r="I205" s="84">
        <v>110109233</v>
      </c>
      <c r="J205" s="84">
        <v>724372.85573591292</v>
      </c>
      <c r="K205" s="84"/>
    </row>
    <row r="206" spans="1:11" ht="13.2">
      <c r="A206" s="81">
        <v>197</v>
      </c>
      <c r="B206" s="84">
        <v>58179492.5</v>
      </c>
      <c r="C206" s="84">
        <v>58179492.5</v>
      </c>
      <c r="D206" s="84">
        <v>22847851.103744581</v>
      </c>
      <c r="E206" s="84">
        <v>43157981.971418783</v>
      </c>
      <c r="F206" s="84">
        <v>28555457.985037338</v>
      </c>
      <c r="G206" s="84">
        <v>15000000</v>
      </c>
      <c r="H206" s="84">
        <v>109561291.06020071</v>
      </c>
      <c r="I206" s="84">
        <v>116358985</v>
      </c>
      <c r="J206" s="84">
        <v>6797693.9397992939</v>
      </c>
      <c r="K206" s="84"/>
    </row>
    <row r="207" spans="1:11" ht="13.2">
      <c r="A207" s="81">
        <v>198</v>
      </c>
      <c r="B207" s="84">
        <v>60188461.5</v>
      </c>
      <c r="C207" s="84">
        <v>60188461.5</v>
      </c>
      <c r="D207" s="84">
        <v>22973054.175925255</v>
      </c>
      <c r="E207" s="84">
        <v>43192486.626996949</v>
      </c>
      <c r="F207" s="84">
        <v>28714971.444630805</v>
      </c>
      <c r="G207" s="84">
        <v>15000000</v>
      </c>
      <c r="H207" s="84">
        <v>109880512.24755301</v>
      </c>
      <c r="I207" s="84">
        <v>120376923</v>
      </c>
      <c r="J207" s="84">
        <v>10496410.752446994</v>
      </c>
      <c r="K207" s="84"/>
    </row>
    <row r="208" spans="1:11" ht="13.2">
      <c r="A208" s="81">
        <v>199</v>
      </c>
      <c r="B208" s="84">
        <v>54985980</v>
      </c>
      <c r="C208" s="84">
        <v>54985980</v>
      </c>
      <c r="D208" s="84">
        <v>22710536.82914136</v>
      </c>
      <c r="E208" s="84">
        <v>42423003.012946457</v>
      </c>
      <c r="F208" s="84">
        <v>27527290.946408015</v>
      </c>
      <c r="G208" s="84">
        <v>15000000</v>
      </c>
      <c r="H208" s="84">
        <v>107660830.78849584</v>
      </c>
      <c r="I208" s="84">
        <v>109971960</v>
      </c>
      <c r="J208" s="84">
        <v>2311129.2115041614</v>
      </c>
      <c r="K208" s="84"/>
    </row>
    <row r="209" spans="1:11" ht="13.2">
      <c r="A209" s="81">
        <v>200</v>
      </c>
      <c r="B209" s="84">
        <v>55674434.5</v>
      </c>
      <c r="C209" s="84">
        <v>55674434.5</v>
      </c>
      <c r="D209" s="84">
        <v>24851254.874584831</v>
      </c>
      <c r="E209" s="84">
        <v>43330178.579820052</v>
      </c>
      <c r="F209" s="84">
        <v>26724963.638390686</v>
      </c>
      <c r="G209" s="84">
        <v>15000000</v>
      </c>
      <c r="H209" s="84">
        <v>109906397.09279558</v>
      </c>
      <c r="I209" s="84">
        <v>111348869</v>
      </c>
      <c r="J209" s="84">
        <v>1442471.9072044194</v>
      </c>
      <c r="K209" s="84"/>
    </row>
    <row r="210" spans="1:11" ht="13.2">
      <c r="A210" s="81">
        <v>201</v>
      </c>
      <c r="B210" s="84">
        <v>55978346</v>
      </c>
      <c r="C210" s="84">
        <v>55978346</v>
      </c>
      <c r="D210" s="84">
        <v>22445244.321210992</v>
      </c>
      <c r="E210" s="84">
        <v>42038962.784469441</v>
      </c>
      <c r="F210" s="84">
        <v>27188458.152503423</v>
      </c>
      <c r="G210" s="84">
        <v>15000000</v>
      </c>
      <c r="H210" s="84">
        <v>106672665.25818387</v>
      </c>
      <c r="I210" s="84">
        <v>111956692</v>
      </c>
      <c r="J210" s="84">
        <v>5284026.7418161333</v>
      </c>
      <c r="K210" s="84"/>
    </row>
    <row r="211" spans="1:11" ht="13.2">
      <c r="A211" s="81">
        <v>202</v>
      </c>
      <c r="B211" s="84">
        <v>56543101</v>
      </c>
      <c r="C211" s="84">
        <v>56543101</v>
      </c>
      <c r="D211" s="84">
        <v>23378142.019053683</v>
      </c>
      <c r="E211" s="84">
        <v>42089499.582186751</v>
      </c>
      <c r="F211" s="84">
        <v>28570050.080698308</v>
      </c>
      <c r="G211" s="84">
        <v>15000000</v>
      </c>
      <c r="H211" s="84">
        <v>109037691.68193874</v>
      </c>
      <c r="I211" s="84">
        <v>113086202</v>
      </c>
      <c r="J211" s="84">
        <v>4048510.3180612624</v>
      </c>
      <c r="K211" s="84"/>
    </row>
    <row r="212" spans="1:11" ht="13.2">
      <c r="A212" s="81">
        <v>203</v>
      </c>
      <c r="B212" s="84">
        <v>57892879</v>
      </c>
      <c r="C212" s="84">
        <v>57892879</v>
      </c>
      <c r="D212" s="84">
        <v>23773893.820906036</v>
      </c>
      <c r="E212" s="84">
        <v>42522664.642973132</v>
      </c>
      <c r="F212" s="84">
        <v>26439745.415656872</v>
      </c>
      <c r="G212" s="84">
        <v>15000000</v>
      </c>
      <c r="H212" s="84">
        <v>107736303.87953603</v>
      </c>
      <c r="I212" s="84">
        <v>115785758</v>
      </c>
      <c r="J212" s="84">
        <v>8049454.1204639673</v>
      </c>
      <c r="K212" s="84"/>
    </row>
    <row r="213" spans="1:11" ht="13.2">
      <c r="A213" s="81">
        <v>204</v>
      </c>
      <c r="B213" s="84">
        <v>58484955.5</v>
      </c>
      <c r="C213" s="84">
        <v>58484955.5</v>
      </c>
      <c r="D213" s="84">
        <v>22958756.013459507</v>
      </c>
      <c r="E213" s="84">
        <v>42943716.534521833</v>
      </c>
      <c r="F213" s="84">
        <v>26649765.424934149</v>
      </c>
      <c r="G213" s="84">
        <v>15000000</v>
      </c>
      <c r="H213" s="84">
        <v>107552237.97291549</v>
      </c>
      <c r="I213" s="84">
        <v>116969911</v>
      </c>
      <c r="J213" s="84">
        <v>9417673.0270845145</v>
      </c>
      <c r="K213" s="84"/>
    </row>
    <row r="214" spans="1:11" ht="13.2">
      <c r="A214" s="81">
        <v>205</v>
      </c>
      <c r="B214" s="84">
        <v>53722293.5</v>
      </c>
      <c r="C214" s="84">
        <v>53722293.5</v>
      </c>
      <c r="D214" s="84">
        <v>24849067.914541628</v>
      </c>
      <c r="E214" s="84">
        <v>42672087.633835882</v>
      </c>
      <c r="F214" s="84">
        <v>28624713.28737776</v>
      </c>
      <c r="G214" s="84">
        <v>15000000</v>
      </c>
      <c r="H214" s="84">
        <v>111145868.83575527</v>
      </c>
      <c r="I214" s="84">
        <v>107444587</v>
      </c>
      <c r="J214" s="84">
        <v>-3701281.8357552737</v>
      </c>
      <c r="K214" s="84"/>
    </row>
    <row r="215" spans="1:11" ht="13.2">
      <c r="A215" s="81">
        <v>206</v>
      </c>
      <c r="B215" s="84">
        <v>59998770.5</v>
      </c>
      <c r="C215" s="84">
        <v>59998770.5</v>
      </c>
      <c r="D215" s="84">
        <v>24176500.603439625</v>
      </c>
      <c r="E215" s="84">
        <v>42649904.153892726</v>
      </c>
      <c r="F215" s="84">
        <v>26967156.379776496</v>
      </c>
      <c r="G215" s="84">
        <v>15000000</v>
      </c>
      <c r="H215" s="84">
        <v>108793561.13710885</v>
      </c>
      <c r="I215" s="84">
        <v>119997541</v>
      </c>
      <c r="J215" s="84">
        <v>11203979.862891153</v>
      </c>
      <c r="K215" s="84"/>
    </row>
    <row r="216" spans="1:11" ht="13.2">
      <c r="A216" s="81">
        <v>207</v>
      </c>
      <c r="B216" s="84">
        <v>54384817.5</v>
      </c>
      <c r="C216" s="84">
        <v>54384817.5</v>
      </c>
      <c r="D216" s="84">
        <v>23103807.570398875</v>
      </c>
      <c r="E216" s="84">
        <v>42021710.026135981</v>
      </c>
      <c r="F216" s="84">
        <v>26173311.948057875</v>
      </c>
      <c r="G216" s="84">
        <v>15000000</v>
      </c>
      <c r="H216" s="84">
        <v>106298829.54459274</v>
      </c>
      <c r="I216" s="84">
        <v>108769635</v>
      </c>
      <c r="J216" s="84">
        <v>2470805.4554072618</v>
      </c>
      <c r="K216" s="84"/>
    </row>
    <row r="217" spans="1:11" ht="13.2">
      <c r="A217" s="81">
        <v>208</v>
      </c>
      <c r="B217" s="84">
        <v>62350981</v>
      </c>
      <c r="C217" s="84">
        <v>62350981</v>
      </c>
      <c r="D217" s="84">
        <v>25374396.708661061</v>
      </c>
      <c r="E217" s="84">
        <v>43032267.434883744</v>
      </c>
      <c r="F217" s="84">
        <v>29538814.692283731</v>
      </c>
      <c r="G217" s="84">
        <v>15000000</v>
      </c>
      <c r="H217" s="84">
        <v>112945478.83582854</v>
      </c>
      <c r="I217" s="84">
        <v>124701962</v>
      </c>
      <c r="J217" s="84">
        <v>11756483.164171457</v>
      </c>
      <c r="K217" s="84"/>
    </row>
    <row r="218" spans="1:11" ht="13.2">
      <c r="A218" s="81">
        <v>209</v>
      </c>
      <c r="B218" s="84">
        <v>55962239.5</v>
      </c>
      <c r="C218" s="84">
        <v>55962239.5</v>
      </c>
      <c r="D218" s="84">
        <v>22695944.566123974</v>
      </c>
      <c r="E218" s="84">
        <v>41933409.972801208</v>
      </c>
      <c r="F218" s="84">
        <v>27868684.475394879</v>
      </c>
      <c r="G218" s="84">
        <v>15000000</v>
      </c>
      <c r="H218" s="84">
        <v>107498039.01432006</v>
      </c>
      <c r="I218" s="84">
        <v>111924479</v>
      </c>
      <c r="J218" s="84">
        <v>4426439.9856799394</v>
      </c>
      <c r="K218" s="84"/>
    </row>
    <row r="219" spans="1:11" ht="13.2">
      <c r="A219" s="81">
        <v>210</v>
      </c>
      <c r="B219" s="84">
        <v>53027825.5</v>
      </c>
      <c r="C219" s="84">
        <v>53027825.5</v>
      </c>
      <c r="D219" s="84">
        <v>24439017.950223524</v>
      </c>
      <c r="E219" s="84">
        <v>42141459.753077425</v>
      </c>
      <c r="F219" s="84">
        <v>28040648.261108074</v>
      </c>
      <c r="G219" s="84">
        <v>15000000</v>
      </c>
      <c r="H219" s="84">
        <v>109621125.96440902</v>
      </c>
      <c r="I219" s="84">
        <v>106055651</v>
      </c>
      <c r="J219" s="84">
        <v>-3565474.9644090235</v>
      </c>
      <c r="K219" s="84"/>
    </row>
    <row r="220" spans="1:11" ht="13.2">
      <c r="A220" s="81">
        <v>211</v>
      </c>
      <c r="B220" s="84">
        <v>53487797.5</v>
      </c>
      <c r="C220" s="84">
        <v>53487797.5</v>
      </c>
      <c r="D220" s="84">
        <v>25929204.129366893</v>
      </c>
      <c r="E220" s="84">
        <v>42070089.984556593</v>
      </c>
      <c r="F220" s="84">
        <v>27655854.061630767</v>
      </c>
      <c r="G220" s="84">
        <v>15000000</v>
      </c>
      <c r="H220" s="84">
        <v>110655148.17555426</v>
      </c>
      <c r="I220" s="84">
        <v>106975595</v>
      </c>
      <c r="J220" s="84">
        <v>-3679553.1755542606</v>
      </c>
      <c r="K220" s="84"/>
    </row>
    <row r="221" spans="1:11" ht="13.2">
      <c r="A221" s="81">
        <v>212</v>
      </c>
      <c r="B221" s="84">
        <v>58706796.5</v>
      </c>
      <c r="C221" s="84">
        <v>58706796.5</v>
      </c>
      <c r="D221" s="84">
        <v>23105994.530442078</v>
      </c>
      <c r="E221" s="84">
        <v>42616035.660103649</v>
      </c>
      <c r="F221" s="84">
        <v>27822950.286791127</v>
      </c>
      <c r="G221" s="84">
        <v>15000000</v>
      </c>
      <c r="H221" s="84">
        <v>108544980.47733685</v>
      </c>
      <c r="I221" s="84">
        <v>117413593</v>
      </c>
      <c r="J221" s="84">
        <v>8868612.5226631463</v>
      </c>
      <c r="K221" s="84"/>
    </row>
    <row r="222" spans="1:11" ht="13.2">
      <c r="A222" s="81">
        <v>213</v>
      </c>
      <c r="B222" s="84">
        <v>56257464</v>
      </c>
      <c r="C222" s="84">
        <v>56257464</v>
      </c>
      <c r="D222" s="84">
        <v>25509524.023221079</v>
      </c>
      <c r="E222" s="84">
        <v>42490401.143412307</v>
      </c>
      <c r="F222" s="84">
        <v>26042419.279444631</v>
      </c>
      <c r="G222" s="84">
        <v>15000000</v>
      </c>
      <c r="H222" s="84">
        <v>109042344.44607802</v>
      </c>
      <c r="I222" s="84">
        <v>112514928</v>
      </c>
      <c r="J222" s="84">
        <v>3472583.5539219826</v>
      </c>
      <c r="K222" s="84"/>
    </row>
    <row r="223" spans="1:11" ht="13.2">
      <c r="A223" s="81">
        <v>214</v>
      </c>
      <c r="B223" s="84">
        <v>60261687.5</v>
      </c>
      <c r="C223" s="84">
        <v>60261687.5</v>
      </c>
      <c r="D223" s="84">
        <v>24569183.143593874</v>
      </c>
      <c r="E223" s="84">
        <v>42996077.757312752</v>
      </c>
      <c r="F223" s="84">
        <v>29628771.861120805</v>
      </c>
      <c r="G223" s="84">
        <v>15000000</v>
      </c>
      <c r="H223" s="84">
        <v>112194032.76202743</v>
      </c>
      <c r="I223" s="84">
        <v>120523375</v>
      </c>
      <c r="J223" s="84">
        <v>8329342.2379725724</v>
      </c>
      <c r="K223" s="84"/>
    </row>
    <row r="224" spans="1:11" ht="13.2">
      <c r="A224" s="81">
        <v>215</v>
      </c>
      <c r="B224" s="84">
        <v>59183266.5</v>
      </c>
      <c r="C224" s="84">
        <v>59183266.5</v>
      </c>
      <c r="D224" s="84">
        <v>25258529.677756462</v>
      </c>
      <c r="E224" s="84">
        <v>41982342.712259859</v>
      </c>
      <c r="F224" s="84">
        <v>30402756.903703894</v>
      </c>
      <c r="G224" s="84">
        <v>15000000</v>
      </c>
      <c r="H224" s="84">
        <v>112643629.29372022</v>
      </c>
      <c r="I224" s="84">
        <v>118366533</v>
      </c>
      <c r="J224" s="84">
        <v>5722903.7062797844</v>
      </c>
      <c r="K224" s="84"/>
    </row>
    <row r="225" spans="1:11" ht="13.2">
      <c r="A225" s="81">
        <v>216</v>
      </c>
      <c r="B225" s="84">
        <v>55887547.5</v>
      </c>
      <c r="C225" s="84">
        <v>55887547.5</v>
      </c>
      <c r="D225" s="84">
        <v>23511082.373570502</v>
      </c>
      <c r="E225" s="84">
        <v>41951012.565536551</v>
      </c>
      <c r="F225" s="84">
        <v>28594487.980431344</v>
      </c>
      <c r="G225" s="84">
        <v>15000000</v>
      </c>
      <c r="H225" s="84">
        <v>109056582.91953839</v>
      </c>
      <c r="I225" s="84">
        <v>111775095</v>
      </c>
      <c r="J225" s="84">
        <v>2718512.0804616064</v>
      </c>
      <c r="K225" s="84"/>
    </row>
    <row r="226" spans="1:11" ht="13.2">
      <c r="A226" s="81">
        <v>217</v>
      </c>
      <c r="B226" s="84">
        <v>56202728.5</v>
      </c>
      <c r="C226" s="84">
        <v>56202728.5</v>
      </c>
      <c r="D226" s="84">
        <v>24166576.36106028</v>
      </c>
      <c r="E226" s="84">
        <v>43333572.187751353</v>
      </c>
      <c r="F226" s="84">
        <v>28528589.492240701</v>
      </c>
      <c r="G226" s="84">
        <v>15000000</v>
      </c>
      <c r="H226" s="84">
        <v>111028738.04105233</v>
      </c>
      <c r="I226" s="84">
        <v>112405457</v>
      </c>
      <c r="J226" s="84">
        <v>1376718.9589476734</v>
      </c>
      <c r="K226" s="84"/>
    </row>
    <row r="227" spans="1:11" ht="13.2">
      <c r="A227" s="81">
        <v>218</v>
      </c>
      <c r="B227" s="84">
        <v>52270710.5</v>
      </c>
      <c r="C227" s="84">
        <v>52270710.5</v>
      </c>
      <c r="D227" s="84">
        <v>26589954.338597979</v>
      </c>
      <c r="E227" s="84">
        <v>42426105.572454326</v>
      </c>
      <c r="F227" s="84">
        <v>28722270.575077251</v>
      </c>
      <c r="G227" s="84">
        <v>15000000</v>
      </c>
      <c r="H227" s="84">
        <v>112738330.48612955</v>
      </c>
      <c r="I227" s="84">
        <v>104541421</v>
      </c>
      <c r="J227" s="84">
        <v>-8196909.4861295521</v>
      </c>
      <c r="K227" s="84"/>
    </row>
    <row r="228" spans="1:11" ht="13.2">
      <c r="A228" s="81">
        <v>219</v>
      </c>
      <c r="B228" s="84">
        <v>53377703</v>
      </c>
      <c r="C228" s="84">
        <v>53377703</v>
      </c>
      <c r="D228" s="84">
        <v>23513269.333613705</v>
      </c>
      <c r="E228" s="84">
        <v>43306927.304883689</v>
      </c>
      <c r="F228" s="84">
        <v>25561988.983302969</v>
      </c>
      <c r="G228" s="84">
        <v>15000000</v>
      </c>
      <c r="H228" s="84">
        <v>107382185.62180036</v>
      </c>
      <c r="I228" s="84">
        <v>106755406</v>
      </c>
      <c r="J228" s="84">
        <v>-626779.62180036306</v>
      </c>
      <c r="K228" s="84"/>
    </row>
    <row r="229" spans="1:11" ht="13.2">
      <c r="A229" s="81">
        <v>220</v>
      </c>
      <c r="B229" s="84">
        <v>56395364</v>
      </c>
      <c r="C229" s="84">
        <v>56395364</v>
      </c>
      <c r="D229" s="84">
        <v>23103513.46984724</v>
      </c>
      <c r="E229" s="84">
        <v>42928349.072540268</v>
      </c>
      <c r="F229" s="84">
        <v>27690746.152224015</v>
      </c>
      <c r="G229" s="84">
        <v>15000000</v>
      </c>
      <c r="H229" s="84">
        <v>108722608.69461152</v>
      </c>
      <c r="I229" s="84">
        <v>112790728</v>
      </c>
      <c r="J229" s="84">
        <v>4068119.3053884804</v>
      </c>
      <c r="K229" s="84"/>
    </row>
    <row r="230" spans="1:11" ht="13.2">
      <c r="A230" s="81">
        <v>221</v>
      </c>
      <c r="B230" s="84">
        <v>56698392</v>
      </c>
      <c r="C230" s="84">
        <v>56698392</v>
      </c>
      <c r="D230" s="84">
        <v>22445244.321210992</v>
      </c>
      <c r="E230" s="84">
        <v>42450687.319243625</v>
      </c>
      <c r="F230" s="84">
        <v>27284286.048336942</v>
      </c>
      <c r="G230" s="84">
        <v>15000000</v>
      </c>
      <c r="H230" s="84">
        <v>107180217.68879156</v>
      </c>
      <c r="I230" s="84">
        <v>113396784</v>
      </c>
      <c r="J230" s="84">
        <v>6216566.3112084419</v>
      </c>
      <c r="K230" s="84"/>
    </row>
    <row r="231" spans="1:11" ht="13.2">
      <c r="A231" s="81">
        <v>222</v>
      </c>
      <c r="B231" s="84">
        <v>55471457.5</v>
      </c>
      <c r="C231" s="84">
        <v>55471457.5</v>
      </c>
      <c r="D231" s="84">
        <v>24044148.450026076</v>
      </c>
      <c r="E231" s="84">
        <v>43059180.002241038</v>
      </c>
      <c r="F231" s="84">
        <v>26506922.539822232</v>
      </c>
      <c r="G231" s="84">
        <v>15000000</v>
      </c>
      <c r="H231" s="84">
        <v>108610250.99208935</v>
      </c>
      <c r="I231" s="84">
        <v>110942915</v>
      </c>
      <c r="J231" s="84">
        <v>2332664.0079106539</v>
      </c>
      <c r="K231" s="84"/>
    </row>
    <row r="232" spans="1:11" ht="13.2">
      <c r="A232" s="81">
        <v>223</v>
      </c>
      <c r="B232" s="84">
        <v>52942221.5</v>
      </c>
      <c r="C232" s="84">
        <v>52942221.5</v>
      </c>
      <c r="D232" s="84">
        <v>22958756.013459507</v>
      </c>
      <c r="E232" s="84">
        <v>42619916.550737575</v>
      </c>
      <c r="F232" s="84">
        <v>29848823.852222495</v>
      </c>
      <c r="G232" s="84">
        <v>15000000</v>
      </c>
      <c r="H232" s="84">
        <v>110427496.41641957</v>
      </c>
      <c r="I232" s="84">
        <v>105884443</v>
      </c>
      <c r="J232" s="84">
        <v>-4543053.4164195657</v>
      </c>
      <c r="K232" s="84"/>
    </row>
    <row r="233" spans="1:11" ht="13.2">
      <c r="A233" s="81">
        <v>224</v>
      </c>
      <c r="B233" s="84">
        <v>56067730.5</v>
      </c>
      <c r="C233" s="84">
        <v>56067730.5</v>
      </c>
      <c r="D233" s="84">
        <v>26187053.455512751</v>
      </c>
      <c r="E233" s="84">
        <v>43327807.440588981</v>
      </c>
      <c r="F233" s="84">
        <v>26974211.693189636</v>
      </c>
      <c r="G233" s="84">
        <v>15000000</v>
      </c>
      <c r="H233" s="84">
        <v>111489072.58929136</v>
      </c>
      <c r="I233" s="84">
        <v>112135461</v>
      </c>
      <c r="J233" s="84">
        <v>646388.41070863605</v>
      </c>
      <c r="K233" s="84"/>
    </row>
    <row r="234" spans="1:11" ht="13.2">
      <c r="A234" s="81">
        <v>225</v>
      </c>
      <c r="B234" s="84">
        <v>56017509.5</v>
      </c>
      <c r="C234" s="84">
        <v>56017509.5</v>
      </c>
      <c r="D234" s="84">
        <v>26452345.963443119</v>
      </c>
      <c r="E234" s="84">
        <v>43434728.676296964</v>
      </c>
      <c r="F234" s="84">
        <v>25311562.28838421</v>
      </c>
      <c r="G234" s="84">
        <v>15000000</v>
      </c>
      <c r="H234" s="84">
        <v>110198636.92812429</v>
      </c>
      <c r="I234" s="84">
        <v>112035019</v>
      </c>
      <c r="J234" s="84">
        <v>1836382.0718757063</v>
      </c>
      <c r="K234" s="84"/>
    </row>
    <row r="235" spans="1:11" ht="13.2">
      <c r="A235" s="81">
        <v>226</v>
      </c>
      <c r="B235" s="84">
        <v>57370835</v>
      </c>
      <c r="C235" s="84">
        <v>57370835</v>
      </c>
      <c r="D235" s="84">
        <v>25516967.20500559</v>
      </c>
      <c r="E235" s="84">
        <v>42197310.340308771</v>
      </c>
      <c r="F235" s="84">
        <v>27212296.251429006</v>
      </c>
      <c r="G235" s="84">
        <v>15000000</v>
      </c>
      <c r="H235" s="84">
        <v>109926573.79674336</v>
      </c>
      <c r="I235" s="84">
        <v>114741670</v>
      </c>
      <c r="J235" s="84">
        <v>4815096.2032566369</v>
      </c>
      <c r="K235" s="84"/>
    </row>
    <row r="236" spans="1:11" ht="13.2">
      <c r="A236" s="81">
        <v>227</v>
      </c>
      <c r="B236" s="84">
        <v>55891108</v>
      </c>
      <c r="C236" s="84">
        <v>55891108</v>
      </c>
      <c r="D236" s="84">
        <v>25777003.491194651</v>
      </c>
      <c r="E236" s="84">
        <v>42405019.086057842</v>
      </c>
      <c r="F236" s="84">
        <v>27157675.617448568</v>
      </c>
      <c r="G236" s="84">
        <v>15000000</v>
      </c>
      <c r="H236" s="84">
        <v>110339698.19470106</v>
      </c>
      <c r="I236" s="84">
        <v>111782216</v>
      </c>
      <c r="J236" s="84">
        <v>1442517.8052989393</v>
      </c>
      <c r="K236" s="84"/>
    </row>
    <row r="237" spans="1:11" ht="13.2">
      <c r="A237" s="81">
        <v>228</v>
      </c>
      <c r="B237" s="84">
        <v>56657789.5</v>
      </c>
      <c r="C237" s="84">
        <v>56657789.5</v>
      </c>
      <c r="D237" s="84">
        <v>26312256.527693428</v>
      </c>
      <c r="E237" s="84">
        <v>42058126.620703161</v>
      </c>
      <c r="F237" s="84">
        <v>26652838.42259942</v>
      </c>
      <c r="G237" s="84">
        <v>15000000</v>
      </c>
      <c r="H237" s="84">
        <v>110023221.570996</v>
      </c>
      <c r="I237" s="84">
        <v>113315579</v>
      </c>
      <c r="J237" s="84">
        <v>3292357.4290039986</v>
      </c>
      <c r="K237" s="84"/>
    </row>
    <row r="238" spans="1:11" ht="13.2">
      <c r="A238" s="81">
        <v>229</v>
      </c>
      <c r="B238" s="84">
        <v>55959676.5</v>
      </c>
      <c r="C238" s="84">
        <v>55959676.5</v>
      </c>
      <c r="D238" s="84">
        <v>24441499.010818362</v>
      </c>
      <c r="E238" s="84">
        <v>42653336.541276291</v>
      </c>
      <c r="F238" s="84">
        <v>28999936.626232054</v>
      </c>
      <c r="G238" s="84">
        <v>15000000</v>
      </c>
      <c r="H238" s="84">
        <v>111094772.17832671</v>
      </c>
      <c r="I238" s="84">
        <v>111919353</v>
      </c>
      <c r="J238" s="84">
        <v>824580.82167328894</v>
      </c>
      <c r="K238" s="84"/>
    </row>
    <row r="239" spans="1:11" ht="13.2">
      <c r="A239" s="81">
        <v>230</v>
      </c>
      <c r="B239" s="84">
        <v>53918829</v>
      </c>
      <c r="C239" s="84">
        <v>53918829</v>
      </c>
      <c r="D239" s="84">
        <v>25251086.495971955</v>
      </c>
      <c r="E239" s="84">
        <v>41944579.721039273</v>
      </c>
      <c r="F239" s="84">
        <v>25866533.02127393</v>
      </c>
      <c r="G239" s="84">
        <v>15000000</v>
      </c>
      <c r="H239" s="84">
        <v>108062199.23828515</v>
      </c>
      <c r="I239" s="84">
        <v>107837658</v>
      </c>
      <c r="J239" s="84">
        <v>-224541.2382851541</v>
      </c>
      <c r="K239" s="84"/>
    </row>
    <row r="240" spans="1:11" ht="13.2">
      <c r="A240" s="81">
        <v>231</v>
      </c>
      <c r="B240" s="84">
        <v>52532918.5</v>
      </c>
      <c r="C240" s="84">
        <v>52532918.5</v>
      </c>
      <c r="D240" s="84">
        <v>25389283.072230078</v>
      </c>
      <c r="E240" s="84">
        <v>43754408.94802665</v>
      </c>
      <c r="F240" s="84">
        <v>27055852.097959165</v>
      </c>
      <c r="G240" s="84">
        <v>15000000</v>
      </c>
      <c r="H240" s="84">
        <v>111199544.11821589</v>
      </c>
      <c r="I240" s="84">
        <v>105065837</v>
      </c>
      <c r="J240" s="84">
        <v>-6133707.1182158887</v>
      </c>
      <c r="K240" s="84"/>
    </row>
    <row r="241" spans="1:11" ht="13.2">
      <c r="A241" s="81">
        <v>232</v>
      </c>
      <c r="B241" s="84">
        <v>54460638.5</v>
      </c>
      <c r="C241" s="84">
        <v>54460638.5</v>
      </c>
      <c r="D241" s="84">
        <v>22710536.82914136</v>
      </c>
      <c r="E241" s="84">
        <v>43026943.331645235</v>
      </c>
      <c r="F241" s="84">
        <v>26007179.558009885</v>
      </c>
      <c r="G241" s="84">
        <v>15000000</v>
      </c>
      <c r="H241" s="84">
        <v>106744659.71879649</v>
      </c>
      <c r="I241" s="84">
        <v>108921277</v>
      </c>
      <c r="J241" s="84">
        <v>2176617.2812035084</v>
      </c>
      <c r="K241" s="84"/>
    </row>
    <row r="242" spans="1:11" ht="13.2">
      <c r="A242" s="81">
        <v>233</v>
      </c>
      <c r="B242" s="84">
        <v>56976491</v>
      </c>
      <c r="C242" s="84">
        <v>56976491</v>
      </c>
      <c r="D242" s="84">
        <v>24316001.838086054</v>
      </c>
      <c r="E242" s="84">
        <v>42857258.306959569</v>
      </c>
      <c r="F242" s="84">
        <v>28805094.774143301</v>
      </c>
      <c r="G242" s="84">
        <v>15000000</v>
      </c>
      <c r="H242" s="84">
        <v>110978354.91918892</v>
      </c>
      <c r="I242" s="84">
        <v>113952982</v>
      </c>
      <c r="J242" s="84">
        <v>2974627.0808110833</v>
      </c>
      <c r="K242" s="84"/>
    </row>
    <row r="243" spans="1:11" ht="13.2">
      <c r="A243" s="81">
        <v>234</v>
      </c>
      <c r="B243" s="84">
        <v>57906322.5</v>
      </c>
      <c r="C243" s="84">
        <v>57906322.5</v>
      </c>
      <c r="D243" s="84">
        <v>22443057.361167789</v>
      </c>
      <c r="E243" s="84">
        <v>42680158.394239128</v>
      </c>
      <c r="F243" s="84">
        <v>26261697.121028975</v>
      </c>
      <c r="G243" s="84">
        <v>15000000</v>
      </c>
      <c r="H243" s="84">
        <v>106384912.87643589</v>
      </c>
      <c r="I243" s="84">
        <v>115812645</v>
      </c>
      <c r="J243" s="84">
        <v>9427732.1235641092</v>
      </c>
      <c r="K243" s="84"/>
    </row>
    <row r="244" spans="1:11" ht="13.2">
      <c r="A244" s="81">
        <v>235</v>
      </c>
      <c r="B244" s="84">
        <v>56009355</v>
      </c>
      <c r="C244" s="84">
        <v>56009355</v>
      </c>
      <c r="D244" s="84">
        <v>23780748.801587276</v>
      </c>
      <c r="E244" s="84">
        <v>43014368.768634111</v>
      </c>
      <c r="F244" s="84">
        <v>26811946.379322361</v>
      </c>
      <c r="G244" s="84">
        <v>15000000</v>
      </c>
      <c r="H244" s="84">
        <v>108607063.94954374</v>
      </c>
      <c r="I244" s="84">
        <v>112018710</v>
      </c>
      <c r="J244" s="84">
        <v>3411646.0504562557</v>
      </c>
      <c r="K244" s="84"/>
    </row>
    <row r="245" spans="1:11" ht="13.2">
      <c r="A245" s="81">
        <v>236</v>
      </c>
      <c r="B245" s="84">
        <v>55180079</v>
      </c>
      <c r="C245" s="84">
        <v>55180079</v>
      </c>
      <c r="D245" s="84">
        <v>23638472.405794378</v>
      </c>
      <c r="E245" s="84">
        <v>43702181.044250339</v>
      </c>
      <c r="F245" s="84">
        <v>27258738.013504926</v>
      </c>
      <c r="G245" s="84">
        <v>15000000</v>
      </c>
      <c r="H245" s="84">
        <v>109599391.46354964</v>
      </c>
      <c r="I245" s="84">
        <v>110360158</v>
      </c>
      <c r="J245" s="84">
        <v>760766.53645035625</v>
      </c>
      <c r="K245" s="84"/>
    </row>
    <row r="246" spans="1:11" ht="13.2">
      <c r="A246" s="81">
        <v>237</v>
      </c>
      <c r="B246" s="84">
        <v>58706559.5</v>
      </c>
      <c r="C246" s="84">
        <v>58706559.5</v>
      </c>
      <c r="D246" s="84">
        <v>25649613.458970774</v>
      </c>
      <c r="E246" s="84">
        <v>43484842.39983546</v>
      </c>
      <c r="F246" s="84">
        <v>27829141.86586519</v>
      </c>
      <c r="G246" s="84">
        <v>15000000</v>
      </c>
      <c r="H246" s="84">
        <v>111963597.72467142</v>
      </c>
      <c r="I246" s="84">
        <v>117413119</v>
      </c>
      <c r="J246" s="84">
        <v>5449521.2753285766</v>
      </c>
      <c r="K246" s="84"/>
    </row>
    <row r="247" spans="1:11" ht="13.2">
      <c r="A247" s="81">
        <v>238</v>
      </c>
      <c r="B247" s="84">
        <v>55663685.5</v>
      </c>
      <c r="C247" s="84">
        <v>55663685.5</v>
      </c>
      <c r="D247" s="84">
        <v>24441204.910266731</v>
      </c>
      <c r="E247" s="84">
        <v>42622498.541400269</v>
      </c>
      <c r="F247" s="84">
        <v>25060679.956475489</v>
      </c>
      <c r="G247" s="84">
        <v>15000000</v>
      </c>
      <c r="H247" s="84">
        <v>107124383.40814248</v>
      </c>
      <c r="I247" s="84">
        <v>111327371</v>
      </c>
      <c r="J247" s="84">
        <v>4202987.5918575227</v>
      </c>
      <c r="K247" s="84"/>
    </row>
    <row r="248" spans="1:11" ht="13.2">
      <c r="A248" s="81">
        <v>239</v>
      </c>
      <c r="B248" s="84">
        <v>56469675.5</v>
      </c>
      <c r="C248" s="84">
        <v>56469675.5</v>
      </c>
      <c r="D248" s="84">
        <v>24166870.461611915</v>
      </c>
      <c r="E248" s="84">
        <v>43504319.027429476</v>
      </c>
      <c r="F248" s="84">
        <v>25883370.54491657</v>
      </c>
      <c r="G248" s="84">
        <v>15000000</v>
      </c>
      <c r="H248" s="84">
        <v>108554560.03395796</v>
      </c>
      <c r="I248" s="84">
        <v>112939351</v>
      </c>
      <c r="J248" s="84">
        <v>4384790.9660420418</v>
      </c>
      <c r="K248" s="84"/>
    </row>
    <row r="249" spans="1:11" ht="13.2">
      <c r="A249" s="81">
        <v>240</v>
      </c>
      <c r="B249" s="84">
        <v>55219731</v>
      </c>
      <c r="C249" s="84">
        <v>55219731</v>
      </c>
      <c r="D249" s="84">
        <v>25663911.621436525</v>
      </c>
      <c r="E249" s="84">
        <v>43538344.945771679</v>
      </c>
      <c r="F249" s="84">
        <v>28057401.00385968</v>
      </c>
      <c r="G249" s="84">
        <v>15000000</v>
      </c>
      <c r="H249" s="84">
        <v>112259657.57106788</v>
      </c>
      <c r="I249" s="84">
        <v>110439462</v>
      </c>
      <c r="J249" s="84">
        <v>-1820195.5710678846</v>
      </c>
      <c r="K249" s="84"/>
    </row>
    <row r="250" spans="1:11" ht="13.2">
      <c r="A250" s="81">
        <v>241</v>
      </c>
      <c r="B250" s="84">
        <v>58766455</v>
      </c>
      <c r="C250" s="84">
        <v>58766455</v>
      </c>
      <c r="D250" s="84">
        <v>25123990.56429971</v>
      </c>
      <c r="E250" s="84">
        <v>43575491.862095356</v>
      </c>
      <c r="F250" s="84">
        <v>25866992.246168077</v>
      </c>
      <c r="G250" s="84">
        <v>15000000</v>
      </c>
      <c r="H250" s="84">
        <v>109566474.67256314</v>
      </c>
      <c r="I250" s="84">
        <v>117532910</v>
      </c>
      <c r="J250" s="84">
        <v>7966435.3274368644</v>
      </c>
      <c r="K250" s="84"/>
    </row>
    <row r="251" spans="1:11" ht="13.2">
      <c r="A251" s="81">
        <v>242</v>
      </c>
      <c r="B251" s="84">
        <v>54556729</v>
      </c>
      <c r="C251" s="84">
        <v>54556729</v>
      </c>
      <c r="D251" s="84">
        <v>25507042.962626245</v>
      </c>
      <c r="E251" s="84">
        <v>43161414.676937416</v>
      </c>
      <c r="F251" s="84">
        <v>26377220.550608277</v>
      </c>
      <c r="G251" s="84">
        <v>15000000</v>
      </c>
      <c r="H251" s="84">
        <v>110045678.19017194</v>
      </c>
      <c r="I251" s="84">
        <v>109113458</v>
      </c>
      <c r="J251" s="84">
        <v>-932220.19017194211</v>
      </c>
      <c r="K251" s="84"/>
    </row>
    <row r="252" spans="1:11" ht="13.2">
      <c r="A252" s="81">
        <v>243</v>
      </c>
      <c r="B252" s="84">
        <v>54613611.5</v>
      </c>
      <c r="C252" s="84">
        <v>54613611.5</v>
      </c>
      <c r="D252" s="84">
        <v>23371287.038372446</v>
      </c>
      <c r="E252" s="84">
        <v>41997842.846008703</v>
      </c>
      <c r="F252" s="84">
        <v>27340125.37617097</v>
      </c>
      <c r="G252" s="84">
        <v>15000000</v>
      </c>
      <c r="H252" s="84">
        <v>107709255.26055211</v>
      </c>
      <c r="I252" s="84">
        <v>109227223</v>
      </c>
      <c r="J252" s="84">
        <v>1517967.7394478917</v>
      </c>
      <c r="K252" s="84"/>
    </row>
    <row r="253" spans="1:11" ht="13.2">
      <c r="A253" s="81">
        <v>244</v>
      </c>
      <c r="B253" s="84">
        <v>59366430.5</v>
      </c>
      <c r="C253" s="84">
        <v>59366430.5</v>
      </c>
      <c r="D253" s="84">
        <v>26312256.527693428</v>
      </c>
      <c r="E253" s="84">
        <v>42562028.659785509</v>
      </c>
      <c r="F253" s="84">
        <v>27789280.903825689</v>
      </c>
      <c r="G253" s="84">
        <v>15000000</v>
      </c>
      <c r="H253" s="84">
        <v>111663566.09130462</v>
      </c>
      <c r="I253" s="84">
        <v>118732861</v>
      </c>
      <c r="J253" s="84">
        <v>7069294.9086953849</v>
      </c>
      <c r="K253" s="84"/>
    </row>
    <row r="254" spans="1:11" ht="13.2">
      <c r="A254" s="81">
        <v>245</v>
      </c>
      <c r="B254" s="84">
        <v>59485775</v>
      </c>
      <c r="C254" s="84">
        <v>59485775</v>
      </c>
      <c r="D254" s="84">
        <v>24304184.736215137</v>
      </c>
      <c r="E254" s="84">
        <v>43625583.869323328</v>
      </c>
      <c r="F254" s="84">
        <v>26974097.302472383</v>
      </c>
      <c r="G254" s="84">
        <v>15000000</v>
      </c>
      <c r="H254" s="84">
        <v>109903865.90801084</v>
      </c>
      <c r="I254" s="84">
        <v>118971550</v>
      </c>
      <c r="J254" s="84">
        <v>9067684.0919891596</v>
      </c>
      <c r="K254" s="84"/>
    </row>
    <row r="255" spans="1:11" ht="13.2">
      <c r="A255" s="81">
        <v>246</v>
      </c>
      <c r="B255" s="84">
        <v>59069786.5</v>
      </c>
      <c r="C255" s="84">
        <v>59069786.5</v>
      </c>
      <c r="D255" s="84">
        <v>23631323.324561503</v>
      </c>
      <c r="E255" s="84">
        <v>42552511.541773587</v>
      </c>
      <c r="F255" s="84">
        <v>27363745.536473963</v>
      </c>
      <c r="G255" s="84">
        <v>15000000</v>
      </c>
      <c r="H255" s="84">
        <v>108547580.40280905</v>
      </c>
      <c r="I255" s="84">
        <v>118139573</v>
      </c>
      <c r="J255" s="84">
        <v>9591992.5971909463</v>
      </c>
      <c r="K255" s="84"/>
    </row>
    <row r="256" spans="1:11" ht="13.2">
      <c r="A256" s="81">
        <v>247</v>
      </c>
      <c r="B256" s="84">
        <v>58722510</v>
      </c>
      <c r="C256" s="84">
        <v>58722510</v>
      </c>
      <c r="D256" s="84">
        <v>26447383.842253447</v>
      </c>
      <c r="E256" s="84">
        <v>42831313.657626987</v>
      </c>
      <c r="F256" s="84">
        <v>26624153.549615715</v>
      </c>
      <c r="G256" s="84">
        <v>15000000</v>
      </c>
      <c r="H256" s="84">
        <v>110902851.04949614</v>
      </c>
      <c r="I256" s="84">
        <v>117445020</v>
      </c>
      <c r="J256" s="84">
        <v>6542168.9505038559</v>
      </c>
      <c r="K256" s="84"/>
    </row>
    <row r="257" spans="1:11" ht="13.2">
      <c r="A257" s="81">
        <v>248</v>
      </c>
      <c r="B257" s="84">
        <v>56240517</v>
      </c>
      <c r="C257" s="84">
        <v>56240517</v>
      </c>
      <c r="D257" s="84">
        <v>25521341.125091996</v>
      </c>
      <c r="E257" s="84">
        <v>43362239.982044399</v>
      </c>
      <c r="F257" s="84">
        <v>24802550.717658475</v>
      </c>
      <c r="G257" s="84">
        <v>15000000</v>
      </c>
      <c r="H257" s="84">
        <v>108686131.82479487</v>
      </c>
      <c r="I257" s="84">
        <v>112481034</v>
      </c>
      <c r="J257" s="84">
        <v>3794902.1752051264</v>
      </c>
      <c r="K257" s="84"/>
    </row>
    <row r="258" spans="1:11" ht="13.2">
      <c r="A258" s="81">
        <v>249</v>
      </c>
      <c r="B258" s="84">
        <v>55919593.5</v>
      </c>
      <c r="C258" s="84">
        <v>55919593.5</v>
      </c>
      <c r="D258" s="84">
        <v>22710536.82914136</v>
      </c>
      <c r="E258" s="84">
        <v>43085127.648837619</v>
      </c>
      <c r="F258" s="84">
        <v>27496425.256433353</v>
      </c>
      <c r="G258" s="84">
        <v>15000000</v>
      </c>
      <c r="H258" s="84">
        <v>108292089.73441233</v>
      </c>
      <c r="I258" s="84">
        <v>111839187</v>
      </c>
      <c r="J258" s="84">
        <v>3547097.2655876726</v>
      </c>
      <c r="K258" s="84"/>
    </row>
    <row r="259" spans="1:11" ht="13.2">
      <c r="A259" s="81">
        <v>250</v>
      </c>
      <c r="B259" s="84">
        <v>54188416</v>
      </c>
      <c r="C259" s="84">
        <v>54188416</v>
      </c>
      <c r="D259" s="84">
        <v>24045747.208966013</v>
      </c>
      <c r="E259" s="84">
        <v>41913869.082681239</v>
      </c>
      <c r="F259" s="84">
        <v>28798951.909863893</v>
      </c>
      <c r="G259" s="84">
        <v>15000000</v>
      </c>
      <c r="H259" s="84">
        <v>109758568.20151114</v>
      </c>
      <c r="I259" s="84">
        <v>108376832</v>
      </c>
      <c r="J259" s="84">
        <v>-1381736.2015111446</v>
      </c>
      <c r="K259" s="84"/>
    </row>
    <row r="260" spans="1:11" ht="13.2">
      <c r="A260" s="81">
        <v>251</v>
      </c>
      <c r="B260" s="84">
        <v>59245903.5</v>
      </c>
      <c r="C260" s="84">
        <v>59245903.5</v>
      </c>
      <c r="D260" s="84">
        <v>25261010.7383513</v>
      </c>
      <c r="E260" s="84">
        <v>42310615.995115444</v>
      </c>
      <c r="F260" s="84">
        <v>25942472.911235232</v>
      </c>
      <c r="G260" s="84">
        <v>15000000</v>
      </c>
      <c r="H260" s="84">
        <v>108514099.64470197</v>
      </c>
      <c r="I260" s="84">
        <v>118491807</v>
      </c>
      <c r="J260" s="84">
        <v>9977707.3552980274</v>
      </c>
      <c r="K260" s="84"/>
    </row>
    <row r="261" spans="1:11" ht="13.2">
      <c r="A261" s="81">
        <v>252</v>
      </c>
      <c r="B261" s="84">
        <v>57546303.5</v>
      </c>
      <c r="C261" s="84">
        <v>57546303.5</v>
      </c>
      <c r="D261" s="84">
        <v>24434349.929585483</v>
      </c>
      <c r="E261" s="84">
        <v>43422343.447321266</v>
      </c>
      <c r="F261" s="84">
        <v>29112297.98833042</v>
      </c>
      <c r="G261" s="84">
        <v>15000000</v>
      </c>
      <c r="H261" s="84">
        <v>111968991.36523718</v>
      </c>
      <c r="I261" s="84">
        <v>115092607</v>
      </c>
      <c r="J261" s="84">
        <v>3123615.6347628236</v>
      </c>
      <c r="K261" s="84"/>
    </row>
    <row r="262" spans="1:11" ht="13.2">
      <c r="A262" s="81">
        <v>253</v>
      </c>
      <c r="B262" s="84">
        <v>56876864</v>
      </c>
      <c r="C262" s="84">
        <v>56876864</v>
      </c>
      <c r="D262" s="84">
        <v>23508601.312975664</v>
      </c>
      <c r="E262" s="84">
        <v>41255074.262250543</v>
      </c>
      <c r="F262" s="84">
        <v>28483833.486823238</v>
      </c>
      <c r="G262" s="84">
        <v>15000000</v>
      </c>
      <c r="H262" s="84">
        <v>108247509.06204945</v>
      </c>
      <c r="I262" s="84">
        <v>113753728</v>
      </c>
      <c r="J262" s="84">
        <v>5506218.9379505515</v>
      </c>
      <c r="K262" s="84"/>
    </row>
    <row r="263" spans="1:11" ht="13.2">
      <c r="A263" s="81">
        <v>254</v>
      </c>
      <c r="B263" s="84">
        <v>52729677</v>
      </c>
      <c r="C263" s="84">
        <v>52729677</v>
      </c>
      <c r="D263" s="84">
        <v>23778855.942095708</v>
      </c>
      <c r="E263" s="84">
        <v>42670784.432045326</v>
      </c>
      <c r="F263" s="84">
        <v>26222241.77287009</v>
      </c>
      <c r="G263" s="84">
        <v>15000000</v>
      </c>
      <c r="H263" s="84">
        <v>107671882.14701113</v>
      </c>
      <c r="I263" s="84">
        <v>105459354</v>
      </c>
      <c r="J263" s="84">
        <v>-2212528.147011131</v>
      </c>
      <c r="K263" s="84"/>
    </row>
    <row r="264" spans="1:11" ht="13.2">
      <c r="A264" s="81">
        <v>255</v>
      </c>
      <c r="B264" s="84">
        <v>53646178</v>
      </c>
      <c r="C264" s="84">
        <v>53646178</v>
      </c>
      <c r="D264" s="84">
        <v>24456091.273835748</v>
      </c>
      <c r="E264" s="84">
        <v>42336065.438234694</v>
      </c>
      <c r="F264" s="84">
        <v>27980160.575367302</v>
      </c>
      <c r="G264" s="84">
        <v>15000000</v>
      </c>
      <c r="H264" s="84">
        <v>109772317.28743774</v>
      </c>
      <c r="I264" s="84">
        <v>107292356</v>
      </c>
      <c r="J264" s="84">
        <v>-2479961.287437737</v>
      </c>
      <c r="K264" s="84"/>
    </row>
    <row r="265" spans="1:11" ht="13.2">
      <c r="A265" s="81">
        <v>256</v>
      </c>
      <c r="B265" s="84">
        <v>54107472.5</v>
      </c>
      <c r="C265" s="84">
        <v>54107472.5</v>
      </c>
      <c r="D265" s="84">
        <v>22693463.505529139</v>
      </c>
      <c r="E265" s="84">
        <v>42556029.668866485</v>
      </c>
      <c r="F265" s="84">
        <v>25745681.173994198</v>
      </c>
      <c r="G265" s="84">
        <v>15000000</v>
      </c>
      <c r="H265" s="84">
        <v>105995174.34838982</v>
      </c>
      <c r="I265" s="84">
        <v>108214945</v>
      </c>
      <c r="J265" s="84">
        <v>2219770.6516101807</v>
      </c>
      <c r="K265" s="84"/>
    </row>
    <row r="266" spans="1:11" ht="13.2">
      <c r="A266" s="81">
        <v>257</v>
      </c>
      <c r="B266" s="84">
        <v>56439747.5</v>
      </c>
      <c r="C266" s="84">
        <v>56439747.5</v>
      </c>
      <c r="D266" s="84">
        <v>24183355.58412087</v>
      </c>
      <c r="E266" s="84">
        <v>43734639.763629019</v>
      </c>
      <c r="F266" s="84">
        <v>25666778.558541782</v>
      </c>
      <c r="G266" s="84">
        <v>15000000</v>
      </c>
      <c r="H266" s="84">
        <v>108584773.90629166</v>
      </c>
      <c r="I266" s="84">
        <v>112879495</v>
      </c>
      <c r="J266" s="84">
        <v>4294721.0937083364</v>
      </c>
      <c r="K266" s="84"/>
    </row>
    <row r="267" spans="1:11" ht="13.2">
      <c r="A267" s="81">
        <v>258</v>
      </c>
      <c r="B267" s="84">
        <v>51224174</v>
      </c>
      <c r="C267" s="84">
        <v>51224174</v>
      </c>
      <c r="D267" s="84">
        <v>24590924.487844139</v>
      </c>
      <c r="E267" s="84">
        <v>42157447.289298408</v>
      </c>
      <c r="F267" s="84">
        <v>28134617.13563047</v>
      </c>
      <c r="G267" s="84">
        <v>15000000</v>
      </c>
      <c r="H267" s="84">
        <v>109882988.91277301</v>
      </c>
      <c r="I267" s="84">
        <v>102448348</v>
      </c>
      <c r="J267" s="84">
        <v>-7434640.9127730131</v>
      </c>
      <c r="K267" s="84"/>
    </row>
    <row r="268" spans="1:11" ht="13.2">
      <c r="A268" s="81">
        <v>259</v>
      </c>
      <c r="B268" s="84">
        <v>57922078.5</v>
      </c>
      <c r="C268" s="84">
        <v>57922078.5</v>
      </c>
      <c r="D268" s="84">
        <v>25523822.18568683</v>
      </c>
      <c r="E268" s="84">
        <v>42404989.479135796</v>
      </c>
      <c r="F268" s="84">
        <v>31339460.969133783</v>
      </c>
      <c r="G268" s="84">
        <v>15000000</v>
      </c>
      <c r="H268" s="84">
        <v>114268272.6339564</v>
      </c>
      <c r="I268" s="84">
        <v>115844157</v>
      </c>
      <c r="J268" s="84">
        <v>1575884.3660435975</v>
      </c>
      <c r="K268" s="84"/>
    </row>
    <row r="269" spans="1:11" ht="13.2">
      <c r="A269" s="81">
        <v>260</v>
      </c>
      <c r="B269" s="84">
        <v>54564147</v>
      </c>
      <c r="C269" s="84">
        <v>54564147</v>
      </c>
      <c r="D269" s="84">
        <v>26452345.963443119</v>
      </c>
      <c r="E269" s="84">
        <v>41113713.098695099</v>
      </c>
      <c r="F269" s="84">
        <v>26872002.003692184</v>
      </c>
      <c r="G269" s="84">
        <v>15000000</v>
      </c>
      <c r="H269" s="84">
        <v>109438061.06583039</v>
      </c>
      <c r="I269" s="84">
        <v>109128294</v>
      </c>
      <c r="J269" s="84">
        <v>-309767.06583039463</v>
      </c>
      <c r="K269" s="84"/>
    </row>
    <row r="270" spans="1:11" ht="13.2">
      <c r="A270" s="81">
        <v>261</v>
      </c>
      <c r="B270" s="84">
        <v>55473595</v>
      </c>
      <c r="C270" s="84">
        <v>55473595</v>
      </c>
      <c r="D270" s="84">
        <v>25917092.926944342</v>
      </c>
      <c r="E270" s="84">
        <v>43217297.851398222</v>
      </c>
      <c r="F270" s="84">
        <v>27779606.478856947</v>
      </c>
      <c r="G270" s="84">
        <v>15000000</v>
      </c>
      <c r="H270" s="84">
        <v>111913997.25719951</v>
      </c>
      <c r="I270" s="84">
        <v>110947190</v>
      </c>
      <c r="J270" s="84">
        <v>-966807.25719951093</v>
      </c>
      <c r="K270" s="84"/>
    </row>
    <row r="271" spans="1:11" ht="13.2">
      <c r="A271" s="81">
        <v>262</v>
      </c>
      <c r="B271" s="84">
        <v>58649462.5</v>
      </c>
      <c r="C271" s="84">
        <v>58649462.5</v>
      </c>
      <c r="D271" s="84">
        <v>25784446.672979157</v>
      </c>
      <c r="E271" s="84">
        <v>43699373.864825919</v>
      </c>
      <c r="F271" s="84">
        <v>23584381.574244715</v>
      </c>
      <c r="G271" s="84">
        <v>15000000</v>
      </c>
      <c r="H271" s="84">
        <v>108068202.11204979</v>
      </c>
      <c r="I271" s="84">
        <v>117298925</v>
      </c>
      <c r="J271" s="84">
        <v>9230722.8879502118</v>
      </c>
      <c r="K271" s="84"/>
    </row>
    <row r="272" spans="1:11" ht="13.2">
      <c r="A272" s="81">
        <v>263</v>
      </c>
      <c r="B272" s="84">
        <v>57905000</v>
      </c>
      <c r="C272" s="84">
        <v>57905000</v>
      </c>
      <c r="D272" s="84">
        <v>23778561.841544073</v>
      </c>
      <c r="E272" s="84">
        <v>42225739.831662133</v>
      </c>
      <c r="F272" s="84">
        <v>27164929.751994632</v>
      </c>
      <c r="G272" s="84">
        <v>15000000</v>
      </c>
      <c r="H272" s="84">
        <v>108169231.42520085</v>
      </c>
      <c r="I272" s="84">
        <v>115810000</v>
      </c>
      <c r="J272" s="84">
        <v>7640768.5747991502</v>
      </c>
      <c r="K272" s="84"/>
    </row>
    <row r="273" spans="1:11" ht="13.2">
      <c r="A273" s="81">
        <v>264</v>
      </c>
      <c r="B273" s="84">
        <v>51818838.5</v>
      </c>
      <c r="C273" s="84">
        <v>51818838.5</v>
      </c>
      <c r="D273" s="84">
        <v>25796557.875401709</v>
      </c>
      <c r="E273" s="84">
        <v>42413854.382189609</v>
      </c>
      <c r="F273" s="84">
        <v>26808823.618641537</v>
      </c>
      <c r="G273" s="84">
        <v>15000000</v>
      </c>
      <c r="H273" s="84">
        <v>110019235.87623286</v>
      </c>
      <c r="I273" s="84">
        <v>103637677</v>
      </c>
      <c r="J273" s="84">
        <v>-6381558.8762328625</v>
      </c>
      <c r="K273" s="84"/>
    </row>
    <row r="274" spans="1:11" ht="13.2">
      <c r="A274" s="81">
        <v>265</v>
      </c>
      <c r="B274" s="84">
        <v>56879614</v>
      </c>
      <c r="C274" s="84">
        <v>56879614</v>
      </c>
      <c r="D274" s="84">
        <v>22567966.332796827</v>
      </c>
      <c r="E274" s="84">
        <v>41774803.710437708</v>
      </c>
      <c r="F274" s="84">
        <v>28112142.03408641</v>
      </c>
      <c r="G274" s="84">
        <v>15000000</v>
      </c>
      <c r="H274" s="84">
        <v>107454912.07732095</v>
      </c>
      <c r="I274" s="84">
        <v>113759228</v>
      </c>
      <c r="J274" s="84">
        <v>6304315.9226790518</v>
      </c>
      <c r="K274" s="84"/>
    </row>
    <row r="275" spans="1:11" ht="13.2">
      <c r="A275" s="81">
        <v>266</v>
      </c>
      <c r="B275" s="84">
        <v>57333106.5</v>
      </c>
      <c r="C275" s="84">
        <v>57333106.5</v>
      </c>
      <c r="D275" s="84">
        <v>23508307.212424032</v>
      </c>
      <c r="E275" s="84">
        <v>42539570.292180419</v>
      </c>
      <c r="F275" s="84">
        <v>25048034.340021748</v>
      </c>
      <c r="G275" s="84">
        <v>15000000</v>
      </c>
      <c r="H275" s="84">
        <v>106095911.8446262</v>
      </c>
      <c r="I275" s="84">
        <v>114666213</v>
      </c>
      <c r="J275" s="84">
        <v>8570301.1553737968</v>
      </c>
      <c r="K275" s="84"/>
    </row>
    <row r="276" spans="1:11" ht="13.2">
      <c r="A276" s="81">
        <v>267</v>
      </c>
      <c r="B276" s="84">
        <v>58211438</v>
      </c>
      <c r="C276" s="84">
        <v>58211438</v>
      </c>
      <c r="D276" s="84">
        <v>22833258.840727199</v>
      </c>
      <c r="E276" s="84">
        <v>42561566.424508721</v>
      </c>
      <c r="F276" s="84">
        <v>30144797.441664401</v>
      </c>
      <c r="G276" s="84">
        <v>15000000</v>
      </c>
      <c r="H276" s="84">
        <v>110539622.70690031</v>
      </c>
      <c r="I276" s="84">
        <v>116422876</v>
      </c>
      <c r="J276" s="84">
        <v>5883253.2930996865</v>
      </c>
      <c r="K276" s="84"/>
    </row>
    <row r="277" spans="1:11" ht="13.2">
      <c r="A277" s="81">
        <v>268</v>
      </c>
      <c r="B277" s="84">
        <v>54101095.5</v>
      </c>
      <c r="C277" s="84">
        <v>54101095.5</v>
      </c>
      <c r="D277" s="84">
        <v>24169351.52220675</v>
      </c>
      <c r="E277" s="84">
        <v>43768456.967540205</v>
      </c>
      <c r="F277" s="84">
        <v>27390303.328484308</v>
      </c>
      <c r="G277" s="84">
        <v>15000000</v>
      </c>
      <c r="H277" s="84">
        <v>110328111.81823127</v>
      </c>
      <c r="I277" s="84">
        <v>108202191</v>
      </c>
      <c r="J277" s="84">
        <v>-2125920.8182312697</v>
      </c>
      <c r="K277" s="84"/>
    </row>
    <row r="278" spans="1:11" ht="13.2">
      <c r="A278" s="81">
        <v>269</v>
      </c>
      <c r="B278" s="84">
        <v>58091928</v>
      </c>
      <c r="C278" s="84">
        <v>58091928</v>
      </c>
      <c r="D278" s="84">
        <v>24581000.245464791</v>
      </c>
      <c r="E278" s="84">
        <v>42363431.916910127</v>
      </c>
      <c r="F278" s="84">
        <v>26824047.481345959</v>
      </c>
      <c r="G278" s="84">
        <v>15000000</v>
      </c>
      <c r="H278" s="84">
        <v>108768479.64372087</v>
      </c>
      <c r="I278" s="84">
        <v>116183856</v>
      </c>
      <c r="J278" s="84">
        <v>7415376.3562791348</v>
      </c>
      <c r="K278" s="84"/>
    </row>
    <row r="279" spans="1:11" ht="13.2">
      <c r="A279" s="81">
        <v>270</v>
      </c>
      <c r="B279" s="84">
        <v>55612775</v>
      </c>
      <c r="C279" s="84">
        <v>55612775</v>
      </c>
      <c r="D279" s="84">
        <v>25912130.805754669</v>
      </c>
      <c r="E279" s="84">
        <v>43133595.030756809</v>
      </c>
      <c r="F279" s="84">
        <v>26158958.796656899</v>
      </c>
      <c r="G279" s="84">
        <v>15000000</v>
      </c>
      <c r="H279" s="84">
        <v>110204684.63316837</v>
      </c>
      <c r="I279" s="84">
        <v>111225550</v>
      </c>
      <c r="J279" s="84">
        <v>1020865.3668316305</v>
      </c>
      <c r="K279" s="84"/>
    </row>
    <row r="280" spans="1:11" ht="13.2">
      <c r="A280" s="81">
        <v>271</v>
      </c>
      <c r="B280" s="84">
        <v>56938580</v>
      </c>
      <c r="C280" s="84">
        <v>56938580</v>
      </c>
      <c r="D280" s="84">
        <v>24588737.527800933</v>
      </c>
      <c r="E280" s="84">
        <v>42067351.173427656</v>
      </c>
      <c r="F280" s="84">
        <v>28143484.320659764</v>
      </c>
      <c r="G280" s="84">
        <v>15000000</v>
      </c>
      <c r="H280" s="84">
        <v>109799573.02188835</v>
      </c>
      <c r="I280" s="84">
        <v>113877160</v>
      </c>
      <c r="J280" s="84">
        <v>4077586.9781116545</v>
      </c>
      <c r="K280" s="84"/>
    </row>
    <row r="281" spans="1:11" ht="13.2">
      <c r="A281" s="81">
        <v>272</v>
      </c>
      <c r="B281" s="84">
        <v>57862085.5</v>
      </c>
      <c r="C281" s="84">
        <v>57862085.5</v>
      </c>
      <c r="D281" s="84">
        <v>24050709.330155686</v>
      </c>
      <c r="E281" s="84">
        <v>42718196.027284756</v>
      </c>
      <c r="F281" s="84">
        <v>30291712.812796056</v>
      </c>
      <c r="G281" s="84">
        <v>15000000</v>
      </c>
      <c r="H281" s="84">
        <v>112060618.1702365</v>
      </c>
      <c r="I281" s="84">
        <v>115724171</v>
      </c>
      <c r="J281" s="84">
        <v>3663552.8297635019</v>
      </c>
      <c r="K281" s="84"/>
    </row>
    <row r="282" spans="1:11" ht="13.2">
      <c r="A282" s="81">
        <v>273</v>
      </c>
      <c r="B282" s="84">
        <v>55524567.5</v>
      </c>
      <c r="C282" s="84">
        <v>55524567.5</v>
      </c>
      <c r="D282" s="84">
        <v>25119028.443110038</v>
      </c>
      <c r="E282" s="84">
        <v>43813174.31147863</v>
      </c>
      <c r="F282" s="84">
        <v>27862665.48887955</v>
      </c>
      <c r="G282" s="84">
        <v>15000000</v>
      </c>
      <c r="H282" s="84">
        <v>111794868.24346821</v>
      </c>
      <c r="I282" s="84">
        <v>111049135</v>
      </c>
      <c r="J282" s="84">
        <v>-745733.2434682101</v>
      </c>
      <c r="K282" s="84"/>
    </row>
    <row r="283" spans="1:11" ht="13.2">
      <c r="A283" s="81">
        <v>274</v>
      </c>
      <c r="B283" s="84">
        <v>55182056.5</v>
      </c>
      <c r="C283" s="84">
        <v>55182056.5</v>
      </c>
      <c r="D283" s="84">
        <v>24445872.930904772</v>
      </c>
      <c r="E283" s="84">
        <v>42650317.664762497</v>
      </c>
      <c r="F283" s="84">
        <v>27130138.538087495</v>
      </c>
      <c r="G283" s="84">
        <v>15000000</v>
      </c>
      <c r="H283" s="84">
        <v>109226329.13375476</v>
      </c>
      <c r="I283" s="84">
        <v>110364113</v>
      </c>
      <c r="J283" s="84">
        <v>1137783.86624524</v>
      </c>
      <c r="K283" s="84"/>
    </row>
    <row r="284" spans="1:11" ht="13.2">
      <c r="A284" s="81">
        <v>275</v>
      </c>
      <c r="B284" s="84">
        <v>54507129.5</v>
      </c>
      <c r="C284" s="84">
        <v>54507129.5</v>
      </c>
      <c r="D284" s="84">
        <v>23771412.760311197</v>
      </c>
      <c r="E284" s="84">
        <v>41868973.226274028</v>
      </c>
      <c r="F284" s="84">
        <v>25815084.272804417</v>
      </c>
      <c r="G284" s="84">
        <v>15000000</v>
      </c>
      <c r="H284" s="84">
        <v>106455470.25938964</v>
      </c>
      <c r="I284" s="84">
        <v>109014259</v>
      </c>
      <c r="J284" s="84">
        <v>2558788.7406103611</v>
      </c>
      <c r="K284" s="84"/>
    </row>
    <row r="285" spans="1:11" ht="13.2">
      <c r="A285" s="81">
        <v>276</v>
      </c>
      <c r="B285" s="84">
        <v>58795400</v>
      </c>
      <c r="C285" s="84">
        <v>58795400</v>
      </c>
      <c r="D285" s="84">
        <v>23773305.619802769</v>
      </c>
      <c r="E285" s="84">
        <v>43106837.485844962</v>
      </c>
      <c r="F285" s="84">
        <v>29524608.26299113</v>
      </c>
      <c r="G285" s="84">
        <v>15000000</v>
      </c>
      <c r="H285" s="84">
        <v>111404751.36863886</v>
      </c>
      <c r="I285" s="84">
        <v>117590800</v>
      </c>
      <c r="J285" s="84">
        <v>6186048.6313611418</v>
      </c>
      <c r="K285" s="84"/>
    </row>
    <row r="286" spans="1:11" ht="13.2">
      <c r="A286" s="81">
        <v>277</v>
      </c>
      <c r="B286" s="84">
        <v>57715370</v>
      </c>
      <c r="C286" s="84">
        <v>57715370</v>
      </c>
      <c r="D286" s="84">
        <v>22695944.566123974</v>
      </c>
      <c r="E286" s="84">
        <v>42915459.233444989</v>
      </c>
      <c r="F286" s="84">
        <v>26260128.186217379</v>
      </c>
      <c r="G286" s="84">
        <v>15000000</v>
      </c>
      <c r="H286" s="84">
        <v>106871531.98578635</v>
      </c>
      <c r="I286" s="84">
        <v>115430740</v>
      </c>
      <c r="J286" s="84">
        <v>8559208.0142136514</v>
      </c>
      <c r="K286" s="84"/>
    </row>
    <row r="287" spans="1:11" ht="13.2">
      <c r="A287" s="81">
        <v>278</v>
      </c>
      <c r="B287" s="84">
        <v>60031369</v>
      </c>
      <c r="C287" s="84">
        <v>60031369</v>
      </c>
      <c r="D287" s="84">
        <v>25528784.306876507</v>
      </c>
      <c r="E287" s="84">
        <v>43413651.573554859</v>
      </c>
      <c r="F287" s="84">
        <v>27476741.577800222</v>
      </c>
      <c r="G287" s="84">
        <v>15000000</v>
      </c>
      <c r="H287" s="84">
        <v>111419177.4582316</v>
      </c>
      <c r="I287" s="84">
        <v>120062738</v>
      </c>
      <c r="J287" s="84">
        <v>8643560.5417684019</v>
      </c>
      <c r="K287" s="84"/>
    </row>
    <row r="288" spans="1:11" ht="13.2">
      <c r="A288" s="81">
        <v>279</v>
      </c>
      <c r="B288" s="84">
        <v>57360794</v>
      </c>
      <c r="C288" s="84">
        <v>57360794</v>
      </c>
      <c r="D288" s="84">
        <v>23229010.642579548</v>
      </c>
      <c r="E288" s="84">
        <v>42758793.453860328</v>
      </c>
      <c r="F288" s="84">
        <v>29621416.515884481</v>
      </c>
      <c r="G288" s="84">
        <v>15000000</v>
      </c>
      <c r="H288" s="84">
        <v>110609220.61232436</v>
      </c>
      <c r="I288" s="84">
        <v>114721588</v>
      </c>
      <c r="J288" s="84">
        <v>4112367.387675643</v>
      </c>
      <c r="K288" s="84"/>
    </row>
    <row r="289" spans="1:11" ht="13.2">
      <c r="A289" s="81">
        <v>280</v>
      </c>
      <c r="B289" s="84">
        <v>57092416</v>
      </c>
      <c r="C289" s="84">
        <v>57092416</v>
      </c>
      <c r="D289" s="84">
        <v>23240827.744450457</v>
      </c>
      <c r="E289" s="84">
        <v>43150285.837175258</v>
      </c>
      <c r="F289" s="84">
        <v>28342840.517401207</v>
      </c>
      <c r="G289" s="84">
        <v>15000000</v>
      </c>
      <c r="H289" s="84">
        <v>109733954.09902692</v>
      </c>
      <c r="I289" s="84">
        <v>114184832</v>
      </c>
      <c r="J289" s="84">
        <v>4450877.9009730816</v>
      </c>
      <c r="K289" s="84"/>
    </row>
    <row r="290" spans="1:11" ht="13.2">
      <c r="A290" s="81">
        <v>281</v>
      </c>
      <c r="B290" s="84">
        <v>58190629.5</v>
      </c>
      <c r="C290" s="84">
        <v>58190629.5</v>
      </c>
      <c r="D290" s="84">
        <v>23501452.231742792</v>
      </c>
      <c r="E290" s="84">
        <v>43719259.368188813</v>
      </c>
      <c r="F290" s="84">
        <v>27932091.407530472</v>
      </c>
      <c r="G290" s="84">
        <v>15000000</v>
      </c>
      <c r="H290" s="84">
        <v>110152803.00746207</v>
      </c>
      <c r="I290" s="84">
        <v>116381259</v>
      </c>
      <c r="J290" s="84">
        <v>6228455.9925379306</v>
      </c>
      <c r="K290" s="84"/>
    </row>
    <row r="291" spans="1:11" ht="13.2">
      <c r="A291" s="81">
        <v>282</v>
      </c>
      <c r="B291" s="84">
        <v>57815441</v>
      </c>
      <c r="C291" s="84">
        <v>57815441</v>
      </c>
      <c r="D291" s="84">
        <v>24043854.349474441</v>
      </c>
      <c r="E291" s="84">
        <v>43060715.654699951</v>
      </c>
      <c r="F291" s="84">
        <v>26930335.341091279</v>
      </c>
      <c r="G291" s="84">
        <v>15000000</v>
      </c>
      <c r="H291" s="84">
        <v>109034905.34526567</v>
      </c>
      <c r="I291" s="84">
        <v>115630882</v>
      </c>
      <c r="J291" s="84">
        <v>6595976.6547343284</v>
      </c>
      <c r="K291" s="84"/>
    </row>
    <row r="292" spans="1:11" ht="13.2">
      <c r="A292" s="81">
        <v>283</v>
      </c>
      <c r="B292" s="84">
        <v>60900414.5</v>
      </c>
      <c r="C292" s="84">
        <v>60900414.5</v>
      </c>
      <c r="D292" s="84">
        <v>23105700.429890439</v>
      </c>
      <c r="E292" s="84">
        <v>43369000.417273715</v>
      </c>
      <c r="F292" s="84">
        <v>27883609.109900504</v>
      </c>
      <c r="G292" s="84">
        <v>15000000</v>
      </c>
      <c r="H292" s="84">
        <v>109358309.95706466</v>
      </c>
      <c r="I292" s="84">
        <v>121800829</v>
      </c>
      <c r="J292" s="84">
        <v>12442519.042935342</v>
      </c>
      <c r="K292" s="84"/>
    </row>
    <row r="293" spans="1:11" ht="13.2">
      <c r="A293" s="81">
        <v>284</v>
      </c>
      <c r="B293" s="84">
        <v>55174242.5</v>
      </c>
      <c r="C293" s="84">
        <v>55174242.5</v>
      </c>
      <c r="D293" s="84">
        <v>25388694.871126812</v>
      </c>
      <c r="E293" s="84">
        <v>42857995.898801103</v>
      </c>
      <c r="F293" s="84">
        <v>26721951.257483982</v>
      </c>
      <c r="G293" s="84">
        <v>15000000</v>
      </c>
      <c r="H293" s="84">
        <v>109968642.02741191</v>
      </c>
      <c r="I293" s="84">
        <v>110348485</v>
      </c>
      <c r="J293" s="84">
        <v>379842.97258809209</v>
      </c>
      <c r="K293" s="84"/>
    </row>
    <row r="294" spans="1:11" ht="13.2">
      <c r="A294" s="81">
        <v>285</v>
      </c>
      <c r="B294" s="84">
        <v>61421136.5</v>
      </c>
      <c r="C294" s="84">
        <v>61421136.5</v>
      </c>
      <c r="D294" s="84">
        <v>23778855.942095708</v>
      </c>
      <c r="E294" s="84">
        <v>42417786.214924142</v>
      </c>
      <c r="F294" s="84">
        <v>28129600.483122095</v>
      </c>
      <c r="G294" s="84">
        <v>15000000</v>
      </c>
      <c r="H294" s="84">
        <v>109326242.64014195</v>
      </c>
      <c r="I294" s="84">
        <v>122842273</v>
      </c>
      <c r="J294" s="84">
        <v>13516030.359858051</v>
      </c>
      <c r="K294" s="84"/>
    </row>
    <row r="295" spans="1:11" ht="13.2">
      <c r="A295" s="81">
        <v>286</v>
      </c>
      <c r="B295" s="84">
        <v>56328926</v>
      </c>
      <c r="C295" s="84">
        <v>56328926</v>
      </c>
      <c r="D295" s="84">
        <v>23909021.135466054</v>
      </c>
      <c r="E295" s="84">
        <v>43249414.845396683</v>
      </c>
      <c r="F295" s="84">
        <v>26624811.206864864</v>
      </c>
      <c r="G295" s="84">
        <v>15000000</v>
      </c>
      <c r="H295" s="84">
        <v>108783247.1877276</v>
      </c>
      <c r="I295" s="84">
        <v>112657852</v>
      </c>
      <c r="J295" s="84">
        <v>3874604.8122723997</v>
      </c>
      <c r="K295" s="84"/>
    </row>
    <row r="296" spans="1:11" ht="13.2">
      <c r="A296" s="81">
        <v>287</v>
      </c>
      <c r="B296" s="84">
        <v>56360201</v>
      </c>
      <c r="C296" s="84">
        <v>56360201</v>
      </c>
      <c r="D296" s="84">
        <v>25391470.032273281</v>
      </c>
      <c r="E296" s="84">
        <v>43649417.027668387</v>
      </c>
      <c r="F296" s="84">
        <v>26160385.722137973</v>
      </c>
      <c r="G296" s="84">
        <v>15000000</v>
      </c>
      <c r="H296" s="84">
        <v>110201272.78207964</v>
      </c>
      <c r="I296" s="84">
        <v>112720402</v>
      </c>
      <c r="J296" s="84">
        <v>2519129.2179203629</v>
      </c>
      <c r="K296" s="84"/>
    </row>
    <row r="297" spans="1:11" ht="13.2">
      <c r="A297" s="81">
        <v>288</v>
      </c>
      <c r="B297" s="84">
        <v>60096277</v>
      </c>
      <c r="C297" s="84">
        <v>60096277</v>
      </c>
      <c r="D297" s="84">
        <v>23370698.837269176</v>
      </c>
      <c r="E297" s="84">
        <v>42588158.234259725</v>
      </c>
      <c r="F297" s="84">
        <v>26798158.982771788</v>
      </c>
      <c r="G297" s="84">
        <v>15000000</v>
      </c>
      <c r="H297" s="84">
        <v>107757016.05430068</v>
      </c>
      <c r="I297" s="84">
        <v>120192554</v>
      </c>
      <c r="J297" s="84">
        <v>12435537.945699319</v>
      </c>
      <c r="K297" s="84"/>
    </row>
    <row r="298" spans="1:11" ht="13.2">
      <c r="A298" s="81">
        <v>289</v>
      </c>
      <c r="B298" s="84">
        <v>54173895.5</v>
      </c>
      <c r="C298" s="84">
        <v>54173895.5</v>
      </c>
      <c r="D298" s="84">
        <v>26584992.217408303</v>
      </c>
      <c r="E298" s="84">
        <v>44488148.809528187</v>
      </c>
      <c r="F298" s="84">
        <v>27997550.177729223</v>
      </c>
      <c r="G298" s="84">
        <v>15000000</v>
      </c>
      <c r="H298" s="84">
        <v>114070691.20466571</v>
      </c>
      <c r="I298" s="84">
        <v>108347791</v>
      </c>
      <c r="J298" s="84">
        <v>-5722900.2046657056</v>
      </c>
      <c r="K298" s="84"/>
    </row>
    <row r="299" spans="1:11" ht="13.2">
      <c r="A299" s="81">
        <v>290</v>
      </c>
      <c r="B299" s="84">
        <v>60396042.5</v>
      </c>
      <c r="C299" s="84">
        <v>60396042.5</v>
      </c>
      <c r="D299" s="84">
        <v>24976457.946765509</v>
      </c>
      <c r="E299" s="84">
        <v>42003050.354283452</v>
      </c>
      <c r="F299" s="84">
        <v>26208141.864406276</v>
      </c>
      <c r="G299" s="84">
        <v>15000000</v>
      </c>
      <c r="H299" s="84">
        <v>108187650.16545524</v>
      </c>
      <c r="I299" s="84">
        <v>120792085</v>
      </c>
      <c r="J299" s="84">
        <v>12604434.834544763</v>
      </c>
      <c r="K299" s="84"/>
    </row>
    <row r="300" spans="1:11" ht="13.2">
      <c r="A300" s="81">
        <v>291</v>
      </c>
      <c r="B300" s="84">
        <v>58762075.5</v>
      </c>
      <c r="C300" s="84">
        <v>58762075.5</v>
      </c>
      <c r="D300" s="84">
        <v>23909021.135466054</v>
      </c>
      <c r="E300" s="84">
        <v>42646196.030834131</v>
      </c>
      <c r="F300" s="84">
        <v>25660040.691496186</v>
      </c>
      <c r="G300" s="84">
        <v>15000000</v>
      </c>
      <c r="H300" s="84">
        <v>107215257.85779637</v>
      </c>
      <c r="I300" s="84">
        <v>117524151</v>
      </c>
      <c r="J300" s="84">
        <v>10308893.142203629</v>
      </c>
      <c r="K300" s="84"/>
    </row>
    <row r="301" spans="1:11" ht="13.2">
      <c r="A301" s="81">
        <v>292</v>
      </c>
      <c r="B301" s="84">
        <v>53387795</v>
      </c>
      <c r="C301" s="84">
        <v>53387795</v>
      </c>
      <c r="D301" s="84">
        <v>24311333.817448013</v>
      </c>
      <c r="E301" s="84">
        <v>43201971.563178003</v>
      </c>
      <c r="F301" s="84">
        <v>26621045.772793535</v>
      </c>
      <c r="G301" s="84">
        <v>15000000</v>
      </c>
      <c r="H301" s="84">
        <v>109134351.15341955</v>
      </c>
      <c r="I301" s="84">
        <v>106775590</v>
      </c>
      <c r="J301" s="84">
        <v>-2358761.1534195542</v>
      </c>
      <c r="K301" s="84"/>
    </row>
    <row r="302" spans="1:11" ht="13.2">
      <c r="A302" s="81">
        <v>293</v>
      </c>
      <c r="B302" s="84">
        <v>56219599</v>
      </c>
      <c r="C302" s="84">
        <v>56219599</v>
      </c>
      <c r="D302" s="84">
        <v>24988863.249739692</v>
      </c>
      <c r="E302" s="84">
        <v>44268186.674157418</v>
      </c>
      <c r="F302" s="84">
        <v>28689797.791262403</v>
      </c>
      <c r="G302" s="84">
        <v>15000000</v>
      </c>
      <c r="H302" s="84">
        <v>112946847.71515952</v>
      </c>
      <c r="I302" s="84">
        <v>112439198</v>
      </c>
      <c r="J302" s="84">
        <v>-507649.71515952051</v>
      </c>
      <c r="K302" s="84"/>
    </row>
    <row r="303" spans="1:11" ht="13.2">
      <c r="A303" s="81">
        <v>294</v>
      </c>
      <c r="B303" s="84">
        <v>61186023.5</v>
      </c>
      <c r="C303" s="84">
        <v>61186023.5</v>
      </c>
      <c r="D303" s="84">
        <v>26327142.891262446</v>
      </c>
      <c r="E303" s="84">
        <v>43655709.970686503</v>
      </c>
      <c r="F303" s="84">
        <v>28260356.90402535</v>
      </c>
      <c r="G303" s="84">
        <v>15000000</v>
      </c>
      <c r="H303" s="84">
        <v>113243209.7659743</v>
      </c>
      <c r="I303" s="84">
        <v>122372047</v>
      </c>
      <c r="J303" s="84">
        <v>9128837.2340257019</v>
      </c>
      <c r="K303" s="84"/>
    </row>
    <row r="304" spans="1:11" ht="13.2">
      <c r="A304" s="81">
        <v>295</v>
      </c>
      <c r="B304" s="84">
        <v>58365916.5</v>
      </c>
      <c r="C304" s="84">
        <v>58365916.5</v>
      </c>
      <c r="D304" s="84">
        <v>24981420.067955181</v>
      </c>
      <c r="E304" s="84">
        <v>43266114.829840437</v>
      </c>
      <c r="F304" s="84">
        <v>27074320.594062354</v>
      </c>
      <c r="G304" s="84">
        <v>15000000</v>
      </c>
      <c r="H304" s="84">
        <v>110321855.49185798</v>
      </c>
      <c r="I304" s="84">
        <v>116731833</v>
      </c>
      <c r="J304" s="84">
        <v>6409977.5081420243</v>
      </c>
      <c r="K304" s="84"/>
    </row>
    <row r="305" spans="1:11" ht="13.2">
      <c r="A305" s="81">
        <v>296</v>
      </c>
      <c r="B305" s="84">
        <v>56725793.5</v>
      </c>
      <c r="C305" s="84">
        <v>56725793.5</v>
      </c>
      <c r="D305" s="84">
        <v>24051003.430707321</v>
      </c>
      <c r="E305" s="84">
        <v>42592163.131989621</v>
      </c>
      <c r="F305" s="84">
        <v>25374321.166701905</v>
      </c>
      <c r="G305" s="84">
        <v>15000000</v>
      </c>
      <c r="H305" s="84">
        <v>107017487.72939885</v>
      </c>
      <c r="I305" s="84">
        <v>113451587</v>
      </c>
      <c r="J305" s="84">
        <v>6434099.2706011534</v>
      </c>
      <c r="K305" s="84"/>
    </row>
    <row r="306" spans="1:11" ht="13.2">
      <c r="A306" s="81">
        <v>297</v>
      </c>
      <c r="B306" s="84">
        <v>52825594</v>
      </c>
      <c r="C306" s="84">
        <v>52825594</v>
      </c>
      <c r="D306" s="84">
        <v>22840996.123063341</v>
      </c>
      <c r="E306" s="84">
        <v>42546692.17786587</v>
      </c>
      <c r="F306" s="84">
        <v>26619695.142188858</v>
      </c>
      <c r="G306" s="84">
        <v>15000000</v>
      </c>
      <c r="H306" s="84">
        <v>107007383.44311807</v>
      </c>
      <c r="I306" s="84">
        <v>105651188</v>
      </c>
      <c r="J306" s="84">
        <v>-1356195.4431180656</v>
      </c>
      <c r="K306" s="84"/>
    </row>
    <row r="307" spans="1:11" ht="13.2">
      <c r="A307" s="81">
        <v>298</v>
      </c>
      <c r="B307" s="84">
        <v>58814840</v>
      </c>
      <c r="C307" s="84">
        <v>58814840</v>
      </c>
      <c r="D307" s="84">
        <v>22835739.901322037</v>
      </c>
      <c r="E307" s="84">
        <v>44117310.118800133</v>
      </c>
      <c r="F307" s="84">
        <v>26045889.441138927</v>
      </c>
      <c r="G307" s="84">
        <v>15000000</v>
      </c>
      <c r="H307" s="84">
        <v>107998939.46126109</v>
      </c>
      <c r="I307" s="84">
        <v>117629680</v>
      </c>
      <c r="J307" s="84">
        <v>9630740.5387389064</v>
      </c>
      <c r="K307" s="84"/>
    </row>
    <row r="308" spans="1:11" ht="13.2">
      <c r="A308" s="81">
        <v>299</v>
      </c>
      <c r="B308" s="84">
        <v>54760131</v>
      </c>
      <c r="C308" s="84">
        <v>54760131</v>
      </c>
      <c r="D308" s="84">
        <v>24436830.990180321</v>
      </c>
      <c r="E308" s="84">
        <v>42722104.337158151</v>
      </c>
      <c r="F308" s="84">
        <v>27800011.449131504</v>
      </c>
      <c r="G308" s="84">
        <v>15000000</v>
      </c>
      <c r="H308" s="84">
        <v>109958946.77646998</v>
      </c>
      <c r="I308" s="84">
        <v>109520262</v>
      </c>
      <c r="J308" s="84">
        <v>-438684.77646997571</v>
      </c>
      <c r="K308" s="84"/>
    </row>
    <row r="309" spans="1:11" ht="13.2">
      <c r="A309" s="81">
        <v>300</v>
      </c>
      <c r="B309" s="84">
        <v>61237671</v>
      </c>
      <c r="C309" s="84">
        <v>61237671</v>
      </c>
      <c r="D309" s="84">
        <v>24579107.385973219</v>
      </c>
      <c r="E309" s="84">
        <v>43419065.096946992</v>
      </c>
      <c r="F309" s="84">
        <v>29424727.459076572</v>
      </c>
      <c r="G309" s="84">
        <v>15000000</v>
      </c>
      <c r="H309" s="84">
        <v>112422899.94199678</v>
      </c>
      <c r="I309" s="84">
        <v>122475342</v>
      </c>
      <c r="J309" s="84">
        <v>10052442.058003217</v>
      </c>
      <c r="K309" s="84"/>
    </row>
    <row r="310" spans="1:11" ht="13.2">
      <c r="A310" s="81">
        <v>301</v>
      </c>
      <c r="B310" s="84">
        <v>58404065</v>
      </c>
      <c r="C310" s="84">
        <v>58404065</v>
      </c>
      <c r="D310" s="84">
        <v>25382133.990997203</v>
      </c>
      <c r="E310" s="84">
        <v>42220844.682812855</v>
      </c>
      <c r="F310" s="84">
        <v>27592278.188899074</v>
      </c>
      <c r="G310" s="84">
        <v>15000000</v>
      </c>
      <c r="H310" s="84">
        <v>110195256.86270913</v>
      </c>
      <c r="I310" s="84">
        <v>116808130</v>
      </c>
      <c r="J310" s="84">
        <v>6612873.1372908652</v>
      </c>
      <c r="K310" s="84"/>
    </row>
    <row r="311" spans="1:11" ht="13.2">
      <c r="A311" s="81">
        <v>302</v>
      </c>
      <c r="B311" s="84">
        <v>60185589</v>
      </c>
      <c r="C311" s="84">
        <v>60185589</v>
      </c>
      <c r="D311" s="84">
        <v>24309146.857404809</v>
      </c>
      <c r="E311" s="84">
        <v>43158352.47053431</v>
      </c>
      <c r="F311" s="84">
        <v>27797401.474879194</v>
      </c>
      <c r="G311" s="84">
        <v>15000000</v>
      </c>
      <c r="H311" s="84">
        <v>110264900.80281831</v>
      </c>
      <c r="I311" s="84">
        <v>120371178</v>
      </c>
      <c r="J311" s="84">
        <v>10106277.197181687</v>
      </c>
      <c r="K311" s="84"/>
    </row>
    <row r="312" spans="1:11" ht="13.2">
      <c r="A312" s="81">
        <v>303</v>
      </c>
      <c r="B312" s="84">
        <v>54127818</v>
      </c>
      <c r="C312" s="84">
        <v>54127818</v>
      </c>
      <c r="D312" s="84">
        <v>22167840.610858072</v>
      </c>
      <c r="E312" s="84">
        <v>44372426.590465792</v>
      </c>
      <c r="F312" s="84">
        <v>25393465.269057397</v>
      </c>
      <c r="G312" s="84">
        <v>15000000</v>
      </c>
      <c r="H312" s="84">
        <v>106933732.47038126</v>
      </c>
      <c r="I312" s="84">
        <v>108255636</v>
      </c>
      <c r="J312" s="84">
        <v>1321903.5296187401</v>
      </c>
      <c r="K312" s="84"/>
    </row>
    <row r="313" spans="1:11" ht="13.2">
      <c r="A313" s="81">
        <v>304</v>
      </c>
      <c r="B313" s="84">
        <v>57619959.5</v>
      </c>
      <c r="C313" s="84">
        <v>57619959.5</v>
      </c>
      <c r="D313" s="84">
        <v>23636579.546302814</v>
      </c>
      <c r="E313" s="84">
        <v>42778261.977474317</v>
      </c>
      <c r="F313" s="84">
        <v>26842399.336183362</v>
      </c>
      <c r="G313" s="84">
        <v>15000000</v>
      </c>
      <c r="H313" s="84">
        <v>108257240.8599605</v>
      </c>
      <c r="I313" s="84">
        <v>115239919</v>
      </c>
      <c r="J313" s="84">
        <v>6982678.1400395036</v>
      </c>
      <c r="K313" s="84"/>
    </row>
    <row r="314" spans="1:11" ht="13.2">
      <c r="A314" s="81">
        <v>305</v>
      </c>
      <c r="B314" s="84">
        <v>56232947</v>
      </c>
      <c r="C314" s="84">
        <v>56232947</v>
      </c>
      <c r="D314" s="84">
        <v>24451423.253197707</v>
      </c>
      <c r="E314" s="84">
        <v>43131934.435546316</v>
      </c>
      <c r="F314" s="84">
        <v>25519364.551202819</v>
      </c>
      <c r="G314" s="84">
        <v>15000000</v>
      </c>
      <c r="H314" s="84">
        <v>108102722.23994684</v>
      </c>
      <c r="I314" s="84">
        <v>112465894</v>
      </c>
      <c r="J314" s="84">
        <v>4363171.7600531578</v>
      </c>
      <c r="K314" s="84"/>
    </row>
    <row r="315" spans="1:11" ht="13.2">
      <c r="A315" s="81">
        <v>306</v>
      </c>
      <c r="B315" s="84">
        <v>54889669.5</v>
      </c>
      <c r="C315" s="84">
        <v>54889669.5</v>
      </c>
      <c r="D315" s="84">
        <v>24458278.233878955</v>
      </c>
      <c r="E315" s="84">
        <v>42344189.748358078</v>
      </c>
      <c r="F315" s="84">
        <v>28328033.989603873</v>
      </c>
      <c r="G315" s="84">
        <v>15000000</v>
      </c>
      <c r="H315" s="84">
        <v>110130501.9718409</v>
      </c>
      <c r="I315" s="84">
        <v>109779339</v>
      </c>
      <c r="J315" s="84">
        <v>-351162.97184090316</v>
      </c>
      <c r="K315" s="84"/>
    </row>
    <row r="316" spans="1:11" ht="13.2">
      <c r="A316" s="81">
        <v>307</v>
      </c>
      <c r="B316" s="84">
        <v>55631114</v>
      </c>
      <c r="C316" s="84">
        <v>55631114</v>
      </c>
      <c r="D316" s="84">
        <v>22445244.321210992</v>
      </c>
      <c r="E316" s="84">
        <v>43752449.1070273</v>
      </c>
      <c r="F316" s="84">
        <v>28554524.828632716</v>
      </c>
      <c r="G316" s="84">
        <v>15000000</v>
      </c>
      <c r="H316" s="84">
        <v>109752218.256871</v>
      </c>
      <c r="I316" s="84">
        <v>111262228</v>
      </c>
      <c r="J316" s="84">
        <v>1510009.7431290001</v>
      </c>
      <c r="K316" s="84"/>
    </row>
    <row r="317" spans="1:11" ht="13.2">
      <c r="A317" s="81">
        <v>308</v>
      </c>
      <c r="B317" s="84">
        <v>59844840</v>
      </c>
      <c r="C317" s="84">
        <v>59844840</v>
      </c>
      <c r="D317" s="84">
        <v>24850960.774033196</v>
      </c>
      <c r="E317" s="84">
        <v>41879503.048711918</v>
      </c>
      <c r="F317" s="84">
        <v>27200359.296838351</v>
      </c>
      <c r="G317" s="84">
        <v>15000000</v>
      </c>
      <c r="H317" s="84">
        <v>108930823.11958346</v>
      </c>
      <c r="I317" s="84">
        <v>119689680</v>
      </c>
      <c r="J317" s="84">
        <v>10758856.880416542</v>
      </c>
      <c r="K317" s="84"/>
    </row>
    <row r="318" spans="1:11" ht="13.2">
      <c r="A318" s="81">
        <v>309</v>
      </c>
      <c r="B318" s="84">
        <v>56238041</v>
      </c>
      <c r="C318" s="84">
        <v>56238041</v>
      </c>
      <c r="D318" s="84">
        <v>23508601.312975664</v>
      </c>
      <c r="E318" s="84">
        <v>41838800.901196435</v>
      </c>
      <c r="F318" s="84">
        <v>28294217.712828234</v>
      </c>
      <c r="G318" s="84">
        <v>15000000</v>
      </c>
      <c r="H318" s="84">
        <v>108641619.92700033</v>
      </c>
      <c r="I318" s="84">
        <v>112476082</v>
      </c>
      <c r="J318" s="84">
        <v>3834462.0729996711</v>
      </c>
      <c r="K318" s="84"/>
    </row>
    <row r="319" spans="1:11" ht="13.2">
      <c r="A319" s="81">
        <v>310</v>
      </c>
      <c r="B319" s="84">
        <v>49572858</v>
      </c>
      <c r="C319" s="84">
        <v>49572858</v>
      </c>
      <c r="D319" s="84">
        <v>23115624.672269784</v>
      </c>
      <c r="E319" s="84">
        <v>43187283.99626337</v>
      </c>
      <c r="F319" s="84">
        <v>26227071.925280385</v>
      </c>
      <c r="G319" s="84">
        <v>15000000</v>
      </c>
      <c r="H319" s="84">
        <v>107529980.59381354</v>
      </c>
      <c r="I319" s="84">
        <v>99145716</v>
      </c>
      <c r="J319" s="84">
        <v>-8384264.5938135386</v>
      </c>
      <c r="K319" s="84"/>
    </row>
    <row r="320" spans="1:11" ht="13.2">
      <c r="A320" s="81">
        <v>311</v>
      </c>
      <c r="B320" s="84">
        <v>55899992.5</v>
      </c>
      <c r="C320" s="84">
        <v>55899992.5</v>
      </c>
      <c r="D320" s="84">
        <v>23905951.873767953</v>
      </c>
      <c r="E320" s="84">
        <v>42491960.676269442</v>
      </c>
      <c r="F320" s="84">
        <v>27509050.586811915</v>
      </c>
      <c r="G320" s="84">
        <v>15000000</v>
      </c>
      <c r="H320" s="84">
        <v>108906963.13684931</v>
      </c>
      <c r="I320" s="84">
        <v>111799985</v>
      </c>
      <c r="J320" s="84">
        <v>2893021.863150686</v>
      </c>
      <c r="K320" s="84"/>
    </row>
    <row r="321" spans="1:11" ht="13.2">
      <c r="A321" s="81">
        <v>312</v>
      </c>
      <c r="B321" s="84">
        <v>55896767.5</v>
      </c>
      <c r="C321" s="84">
        <v>55896767.5</v>
      </c>
      <c r="D321" s="84">
        <v>24323445.019870564</v>
      </c>
      <c r="E321" s="84">
        <v>44193085.49744226</v>
      </c>
      <c r="F321" s="84">
        <v>29698075.066594444</v>
      </c>
      <c r="G321" s="84">
        <v>15000000</v>
      </c>
      <c r="H321" s="84">
        <v>113214605.58390728</v>
      </c>
      <c r="I321" s="84">
        <v>111793535</v>
      </c>
      <c r="J321" s="84">
        <v>-1421070.5839072764</v>
      </c>
      <c r="K321" s="84"/>
    </row>
    <row r="322" spans="1:11" ht="13.2">
      <c r="A322" s="81">
        <v>313</v>
      </c>
      <c r="B322" s="84">
        <v>56986682</v>
      </c>
      <c r="C322" s="84">
        <v>56986682</v>
      </c>
      <c r="D322" s="84">
        <v>23238640.784407262</v>
      </c>
      <c r="E322" s="84">
        <v>42317941.244595967</v>
      </c>
      <c r="F322" s="84">
        <v>28583105.589516807</v>
      </c>
      <c r="G322" s="84">
        <v>15000000</v>
      </c>
      <c r="H322" s="84">
        <v>109139687.61852004</v>
      </c>
      <c r="I322" s="84">
        <v>113973364</v>
      </c>
      <c r="J322" s="84">
        <v>4833676.3814799637</v>
      </c>
      <c r="K322" s="84"/>
    </row>
    <row r="323" spans="1:11" ht="13.2">
      <c r="A323" s="81">
        <v>314</v>
      </c>
      <c r="B323" s="84">
        <v>54200869</v>
      </c>
      <c r="C323" s="84">
        <v>54200869</v>
      </c>
      <c r="D323" s="84">
        <v>25123990.56429971</v>
      </c>
      <c r="E323" s="84">
        <v>42975517.59868513</v>
      </c>
      <c r="F323" s="84">
        <v>26875020.73961233</v>
      </c>
      <c r="G323" s="84">
        <v>15000000</v>
      </c>
      <c r="H323" s="84">
        <v>109974528.90259717</v>
      </c>
      <c r="I323" s="84">
        <v>108401738</v>
      </c>
      <c r="J323" s="84">
        <v>-1572790.902597174</v>
      </c>
      <c r="K323" s="84"/>
    </row>
    <row r="324" spans="1:11" ht="13.2">
      <c r="A324" s="81">
        <v>315</v>
      </c>
      <c r="B324" s="84">
        <v>58136323.5</v>
      </c>
      <c r="C324" s="84">
        <v>58136323.5</v>
      </c>
      <c r="D324" s="84">
        <v>25247006.67643718</v>
      </c>
      <c r="E324" s="84">
        <v>41739250.484877519</v>
      </c>
      <c r="F324" s="84">
        <v>25767738.118808553</v>
      </c>
      <c r="G324" s="84">
        <v>15000000</v>
      </c>
      <c r="H324" s="84">
        <v>107753995.28012325</v>
      </c>
      <c r="I324" s="84">
        <v>116272647</v>
      </c>
      <c r="J324" s="84">
        <v>8518651.7198767513</v>
      </c>
      <c r="K324" s="84"/>
    </row>
    <row r="325" spans="1:11" ht="13.2">
      <c r="A325" s="81">
        <v>316</v>
      </c>
      <c r="B325" s="84">
        <v>54417186</v>
      </c>
      <c r="C325" s="84">
        <v>54417186</v>
      </c>
      <c r="D325" s="84">
        <v>24161908.340422243</v>
      </c>
      <c r="E325" s="84">
        <v>41802027.467148699</v>
      </c>
      <c r="F325" s="84">
        <v>27920008.664525572</v>
      </c>
      <c r="G325" s="84">
        <v>15000000</v>
      </c>
      <c r="H325" s="84">
        <v>108883944.47209652</v>
      </c>
      <c r="I325" s="84">
        <v>108834372</v>
      </c>
      <c r="J325" s="84">
        <v>-49572.472096517682</v>
      </c>
      <c r="K325" s="84"/>
    </row>
    <row r="326" spans="1:11" ht="13.2">
      <c r="A326" s="81">
        <v>317</v>
      </c>
      <c r="B326" s="84">
        <v>54692952.5</v>
      </c>
      <c r="C326" s="84">
        <v>54692952.5</v>
      </c>
      <c r="D326" s="84">
        <v>24441204.910266731</v>
      </c>
      <c r="E326" s="84">
        <v>43018338.265572965</v>
      </c>
      <c r="F326" s="84">
        <v>27644381.367430132</v>
      </c>
      <c r="G326" s="84">
        <v>15000000</v>
      </c>
      <c r="H326" s="84">
        <v>110103924.54326983</v>
      </c>
      <c r="I326" s="84">
        <v>109385905</v>
      </c>
      <c r="J326" s="84">
        <v>-718019.54326982796</v>
      </c>
      <c r="K326" s="84"/>
    </row>
    <row r="327" spans="1:11" ht="13.2">
      <c r="A327" s="81">
        <v>318</v>
      </c>
      <c r="B327" s="84">
        <v>57691792</v>
      </c>
      <c r="C327" s="84">
        <v>57691792</v>
      </c>
      <c r="D327" s="84">
        <v>26584992.217408303</v>
      </c>
      <c r="E327" s="84">
        <v>42761674.428278454</v>
      </c>
      <c r="F327" s="84">
        <v>27402100.874045003</v>
      </c>
      <c r="G327" s="84">
        <v>15000000</v>
      </c>
      <c r="H327" s="84">
        <v>111748767.51973176</v>
      </c>
      <c r="I327" s="84">
        <v>115383584</v>
      </c>
      <c r="J327" s="84">
        <v>3634816.48026824</v>
      </c>
      <c r="K327" s="84"/>
    </row>
    <row r="328" spans="1:11" ht="13.2">
      <c r="A328" s="81">
        <v>319</v>
      </c>
      <c r="B328" s="84">
        <v>57495950.5</v>
      </c>
      <c r="C328" s="84">
        <v>57495950.5</v>
      </c>
      <c r="D328" s="84">
        <v>26051926.140952732</v>
      </c>
      <c r="E328" s="84">
        <v>42194942.460143529</v>
      </c>
      <c r="F328" s="84">
        <v>26052424.2516024</v>
      </c>
      <c r="G328" s="84">
        <v>15000000</v>
      </c>
      <c r="H328" s="84">
        <v>109299292.85269865</v>
      </c>
      <c r="I328" s="84">
        <v>114991901</v>
      </c>
      <c r="J328" s="84">
        <v>5692608.1473013461</v>
      </c>
      <c r="K328" s="84"/>
    </row>
    <row r="329" spans="1:11" ht="13.2">
      <c r="A329" s="81">
        <v>320</v>
      </c>
      <c r="B329" s="84">
        <v>59137717</v>
      </c>
      <c r="C329" s="84">
        <v>59137717</v>
      </c>
      <c r="D329" s="84">
        <v>23248270.926234968</v>
      </c>
      <c r="E329" s="84">
        <v>41620161.492771402</v>
      </c>
      <c r="F329" s="84">
        <v>28708045.74523079</v>
      </c>
      <c r="G329" s="84">
        <v>15000000</v>
      </c>
      <c r="H329" s="84">
        <v>108576478.16423716</v>
      </c>
      <c r="I329" s="84">
        <v>118275434</v>
      </c>
      <c r="J329" s="84">
        <v>9698955.8357628435</v>
      </c>
      <c r="K329" s="84"/>
    </row>
    <row r="330" spans="1:11" ht="13.2">
      <c r="A330" s="81">
        <v>321</v>
      </c>
      <c r="B330" s="84">
        <v>59890862</v>
      </c>
      <c r="C330" s="84">
        <v>59890862</v>
      </c>
      <c r="D330" s="84">
        <v>23915876.116147298</v>
      </c>
      <c r="E330" s="84">
        <v>43493452.950896919</v>
      </c>
      <c r="F330" s="84">
        <v>27478351.334297471</v>
      </c>
      <c r="G330" s="84">
        <v>15000000</v>
      </c>
      <c r="H330" s="84">
        <v>109887680.40134168</v>
      </c>
      <c r="I330" s="84">
        <v>119781724</v>
      </c>
      <c r="J330" s="84">
        <v>9894043.5986583233</v>
      </c>
      <c r="K330" s="84"/>
    </row>
    <row r="331" spans="1:11" ht="13.2">
      <c r="A331" s="81">
        <v>322</v>
      </c>
      <c r="B331" s="84">
        <v>59530084.5</v>
      </c>
      <c r="C331" s="84">
        <v>59530084.5</v>
      </c>
      <c r="D331" s="84">
        <v>25379064.729299098</v>
      </c>
      <c r="E331" s="84">
        <v>43186859.433353096</v>
      </c>
      <c r="F331" s="84">
        <v>23977791.982944414</v>
      </c>
      <c r="G331" s="84">
        <v>15000000</v>
      </c>
      <c r="H331" s="84">
        <v>107543716.14559661</v>
      </c>
      <c r="I331" s="84">
        <v>119060169</v>
      </c>
      <c r="J331" s="84">
        <v>11516452.854403391</v>
      </c>
      <c r="K331" s="84"/>
    </row>
    <row r="332" spans="1:11" ht="13.2">
      <c r="A332" s="81">
        <v>323</v>
      </c>
      <c r="B332" s="84">
        <v>55713369.5</v>
      </c>
      <c r="C332" s="84">
        <v>55713369.5</v>
      </c>
      <c r="D332" s="84">
        <v>25382133.990997203</v>
      </c>
      <c r="E332" s="84">
        <v>42294937.650851294</v>
      </c>
      <c r="F332" s="84">
        <v>28095184.095527858</v>
      </c>
      <c r="G332" s="84">
        <v>15000000</v>
      </c>
      <c r="H332" s="84">
        <v>110772255.73737636</v>
      </c>
      <c r="I332" s="84">
        <v>111426739</v>
      </c>
      <c r="J332" s="84">
        <v>654483.26262363791</v>
      </c>
      <c r="K332" s="84"/>
    </row>
    <row r="333" spans="1:11" ht="13.2">
      <c r="A333" s="81">
        <v>324</v>
      </c>
      <c r="B333" s="84">
        <v>57153507.5</v>
      </c>
      <c r="C333" s="84">
        <v>57153507.5</v>
      </c>
      <c r="D333" s="84">
        <v>22030232.235703215</v>
      </c>
      <c r="E333" s="84">
        <v>44468789.462248221</v>
      </c>
      <c r="F333" s="84">
        <v>25916055.66578418</v>
      </c>
      <c r="G333" s="84">
        <v>15000000</v>
      </c>
      <c r="H333" s="84">
        <v>107415077.36373562</v>
      </c>
      <c r="I333" s="84">
        <v>114307015</v>
      </c>
      <c r="J333" s="84">
        <v>6891937.6362643838</v>
      </c>
      <c r="K333" s="84"/>
    </row>
    <row r="334" spans="1:11" ht="13.2">
      <c r="A334" s="81">
        <v>325</v>
      </c>
      <c r="B334" s="84">
        <v>53224330</v>
      </c>
      <c r="C334" s="84">
        <v>53224330</v>
      </c>
      <c r="D334" s="84">
        <v>24169057.421655115</v>
      </c>
      <c r="E334" s="84">
        <v>42053292.357451782</v>
      </c>
      <c r="F334" s="84">
        <v>28742042.703985337</v>
      </c>
      <c r="G334" s="84">
        <v>15000000</v>
      </c>
      <c r="H334" s="84">
        <v>109964392.48309223</v>
      </c>
      <c r="I334" s="84">
        <v>106448660</v>
      </c>
      <c r="J334" s="84">
        <v>-3515732.4830922335</v>
      </c>
      <c r="K334" s="84"/>
    </row>
    <row r="335" spans="1:11" ht="13.2">
      <c r="A335" s="81">
        <v>326</v>
      </c>
      <c r="B335" s="84">
        <v>54415152.5</v>
      </c>
      <c r="C335" s="84">
        <v>54415152.5</v>
      </c>
      <c r="D335" s="84">
        <v>25116253.281963564</v>
      </c>
      <c r="E335" s="84">
        <v>42855054.173787914</v>
      </c>
      <c r="F335" s="84">
        <v>28138944.068335988</v>
      </c>
      <c r="G335" s="84">
        <v>15000000</v>
      </c>
      <c r="H335" s="84">
        <v>111110251.52408746</v>
      </c>
      <c r="I335" s="84">
        <v>108830305</v>
      </c>
      <c r="J335" s="84">
        <v>-2279946.5240874588</v>
      </c>
      <c r="K335" s="84"/>
    </row>
    <row r="336" spans="1:11" ht="13.2">
      <c r="A336" s="81">
        <v>327</v>
      </c>
      <c r="B336" s="84">
        <v>57070326.5</v>
      </c>
      <c r="C336" s="84">
        <v>57070326.5</v>
      </c>
      <c r="D336" s="84">
        <v>24982008.269058444</v>
      </c>
      <c r="E336" s="84">
        <v>41585634.428352028</v>
      </c>
      <c r="F336" s="84">
        <v>28338583.546290133</v>
      </c>
      <c r="G336" s="84">
        <v>15000000</v>
      </c>
      <c r="H336" s="84">
        <v>109906226.24370061</v>
      </c>
      <c r="I336" s="84">
        <v>114140653</v>
      </c>
      <c r="J336" s="84">
        <v>4234426.7562993914</v>
      </c>
      <c r="K336" s="84"/>
    </row>
    <row r="337" spans="1:11" ht="13.2">
      <c r="A337" s="81">
        <v>328</v>
      </c>
      <c r="B337" s="84">
        <v>59571514</v>
      </c>
      <c r="C337" s="84">
        <v>59571514</v>
      </c>
      <c r="D337" s="84">
        <v>24308852.756853178</v>
      </c>
      <c r="E337" s="84">
        <v>41965803.035760961</v>
      </c>
      <c r="F337" s="84">
        <v>28812607.420127518</v>
      </c>
      <c r="G337" s="84">
        <v>15000000</v>
      </c>
      <c r="H337" s="84">
        <v>110087263.21274166</v>
      </c>
      <c r="I337" s="84">
        <v>119143028</v>
      </c>
      <c r="J337" s="84">
        <v>9055764.7872583419</v>
      </c>
      <c r="K337" s="84"/>
    </row>
    <row r="338" spans="1:11" ht="13.2">
      <c r="A338" s="81">
        <v>329</v>
      </c>
      <c r="B338" s="84">
        <v>58810753</v>
      </c>
      <c r="C338" s="84">
        <v>58810753</v>
      </c>
      <c r="D338" s="84">
        <v>24581000.245464791</v>
      </c>
      <c r="E338" s="84">
        <v>41686884.451564558</v>
      </c>
      <c r="F338" s="84">
        <v>28779624.19005109</v>
      </c>
      <c r="G338" s="84">
        <v>15000000</v>
      </c>
      <c r="H338" s="84">
        <v>110047508.88708045</v>
      </c>
      <c r="I338" s="84">
        <v>117621506</v>
      </c>
      <c r="J338" s="84">
        <v>7573997.1129195541</v>
      </c>
      <c r="K338" s="84"/>
    </row>
    <row r="339" spans="1:11" ht="13.2">
      <c r="A339" s="81">
        <v>330</v>
      </c>
      <c r="B339" s="84">
        <v>56863304.5</v>
      </c>
      <c r="C339" s="84">
        <v>56863304.5</v>
      </c>
      <c r="D339" s="84">
        <v>22433133.118788444</v>
      </c>
      <c r="E339" s="84">
        <v>42876207.170412526</v>
      </c>
      <c r="F339" s="84">
        <v>28814273.839312047</v>
      </c>
      <c r="G339" s="84">
        <v>15000000</v>
      </c>
      <c r="H339" s="84">
        <v>109123614.12851301</v>
      </c>
      <c r="I339" s="84">
        <v>113726609</v>
      </c>
      <c r="J339" s="84">
        <v>4602994.8714869916</v>
      </c>
      <c r="K339" s="84"/>
    </row>
    <row r="340" spans="1:11" ht="13.2">
      <c r="A340" s="81">
        <v>331</v>
      </c>
      <c r="B340" s="84">
        <v>54811044.5</v>
      </c>
      <c r="C340" s="84">
        <v>54811044.5</v>
      </c>
      <c r="D340" s="84">
        <v>23364137.957139567</v>
      </c>
      <c r="E340" s="84">
        <v>41254569.13515532</v>
      </c>
      <c r="F340" s="84">
        <v>27093223.280960698</v>
      </c>
      <c r="G340" s="84">
        <v>15000000</v>
      </c>
      <c r="H340" s="84">
        <v>106711930.37325558</v>
      </c>
      <c r="I340" s="84">
        <v>109622089</v>
      </c>
      <c r="J340" s="84">
        <v>2910158.6267444193</v>
      </c>
      <c r="K340" s="84"/>
    </row>
    <row r="341" spans="1:11" ht="13.2">
      <c r="A341" s="81">
        <v>332</v>
      </c>
      <c r="B341" s="84">
        <v>54545992.5</v>
      </c>
      <c r="C341" s="84">
        <v>54545992.5</v>
      </c>
      <c r="D341" s="84">
        <v>23911502.196060888</v>
      </c>
      <c r="E341" s="84">
        <v>40083137.783683278</v>
      </c>
      <c r="F341" s="84">
        <v>27073465.150481667</v>
      </c>
      <c r="G341" s="84">
        <v>15000000</v>
      </c>
      <c r="H341" s="84">
        <v>106068105.13022584</v>
      </c>
      <c r="I341" s="84">
        <v>109091985</v>
      </c>
      <c r="J341" s="84">
        <v>3023879.8697741628</v>
      </c>
      <c r="K341" s="84"/>
    </row>
    <row r="342" spans="1:11" ht="13.2">
      <c r="A342" s="81">
        <v>333</v>
      </c>
      <c r="B342" s="84">
        <v>54215379.5</v>
      </c>
      <c r="C342" s="84">
        <v>54215379.5</v>
      </c>
      <c r="D342" s="84">
        <v>23771706.860862836</v>
      </c>
      <c r="E342" s="84">
        <v>42585177.52409488</v>
      </c>
      <c r="F342" s="84">
        <v>28850917.801888265</v>
      </c>
      <c r="G342" s="84">
        <v>15000000</v>
      </c>
      <c r="H342" s="84">
        <v>110207802.18684599</v>
      </c>
      <c r="I342" s="84">
        <v>108430759</v>
      </c>
      <c r="J342" s="84">
        <v>-1777043.186845988</v>
      </c>
      <c r="K342" s="84"/>
    </row>
    <row r="343" spans="1:11" ht="13.2">
      <c r="A343" s="81">
        <v>334</v>
      </c>
      <c r="B343" s="84">
        <v>55580240</v>
      </c>
      <c r="C343" s="84">
        <v>55580240</v>
      </c>
      <c r="D343" s="84">
        <v>23245495.765088499</v>
      </c>
      <c r="E343" s="84">
        <v>43359640.195590973</v>
      </c>
      <c r="F343" s="84">
        <v>29047713.560683038</v>
      </c>
      <c r="G343" s="84">
        <v>15000000</v>
      </c>
      <c r="H343" s="84">
        <v>110652849.52136251</v>
      </c>
      <c r="I343" s="84">
        <v>111160480</v>
      </c>
      <c r="J343" s="84">
        <v>507630.4786374867</v>
      </c>
      <c r="K343" s="84"/>
    </row>
    <row r="344" spans="1:11" ht="13.2">
      <c r="A344" s="81">
        <v>335</v>
      </c>
      <c r="B344" s="84">
        <v>60097394.5</v>
      </c>
      <c r="C344" s="84">
        <v>60097394.5</v>
      </c>
      <c r="D344" s="84">
        <v>25909649.745159835</v>
      </c>
      <c r="E344" s="84">
        <v>42135701.15460138</v>
      </c>
      <c r="F344" s="84">
        <v>27948364.066713791</v>
      </c>
      <c r="G344" s="84">
        <v>15000000</v>
      </c>
      <c r="H344" s="84">
        <v>110993714.96647501</v>
      </c>
      <c r="I344" s="84">
        <v>120194789</v>
      </c>
      <c r="J344" s="84">
        <v>9201074.0335249901</v>
      </c>
      <c r="K344" s="84"/>
    </row>
    <row r="345" spans="1:11" ht="13.2">
      <c r="A345" s="81">
        <v>336</v>
      </c>
      <c r="B345" s="84">
        <v>53498740</v>
      </c>
      <c r="C345" s="84">
        <v>53498740</v>
      </c>
      <c r="D345" s="84">
        <v>25653987.37905718</v>
      </c>
      <c r="E345" s="84">
        <v>43423056.877206042</v>
      </c>
      <c r="F345" s="84">
        <v>25729294.37142919</v>
      </c>
      <c r="G345" s="84">
        <v>15000000</v>
      </c>
      <c r="H345" s="84">
        <v>109806338.62769242</v>
      </c>
      <c r="I345" s="84">
        <v>106997480</v>
      </c>
      <c r="J345" s="84">
        <v>-2808858.6276924163</v>
      </c>
      <c r="K345" s="84"/>
    </row>
    <row r="346" spans="1:11" ht="13.2">
      <c r="A346" s="81">
        <v>337</v>
      </c>
      <c r="B346" s="84">
        <v>56015440</v>
      </c>
      <c r="C346" s="84">
        <v>56015440</v>
      </c>
      <c r="D346" s="84">
        <v>24976752.04731714</v>
      </c>
      <c r="E346" s="84">
        <v>42223070.298681483</v>
      </c>
      <c r="F346" s="84">
        <v>26225070.384451088</v>
      </c>
      <c r="G346" s="84">
        <v>15000000</v>
      </c>
      <c r="H346" s="84">
        <v>108424892.73044971</v>
      </c>
      <c r="I346" s="84">
        <v>112030880</v>
      </c>
      <c r="J346" s="84">
        <v>3605987.2695502937</v>
      </c>
      <c r="K346" s="84"/>
    </row>
    <row r="347" spans="1:11" ht="13.2">
      <c r="A347" s="81">
        <v>338</v>
      </c>
      <c r="B347" s="84">
        <v>54688780.5</v>
      </c>
      <c r="C347" s="84">
        <v>54688780.5</v>
      </c>
      <c r="D347" s="84">
        <v>25386802.011635244</v>
      </c>
      <c r="E347" s="84">
        <v>42714676.045434356</v>
      </c>
      <c r="F347" s="84">
        <v>28775677.74521026</v>
      </c>
      <c r="G347" s="84">
        <v>15000000</v>
      </c>
      <c r="H347" s="84">
        <v>111877155.80227986</v>
      </c>
      <c r="I347" s="84">
        <v>109377561</v>
      </c>
      <c r="J347" s="84">
        <v>-2499594.8022798598</v>
      </c>
      <c r="K347" s="84"/>
    </row>
    <row r="348" spans="1:11" ht="13.2">
      <c r="A348" s="81">
        <v>339</v>
      </c>
      <c r="B348" s="84">
        <v>58478094.5</v>
      </c>
      <c r="C348" s="84">
        <v>58478094.5</v>
      </c>
      <c r="D348" s="84">
        <v>22845370.043149743</v>
      </c>
      <c r="E348" s="84">
        <v>43338952.133915015</v>
      </c>
      <c r="F348" s="84">
        <v>25088825.513411734</v>
      </c>
      <c r="G348" s="84">
        <v>15000000</v>
      </c>
      <c r="H348" s="84">
        <v>106273147.69047649</v>
      </c>
      <c r="I348" s="84">
        <v>116956189</v>
      </c>
      <c r="J348" s="84">
        <v>10683041.309523508</v>
      </c>
      <c r="K348" s="84"/>
    </row>
    <row r="349" spans="1:11" ht="13.2">
      <c r="A349" s="81">
        <v>340</v>
      </c>
      <c r="B349" s="84">
        <v>60991735</v>
      </c>
      <c r="C349" s="84">
        <v>60991735</v>
      </c>
      <c r="D349" s="84">
        <v>22565779.372753628</v>
      </c>
      <c r="E349" s="84">
        <v>43795248.843747333</v>
      </c>
      <c r="F349" s="84">
        <v>26224755.6928594</v>
      </c>
      <c r="G349" s="84">
        <v>15000000</v>
      </c>
      <c r="H349" s="84">
        <v>107585783.90936036</v>
      </c>
      <c r="I349" s="84">
        <v>121983470</v>
      </c>
      <c r="J349" s="84">
        <v>14397686.090639636</v>
      </c>
      <c r="K349" s="84"/>
    </row>
    <row r="350" spans="1:11" ht="13.2">
      <c r="A350" s="81">
        <v>341</v>
      </c>
      <c r="B350" s="84">
        <v>54874418.5</v>
      </c>
      <c r="C350" s="84">
        <v>54874418.5</v>
      </c>
      <c r="D350" s="84">
        <v>26187053.455512751</v>
      </c>
      <c r="E350" s="84">
        <v>42456292.322100341</v>
      </c>
      <c r="F350" s="84">
        <v>27840363.843890004</v>
      </c>
      <c r="G350" s="84">
        <v>15000000</v>
      </c>
      <c r="H350" s="84">
        <v>111483709.62150308</v>
      </c>
      <c r="I350" s="84">
        <v>109748837</v>
      </c>
      <c r="J350" s="84">
        <v>-1734872.6215030849</v>
      </c>
      <c r="K350" s="84"/>
    </row>
    <row r="351" spans="1:11" ht="13.2">
      <c r="A351" s="81">
        <v>342</v>
      </c>
      <c r="B351" s="84">
        <v>57492373</v>
      </c>
      <c r="C351" s="84">
        <v>57492373</v>
      </c>
      <c r="D351" s="84">
        <v>24308558.656301547</v>
      </c>
      <c r="E351" s="84">
        <v>43118918.298225611</v>
      </c>
      <c r="F351" s="84">
        <v>26577524.416064244</v>
      </c>
      <c r="G351" s="84">
        <v>15000000</v>
      </c>
      <c r="H351" s="84">
        <v>109005001.3705914</v>
      </c>
      <c r="I351" s="84">
        <v>114984746</v>
      </c>
      <c r="J351" s="84">
        <v>5979744.6294085979</v>
      </c>
      <c r="K351" s="84"/>
    </row>
    <row r="352" spans="1:11" ht="13.2">
      <c r="A352" s="81">
        <v>343</v>
      </c>
      <c r="B352" s="84">
        <v>56063457.5</v>
      </c>
      <c r="C352" s="84">
        <v>56063457.5</v>
      </c>
      <c r="D352" s="84">
        <v>22828590.820089158</v>
      </c>
      <c r="E352" s="84">
        <v>44714325.041940086</v>
      </c>
      <c r="F352" s="84">
        <v>26718314.084977143</v>
      </c>
      <c r="G352" s="84">
        <v>15000000</v>
      </c>
      <c r="H352" s="84">
        <v>109261229.94700637</v>
      </c>
      <c r="I352" s="84">
        <v>112126915</v>
      </c>
      <c r="J352" s="84">
        <v>2865685.0529936254</v>
      </c>
      <c r="K352" s="84"/>
    </row>
    <row r="353" spans="1:11" ht="13.2">
      <c r="A353" s="81">
        <v>344</v>
      </c>
      <c r="B353" s="84">
        <v>55648916</v>
      </c>
      <c r="C353" s="84">
        <v>55648916</v>
      </c>
      <c r="D353" s="84">
        <v>24448648.092051238</v>
      </c>
      <c r="E353" s="84">
        <v>44110552.709768087</v>
      </c>
      <c r="F353" s="84">
        <v>25411126.638064407</v>
      </c>
      <c r="G353" s="84">
        <v>15000000</v>
      </c>
      <c r="H353" s="84">
        <v>108970327.43988374</v>
      </c>
      <c r="I353" s="84">
        <v>111297832</v>
      </c>
      <c r="J353" s="84">
        <v>2327504.5601162612</v>
      </c>
      <c r="K353" s="84"/>
    </row>
    <row r="354" spans="1:11" ht="13.2">
      <c r="A354" s="81">
        <v>345</v>
      </c>
      <c r="B354" s="84">
        <v>52790403</v>
      </c>
      <c r="C354" s="84">
        <v>52790403</v>
      </c>
      <c r="D354" s="84">
        <v>22698425.626718812</v>
      </c>
      <c r="E354" s="84">
        <v>43171287.419198863</v>
      </c>
      <c r="F354" s="84">
        <v>28051905.155532051</v>
      </c>
      <c r="G354" s="84">
        <v>15000000</v>
      </c>
      <c r="H354" s="84">
        <v>108921618.20144972</v>
      </c>
      <c r="I354" s="84">
        <v>105580806</v>
      </c>
      <c r="J354" s="84">
        <v>-3340812.2014497221</v>
      </c>
      <c r="K354" s="84"/>
    </row>
    <row r="355" spans="1:11" ht="13.2">
      <c r="A355" s="81">
        <v>346</v>
      </c>
      <c r="B355" s="84">
        <v>56222882.5</v>
      </c>
      <c r="C355" s="84">
        <v>56222882.5</v>
      </c>
      <c r="D355" s="84">
        <v>24306665.796809971</v>
      </c>
      <c r="E355" s="84">
        <v>43923019.704392284</v>
      </c>
      <c r="F355" s="84">
        <v>26830836.601737697</v>
      </c>
      <c r="G355" s="84">
        <v>15000000</v>
      </c>
      <c r="H355" s="84">
        <v>110060522.10293995</v>
      </c>
      <c r="I355" s="84">
        <v>112445765</v>
      </c>
      <c r="J355" s="84">
        <v>2385242.8970600516</v>
      </c>
      <c r="K355" s="84"/>
    </row>
    <row r="356" spans="1:11" ht="13.2">
      <c r="A356" s="81">
        <v>347</v>
      </c>
      <c r="B356" s="84">
        <v>56623974</v>
      </c>
      <c r="C356" s="84">
        <v>56623974</v>
      </c>
      <c r="D356" s="84">
        <v>26322180.770072773</v>
      </c>
      <c r="E356" s="84">
        <v>42278428.634485342</v>
      </c>
      <c r="F356" s="84">
        <v>25911242.073680121</v>
      </c>
      <c r="G356" s="84">
        <v>15000000</v>
      </c>
      <c r="H356" s="84">
        <v>109511851.47823824</v>
      </c>
      <c r="I356" s="84">
        <v>113247948</v>
      </c>
      <c r="J356" s="84">
        <v>3736096.5217617601</v>
      </c>
      <c r="K356" s="84"/>
    </row>
    <row r="357" spans="1:11" ht="13.2">
      <c r="A357" s="81">
        <v>348</v>
      </c>
      <c r="B357" s="84">
        <v>59418441</v>
      </c>
      <c r="C357" s="84">
        <v>59418441</v>
      </c>
      <c r="D357" s="84">
        <v>24314108.978594482</v>
      </c>
      <c r="E357" s="84">
        <v>41503822.310187727</v>
      </c>
      <c r="F357" s="84">
        <v>27120740.968651645</v>
      </c>
      <c r="G357" s="84">
        <v>15000000</v>
      </c>
      <c r="H357" s="84">
        <v>107938672.25743386</v>
      </c>
      <c r="I357" s="84">
        <v>118836882</v>
      </c>
      <c r="J357" s="84">
        <v>10898209.742566139</v>
      </c>
      <c r="K357" s="84"/>
    </row>
    <row r="358" spans="1:11" ht="13.2">
      <c r="A358" s="81">
        <v>349</v>
      </c>
      <c r="B358" s="84">
        <v>57197300</v>
      </c>
      <c r="C358" s="84">
        <v>57197300</v>
      </c>
      <c r="D358" s="84">
        <v>24590924.487844139</v>
      </c>
      <c r="E358" s="84">
        <v>41288218.457879104</v>
      </c>
      <c r="F358" s="84">
        <v>25846113.52389681</v>
      </c>
      <c r="G358" s="84">
        <v>15000000</v>
      </c>
      <c r="H358" s="84">
        <v>106725256.46962005</v>
      </c>
      <c r="I358" s="84">
        <v>114394600</v>
      </c>
      <c r="J358" s="84">
        <v>7669343.530379951</v>
      </c>
      <c r="K358" s="84"/>
    </row>
    <row r="359" spans="1:11" ht="13.2">
      <c r="A359" s="81">
        <v>350</v>
      </c>
      <c r="B359" s="84">
        <v>56495350.5</v>
      </c>
      <c r="C359" s="84">
        <v>56495350.5</v>
      </c>
      <c r="D359" s="84">
        <v>24581294.346016422</v>
      </c>
      <c r="E359" s="84">
        <v>43609329.441931881</v>
      </c>
      <c r="F359" s="84">
        <v>28811261.596125644</v>
      </c>
      <c r="G359" s="84">
        <v>15000000</v>
      </c>
      <c r="H359" s="84">
        <v>112001885.38407396</v>
      </c>
      <c r="I359" s="84">
        <v>112990701</v>
      </c>
      <c r="J359" s="84">
        <v>988815.6159260422</v>
      </c>
      <c r="K359" s="84"/>
    </row>
    <row r="360" spans="1:11" ht="13.2">
      <c r="A360" s="81">
        <v>351</v>
      </c>
      <c r="B360" s="84">
        <v>52355070.5</v>
      </c>
      <c r="C360" s="84">
        <v>52355070.5</v>
      </c>
      <c r="D360" s="84">
        <v>23250457.886278175</v>
      </c>
      <c r="E360" s="84">
        <v>43944042.047885001</v>
      </c>
      <c r="F360" s="84">
        <v>28335701.770333163</v>
      </c>
      <c r="G360" s="84">
        <v>15000000</v>
      </c>
      <c r="H360" s="84">
        <v>110530201.70449635</v>
      </c>
      <c r="I360" s="84">
        <v>104710141</v>
      </c>
      <c r="J360" s="84">
        <v>-5820060.7044963539</v>
      </c>
      <c r="K360" s="84"/>
    </row>
    <row r="361" spans="1:11" ht="13.2">
      <c r="A361" s="81">
        <v>352</v>
      </c>
      <c r="B361" s="84">
        <v>53253731.5</v>
      </c>
      <c r="C361" s="84">
        <v>53253731.5</v>
      </c>
      <c r="D361" s="84">
        <v>25526303.246281669</v>
      </c>
      <c r="E361" s="84">
        <v>42348056.738696501</v>
      </c>
      <c r="F361" s="84">
        <v>27448785.771809004</v>
      </c>
      <c r="G361" s="84">
        <v>15000000</v>
      </c>
      <c r="H361" s="84">
        <v>110323145.75678718</v>
      </c>
      <c r="I361" s="84">
        <v>106507463</v>
      </c>
      <c r="J361" s="84">
        <v>-3815682.7567871809</v>
      </c>
      <c r="K361" s="84"/>
    </row>
    <row r="362" spans="1:11" ht="13.2">
      <c r="A362" s="81">
        <v>353</v>
      </c>
      <c r="B362" s="84">
        <v>59464380</v>
      </c>
      <c r="C362" s="84">
        <v>59464380</v>
      </c>
      <c r="D362" s="84">
        <v>22975535.236520089</v>
      </c>
      <c r="E362" s="84">
        <v>43057433.459396057</v>
      </c>
      <c r="F362" s="84">
        <v>23696944.204555001</v>
      </c>
      <c r="G362" s="84">
        <v>15000000</v>
      </c>
      <c r="H362" s="84">
        <v>104729912.90047115</v>
      </c>
      <c r="I362" s="84">
        <v>118928760</v>
      </c>
      <c r="J362" s="84">
        <v>14198847.099528849</v>
      </c>
      <c r="K362" s="84"/>
    </row>
    <row r="363" spans="1:11" ht="13.2">
      <c r="A363" s="81">
        <v>354</v>
      </c>
      <c r="B363" s="84">
        <v>57178391.5</v>
      </c>
      <c r="C363" s="84">
        <v>57178391.5</v>
      </c>
      <c r="D363" s="84">
        <v>22982978.4183046</v>
      </c>
      <c r="E363" s="84">
        <v>42799787.708190896</v>
      </c>
      <c r="F363" s="84">
        <v>27793253.035786249</v>
      </c>
      <c r="G363" s="84">
        <v>15000000</v>
      </c>
      <c r="H363" s="84">
        <v>108576019.16228175</v>
      </c>
      <c r="I363" s="84">
        <v>114356783</v>
      </c>
      <c r="J363" s="84">
        <v>5780763.8377182484</v>
      </c>
      <c r="K363" s="84"/>
    </row>
    <row r="364" spans="1:11" ht="13.2">
      <c r="A364" s="81">
        <v>355</v>
      </c>
      <c r="B364" s="84">
        <v>55110395</v>
      </c>
      <c r="C364" s="84">
        <v>55110395</v>
      </c>
      <c r="D364" s="84">
        <v>23648102.547622092</v>
      </c>
      <c r="E364" s="84">
        <v>42427565.201262183</v>
      </c>
      <c r="F364" s="84">
        <v>29456198.248105187</v>
      </c>
      <c r="G364" s="84">
        <v>15000000</v>
      </c>
      <c r="H364" s="84">
        <v>110531865.99698946</v>
      </c>
      <c r="I364" s="84">
        <v>110220790</v>
      </c>
      <c r="J364" s="84">
        <v>-311075.9969894588</v>
      </c>
      <c r="K364" s="84"/>
    </row>
    <row r="365" spans="1:11" ht="13.2">
      <c r="A365" s="81">
        <v>356</v>
      </c>
      <c r="B365" s="84">
        <v>58346459.5</v>
      </c>
      <c r="C365" s="84">
        <v>58346459.5</v>
      </c>
      <c r="D365" s="84">
        <v>24981125.967403546</v>
      </c>
      <c r="E365" s="84">
        <v>41772312.982737668</v>
      </c>
      <c r="F365" s="84">
        <v>24548421.664043237</v>
      </c>
      <c r="G365" s="84">
        <v>15000000</v>
      </c>
      <c r="H365" s="84">
        <v>106301860.61418445</v>
      </c>
      <c r="I365" s="84">
        <v>116692919</v>
      </c>
      <c r="J365" s="84">
        <v>10391058.385815546</v>
      </c>
      <c r="K365" s="84"/>
    </row>
    <row r="366" spans="1:11" ht="13.2">
      <c r="A366" s="81">
        <v>357</v>
      </c>
      <c r="B366" s="84">
        <v>56996441.5</v>
      </c>
      <c r="C366" s="84">
        <v>56996441.5</v>
      </c>
      <c r="D366" s="84">
        <v>23641247.566940848</v>
      </c>
      <c r="E366" s="84">
        <v>43863147.666516885</v>
      </c>
      <c r="F366" s="84">
        <v>26541208.256793085</v>
      </c>
      <c r="G366" s="84">
        <v>15000000</v>
      </c>
      <c r="H366" s="84">
        <v>109045603.49025081</v>
      </c>
      <c r="I366" s="84">
        <v>113992883</v>
      </c>
      <c r="J366" s="84">
        <v>4947279.509749189</v>
      </c>
      <c r="K366" s="84"/>
    </row>
    <row r="367" spans="1:11" ht="13.2">
      <c r="A367" s="81">
        <v>358</v>
      </c>
      <c r="B367" s="84">
        <v>54876782</v>
      </c>
      <c r="C367" s="84">
        <v>54876782</v>
      </c>
      <c r="D367" s="84">
        <v>25516379.003902324</v>
      </c>
      <c r="E367" s="84">
        <v>42469813.085555211</v>
      </c>
      <c r="F367" s="84">
        <v>26553876.618200194</v>
      </c>
      <c r="G367" s="84">
        <v>15000000</v>
      </c>
      <c r="H367" s="84">
        <v>109540068.70765774</v>
      </c>
      <c r="I367" s="84">
        <v>109753564</v>
      </c>
      <c r="J367" s="84">
        <v>213495.29234226048</v>
      </c>
      <c r="K367" s="84"/>
    </row>
    <row r="368" spans="1:11" ht="13.2">
      <c r="A368" s="81">
        <v>359</v>
      </c>
      <c r="B368" s="84">
        <v>58629589</v>
      </c>
      <c r="C368" s="84">
        <v>58629589</v>
      </c>
      <c r="D368" s="84">
        <v>23240827.744450457</v>
      </c>
      <c r="E368" s="84">
        <v>42866606.14515204</v>
      </c>
      <c r="F368" s="84">
        <v>24610612.042612523</v>
      </c>
      <c r="G368" s="84">
        <v>15000000</v>
      </c>
      <c r="H368" s="84">
        <v>105718045.93221502</v>
      </c>
      <c r="I368" s="84">
        <v>117259178</v>
      </c>
      <c r="J368" s="84">
        <v>11541132.06778498</v>
      </c>
      <c r="K368" s="84"/>
    </row>
    <row r="369" spans="1:11" ht="13.2">
      <c r="A369" s="81">
        <v>360</v>
      </c>
      <c r="B369" s="84">
        <v>59664240</v>
      </c>
      <c r="C369" s="84">
        <v>59664240</v>
      </c>
      <c r="D369" s="84">
        <v>24716127.560024813</v>
      </c>
      <c r="E369" s="84">
        <v>42745302.927153997</v>
      </c>
      <c r="F369" s="84">
        <v>25911514.451783746</v>
      </c>
      <c r="G369" s="84">
        <v>15000000</v>
      </c>
      <c r="H369" s="84">
        <v>108372944.93896255</v>
      </c>
      <c r="I369" s="84">
        <v>119328480</v>
      </c>
      <c r="J369" s="84">
        <v>10955535.061037451</v>
      </c>
      <c r="K369" s="84"/>
    </row>
    <row r="370" spans="1:11" ht="13.2">
      <c r="A370" s="81">
        <v>361</v>
      </c>
      <c r="B370" s="84">
        <v>56385622.5</v>
      </c>
      <c r="C370" s="84">
        <v>56385622.5</v>
      </c>
      <c r="D370" s="84">
        <v>22828590.820089158</v>
      </c>
      <c r="E370" s="84">
        <v>43038035.610480741</v>
      </c>
      <c r="F370" s="84">
        <v>28556143.420658402</v>
      </c>
      <c r="G370" s="84">
        <v>15000000</v>
      </c>
      <c r="H370" s="84">
        <v>109422769.8512283</v>
      </c>
      <c r="I370" s="84">
        <v>112771245</v>
      </c>
      <c r="J370" s="84">
        <v>3348475.1487717032</v>
      </c>
      <c r="K370" s="84"/>
    </row>
    <row r="371" spans="1:11" ht="13.2">
      <c r="A371" s="81">
        <v>362</v>
      </c>
      <c r="B371" s="84">
        <v>53444656</v>
      </c>
      <c r="C371" s="84">
        <v>53444656</v>
      </c>
      <c r="D371" s="84">
        <v>22577890.575176176</v>
      </c>
      <c r="E371" s="84">
        <v>42367659.145660624</v>
      </c>
      <c r="F371" s="84">
        <v>25357441.752469387</v>
      </c>
      <c r="G371" s="84">
        <v>15000000</v>
      </c>
      <c r="H371" s="84">
        <v>105302991.47330619</v>
      </c>
      <c r="I371" s="84">
        <v>106889312</v>
      </c>
      <c r="J371" s="84">
        <v>1586320.5266938061</v>
      </c>
      <c r="K371" s="84"/>
    </row>
    <row r="372" spans="1:11" ht="13.2">
      <c r="A372" s="81">
        <v>363</v>
      </c>
      <c r="B372" s="84">
        <v>54180568</v>
      </c>
      <c r="C372" s="84">
        <v>54180568</v>
      </c>
      <c r="D372" s="84">
        <v>25919573.98753918</v>
      </c>
      <c r="E372" s="84">
        <v>43566511.014543384</v>
      </c>
      <c r="F372" s="84">
        <v>24575851.497966263</v>
      </c>
      <c r="G372" s="84">
        <v>15000000</v>
      </c>
      <c r="H372" s="84">
        <v>109061936.50004882</v>
      </c>
      <c r="I372" s="84">
        <v>108361136</v>
      </c>
      <c r="J372" s="84">
        <v>-700800.5000488162</v>
      </c>
      <c r="K372" s="84"/>
    </row>
    <row r="373" spans="1:11" ht="13.2">
      <c r="A373" s="81">
        <v>364</v>
      </c>
      <c r="B373" s="84">
        <v>59104131</v>
      </c>
      <c r="C373" s="84">
        <v>59104131</v>
      </c>
      <c r="D373" s="84">
        <v>24726051.802404158</v>
      </c>
      <c r="E373" s="84">
        <v>42275106.299680658</v>
      </c>
      <c r="F373" s="84">
        <v>30290691.131299213</v>
      </c>
      <c r="G373" s="84">
        <v>15000000</v>
      </c>
      <c r="H373" s="84">
        <v>112291849.23338403</v>
      </c>
      <c r="I373" s="84">
        <v>118208262</v>
      </c>
      <c r="J373" s="84">
        <v>5916412.7666159719</v>
      </c>
      <c r="K373" s="84"/>
    </row>
    <row r="374" spans="1:11" ht="13.2">
      <c r="A374" s="81">
        <v>365</v>
      </c>
      <c r="B374" s="84">
        <v>57225232</v>
      </c>
      <c r="C374" s="84">
        <v>57225232</v>
      </c>
      <c r="D374" s="84">
        <v>25248899.535928749</v>
      </c>
      <c r="E374" s="84">
        <v>42500822.784466855</v>
      </c>
      <c r="F374" s="84">
        <v>27790534.590801418</v>
      </c>
      <c r="G374" s="84">
        <v>15000000</v>
      </c>
      <c r="H374" s="84">
        <v>110540256.91119702</v>
      </c>
      <c r="I374" s="84">
        <v>114450464</v>
      </c>
      <c r="J374" s="84">
        <v>3910207.0888029784</v>
      </c>
      <c r="K374" s="84"/>
    </row>
    <row r="375" spans="1:11" ht="13.2">
      <c r="A375" s="81">
        <v>366</v>
      </c>
      <c r="B375" s="84">
        <v>60617867</v>
      </c>
      <c r="C375" s="84">
        <v>60617867</v>
      </c>
      <c r="D375" s="84">
        <v>23643728.627535686</v>
      </c>
      <c r="E375" s="84">
        <v>42727397.489407301</v>
      </c>
      <c r="F375" s="84">
        <v>27953602.546386082</v>
      </c>
      <c r="G375" s="84">
        <v>15000000</v>
      </c>
      <c r="H375" s="84">
        <v>109324728.66332906</v>
      </c>
      <c r="I375" s="84">
        <v>121235734</v>
      </c>
      <c r="J375" s="84">
        <v>11911005.336670935</v>
      </c>
      <c r="K375" s="84"/>
    </row>
    <row r="376" spans="1:11" ht="13.2">
      <c r="A376" s="81">
        <v>367</v>
      </c>
      <c r="B376" s="84">
        <v>58258630</v>
      </c>
      <c r="C376" s="84">
        <v>58258630</v>
      </c>
      <c r="D376" s="84">
        <v>24723570.741809323</v>
      </c>
      <c r="E376" s="84">
        <v>44047146.873507038</v>
      </c>
      <c r="F376" s="84">
        <v>29514325.531683013</v>
      </c>
      <c r="G376" s="84">
        <v>15000000</v>
      </c>
      <c r="H376" s="84">
        <v>113285043.14699937</v>
      </c>
      <c r="I376" s="84">
        <v>116517260</v>
      </c>
      <c r="J376" s="84">
        <v>3232216.853000626</v>
      </c>
      <c r="K376" s="84"/>
    </row>
    <row r="377" spans="1:11" ht="13.2">
      <c r="A377" s="81">
        <v>368</v>
      </c>
      <c r="B377" s="84">
        <v>52446388.5</v>
      </c>
      <c r="C377" s="84">
        <v>52446388.5</v>
      </c>
      <c r="D377" s="84">
        <v>22170321.671452906</v>
      </c>
      <c r="E377" s="84">
        <v>42265286.958319575</v>
      </c>
      <c r="F377" s="84">
        <v>29921747.982239563</v>
      </c>
      <c r="G377" s="84">
        <v>15000000</v>
      </c>
      <c r="H377" s="84">
        <v>109357356.61201204</v>
      </c>
      <c r="I377" s="84">
        <v>104892777</v>
      </c>
      <c r="J377" s="84">
        <v>-4464579.6120120436</v>
      </c>
      <c r="K377" s="84"/>
    </row>
    <row r="378" spans="1:11" ht="13.2">
      <c r="A378" s="81">
        <v>369</v>
      </c>
      <c r="B378" s="84">
        <v>58069286.5</v>
      </c>
      <c r="C378" s="84">
        <v>58069286.5</v>
      </c>
      <c r="D378" s="84">
        <v>24839143.672162283</v>
      </c>
      <c r="E378" s="84">
        <v>43112224.610495016</v>
      </c>
      <c r="F378" s="84">
        <v>27224397.771095686</v>
      </c>
      <c r="G378" s="84">
        <v>15000000</v>
      </c>
      <c r="H378" s="84">
        <v>110175766.05375299</v>
      </c>
      <c r="I378" s="84">
        <v>116138573</v>
      </c>
      <c r="J378" s="84">
        <v>5962806.9462470114</v>
      </c>
      <c r="K378" s="84"/>
    </row>
    <row r="379" spans="1:11" ht="13.2">
      <c r="A379" s="81">
        <v>370</v>
      </c>
      <c r="B379" s="84">
        <v>59169013.5</v>
      </c>
      <c r="C379" s="84">
        <v>59169013.5</v>
      </c>
      <c r="D379" s="84">
        <v>24048816.470664114</v>
      </c>
      <c r="E379" s="84">
        <v>41936485.292053685</v>
      </c>
      <c r="F379" s="84">
        <v>26065641.862359665</v>
      </c>
      <c r="G379" s="84">
        <v>15000000</v>
      </c>
      <c r="H379" s="84">
        <v>107050943.62507746</v>
      </c>
      <c r="I379" s="84">
        <v>118338027</v>
      </c>
      <c r="J379" s="84">
        <v>11287083.374922544</v>
      </c>
      <c r="K379" s="84"/>
    </row>
    <row r="380" spans="1:11" ht="13.2">
      <c r="A380" s="81">
        <v>371</v>
      </c>
      <c r="B380" s="84">
        <v>56578965</v>
      </c>
      <c r="C380" s="84">
        <v>56578965</v>
      </c>
      <c r="D380" s="84">
        <v>25528784.306876507</v>
      </c>
      <c r="E380" s="84">
        <v>41227126.585424587</v>
      </c>
      <c r="F380" s="84">
        <v>26565089.443466671</v>
      </c>
      <c r="G380" s="84">
        <v>15000000</v>
      </c>
      <c r="H380" s="84">
        <v>108321000.33576778</v>
      </c>
      <c r="I380" s="84">
        <v>113157930</v>
      </c>
      <c r="J380" s="84">
        <v>4836929.6642322242</v>
      </c>
      <c r="K380" s="84"/>
    </row>
    <row r="381" spans="1:11" ht="13.2">
      <c r="A381" s="81">
        <v>372</v>
      </c>
      <c r="B381" s="84">
        <v>59759540.5</v>
      </c>
      <c r="C381" s="84">
        <v>59759540.5</v>
      </c>
      <c r="D381" s="84">
        <v>25253567.55656679</v>
      </c>
      <c r="E381" s="84">
        <v>44825178.144645855</v>
      </c>
      <c r="F381" s="84">
        <v>28242654.078974228</v>
      </c>
      <c r="G381" s="84">
        <v>15000000</v>
      </c>
      <c r="H381" s="84">
        <v>113321399.78018688</v>
      </c>
      <c r="I381" s="84">
        <v>119519081</v>
      </c>
      <c r="J381" s="84">
        <v>6197681.2198131233</v>
      </c>
      <c r="K381" s="84"/>
    </row>
    <row r="382" spans="1:11" ht="13.2">
      <c r="A382" s="81">
        <v>373</v>
      </c>
      <c r="B382" s="84">
        <v>62908143</v>
      </c>
      <c r="C382" s="84">
        <v>62908143</v>
      </c>
      <c r="D382" s="84">
        <v>22570741.4939433</v>
      </c>
      <c r="E382" s="84">
        <v>43066420.375686936</v>
      </c>
      <c r="F382" s="84">
        <v>27768562.095341317</v>
      </c>
      <c r="G382" s="84">
        <v>15000000</v>
      </c>
      <c r="H382" s="84">
        <v>108405723.96497154</v>
      </c>
      <c r="I382" s="84">
        <v>125816286</v>
      </c>
      <c r="J382" s="84">
        <v>17410562.035028458</v>
      </c>
      <c r="K382" s="84"/>
    </row>
    <row r="383" spans="1:11" ht="13.2">
      <c r="A383" s="81">
        <v>374</v>
      </c>
      <c r="B383" s="84">
        <v>54110271</v>
      </c>
      <c r="C383" s="84">
        <v>54110271</v>
      </c>
      <c r="D383" s="84">
        <v>23366619.017734405</v>
      </c>
      <c r="E383" s="84">
        <v>42770296.565485753</v>
      </c>
      <c r="F383" s="84">
        <v>26206576.52797015</v>
      </c>
      <c r="G383" s="84">
        <v>15000000</v>
      </c>
      <c r="H383" s="84">
        <v>107343492.1111903</v>
      </c>
      <c r="I383" s="84">
        <v>108220542</v>
      </c>
      <c r="J383" s="84">
        <v>877049.88880969584</v>
      </c>
      <c r="K383" s="84"/>
    </row>
    <row r="384" spans="1:11" ht="13.2">
      <c r="A384" s="81">
        <v>375</v>
      </c>
      <c r="B384" s="84">
        <v>54244561.5</v>
      </c>
      <c r="C384" s="84">
        <v>54244561.5</v>
      </c>
      <c r="D384" s="84">
        <v>26056888.262142405</v>
      </c>
      <c r="E384" s="84">
        <v>42132527.821596317</v>
      </c>
      <c r="F384" s="84">
        <v>25944087.610968094</v>
      </c>
      <c r="G384" s="84">
        <v>15000000</v>
      </c>
      <c r="H384" s="84">
        <v>109133503.69470681</v>
      </c>
      <c r="I384" s="84">
        <v>108489123</v>
      </c>
      <c r="J384" s="84">
        <v>-644380.6947068125</v>
      </c>
      <c r="K384" s="84"/>
    </row>
    <row r="385" spans="1:11" ht="13.2">
      <c r="A385" s="81">
        <v>376</v>
      </c>
      <c r="B385" s="84">
        <v>57580938.5</v>
      </c>
      <c r="C385" s="84">
        <v>57580938.5</v>
      </c>
      <c r="D385" s="84">
        <v>23650583.60821693</v>
      </c>
      <c r="E385" s="84">
        <v>41340466.709589936</v>
      </c>
      <c r="F385" s="84">
        <v>29903198.978142805</v>
      </c>
      <c r="G385" s="84">
        <v>15000000</v>
      </c>
      <c r="H385" s="84">
        <v>109894249.29594967</v>
      </c>
      <c r="I385" s="84">
        <v>115161877</v>
      </c>
      <c r="J385" s="84">
        <v>5267627.7040503323</v>
      </c>
      <c r="K385" s="84"/>
    </row>
    <row r="386" spans="1:11" ht="13.2">
      <c r="A386" s="81">
        <v>377</v>
      </c>
      <c r="B386" s="84">
        <v>57954733.5</v>
      </c>
      <c r="C386" s="84">
        <v>57954733.5</v>
      </c>
      <c r="D386" s="84">
        <v>23645621.487027258</v>
      </c>
      <c r="E386" s="84">
        <v>42617696.505182415</v>
      </c>
      <c r="F386" s="84">
        <v>26540246.028003585</v>
      </c>
      <c r="G386" s="84">
        <v>15000000</v>
      </c>
      <c r="H386" s="84">
        <v>107803564.02021326</v>
      </c>
      <c r="I386" s="84">
        <v>115909467</v>
      </c>
      <c r="J386" s="84">
        <v>8105902.9797867388</v>
      </c>
      <c r="K386" s="84"/>
    </row>
    <row r="387" spans="1:11" ht="13.2">
      <c r="A387" s="81">
        <v>378</v>
      </c>
      <c r="B387" s="84">
        <v>58923368.5</v>
      </c>
      <c r="C387" s="84">
        <v>58923368.5</v>
      </c>
      <c r="D387" s="84">
        <v>23233384.562665951</v>
      </c>
      <c r="E387" s="84">
        <v>41687404.62020646</v>
      </c>
      <c r="F387" s="84">
        <v>29585948.342534009</v>
      </c>
      <c r="G387" s="84">
        <v>15000000</v>
      </c>
      <c r="H387" s="84">
        <v>109506737.52540642</v>
      </c>
      <c r="I387" s="84">
        <v>117846737</v>
      </c>
      <c r="J387" s="84">
        <v>8339999.4745935798</v>
      </c>
      <c r="K387" s="84"/>
    </row>
    <row r="388" spans="1:11" ht="13.2">
      <c r="A388" s="81">
        <v>379</v>
      </c>
      <c r="B388" s="84">
        <v>60253258.5</v>
      </c>
      <c r="C388" s="84">
        <v>60253258.5</v>
      </c>
      <c r="D388" s="84">
        <v>24053484.491302155</v>
      </c>
      <c r="E388" s="84">
        <v>40476472.654449239</v>
      </c>
      <c r="F388" s="84">
        <v>25968618.849391829</v>
      </c>
      <c r="G388" s="84">
        <v>15000000</v>
      </c>
      <c r="H388" s="84">
        <v>105498575.99514322</v>
      </c>
      <c r="I388" s="84">
        <v>120506517</v>
      </c>
      <c r="J388" s="84">
        <v>15007941.00485678</v>
      </c>
      <c r="K388" s="84"/>
    </row>
    <row r="389" spans="1:11" ht="13.2">
      <c r="A389" s="81">
        <v>380</v>
      </c>
      <c r="B389" s="84">
        <v>53883872</v>
      </c>
      <c r="C389" s="84">
        <v>53883872</v>
      </c>
      <c r="D389" s="84">
        <v>24453316.112689279</v>
      </c>
      <c r="E389" s="84">
        <v>42303563.379326172</v>
      </c>
      <c r="F389" s="84">
        <v>25290844.631659504</v>
      </c>
      <c r="G389" s="84">
        <v>15000000</v>
      </c>
      <c r="H389" s="84">
        <v>107047724.12367496</v>
      </c>
      <c r="I389" s="84">
        <v>107767744</v>
      </c>
      <c r="J389" s="84">
        <v>720019.87632504106</v>
      </c>
      <c r="K389" s="84"/>
    </row>
    <row r="390" spans="1:11" ht="13.2">
      <c r="A390" s="81">
        <v>381</v>
      </c>
      <c r="B390" s="84">
        <v>54849892</v>
      </c>
      <c r="C390" s="84">
        <v>54849892</v>
      </c>
      <c r="D390" s="84">
        <v>24058152.511940196</v>
      </c>
      <c r="E390" s="84">
        <v>41816805.037070066</v>
      </c>
      <c r="F390" s="84">
        <v>26363657.125342734</v>
      </c>
      <c r="G390" s="84">
        <v>15000000</v>
      </c>
      <c r="H390" s="84">
        <v>107238614.674353</v>
      </c>
      <c r="I390" s="84">
        <v>109699784</v>
      </c>
      <c r="J390" s="84">
        <v>2461169.3256469965</v>
      </c>
      <c r="K390" s="84"/>
    </row>
    <row r="391" spans="1:11" ht="13.2">
      <c r="A391" s="81">
        <v>382</v>
      </c>
      <c r="B391" s="84">
        <v>54004742</v>
      </c>
      <c r="C391" s="84">
        <v>54004742</v>
      </c>
      <c r="D391" s="84">
        <v>25651506.318462342</v>
      </c>
      <c r="E391" s="84">
        <v>42977960.651249886</v>
      </c>
      <c r="F391" s="84">
        <v>28830282.795804877</v>
      </c>
      <c r="G391" s="84">
        <v>15000000</v>
      </c>
      <c r="H391" s="84">
        <v>112459749.7655171</v>
      </c>
      <c r="I391" s="84">
        <v>108009484</v>
      </c>
      <c r="J391" s="84">
        <v>-4450265.7655171007</v>
      </c>
      <c r="K391" s="84"/>
    </row>
    <row r="392" spans="1:11" ht="13.2">
      <c r="A392" s="81">
        <v>383</v>
      </c>
      <c r="B392" s="84">
        <v>54895202</v>
      </c>
      <c r="C392" s="84">
        <v>54895202</v>
      </c>
      <c r="D392" s="84">
        <v>23110956.65163175</v>
      </c>
      <c r="E392" s="84">
        <v>42714209.326796718</v>
      </c>
      <c r="F392" s="84">
        <v>29094384.087131359</v>
      </c>
      <c r="G392" s="84">
        <v>15000000</v>
      </c>
      <c r="H392" s="84">
        <v>109919550.06555983</v>
      </c>
      <c r="I392" s="84">
        <v>109790404</v>
      </c>
      <c r="J392" s="84">
        <v>-129146.06555983424</v>
      </c>
      <c r="K392" s="84"/>
    </row>
    <row r="393" spans="1:11" ht="13.2">
      <c r="A393" s="81">
        <v>384</v>
      </c>
      <c r="B393" s="84">
        <v>56843625.5</v>
      </c>
      <c r="C393" s="84">
        <v>56843625.5</v>
      </c>
      <c r="D393" s="84">
        <v>24991050.209782891</v>
      </c>
      <c r="E393" s="84">
        <v>43195129.030956328</v>
      </c>
      <c r="F393" s="84">
        <v>27586884.286341168</v>
      </c>
      <c r="G393" s="84">
        <v>15000000</v>
      </c>
      <c r="H393" s="84">
        <v>110773063.52708039</v>
      </c>
      <c r="I393" s="84">
        <v>113687251</v>
      </c>
      <c r="J393" s="84">
        <v>2914187.4729196131</v>
      </c>
      <c r="K393" s="84"/>
    </row>
    <row r="394" spans="1:11" ht="13.2">
      <c r="A394" s="81">
        <v>385</v>
      </c>
      <c r="B394" s="84">
        <v>56296308.5</v>
      </c>
      <c r="C394" s="84">
        <v>56296308.5</v>
      </c>
      <c r="D394" s="84">
        <v>25128658.584937748</v>
      </c>
      <c r="E394" s="84">
        <v>42998282.44134973</v>
      </c>
      <c r="F394" s="84">
        <v>26224799.27622249</v>
      </c>
      <c r="G394" s="84">
        <v>15000000</v>
      </c>
      <c r="H394" s="84">
        <v>109351740.30250996</v>
      </c>
      <c r="I394" s="84">
        <v>112592617</v>
      </c>
      <c r="J394" s="84">
        <v>3240876.6974900365</v>
      </c>
      <c r="K394" s="84"/>
    </row>
    <row r="395" spans="1:11" ht="13.2">
      <c r="A395" s="81">
        <v>386</v>
      </c>
      <c r="B395" s="84">
        <v>56801260</v>
      </c>
      <c r="C395" s="84">
        <v>56801260</v>
      </c>
      <c r="D395" s="84">
        <v>22428170.997598771</v>
      </c>
      <c r="E395" s="84">
        <v>42986723.570329458</v>
      </c>
      <c r="F395" s="84">
        <v>27163155.705637343</v>
      </c>
      <c r="G395" s="84">
        <v>15000000</v>
      </c>
      <c r="H395" s="84">
        <v>107578050.27356556</v>
      </c>
      <c r="I395" s="84">
        <v>113602520</v>
      </c>
      <c r="J395" s="84">
        <v>6024469.7264344394</v>
      </c>
      <c r="K395" s="84"/>
    </row>
    <row r="396" spans="1:11" ht="13.2">
      <c r="A396" s="81">
        <v>387</v>
      </c>
      <c r="B396" s="84">
        <v>54287765</v>
      </c>
      <c r="C396" s="84">
        <v>54287765</v>
      </c>
      <c r="D396" s="84">
        <v>23626655.303923469</v>
      </c>
      <c r="E396" s="84">
        <v>42444846.767799139</v>
      </c>
      <c r="F396" s="84">
        <v>26126598.237289261</v>
      </c>
      <c r="G396" s="84">
        <v>15000000</v>
      </c>
      <c r="H396" s="84">
        <v>107198100.30901188</v>
      </c>
      <c r="I396" s="84">
        <v>108575530</v>
      </c>
      <c r="J396" s="84">
        <v>1377429.6909881234</v>
      </c>
      <c r="K396" s="84"/>
    </row>
    <row r="397" spans="1:11" ht="13.2">
      <c r="A397" s="81">
        <v>388</v>
      </c>
      <c r="B397" s="84">
        <v>56792765.5</v>
      </c>
      <c r="C397" s="84">
        <v>56792765.5</v>
      </c>
      <c r="D397" s="84">
        <v>23370698.837269176</v>
      </c>
      <c r="E397" s="84">
        <v>43651923.727688201</v>
      </c>
      <c r="F397" s="84">
        <v>26069535.514330175</v>
      </c>
      <c r="G397" s="84">
        <v>15000000</v>
      </c>
      <c r="H397" s="84">
        <v>108092158.07928756</v>
      </c>
      <c r="I397" s="84">
        <v>113585531</v>
      </c>
      <c r="J397" s="84">
        <v>5493372.9207124412</v>
      </c>
      <c r="K397" s="84"/>
    </row>
    <row r="398" spans="1:11" ht="13.2">
      <c r="A398" s="81">
        <v>389</v>
      </c>
      <c r="B398" s="84">
        <v>57234523.5</v>
      </c>
      <c r="C398" s="84">
        <v>57234523.5</v>
      </c>
      <c r="D398" s="84">
        <v>25118734.342558403</v>
      </c>
      <c r="E398" s="84">
        <v>42949840.086923532</v>
      </c>
      <c r="F398" s="84">
        <v>25713553.070500843</v>
      </c>
      <c r="G398" s="84">
        <v>15000000</v>
      </c>
      <c r="H398" s="84">
        <v>108782127.49998277</v>
      </c>
      <c r="I398" s="84">
        <v>114469047</v>
      </c>
      <c r="J398" s="84">
        <v>5686919.5000172257</v>
      </c>
      <c r="K398" s="84"/>
    </row>
    <row r="399" spans="1:11" ht="13.2">
      <c r="A399" s="81">
        <v>390</v>
      </c>
      <c r="B399" s="84">
        <v>51463963.5</v>
      </c>
      <c r="C399" s="84">
        <v>51463963.5</v>
      </c>
      <c r="D399" s="84">
        <v>24713940.599981606</v>
      </c>
      <c r="E399" s="84">
        <v>43298497.248545498</v>
      </c>
      <c r="F399" s="84">
        <v>25409188.694588609</v>
      </c>
      <c r="G399" s="84">
        <v>15000000</v>
      </c>
      <c r="H399" s="84">
        <v>108421626.54311571</v>
      </c>
      <c r="I399" s="84">
        <v>102927927</v>
      </c>
      <c r="J399" s="84">
        <v>-5493699.5431157053</v>
      </c>
      <c r="K399" s="84"/>
    </row>
    <row r="400" spans="1:11" ht="13.2">
      <c r="A400" s="81">
        <v>391</v>
      </c>
      <c r="B400" s="84">
        <v>54229410</v>
      </c>
      <c r="C400" s="84">
        <v>54229410</v>
      </c>
      <c r="D400" s="84">
        <v>23252938.946873009</v>
      </c>
      <c r="E400" s="84">
        <v>41950863.257928818</v>
      </c>
      <c r="F400" s="84">
        <v>24961986.567211017</v>
      </c>
      <c r="G400" s="84">
        <v>15000000</v>
      </c>
      <c r="H400" s="84">
        <v>105165788.77201284</v>
      </c>
      <c r="I400" s="84">
        <v>108458820</v>
      </c>
      <c r="J400" s="84">
        <v>3293031.2279871553</v>
      </c>
      <c r="K400" s="84"/>
    </row>
    <row r="401" spans="1:11" ht="13.2">
      <c r="A401" s="81">
        <v>392</v>
      </c>
      <c r="B401" s="84">
        <v>55910472.5</v>
      </c>
      <c r="C401" s="84">
        <v>55910472.5</v>
      </c>
      <c r="D401" s="84">
        <v>23101032.409252405</v>
      </c>
      <c r="E401" s="84">
        <v>42558306.338925272</v>
      </c>
      <c r="F401" s="84">
        <v>28286752.711559594</v>
      </c>
      <c r="G401" s="84">
        <v>15000000</v>
      </c>
      <c r="H401" s="84">
        <v>108946091.45973727</v>
      </c>
      <c r="I401" s="84">
        <v>111820945</v>
      </c>
      <c r="J401" s="84">
        <v>2874853.5402627289</v>
      </c>
      <c r="K401" s="84"/>
    </row>
    <row r="402" spans="1:11" ht="13.2">
      <c r="A402" s="81">
        <v>393</v>
      </c>
      <c r="B402" s="84">
        <v>51364565</v>
      </c>
      <c r="C402" s="84">
        <v>51364565</v>
      </c>
      <c r="D402" s="84">
        <v>24991050.209782891</v>
      </c>
      <c r="E402" s="84">
        <v>43172810.171149954</v>
      </c>
      <c r="F402" s="84">
        <v>26274339.805572562</v>
      </c>
      <c r="G402" s="84">
        <v>15000000</v>
      </c>
      <c r="H402" s="84">
        <v>109438200.18650541</v>
      </c>
      <c r="I402" s="84">
        <v>102729130</v>
      </c>
      <c r="J402" s="84">
        <v>-6709070.1865054071</v>
      </c>
      <c r="K402" s="84"/>
    </row>
    <row r="403" spans="1:11" ht="13.2">
      <c r="A403" s="81">
        <v>394</v>
      </c>
      <c r="B403" s="84">
        <v>55422690.5</v>
      </c>
      <c r="C403" s="84">
        <v>55422690.5</v>
      </c>
      <c r="D403" s="84">
        <v>24171832.582801588</v>
      </c>
      <c r="E403" s="84">
        <v>43770585.840318628</v>
      </c>
      <c r="F403" s="84">
        <v>27175052.361096524</v>
      </c>
      <c r="G403" s="84">
        <v>15000000</v>
      </c>
      <c r="H403" s="84">
        <v>110117470.78421673</v>
      </c>
      <c r="I403" s="84">
        <v>110845381</v>
      </c>
      <c r="J403" s="84">
        <v>727910.21578326821</v>
      </c>
      <c r="K403" s="84"/>
    </row>
    <row r="404" spans="1:11" ht="13.2">
      <c r="A404" s="81">
        <v>395</v>
      </c>
      <c r="B404" s="84">
        <v>57460290</v>
      </c>
      <c r="C404" s="84">
        <v>57460290</v>
      </c>
      <c r="D404" s="84">
        <v>22845664.143701382</v>
      </c>
      <c r="E404" s="84">
        <v>43104272.614186183</v>
      </c>
      <c r="F404" s="84">
        <v>29797658.2277462</v>
      </c>
      <c r="G404" s="84">
        <v>15000000</v>
      </c>
      <c r="H404" s="84">
        <v>110747594.98563376</v>
      </c>
      <c r="I404" s="84">
        <v>114920580</v>
      </c>
      <c r="J404" s="84">
        <v>4172985.0143662393</v>
      </c>
      <c r="K404" s="84"/>
    </row>
    <row r="405" spans="1:11" ht="13.2">
      <c r="A405" s="81">
        <v>396</v>
      </c>
      <c r="B405" s="84">
        <v>61526140.5</v>
      </c>
      <c r="C405" s="84">
        <v>61526140.5</v>
      </c>
      <c r="D405" s="84">
        <v>24455797.173284117</v>
      </c>
      <c r="E405" s="84">
        <v>42742085.691204607</v>
      </c>
      <c r="F405" s="84">
        <v>29751104.935336582</v>
      </c>
      <c r="G405" s="84">
        <v>15000000</v>
      </c>
      <c r="H405" s="84">
        <v>111948987.79982531</v>
      </c>
      <c r="I405" s="84">
        <v>123052281</v>
      </c>
      <c r="J405" s="84">
        <v>11103293.200174689</v>
      </c>
      <c r="K405" s="84"/>
    </row>
    <row r="406" spans="1:11" ht="13.2">
      <c r="A406" s="81">
        <v>397</v>
      </c>
      <c r="B406" s="84">
        <v>52545904.5</v>
      </c>
      <c r="C406" s="84">
        <v>52545904.5</v>
      </c>
      <c r="D406" s="84">
        <v>25791889.854763668</v>
      </c>
      <c r="E406" s="84">
        <v>42238575.366841331</v>
      </c>
      <c r="F406" s="84">
        <v>26843377.408391442</v>
      </c>
      <c r="G406" s="84">
        <v>15000000</v>
      </c>
      <c r="H406" s="84">
        <v>109873842.62999645</v>
      </c>
      <c r="I406" s="84">
        <v>105091809</v>
      </c>
      <c r="J406" s="84">
        <v>-4782033.6299964488</v>
      </c>
      <c r="K406" s="84"/>
    </row>
    <row r="407" spans="1:11" ht="13.2">
      <c r="A407" s="81">
        <v>398</v>
      </c>
      <c r="B407" s="84">
        <v>57819512.5</v>
      </c>
      <c r="C407" s="84">
        <v>57819512.5</v>
      </c>
      <c r="D407" s="84">
        <v>25779484.551789485</v>
      </c>
      <c r="E407" s="84">
        <v>42526757.041135028</v>
      </c>
      <c r="F407" s="84">
        <v>24177402.098531712</v>
      </c>
      <c r="G407" s="84">
        <v>15000000</v>
      </c>
      <c r="H407" s="84">
        <v>107483643.69145621</v>
      </c>
      <c r="I407" s="84">
        <v>115639025</v>
      </c>
      <c r="J407" s="84">
        <v>8155381.3085437864</v>
      </c>
      <c r="K407" s="84"/>
    </row>
    <row r="408" spans="1:11" ht="13.2">
      <c r="A408" s="81">
        <v>399</v>
      </c>
      <c r="B408" s="84">
        <v>54890178.5</v>
      </c>
      <c r="C408" s="84">
        <v>54890178.5</v>
      </c>
      <c r="D408" s="84">
        <v>25917092.926944342</v>
      </c>
      <c r="E408" s="84">
        <v>42581818.266021706</v>
      </c>
      <c r="F408" s="84">
        <v>27524446.351436459</v>
      </c>
      <c r="G408" s="84">
        <v>15000000</v>
      </c>
      <c r="H408" s="84">
        <v>111023357.54440251</v>
      </c>
      <c r="I408" s="84">
        <v>109780357</v>
      </c>
      <c r="J408" s="84">
        <v>-1243000.5444025099</v>
      </c>
      <c r="K408" s="84"/>
    </row>
    <row r="409" spans="1:11" ht="13.2">
      <c r="A409" s="81">
        <v>400</v>
      </c>
      <c r="B409" s="84">
        <v>59287545</v>
      </c>
      <c r="C409" s="84">
        <v>59287545</v>
      </c>
      <c r="D409" s="84">
        <v>26184866.495469548</v>
      </c>
      <c r="E409" s="84">
        <v>42647927.225925088</v>
      </c>
      <c r="F409" s="84">
        <v>27841965.741594996</v>
      </c>
      <c r="G409" s="84">
        <v>15000000</v>
      </c>
      <c r="H409" s="84">
        <v>111674759.46298963</v>
      </c>
      <c r="I409" s="84">
        <v>118575090</v>
      </c>
      <c r="J409" s="84">
        <v>6900330.5370103717</v>
      </c>
      <c r="K409" s="84"/>
    </row>
    <row r="410" spans="1:11" ht="13.2">
      <c r="A410" s="81">
        <v>401</v>
      </c>
      <c r="B410" s="84">
        <v>58281572</v>
      </c>
      <c r="C410" s="84">
        <v>58281572</v>
      </c>
      <c r="D410" s="84">
        <v>24991050.209782891</v>
      </c>
      <c r="E410" s="84">
        <v>41361542.755885825</v>
      </c>
      <c r="F410" s="84">
        <v>28968762.304245543</v>
      </c>
      <c r="G410" s="84">
        <v>15000000</v>
      </c>
      <c r="H410" s="84">
        <v>110321355.26991425</v>
      </c>
      <c r="I410" s="84">
        <v>116563144</v>
      </c>
      <c r="J410" s="84">
        <v>6241788.7300857455</v>
      </c>
      <c r="K410" s="84"/>
    </row>
    <row r="411" spans="1:11" ht="13.2">
      <c r="A411" s="81">
        <v>402</v>
      </c>
      <c r="B411" s="84">
        <v>54105775</v>
      </c>
      <c r="C411" s="84">
        <v>54105775</v>
      </c>
      <c r="D411" s="84">
        <v>24583775.40661126</v>
      </c>
      <c r="E411" s="84">
        <v>42150984.782183439</v>
      </c>
      <c r="F411" s="84">
        <v>25103963.401609387</v>
      </c>
      <c r="G411" s="84">
        <v>15000000</v>
      </c>
      <c r="H411" s="84">
        <v>106838723.59040409</v>
      </c>
      <c r="I411" s="84">
        <v>108211550</v>
      </c>
      <c r="J411" s="84">
        <v>1372826.4095959067</v>
      </c>
      <c r="K411" s="84"/>
    </row>
    <row r="412" spans="1:11" ht="13.2">
      <c r="A412" s="81">
        <v>403</v>
      </c>
      <c r="B412" s="84">
        <v>53854560</v>
      </c>
      <c r="C412" s="84">
        <v>53854560</v>
      </c>
      <c r="D412" s="84">
        <v>23768637.599164728</v>
      </c>
      <c r="E412" s="84">
        <v>43622339.332519516</v>
      </c>
      <c r="F412" s="84">
        <v>25859077.723514777</v>
      </c>
      <c r="G412" s="84">
        <v>15000000</v>
      </c>
      <c r="H412" s="84">
        <v>108250054.65519902</v>
      </c>
      <c r="I412" s="84">
        <v>107709120</v>
      </c>
      <c r="J412" s="84">
        <v>-540934.6551990211</v>
      </c>
      <c r="K412" s="84"/>
    </row>
    <row r="413" spans="1:11" ht="13.2">
      <c r="A413" s="81">
        <v>404</v>
      </c>
      <c r="B413" s="84">
        <v>56733856</v>
      </c>
      <c r="C413" s="84">
        <v>56733856</v>
      </c>
      <c r="D413" s="84">
        <v>23098845.449209198</v>
      </c>
      <c r="E413" s="84">
        <v>43121696.821243688</v>
      </c>
      <c r="F413" s="84">
        <v>27269176.03104382</v>
      </c>
      <c r="G413" s="84">
        <v>15000000</v>
      </c>
      <c r="H413" s="84">
        <v>108489718.30149671</v>
      </c>
      <c r="I413" s="84">
        <v>113467712</v>
      </c>
      <c r="J413" s="84">
        <v>4977993.6985032856</v>
      </c>
      <c r="K413" s="84"/>
    </row>
    <row r="414" spans="1:11" ht="13.2">
      <c r="A414" s="81">
        <v>405</v>
      </c>
      <c r="B414" s="84">
        <v>59717309.5</v>
      </c>
      <c r="C414" s="84">
        <v>59717309.5</v>
      </c>
      <c r="D414" s="84">
        <v>25781965.612384323</v>
      </c>
      <c r="E414" s="84">
        <v>43029752.912103303</v>
      </c>
      <c r="F414" s="84">
        <v>25002203.778904948</v>
      </c>
      <c r="G414" s="84">
        <v>15000000</v>
      </c>
      <c r="H414" s="84">
        <v>108813922.30339257</v>
      </c>
      <c r="I414" s="84">
        <v>119434619</v>
      </c>
      <c r="J414" s="84">
        <v>10620696.696607426</v>
      </c>
      <c r="K414" s="84"/>
    </row>
    <row r="415" spans="1:11" ht="13.2">
      <c r="A415" s="81">
        <v>406</v>
      </c>
      <c r="B415" s="84">
        <v>54162384.5</v>
      </c>
      <c r="C415" s="84">
        <v>54162384.5</v>
      </c>
      <c r="D415" s="84">
        <v>24186130.745267339</v>
      </c>
      <c r="E415" s="84">
        <v>42272996.450176604</v>
      </c>
      <c r="F415" s="84">
        <v>26006829.93414326</v>
      </c>
      <c r="G415" s="84">
        <v>15000000</v>
      </c>
      <c r="H415" s="84">
        <v>107465957.1295872</v>
      </c>
      <c r="I415" s="84">
        <v>108324769</v>
      </c>
      <c r="J415" s="84">
        <v>858811.87041279674</v>
      </c>
      <c r="K415" s="84"/>
    </row>
    <row r="416" spans="1:11" ht="13.2">
      <c r="A416" s="81">
        <v>407</v>
      </c>
      <c r="B416" s="84">
        <v>56653420</v>
      </c>
      <c r="C416" s="84">
        <v>56653420</v>
      </c>
      <c r="D416" s="84">
        <v>23105700.429890439</v>
      </c>
      <c r="E416" s="84">
        <v>44082147.678006873</v>
      </c>
      <c r="F416" s="84">
        <v>25728145.098216165</v>
      </c>
      <c r="G416" s="84">
        <v>15000000</v>
      </c>
      <c r="H416" s="84">
        <v>107915993.20611347</v>
      </c>
      <c r="I416" s="84">
        <v>113306840</v>
      </c>
      <c r="J416" s="84">
        <v>5390846.7938865274</v>
      </c>
      <c r="K416" s="84"/>
    </row>
    <row r="417" spans="1:11" ht="13.2">
      <c r="A417" s="81">
        <v>408</v>
      </c>
      <c r="B417" s="84">
        <v>56556255.5</v>
      </c>
      <c r="C417" s="84">
        <v>56556255.5</v>
      </c>
      <c r="D417" s="84">
        <v>25116253.281963564</v>
      </c>
      <c r="E417" s="84">
        <v>42730656.705387414</v>
      </c>
      <c r="F417" s="84">
        <v>25047262.369089145</v>
      </c>
      <c r="G417" s="84">
        <v>15000000</v>
      </c>
      <c r="H417" s="84">
        <v>107894172.35644011</v>
      </c>
      <c r="I417" s="84">
        <v>113112511</v>
      </c>
      <c r="J417" s="84">
        <v>5218338.643559888</v>
      </c>
      <c r="K417" s="84"/>
    </row>
    <row r="418" spans="1:11" ht="13.2">
      <c r="A418" s="81">
        <v>409</v>
      </c>
      <c r="B418" s="84">
        <v>58214667</v>
      </c>
      <c r="C418" s="84">
        <v>58214667</v>
      </c>
      <c r="D418" s="84">
        <v>23918357.176742136</v>
      </c>
      <c r="E418" s="84">
        <v>44202477.828470081</v>
      </c>
      <c r="F418" s="84">
        <v>27234400.783433456</v>
      </c>
      <c r="G418" s="84">
        <v>15000000</v>
      </c>
      <c r="H418" s="84">
        <v>110355235.78864567</v>
      </c>
      <c r="I418" s="84">
        <v>116429334</v>
      </c>
      <c r="J418" s="84">
        <v>6074098.2113543302</v>
      </c>
      <c r="K418" s="84"/>
    </row>
    <row r="419" spans="1:11" ht="13.2">
      <c r="A419" s="81">
        <v>410</v>
      </c>
      <c r="B419" s="84">
        <v>56826432.5</v>
      </c>
      <c r="C419" s="84">
        <v>56826432.5</v>
      </c>
      <c r="D419" s="84">
        <v>24185836.644715708</v>
      </c>
      <c r="E419" s="84">
        <v>42199123.76545912</v>
      </c>
      <c r="F419" s="84">
        <v>26467036.284331046</v>
      </c>
      <c r="G419" s="84">
        <v>15000000</v>
      </c>
      <c r="H419" s="84">
        <v>107851996.69450587</v>
      </c>
      <c r="I419" s="84">
        <v>113652865</v>
      </c>
      <c r="J419" s="84">
        <v>5800868.3054941297</v>
      </c>
      <c r="K419" s="84"/>
    </row>
    <row r="420" spans="1:11" ht="13.2">
      <c r="A420" s="81">
        <v>411</v>
      </c>
      <c r="B420" s="84">
        <v>56387367</v>
      </c>
      <c r="C420" s="84">
        <v>56387367</v>
      </c>
      <c r="D420" s="84">
        <v>22175283.792642582</v>
      </c>
      <c r="E420" s="84">
        <v>43893009.954422586</v>
      </c>
      <c r="F420" s="84">
        <v>27471908.769610822</v>
      </c>
      <c r="G420" s="84">
        <v>15000000</v>
      </c>
      <c r="H420" s="84">
        <v>108540202.51667599</v>
      </c>
      <c r="I420" s="84">
        <v>112774734</v>
      </c>
      <c r="J420" s="84">
        <v>4234531.4833240062</v>
      </c>
      <c r="K420" s="84"/>
    </row>
    <row r="421" spans="1:11" ht="13.2">
      <c r="A421" s="81">
        <v>412</v>
      </c>
      <c r="B421" s="84">
        <v>59262488.5</v>
      </c>
      <c r="C421" s="84">
        <v>59262488.5</v>
      </c>
      <c r="D421" s="84">
        <v>25253567.55656679</v>
      </c>
      <c r="E421" s="84">
        <v>43626866.702206947</v>
      </c>
      <c r="F421" s="84">
        <v>25807573.302614376</v>
      </c>
      <c r="G421" s="84">
        <v>15000000</v>
      </c>
      <c r="H421" s="84">
        <v>109688007.56138812</v>
      </c>
      <c r="I421" s="84">
        <v>118524977</v>
      </c>
      <c r="J421" s="84">
        <v>8836969.4386118799</v>
      </c>
      <c r="K421" s="84"/>
    </row>
    <row r="422" spans="1:11" ht="13.2">
      <c r="A422" s="81">
        <v>413</v>
      </c>
      <c r="B422" s="84">
        <v>57962510.5</v>
      </c>
      <c r="C422" s="84">
        <v>57962510.5</v>
      </c>
      <c r="D422" s="84">
        <v>24566996.183550667</v>
      </c>
      <c r="E422" s="84">
        <v>43806430.258585304</v>
      </c>
      <c r="F422" s="84">
        <v>26731158.550218709</v>
      </c>
      <c r="G422" s="84">
        <v>15000000</v>
      </c>
      <c r="H422" s="84">
        <v>110104584.99235469</v>
      </c>
      <c r="I422" s="84">
        <v>115925021</v>
      </c>
      <c r="J422" s="84">
        <v>5820436.007645309</v>
      </c>
      <c r="K422" s="84"/>
    </row>
    <row r="423" spans="1:11" ht="13.2">
      <c r="A423" s="81">
        <v>414</v>
      </c>
      <c r="B423" s="84">
        <v>57249026</v>
      </c>
      <c r="C423" s="84">
        <v>57249026</v>
      </c>
      <c r="D423" s="84">
        <v>22432839.018236808</v>
      </c>
      <c r="E423" s="84">
        <v>42132200.691937819</v>
      </c>
      <c r="F423" s="84">
        <v>23427752.039074037</v>
      </c>
      <c r="G423" s="84">
        <v>15000000</v>
      </c>
      <c r="H423" s="84">
        <v>102992791.74924867</v>
      </c>
      <c r="I423" s="84">
        <v>114498052</v>
      </c>
      <c r="J423" s="84">
        <v>11505260.250751331</v>
      </c>
      <c r="K423" s="84"/>
    </row>
    <row r="424" spans="1:11" ht="13.2">
      <c r="A424" s="81">
        <v>415</v>
      </c>
      <c r="B424" s="84">
        <v>55642511</v>
      </c>
      <c r="C424" s="84">
        <v>55642511</v>
      </c>
      <c r="D424" s="84">
        <v>25772335.470556613</v>
      </c>
      <c r="E424" s="84">
        <v>43303614.434540354</v>
      </c>
      <c r="F424" s="84">
        <v>27295997.286520734</v>
      </c>
      <c r="G424" s="84">
        <v>15000000</v>
      </c>
      <c r="H424" s="84">
        <v>111371947.1916177</v>
      </c>
      <c r="I424" s="84">
        <v>111285022</v>
      </c>
      <c r="J424" s="84">
        <v>-86925.191617697477</v>
      </c>
      <c r="K424" s="84"/>
    </row>
    <row r="425" spans="1:11" ht="13.2">
      <c r="A425" s="81">
        <v>416</v>
      </c>
      <c r="B425" s="84">
        <v>52980071</v>
      </c>
      <c r="C425" s="84">
        <v>52980071</v>
      </c>
      <c r="D425" s="84">
        <v>23773305.619802769</v>
      </c>
      <c r="E425" s="84">
        <v>43673059.533753812</v>
      </c>
      <c r="F425" s="84">
        <v>26221416.151929479</v>
      </c>
      <c r="G425" s="84">
        <v>15000000</v>
      </c>
      <c r="H425" s="84">
        <v>108667781.30548607</v>
      </c>
      <c r="I425" s="84">
        <v>105960142</v>
      </c>
      <c r="J425" s="84">
        <v>-2707639.3054860681</v>
      </c>
      <c r="K425" s="84"/>
    </row>
    <row r="426" spans="1:11" ht="13.2">
      <c r="A426" s="81">
        <v>417</v>
      </c>
      <c r="B426" s="84">
        <v>56009548</v>
      </c>
      <c r="C426" s="84">
        <v>56009548</v>
      </c>
      <c r="D426" s="84">
        <v>23783523.962733746</v>
      </c>
      <c r="E426" s="84">
        <v>42433402.284308001</v>
      </c>
      <c r="F426" s="84">
        <v>25832632.322525524</v>
      </c>
      <c r="G426" s="84">
        <v>15000000</v>
      </c>
      <c r="H426" s="84">
        <v>107049558.56956726</v>
      </c>
      <c r="I426" s="84">
        <v>112019096</v>
      </c>
      <c r="J426" s="84">
        <v>4969537.4304327369</v>
      </c>
      <c r="K426" s="84"/>
    </row>
    <row r="427" spans="1:11" ht="13.2">
      <c r="A427" s="81">
        <v>418</v>
      </c>
      <c r="B427" s="84">
        <v>58536414</v>
      </c>
      <c r="C427" s="84">
        <v>58536414</v>
      </c>
      <c r="D427" s="84">
        <v>23100738.308700766</v>
      </c>
      <c r="E427" s="84">
        <v>42525116.703118339</v>
      </c>
      <c r="F427" s="84">
        <v>25959558.625898685</v>
      </c>
      <c r="G427" s="84">
        <v>15000000</v>
      </c>
      <c r="H427" s="84">
        <v>106585413.6377178</v>
      </c>
      <c r="I427" s="84">
        <v>117072828</v>
      </c>
      <c r="J427" s="84">
        <v>10487414.362282202</v>
      </c>
      <c r="K427" s="84"/>
    </row>
    <row r="428" spans="1:11" ht="13.2">
      <c r="A428" s="81">
        <v>419</v>
      </c>
      <c r="B428" s="84">
        <v>60719267.5</v>
      </c>
      <c r="C428" s="84">
        <v>60719267.5</v>
      </c>
      <c r="D428" s="84">
        <v>25261010.7383513</v>
      </c>
      <c r="E428" s="84">
        <v>43365222.754585102</v>
      </c>
      <c r="F428" s="84">
        <v>27987944.794135734</v>
      </c>
      <c r="G428" s="84">
        <v>15000000</v>
      </c>
      <c r="H428" s="84">
        <v>111614178.28707214</v>
      </c>
      <c r="I428" s="84">
        <v>121438535</v>
      </c>
      <c r="J428" s="84">
        <v>9824356.712927863</v>
      </c>
      <c r="K428" s="84"/>
    </row>
    <row r="429" spans="1:11" ht="13.2">
      <c r="A429" s="81">
        <v>420</v>
      </c>
      <c r="B429" s="84">
        <v>55167311.5</v>
      </c>
      <c r="C429" s="84">
        <v>55167311.5</v>
      </c>
      <c r="D429" s="84">
        <v>22698425.626718812</v>
      </c>
      <c r="E429" s="84">
        <v>43019398.938831553</v>
      </c>
      <c r="F429" s="84">
        <v>24939274.318532877</v>
      </c>
      <c r="G429" s="84">
        <v>15000000</v>
      </c>
      <c r="H429" s="84">
        <v>105657098.88408324</v>
      </c>
      <c r="I429" s="84">
        <v>110334623</v>
      </c>
      <c r="J429" s="84">
        <v>4677524.1159167588</v>
      </c>
      <c r="K429" s="84"/>
    </row>
    <row r="430" spans="1:11" ht="13.2">
      <c r="A430" s="81">
        <v>421</v>
      </c>
      <c r="B430" s="84">
        <v>54489542</v>
      </c>
      <c r="C430" s="84">
        <v>54489542</v>
      </c>
      <c r="D430" s="84">
        <v>25921760.947582383</v>
      </c>
      <c r="E430" s="84">
        <v>44791386.184410028</v>
      </c>
      <c r="F430" s="84">
        <v>26489163.735707536</v>
      </c>
      <c r="G430" s="84">
        <v>15000000</v>
      </c>
      <c r="H430" s="84">
        <v>112202310.86769995</v>
      </c>
      <c r="I430" s="84">
        <v>108979084</v>
      </c>
      <c r="J430" s="84">
        <v>-3223226.8676999509</v>
      </c>
      <c r="K430" s="84"/>
    </row>
    <row r="431" spans="1:11" ht="13.2">
      <c r="A431" s="81">
        <v>422</v>
      </c>
      <c r="B431" s="84">
        <v>53212233.5</v>
      </c>
      <c r="C431" s="84">
        <v>53212233.5</v>
      </c>
      <c r="D431" s="84">
        <v>25109104.200730693</v>
      </c>
      <c r="E431" s="84">
        <v>43077452.280711107</v>
      </c>
      <c r="F431" s="84">
        <v>29184189.176786903</v>
      </c>
      <c r="G431" s="84">
        <v>15000000</v>
      </c>
      <c r="H431" s="84">
        <v>112370745.6582287</v>
      </c>
      <c r="I431" s="84">
        <v>106424467</v>
      </c>
      <c r="J431" s="84">
        <v>-5946278.6582286954</v>
      </c>
      <c r="K431" s="84"/>
    </row>
    <row r="432" spans="1:11" ht="13.2">
      <c r="A432" s="81">
        <v>423</v>
      </c>
      <c r="B432" s="84">
        <v>56790631.5</v>
      </c>
      <c r="C432" s="84">
        <v>56790631.5</v>
      </c>
      <c r="D432" s="84">
        <v>24588737.527800933</v>
      </c>
      <c r="E432" s="84">
        <v>43059634.829275616</v>
      </c>
      <c r="F432" s="84">
        <v>27480286.180202123</v>
      </c>
      <c r="G432" s="84">
        <v>15000000</v>
      </c>
      <c r="H432" s="84">
        <v>110128658.53727868</v>
      </c>
      <c r="I432" s="84">
        <v>113581263</v>
      </c>
      <c r="J432" s="84">
        <v>3452604.462721318</v>
      </c>
      <c r="K432" s="84"/>
    </row>
    <row r="433" spans="1:11" ht="13.2">
      <c r="A433" s="81">
        <v>424</v>
      </c>
      <c r="B433" s="84">
        <v>52067498.5</v>
      </c>
      <c r="C433" s="84">
        <v>52067498.5</v>
      </c>
      <c r="D433" s="84">
        <v>22698425.626718812</v>
      </c>
      <c r="E433" s="84">
        <v>42298663.572661936</v>
      </c>
      <c r="F433" s="84">
        <v>28920981.022037104</v>
      </c>
      <c r="G433" s="84">
        <v>15000000</v>
      </c>
      <c r="H433" s="84">
        <v>108918070.22141784</v>
      </c>
      <c r="I433" s="84">
        <v>104134997</v>
      </c>
      <c r="J433" s="84">
        <v>-4783073.2214178443</v>
      </c>
      <c r="K433" s="84"/>
    </row>
    <row r="434" spans="1:11" ht="13.2">
      <c r="A434" s="81">
        <v>425</v>
      </c>
      <c r="B434" s="84">
        <v>53864790.5</v>
      </c>
      <c r="C434" s="84">
        <v>53864790.5</v>
      </c>
      <c r="D434" s="84">
        <v>23503933.29233763</v>
      </c>
      <c r="E434" s="84">
        <v>43318355.165061697</v>
      </c>
      <c r="F434" s="84">
        <v>31587881.500429615</v>
      </c>
      <c r="G434" s="84">
        <v>15000000</v>
      </c>
      <c r="H434" s="84">
        <v>113410169.95782894</v>
      </c>
      <c r="I434" s="84">
        <v>107729581</v>
      </c>
      <c r="J434" s="84">
        <v>-5680588.957828939</v>
      </c>
      <c r="K434" s="84"/>
    </row>
    <row r="435" spans="1:11" ht="13.2">
      <c r="A435" s="81">
        <v>426</v>
      </c>
      <c r="B435" s="84">
        <v>55389171.5</v>
      </c>
      <c r="C435" s="84">
        <v>55389171.5</v>
      </c>
      <c r="D435" s="84">
        <v>22435320.078831643</v>
      </c>
      <c r="E435" s="84">
        <v>42201614.664088912</v>
      </c>
      <c r="F435" s="84">
        <v>27563762.590905692</v>
      </c>
      <c r="G435" s="84">
        <v>15000000</v>
      </c>
      <c r="H435" s="84">
        <v>107200697.33382624</v>
      </c>
      <c r="I435" s="84">
        <v>110778343</v>
      </c>
      <c r="J435" s="84">
        <v>3577645.6661737561</v>
      </c>
      <c r="K435" s="84"/>
    </row>
    <row r="436" spans="1:11" ht="13.2">
      <c r="A436" s="81">
        <v>427</v>
      </c>
      <c r="B436" s="84">
        <v>53398464</v>
      </c>
      <c r="C436" s="84">
        <v>53398464</v>
      </c>
      <c r="D436" s="84">
        <v>25777297.591746286</v>
      </c>
      <c r="E436" s="84">
        <v>43244111.566792861</v>
      </c>
      <c r="F436" s="84">
        <v>25074129.074492913</v>
      </c>
      <c r="G436" s="84">
        <v>15000000</v>
      </c>
      <c r="H436" s="84">
        <v>109095538.23303206</v>
      </c>
      <c r="I436" s="84">
        <v>106796928</v>
      </c>
      <c r="J436" s="84">
        <v>-2298610.2330320626</v>
      </c>
      <c r="K436" s="84"/>
    </row>
    <row r="437" spans="1:11" ht="13.2">
      <c r="A437" s="81">
        <v>428</v>
      </c>
      <c r="B437" s="84">
        <v>55904603.5</v>
      </c>
      <c r="C437" s="84">
        <v>55904603.5</v>
      </c>
      <c r="D437" s="84">
        <v>23783523.962733746</v>
      </c>
      <c r="E437" s="84">
        <v>41211031.874112822</v>
      </c>
      <c r="F437" s="84">
        <v>26471827.40692601</v>
      </c>
      <c r="G437" s="84">
        <v>15000000</v>
      </c>
      <c r="H437" s="84">
        <v>106466383.24377258</v>
      </c>
      <c r="I437" s="84">
        <v>111809207</v>
      </c>
      <c r="J437" s="84">
        <v>5342823.7562274188</v>
      </c>
      <c r="K437" s="84"/>
    </row>
    <row r="438" spans="1:11" ht="13.2">
      <c r="A438" s="81">
        <v>429</v>
      </c>
      <c r="B438" s="84">
        <v>59348004.5</v>
      </c>
      <c r="C438" s="84">
        <v>59348004.5</v>
      </c>
      <c r="D438" s="84">
        <v>24308558.656301547</v>
      </c>
      <c r="E438" s="84">
        <v>41526889.30664409</v>
      </c>
      <c r="F438" s="84">
        <v>25156854.625138383</v>
      </c>
      <c r="G438" s="84">
        <v>15000000</v>
      </c>
      <c r="H438" s="84">
        <v>105992302.58808403</v>
      </c>
      <c r="I438" s="84">
        <v>118696009</v>
      </c>
      <c r="J438" s="84">
        <v>12703706.411915973</v>
      </c>
      <c r="K438" s="84"/>
    </row>
    <row r="439" spans="1:11" ht="13.2">
      <c r="A439" s="81">
        <v>430</v>
      </c>
      <c r="B439" s="84">
        <v>55494410</v>
      </c>
      <c r="C439" s="84">
        <v>55494410</v>
      </c>
      <c r="D439" s="84">
        <v>24586256.467206098</v>
      </c>
      <c r="E439" s="84">
        <v>42967783.688787229</v>
      </c>
      <c r="F439" s="84">
        <v>28802113.798616316</v>
      </c>
      <c r="G439" s="84">
        <v>15000000</v>
      </c>
      <c r="H439" s="84">
        <v>111356153.95460965</v>
      </c>
      <c r="I439" s="84">
        <v>110988820</v>
      </c>
      <c r="J439" s="84">
        <v>-367333.95460964739</v>
      </c>
      <c r="K439" s="84"/>
    </row>
    <row r="440" spans="1:11" ht="13.2">
      <c r="A440" s="81">
        <v>431</v>
      </c>
      <c r="B440" s="84">
        <v>56142001</v>
      </c>
      <c r="C440" s="84">
        <v>56142001</v>
      </c>
      <c r="D440" s="84">
        <v>25646838.297824301</v>
      </c>
      <c r="E440" s="84">
        <v>43665647.437639624</v>
      </c>
      <c r="F440" s="84">
        <v>27609611.957019314</v>
      </c>
      <c r="G440" s="84">
        <v>15000000</v>
      </c>
      <c r="H440" s="84">
        <v>111922097.69248323</v>
      </c>
      <c r="I440" s="84">
        <v>112284002</v>
      </c>
      <c r="J440" s="84">
        <v>361904.30751676857</v>
      </c>
      <c r="K440" s="84"/>
    </row>
    <row r="441" spans="1:11" ht="13.2">
      <c r="A441" s="81">
        <v>432</v>
      </c>
      <c r="B441" s="84">
        <v>58478562.5</v>
      </c>
      <c r="C441" s="84">
        <v>58478562.5</v>
      </c>
      <c r="D441" s="84">
        <v>25524116.286238465</v>
      </c>
      <c r="E441" s="84">
        <v>42577876.913958102</v>
      </c>
      <c r="F441" s="84">
        <v>28050709.687108018</v>
      </c>
      <c r="G441" s="84">
        <v>15000000</v>
      </c>
      <c r="H441" s="84">
        <v>111152702.88730457</v>
      </c>
      <c r="I441" s="84">
        <v>116957125</v>
      </c>
      <c r="J441" s="84">
        <v>5804422.1126954257</v>
      </c>
      <c r="K441" s="84"/>
    </row>
    <row r="442" spans="1:11" ht="13.2">
      <c r="A442" s="81">
        <v>433</v>
      </c>
      <c r="B442" s="84">
        <v>54316122</v>
      </c>
      <c r="C442" s="84">
        <v>54316122</v>
      </c>
      <c r="D442" s="84">
        <v>25796557.875401709</v>
      </c>
      <c r="E442" s="84">
        <v>43670997.544678733</v>
      </c>
      <c r="F442" s="84">
        <v>28878621.930635605</v>
      </c>
      <c r="G442" s="84">
        <v>15000000</v>
      </c>
      <c r="H442" s="84">
        <v>113346177.35071604</v>
      </c>
      <c r="I442" s="84">
        <v>108632244</v>
      </c>
      <c r="J442" s="84">
        <v>-4713933.3507160395</v>
      </c>
      <c r="K442" s="84"/>
    </row>
    <row r="443" spans="1:11" ht="13.2">
      <c r="A443" s="81">
        <v>434</v>
      </c>
      <c r="B443" s="84">
        <v>59028176</v>
      </c>
      <c r="C443" s="84">
        <v>59028176</v>
      </c>
      <c r="D443" s="84">
        <v>25386213.810531974</v>
      </c>
      <c r="E443" s="84">
        <v>42798138.875153556</v>
      </c>
      <c r="F443" s="84">
        <v>28052664.228516925</v>
      </c>
      <c r="G443" s="84">
        <v>15000000</v>
      </c>
      <c r="H443" s="84">
        <v>111237016.91420245</v>
      </c>
      <c r="I443" s="84">
        <v>118056352</v>
      </c>
      <c r="J443" s="84">
        <v>6819335.0857975483</v>
      </c>
      <c r="K443" s="84"/>
    </row>
    <row r="444" spans="1:11" ht="13.2">
      <c r="A444" s="81">
        <v>435</v>
      </c>
      <c r="B444" s="84">
        <v>54989500.5</v>
      </c>
      <c r="C444" s="84">
        <v>54989500.5</v>
      </c>
      <c r="D444" s="84">
        <v>25391470.032273281</v>
      </c>
      <c r="E444" s="84">
        <v>42568648.759698883</v>
      </c>
      <c r="F444" s="84">
        <v>29685426.245303422</v>
      </c>
      <c r="G444" s="84">
        <v>15000000</v>
      </c>
      <c r="H444" s="84">
        <v>112645545.03727558</v>
      </c>
      <c r="I444" s="84">
        <v>109979001</v>
      </c>
      <c r="J444" s="84">
        <v>-2666544.0372755826</v>
      </c>
      <c r="K444" s="84"/>
    </row>
    <row r="445" spans="1:11" ht="13.2">
      <c r="A445" s="81">
        <v>436</v>
      </c>
      <c r="B445" s="84">
        <v>56607190</v>
      </c>
      <c r="C445" s="84">
        <v>56607190</v>
      </c>
      <c r="D445" s="84">
        <v>22838515.062468506</v>
      </c>
      <c r="E445" s="84">
        <v>43229153.281457141</v>
      </c>
      <c r="F445" s="84">
        <v>27429182.428184059</v>
      </c>
      <c r="G445" s="84">
        <v>15000000</v>
      </c>
      <c r="H445" s="84">
        <v>108496850.7721097</v>
      </c>
      <c r="I445" s="84">
        <v>113214380</v>
      </c>
      <c r="J445" s="84">
        <v>4717529.2278902978</v>
      </c>
      <c r="K445" s="84"/>
    </row>
    <row r="446" spans="1:11" ht="13.2">
      <c r="A446" s="81">
        <v>437</v>
      </c>
      <c r="B446" s="84">
        <v>55168482</v>
      </c>
      <c r="C446" s="84">
        <v>55168482</v>
      </c>
      <c r="D446" s="84">
        <v>25653987.37905718</v>
      </c>
      <c r="E446" s="84">
        <v>42701032.776764899</v>
      </c>
      <c r="F446" s="84">
        <v>25922546.311439399</v>
      </c>
      <c r="G446" s="84">
        <v>15000000</v>
      </c>
      <c r="H446" s="84">
        <v>109277566.46726148</v>
      </c>
      <c r="I446" s="84">
        <v>110336964</v>
      </c>
      <c r="J446" s="84">
        <v>1059397.5327385217</v>
      </c>
      <c r="K446" s="84"/>
    </row>
    <row r="447" spans="1:11" ht="13.2">
      <c r="A447" s="81">
        <v>438</v>
      </c>
      <c r="B447" s="84">
        <v>56873030</v>
      </c>
      <c r="C447" s="84">
        <v>56873030</v>
      </c>
      <c r="D447" s="84">
        <v>23781042.902138911</v>
      </c>
      <c r="E447" s="84">
        <v>44101293.541419178</v>
      </c>
      <c r="F447" s="84">
        <v>28066048.101960476</v>
      </c>
      <c r="G447" s="84">
        <v>15000000</v>
      </c>
      <c r="H447" s="84">
        <v>110948384.54551858</v>
      </c>
      <c r="I447" s="84">
        <v>113746060</v>
      </c>
      <c r="J447" s="84">
        <v>2797675.4544814229</v>
      </c>
      <c r="K447" s="84"/>
    </row>
    <row r="448" spans="1:11" ht="13.2">
      <c r="A448" s="81">
        <v>439</v>
      </c>
      <c r="B448" s="84">
        <v>59913973</v>
      </c>
      <c r="C448" s="84">
        <v>59913973</v>
      </c>
      <c r="D448" s="84">
        <v>25246418.475333914</v>
      </c>
      <c r="E448" s="84">
        <v>42267235.822350569</v>
      </c>
      <c r="F448" s="84">
        <v>25853072.217291825</v>
      </c>
      <c r="G448" s="84">
        <v>15000000</v>
      </c>
      <c r="H448" s="84">
        <v>108366726.51497632</v>
      </c>
      <c r="I448" s="84">
        <v>119827946</v>
      </c>
      <c r="J448" s="84">
        <v>11461219.485023677</v>
      </c>
      <c r="K448" s="84"/>
    </row>
    <row r="449" spans="1:11" ht="13.2">
      <c r="A449" s="81">
        <v>440</v>
      </c>
      <c r="B449" s="84">
        <v>53972972</v>
      </c>
      <c r="C449" s="84">
        <v>53972972</v>
      </c>
      <c r="D449" s="84">
        <v>23905951.873767953</v>
      </c>
      <c r="E449" s="84">
        <v>43944641.464576811</v>
      </c>
      <c r="F449" s="84">
        <v>28733412.000906575</v>
      </c>
      <c r="G449" s="84">
        <v>15000000</v>
      </c>
      <c r="H449" s="84">
        <v>111584005.33925134</v>
      </c>
      <c r="I449" s="84">
        <v>107945944</v>
      </c>
      <c r="J449" s="84">
        <v>-3638061.3392513394</v>
      </c>
      <c r="K449" s="84"/>
    </row>
    <row r="450" spans="1:11" ht="13.2">
      <c r="A450" s="81">
        <v>441</v>
      </c>
      <c r="B450" s="84">
        <v>51388307.5</v>
      </c>
      <c r="C450" s="84">
        <v>51388307.5</v>
      </c>
      <c r="D450" s="84">
        <v>23096364.388614364</v>
      </c>
      <c r="E450" s="84">
        <v>41609063.640463218</v>
      </c>
      <c r="F450" s="84">
        <v>25574580.013488002</v>
      </c>
      <c r="G450" s="84">
        <v>15000000</v>
      </c>
      <c r="H450" s="84">
        <v>105280008.04256558</v>
      </c>
      <c r="I450" s="84">
        <v>102776615</v>
      </c>
      <c r="J450" s="84">
        <v>-2503393.0425655842</v>
      </c>
      <c r="K450" s="84"/>
    </row>
    <row r="451" spans="1:11" ht="13.2">
      <c r="A451" s="81">
        <v>442</v>
      </c>
      <c r="B451" s="84">
        <v>54835305</v>
      </c>
      <c r="C451" s="84">
        <v>54835305</v>
      </c>
      <c r="D451" s="84">
        <v>24974270.986722302</v>
      </c>
      <c r="E451" s="84">
        <v>44160061.421853028</v>
      </c>
      <c r="F451" s="84">
        <v>29963851.138908613</v>
      </c>
      <c r="G451" s="84">
        <v>15000000</v>
      </c>
      <c r="H451" s="84">
        <v>114098183.54748394</v>
      </c>
      <c r="I451" s="84">
        <v>109670610</v>
      </c>
      <c r="J451" s="84">
        <v>-4427573.547483936</v>
      </c>
      <c r="K451" s="84"/>
    </row>
    <row r="452" spans="1:11" ht="13.2">
      <c r="A452" s="81">
        <v>443</v>
      </c>
      <c r="B452" s="84">
        <v>60061611</v>
      </c>
      <c r="C452" s="84">
        <v>60061611</v>
      </c>
      <c r="D452" s="84">
        <v>23383104.140243359</v>
      </c>
      <c r="E452" s="84">
        <v>42889752.93172726</v>
      </c>
      <c r="F452" s="84">
        <v>28372653.412256464</v>
      </c>
      <c r="G452" s="84">
        <v>15000000</v>
      </c>
      <c r="H452" s="84">
        <v>109645510.48422709</v>
      </c>
      <c r="I452" s="84">
        <v>120123222</v>
      </c>
      <c r="J452" s="84">
        <v>10477711.515772909</v>
      </c>
      <c r="K452" s="84"/>
    </row>
    <row r="453" spans="1:11" ht="13.2">
      <c r="A453" s="81">
        <v>444</v>
      </c>
      <c r="B453" s="84">
        <v>62496781.5</v>
      </c>
      <c r="C453" s="84">
        <v>62496781.5</v>
      </c>
      <c r="D453" s="84">
        <v>22966199.195244014</v>
      </c>
      <c r="E453" s="84">
        <v>42474561.119602583</v>
      </c>
      <c r="F453" s="84">
        <v>26329145.719494194</v>
      </c>
      <c r="G453" s="84">
        <v>15000000</v>
      </c>
      <c r="H453" s="84">
        <v>106769906.0343408</v>
      </c>
      <c r="I453" s="84">
        <v>124993563</v>
      </c>
      <c r="J453" s="84">
        <v>18223656.965659201</v>
      </c>
      <c r="K453" s="84"/>
    </row>
    <row r="454" spans="1:11" ht="13.2">
      <c r="A454" s="81">
        <v>445</v>
      </c>
      <c r="B454" s="84">
        <v>51308719.5</v>
      </c>
      <c r="C454" s="84">
        <v>51308719.5</v>
      </c>
      <c r="D454" s="84">
        <v>22032713.296298049</v>
      </c>
      <c r="E454" s="84">
        <v>44546889.632308654</v>
      </c>
      <c r="F454" s="84">
        <v>29935635.599051949</v>
      </c>
      <c r="G454" s="84">
        <v>15000000</v>
      </c>
      <c r="H454" s="84">
        <v>111515238.52765866</v>
      </c>
      <c r="I454" s="84">
        <v>102617439</v>
      </c>
      <c r="J454" s="84">
        <v>-8897799.5276586562</v>
      </c>
      <c r="K454" s="84"/>
    </row>
    <row r="455" spans="1:11" ht="13.2">
      <c r="A455" s="81">
        <v>446</v>
      </c>
      <c r="B455" s="84">
        <v>58419096.5</v>
      </c>
      <c r="C455" s="84">
        <v>58419096.5</v>
      </c>
      <c r="D455" s="84">
        <v>25389283.072230078</v>
      </c>
      <c r="E455" s="84">
        <v>42868065.711217135</v>
      </c>
      <c r="F455" s="84">
        <v>25490753.246063806</v>
      </c>
      <c r="G455" s="84">
        <v>15000000</v>
      </c>
      <c r="H455" s="84">
        <v>108748102.029511</v>
      </c>
      <c r="I455" s="84">
        <v>116838193</v>
      </c>
      <c r="J455" s="84">
        <v>8090090.9704889953</v>
      </c>
      <c r="K455" s="84"/>
    </row>
    <row r="456" spans="1:11" ht="13.2">
      <c r="A456" s="81">
        <v>447</v>
      </c>
      <c r="B456" s="84">
        <v>53636637.5</v>
      </c>
      <c r="C456" s="84">
        <v>53636637.5</v>
      </c>
      <c r="D456" s="84">
        <v>22438095.239978116</v>
      </c>
      <c r="E456" s="84">
        <v>41703904.208804704</v>
      </c>
      <c r="F456" s="84">
        <v>26736069.426913131</v>
      </c>
      <c r="G456" s="84">
        <v>15000000</v>
      </c>
      <c r="H456" s="84">
        <v>105878068.87569594</v>
      </c>
      <c r="I456" s="84">
        <v>107273275</v>
      </c>
      <c r="J456" s="84">
        <v>1395206.1243040562</v>
      </c>
      <c r="K456" s="84"/>
    </row>
    <row r="457" spans="1:11" ht="13.2">
      <c r="A457" s="81">
        <v>448</v>
      </c>
      <c r="B457" s="84">
        <v>55753273.5</v>
      </c>
      <c r="C457" s="84">
        <v>55753273.5</v>
      </c>
      <c r="D457" s="84">
        <v>25521635.225643627</v>
      </c>
      <c r="E457" s="84">
        <v>42369733.522780076</v>
      </c>
      <c r="F457" s="84">
        <v>27798429.756621882</v>
      </c>
      <c r="G457" s="84">
        <v>15000000</v>
      </c>
      <c r="H457" s="84">
        <v>110689798.50504558</v>
      </c>
      <c r="I457" s="84">
        <v>111506547</v>
      </c>
      <c r="J457" s="84">
        <v>816748.49495442212</v>
      </c>
      <c r="K457" s="84"/>
    </row>
    <row r="458" spans="1:11" ht="13.2">
      <c r="A458" s="81">
        <v>449</v>
      </c>
      <c r="B458" s="84">
        <v>61749361</v>
      </c>
      <c r="C458" s="84">
        <v>61749361</v>
      </c>
      <c r="D458" s="84">
        <v>23631617.425113142</v>
      </c>
      <c r="E458" s="84">
        <v>43741218.149789877</v>
      </c>
      <c r="F458" s="84">
        <v>27439789.203111578</v>
      </c>
      <c r="G458" s="84">
        <v>15000000</v>
      </c>
      <c r="H458" s="84">
        <v>109812624.77801459</v>
      </c>
      <c r="I458" s="84">
        <v>123498722</v>
      </c>
      <c r="J458" s="84">
        <v>13686097.221985415</v>
      </c>
      <c r="K458" s="84"/>
    </row>
    <row r="459" spans="1:11" ht="13.2">
      <c r="A459" s="81">
        <v>450</v>
      </c>
      <c r="B459" s="84">
        <v>57751287</v>
      </c>
      <c r="C459" s="84">
        <v>57751287</v>
      </c>
      <c r="D459" s="84">
        <v>23113143.61167495</v>
      </c>
      <c r="E459" s="84">
        <v>41920650.061131328</v>
      </c>
      <c r="F459" s="84">
        <v>26409007.465047352</v>
      </c>
      <c r="G459" s="84">
        <v>15000000</v>
      </c>
      <c r="H459" s="84">
        <v>106442801.13785362</v>
      </c>
      <c r="I459" s="84">
        <v>115502574</v>
      </c>
      <c r="J459" s="84">
        <v>9059772.8621463776</v>
      </c>
      <c r="K459" s="84"/>
    </row>
    <row r="460" spans="1:11" ht="13.2">
      <c r="A460" s="81">
        <v>451</v>
      </c>
      <c r="B460" s="84">
        <v>53074987.5</v>
      </c>
      <c r="C460" s="84">
        <v>53074987.5</v>
      </c>
      <c r="D460" s="84">
        <v>24978939.007360343</v>
      </c>
      <c r="E460" s="84">
        <v>41875463.613562889</v>
      </c>
      <c r="F460" s="84">
        <v>23923159.905830864</v>
      </c>
      <c r="G460" s="84">
        <v>15000000</v>
      </c>
      <c r="H460" s="84">
        <v>105777562.5267541</v>
      </c>
      <c r="I460" s="84">
        <v>106149975</v>
      </c>
      <c r="J460" s="84">
        <v>372412.47324590385</v>
      </c>
      <c r="K460" s="84"/>
    </row>
    <row r="461" spans="1:11" ht="13.2">
      <c r="A461" s="81">
        <v>452</v>
      </c>
      <c r="B461" s="84">
        <v>59471199</v>
      </c>
      <c r="C461" s="84">
        <v>59471199</v>
      </c>
      <c r="D461" s="84">
        <v>23653064.668811768</v>
      </c>
      <c r="E461" s="84">
        <v>42786696.731522486</v>
      </c>
      <c r="F461" s="84">
        <v>26284990.131148949</v>
      </c>
      <c r="G461" s="84">
        <v>15000000</v>
      </c>
      <c r="H461" s="84">
        <v>107724751.5314832</v>
      </c>
      <c r="I461" s="84">
        <v>118942398</v>
      </c>
      <c r="J461" s="84">
        <v>11217646.468516797</v>
      </c>
      <c r="K461" s="84"/>
    </row>
    <row r="462" spans="1:11" ht="13.2">
      <c r="A462" s="81">
        <v>453</v>
      </c>
      <c r="B462" s="84">
        <v>54716329.5</v>
      </c>
      <c r="C462" s="84">
        <v>54716329.5</v>
      </c>
      <c r="D462" s="84">
        <v>23378142.019053683</v>
      </c>
      <c r="E462" s="84">
        <v>42482453.915649667</v>
      </c>
      <c r="F462" s="84">
        <v>27447045.060233913</v>
      </c>
      <c r="G462" s="84">
        <v>15000000</v>
      </c>
      <c r="H462" s="84">
        <v>108307640.99493727</v>
      </c>
      <c r="I462" s="84">
        <v>109432659</v>
      </c>
      <c r="J462" s="84">
        <v>1125018.0050627291</v>
      </c>
      <c r="K462" s="84"/>
    </row>
    <row r="463" spans="1:11" ht="13.2">
      <c r="A463" s="81">
        <v>454</v>
      </c>
      <c r="B463" s="84">
        <v>54398107</v>
      </c>
      <c r="C463" s="84">
        <v>54398107</v>
      </c>
      <c r="D463" s="84">
        <v>25781965.612384323</v>
      </c>
      <c r="E463" s="84">
        <v>43881609.791791268</v>
      </c>
      <c r="F463" s="84">
        <v>25974478.147984389</v>
      </c>
      <c r="G463" s="84">
        <v>15000000</v>
      </c>
      <c r="H463" s="84">
        <v>110638053.55215998</v>
      </c>
      <c r="I463" s="84">
        <v>108796214</v>
      </c>
      <c r="J463" s="84">
        <v>-1841839.5521599799</v>
      </c>
      <c r="K463" s="84"/>
    </row>
    <row r="464" spans="1:11" ht="13.2">
      <c r="A464" s="81">
        <v>455</v>
      </c>
      <c r="B464" s="84">
        <v>59017029</v>
      </c>
      <c r="C464" s="84">
        <v>59017029</v>
      </c>
      <c r="D464" s="84">
        <v>24573851.164231915</v>
      </c>
      <c r="E464" s="84">
        <v>43912487.609094597</v>
      </c>
      <c r="F464" s="84">
        <v>28872129.835787978</v>
      </c>
      <c r="G464" s="84">
        <v>15000000</v>
      </c>
      <c r="H464" s="84">
        <v>112358468.6091145</v>
      </c>
      <c r="I464" s="84">
        <v>118034058</v>
      </c>
      <c r="J464" s="84">
        <v>5675589.3908855021</v>
      </c>
      <c r="K464" s="84"/>
    </row>
    <row r="465" spans="1:11" ht="13.2">
      <c r="A465" s="81">
        <v>456</v>
      </c>
      <c r="B465" s="84">
        <v>57680810.5</v>
      </c>
      <c r="C465" s="84">
        <v>57680810.5</v>
      </c>
      <c r="D465" s="84">
        <v>23759301.557888653</v>
      </c>
      <c r="E465" s="84">
        <v>42660010.216061696</v>
      </c>
      <c r="F465" s="84">
        <v>25917901.602861188</v>
      </c>
      <c r="G465" s="84">
        <v>15000000</v>
      </c>
      <c r="H465" s="84">
        <v>107337213.37681153</v>
      </c>
      <c r="I465" s="84">
        <v>115361621</v>
      </c>
      <c r="J465" s="84">
        <v>8024407.6231884658</v>
      </c>
      <c r="K465" s="84"/>
    </row>
    <row r="466" spans="1:11" ht="13.2">
      <c r="A466" s="81">
        <v>457</v>
      </c>
      <c r="B466" s="84">
        <v>58184538.5</v>
      </c>
      <c r="C466" s="84">
        <v>58184538.5</v>
      </c>
      <c r="D466" s="84">
        <v>24982008.269058444</v>
      </c>
      <c r="E466" s="84">
        <v>41572677.523417614</v>
      </c>
      <c r="F466" s="84">
        <v>27786588.474633656</v>
      </c>
      <c r="G466" s="84">
        <v>15000000</v>
      </c>
      <c r="H466" s="84">
        <v>109341274.26710972</v>
      </c>
      <c r="I466" s="84">
        <v>116369077</v>
      </c>
      <c r="J466" s="84">
        <v>7027802.7328902781</v>
      </c>
      <c r="K466" s="84"/>
    </row>
    <row r="467" spans="1:11" ht="13.2">
      <c r="A467" s="81">
        <v>458</v>
      </c>
      <c r="B467" s="84">
        <v>57686213</v>
      </c>
      <c r="C467" s="84">
        <v>57686213</v>
      </c>
      <c r="D467" s="84">
        <v>22835739.901322037</v>
      </c>
      <c r="E467" s="84">
        <v>43613297.26907751</v>
      </c>
      <c r="F467" s="84">
        <v>26812145.581327368</v>
      </c>
      <c r="G467" s="84">
        <v>15000000</v>
      </c>
      <c r="H467" s="84">
        <v>108261182.75172691</v>
      </c>
      <c r="I467" s="84">
        <v>115372426</v>
      </c>
      <c r="J467" s="84">
        <v>7111243.2482730895</v>
      </c>
      <c r="K467" s="84"/>
    </row>
    <row r="468" spans="1:11" ht="13.2">
      <c r="A468" s="81">
        <v>459</v>
      </c>
      <c r="B468" s="84">
        <v>56451100</v>
      </c>
      <c r="C468" s="84">
        <v>56451100</v>
      </c>
      <c r="D468" s="84">
        <v>24967121.905489426</v>
      </c>
      <c r="E468" s="84">
        <v>42642249.347425081</v>
      </c>
      <c r="F468" s="84">
        <v>27691299.563038789</v>
      </c>
      <c r="G468" s="84">
        <v>15000000</v>
      </c>
      <c r="H468" s="84">
        <v>110300670.81595328</v>
      </c>
      <c r="I468" s="84">
        <v>112902200</v>
      </c>
      <c r="J468" s="84">
        <v>2601529.1840467155</v>
      </c>
      <c r="K468" s="84"/>
    </row>
    <row r="469" spans="1:11" ht="13.2">
      <c r="A469" s="81">
        <v>460</v>
      </c>
      <c r="B469" s="84">
        <v>55102181.5</v>
      </c>
      <c r="C469" s="84">
        <v>55102181.5</v>
      </c>
      <c r="D469" s="84">
        <v>25656468.439652015</v>
      </c>
      <c r="E469" s="84">
        <v>41976461.958508834</v>
      </c>
      <c r="F469" s="84">
        <v>28161115.370287824</v>
      </c>
      <c r="G469" s="84">
        <v>15000000</v>
      </c>
      <c r="H469" s="84">
        <v>110794045.76844867</v>
      </c>
      <c r="I469" s="84">
        <v>110204363</v>
      </c>
      <c r="J469" s="84">
        <v>-589682.76844866574</v>
      </c>
      <c r="K469" s="84"/>
    </row>
    <row r="470" spans="1:11" ht="13.2">
      <c r="A470" s="81">
        <v>461</v>
      </c>
      <c r="B470" s="84">
        <v>54066036</v>
      </c>
      <c r="C470" s="84">
        <v>54066036</v>
      </c>
      <c r="D470" s="84">
        <v>23771118.659759562</v>
      </c>
      <c r="E470" s="84">
        <v>42058115.442018241</v>
      </c>
      <c r="F470" s="84">
        <v>25567450.074843984</v>
      </c>
      <c r="G470" s="84">
        <v>15000000</v>
      </c>
      <c r="H470" s="84">
        <v>106396684.17662179</v>
      </c>
      <c r="I470" s="84">
        <v>108132072</v>
      </c>
      <c r="J470" s="84">
        <v>1735387.8233782053</v>
      </c>
      <c r="K470" s="84"/>
    </row>
    <row r="471" spans="1:11" ht="13.2">
      <c r="A471" s="81">
        <v>462</v>
      </c>
      <c r="B471" s="84">
        <v>54282987</v>
      </c>
      <c r="C471" s="84">
        <v>54282987</v>
      </c>
      <c r="D471" s="84">
        <v>24446755.232559666</v>
      </c>
      <c r="E471" s="84">
        <v>42812753.452672221</v>
      </c>
      <c r="F471" s="84">
        <v>31261258.982522897</v>
      </c>
      <c r="G471" s="84">
        <v>15000000</v>
      </c>
      <c r="H471" s="84">
        <v>113520767.6677548</v>
      </c>
      <c r="I471" s="84">
        <v>108565974</v>
      </c>
      <c r="J471" s="84">
        <v>-4954793.6677547991</v>
      </c>
      <c r="K471" s="84"/>
    </row>
    <row r="472" spans="1:11" ht="13.2">
      <c r="A472" s="81">
        <v>463</v>
      </c>
      <c r="B472" s="84">
        <v>59017932.5</v>
      </c>
      <c r="C472" s="84">
        <v>59017932.5</v>
      </c>
      <c r="D472" s="84">
        <v>24854030.035731301</v>
      </c>
      <c r="E472" s="84">
        <v>42617707.134120069</v>
      </c>
      <c r="F472" s="84">
        <v>29278370.504022814</v>
      </c>
      <c r="G472" s="84">
        <v>15000000</v>
      </c>
      <c r="H472" s="84">
        <v>111750107.67387417</v>
      </c>
      <c r="I472" s="84">
        <v>118035865</v>
      </c>
      <c r="J472" s="84">
        <v>6285757.3261258304</v>
      </c>
      <c r="K472" s="84"/>
    </row>
    <row r="473" spans="1:11" ht="13.2">
      <c r="A473" s="81">
        <v>464</v>
      </c>
      <c r="B473" s="84">
        <v>58393411.5</v>
      </c>
      <c r="C473" s="84">
        <v>58393411.5</v>
      </c>
      <c r="D473" s="84">
        <v>26179904.374279875</v>
      </c>
      <c r="E473" s="84">
        <v>43951626.219826132</v>
      </c>
      <c r="F473" s="84">
        <v>25553151.412311383</v>
      </c>
      <c r="G473" s="84">
        <v>15000000</v>
      </c>
      <c r="H473" s="84">
        <v>110684682.00641739</v>
      </c>
      <c r="I473" s="84">
        <v>116786823</v>
      </c>
      <c r="J473" s="84">
        <v>6102140.9935826063</v>
      </c>
      <c r="K473" s="84"/>
    </row>
    <row r="474" spans="1:11" ht="13.2">
      <c r="A474" s="81">
        <v>465</v>
      </c>
      <c r="B474" s="84">
        <v>51334775.5</v>
      </c>
      <c r="C474" s="84">
        <v>51334775.5</v>
      </c>
      <c r="D474" s="84">
        <v>25526597.3468333</v>
      </c>
      <c r="E474" s="84">
        <v>42396177.356457315</v>
      </c>
      <c r="F474" s="84">
        <v>25320716.071126875</v>
      </c>
      <c r="G474" s="84">
        <v>15000000</v>
      </c>
      <c r="H474" s="84">
        <v>108243490.77441749</v>
      </c>
      <c r="I474" s="84">
        <v>102669551</v>
      </c>
      <c r="J474" s="84">
        <v>-5573939.7744174898</v>
      </c>
      <c r="K474" s="84"/>
    </row>
    <row r="475" spans="1:11" ht="13.2">
      <c r="A475" s="81">
        <v>466</v>
      </c>
      <c r="B475" s="84">
        <v>62151529.5</v>
      </c>
      <c r="C475" s="84">
        <v>62151529.5</v>
      </c>
      <c r="D475" s="84">
        <v>24723570.741809323</v>
      </c>
      <c r="E475" s="84">
        <v>43279793.934050739</v>
      </c>
      <c r="F475" s="84">
        <v>27566416.704751603</v>
      </c>
      <c r="G475" s="84">
        <v>15000000</v>
      </c>
      <c r="H475" s="84">
        <v>110569781.38061166</v>
      </c>
      <c r="I475" s="84">
        <v>124303059</v>
      </c>
      <c r="J475" s="84">
        <v>13733277.619388342</v>
      </c>
      <c r="K475" s="84"/>
    </row>
    <row r="476" spans="1:11" ht="13.2">
      <c r="A476" s="81">
        <v>467</v>
      </c>
      <c r="B476" s="84">
        <v>56055988.5</v>
      </c>
      <c r="C476" s="84">
        <v>56055988.5</v>
      </c>
      <c r="D476" s="84">
        <v>23766744.73967316</v>
      </c>
      <c r="E476" s="84">
        <v>43183466.460520208</v>
      </c>
      <c r="F476" s="84">
        <v>27098836.026812281</v>
      </c>
      <c r="G476" s="84">
        <v>15000000</v>
      </c>
      <c r="H476" s="84">
        <v>109049047.22700565</v>
      </c>
      <c r="I476" s="84">
        <v>112111977</v>
      </c>
      <c r="J476" s="84">
        <v>3062929.7729943544</v>
      </c>
      <c r="K476" s="84"/>
    </row>
    <row r="477" spans="1:11" ht="13.2">
      <c r="A477" s="81">
        <v>468</v>
      </c>
      <c r="B477" s="84">
        <v>55559466.5</v>
      </c>
      <c r="C477" s="84">
        <v>55559466.5</v>
      </c>
      <c r="D477" s="84">
        <v>24446461.132008035</v>
      </c>
      <c r="E477" s="84">
        <v>42389648.542787179</v>
      </c>
      <c r="F477" s="84">
        <v>25636801.339552127</v>
      </c>
      <c r="G477" s="84">
        <v>15000000</v>
      </c>
      <c r="H477" s="84">
        <v>107472911.01434734</v>
      </c>
      <c r="I477" s="84">
        <v>111118933</v>
      </c>
      <c r="J477" s="84">
        <v>3646021.9856526554</v>
      </c>
      <c r="K477" s="84"/>
    </row>
    <row r="478" spans="1:11" ht="13.2">
      <c r="A478" s="81">
        <v>469</v>
      </c>
      <c r="B478" s="84">
        <v>60623655</v>
      </c>
      <c r="C478" s="84">
        <v>60623655</v>
      </c>
      <c r="D478" s="84">
        <v>22847851.103744581</v>
      </c>
      <c r="E478" s="84">
        <v>43467070.127308615</v>
      </c>
      <c r="F478" s="84">
        <v>27161804.912529524</v>
      </c>
      <c r="G478" s="84">
        <v>15000000</v>
      </c>
      <c r="H478" s="84">
        <v>108476726.14358272</v>
      </c>
      <c r="I478" s="84">
        <v>121247310</v>
      </c>
      <c r="J478" s="84">
        <v>12770583.856417283</v>
      </c>
      <c r="K478" s="84"/>
    </row>
    <row r="479" spans="1:11" ht="13.2">
      <c r="A479" s="81">
        <v>470</v>
      </c>
      <c r="B479" s="84">
        <v>60108021</v>
      </c>
      <c r="C479" s="84">
        <v>60108021</v>
      </c>
      <c r="D479" s="84">
        <v>24858403.955817707</v>
      </c>
      <c r="E479" s="84">
        <v>43246165.336625762</v>
      </c>
      <c r="F479" s="84">
        <v>27563217.039185457</v>
      </c>
      <c r="G479" s="84">
        <v>15000000</v>
      </c>
      <c r="H479" s="84">
        <v>110667786.33162892</v>
      </c>
      <c r="I479" s="84">
        <v>120216042</v>
      </c>
      <c r="J479" s="84">
        <v>9548255.6683710814</v>
      </c>
      <c r="K479" s="84"/>
    </row>
    <row r="480" spans="1:11" ht="13.2">
      <c r="A480" s="81">
        <v>471</v>
      </c>
      <c r="B480" s="84">
        <v>58334980.5</v>
      </c>
      <c r="C480" s="84">
        <v>58334980.5</v>
      </c>
      <c r="D480" s="84">
        <v>24439017.950223524</v>
      </c>
      <c r="E480" s="84">
        <v>43310943.743533149</v>
      </c>
      <c r="F480" s="84">
        <v>25985859.554348588</v>
      </c>
      <c r="G480" s="84">
        <v>15000000</v>
      </c>
      <c r="H480" s="84">
        <v>108735821.24810526</v>
      </c>
      <c r="I480" s="84">
        <v>116669961</v>
      </c>
      <c r="J480" s="84">
        <v>7934139.7518947423</v>
      </c>
      <c r="K480" s="84"/>
    </row>
    <row r="481" spans="1:11" ht="13.2">
      <c r="A481" s="81">
        <v>472</v>
      </c>
      <c r="B481" s="84">
        <v>55949466</v>
      </c>
      <c r="C481" s="84">
        <v>55949466</v>
      </c>
      <c r="D481" s="84">
        <v>26189534.516107589</v>
      </c>
      <c r="E481" s="84">
        <v>43504176.243388772</v>
      </c>
      <c r="F481" s="84">
        <v>27403608.340987016</v>
      </c>
      <c r="G481" s="84">
        <v>15000000</v>
      </c>
      <c r="H481" s="84">
        <v>112097319.10048337</v>
      </c>
      <c r="I481" s="84">
        <v>111898932</v>
      </c>
      <c r="J481" s="84">
        <v>-198387.10048337281</v>
      </c>
      <c r="K481" s="84"/>
    </row>
    <row r="482" spans="1:11" ht="13.2">
      <c r="A482" s="81">
        <v>473</v>
      </c>
      <c r="B482" s="84">
        <v>57894475.5</v>
      </c>
      <c r="C482" s="84">
        <v>57894475.5</v>
      </c>
      <c r="D482" s="84">
        <v>22830777.780132364</v>
      </c>
      <c r="E482" s="84">
        <v>42725995.77387917</v>
      </c>
      <c r="F482" s="84">
        <v>27129446.729655378</v>
      </c>
      <c r="G482" s="84">
        <v>15000000</v>
      </c>
      <c r="H482" s="84">
        <v>107686220.28366691</v>
      </c>
      <c r="I482" s="84">
        <v>115788951</v>
      </c>
      <c r="J482" s="84">
        <v>8102730.7163330913</v>
      </c>
      <c r="K482" s="84"/>
    </row>
    <row r="483" spans="1:11" ht="13.2">
      <c r="A483" s="81">
        <v>474</v>
      </c>
      <c r="B483" s="84">
        <v>57838322.5</v>
      </c>
      <c r="C483" s="84">
        <v>57838322.5</v>
      </c>
      <c r="D483" s="84">
        <v>24983607.02799838</v>
      </c>
      <c r="E483" s="84">
        <v>43807850.511553787</v>
      </c>
      <c r="F483" s="84">
        <v>32201385.799735498</v>
      </c>
      <c r="G483" s="84">
        <v>15000000</v>
      </c>
      <c r="H483" s="84">
        <v>115992843.33928767</v>
      </c>
      <c r="I483" s="84">
        <v>115676645</v>
      </c>
      <c r="J483" s="84">
        <v>-316198.33928766847</v>
      </c>
      <c r="K483" s="84"/>
    </row>
    <row r="484" spans="1:11" ht="13.2">
      <c r="A484" s="81">
        <v>475</v>
      </c>
      <c r="B484" s="84">
        <v>60549110.5</v>
      </c>
      <c r="C484" s="84">
        <v>60549110.5</v>
      </c>
      <c r="D484" s="84">
        <v>25777003.491194651</v>
      </c>
      <c r="E484" s="84">
        <v>42872199.096915282</v>
      </c>
      <c r="F484" s="84">
        <v>27052141.012279633</v>
      </c>
      <c r="G484" s="84">
        <v>15000000</v>
      </c>
      <c r="H484" s="84">
        <v>110701343.60038957</v>
      </c>
      <c r="I484" s="84">
        <v>121098221</v>
      </c>
      <c r="J484" s="84">
        <v>10396877.39961043</v>
      </c>
      <c r="K484" s="84"/>
    </row>
    <row r="485" spans="1:11" ht="13.2">
      <c r="A485" s="81">
        <v>476</v>
      </c>
      <c r="B485" s="84">
        <v>53051806</v>
      </c>
      <c r="C485" s="84">
        <v>53051806</v>
      </c>
      <c r="D485" s="84">
        <v>24855922.895222869</v>
      </c>
      <c r="E485" s="84">
        <v>42530064.586762801</v>
      </c>
      <c r="F485" s="84">
        <v>26309608.38250383</v>
      </c>
      <c r="G485" s="84">
        <v>15000000</v>
      </c>
      <c r="H485" s="84">
        <v>108695595.8644895</v>
      </c>
      <c r="I485" s="84">
        <v>106103612</v>
      </c>
      <c r="J485" s="84">
        <v>-2591983.8644894958</v>
      </c>
      <c r="K485" s="84"/>
    </row>
    <row r="486" spans="1:11" ht="13.2">
      <c r="A486" s="81">
        <v>477</v>
      </c>
      <c r="B486" s="84">
        <v>52400923.5</v>
      </c>
      <c r="C486" s="84">
        <v>52400923.5</v>
      </c>
      <c r="D486" s="84">
        <v>24583481.306059629</v>
      </c>
      <c r="E486" s="84">
        <v>42986594.024106234</v>
      </c>
      <c r="F486" s="84">
        <v>25624584.475319594</v>
      </c>
      <c r="G486" s="84">
        <v>15000000</v>
      </c>
      <c r="H486" s="84">
        <v>108194659.80548546</v>
      </c>
      <c r="I486" s="84">
        <v>104801847</v>
      </c>
      <c r="J486" s="84">
        <v>-3392812.8054854572</v>
      </c>
      <c r="K486" s="84"/>
    </row>
    <row r="487" spans="1:11" ht="13.2">
      <c r="A487" s="81">
        <v>478</v>
      </c>
      <c r="B487" s="84">
        <v>58075845.5</v>
      </c>
      <c r="C487" s="84">
        <v>58075845.5</v>
      </c>
      <c r="D487" s="84">
        <v>24450835.052094445</v>
      </c>
      <c r="E487" s="84">
        <v>41128339.27194266</v>
      </c>
      <c r="F487" s="84">
        <v>30331748.214224268</v>
      </c>
      <c r="G487" s="84">
        <v>15000000</v>
      </c>
      <c r="H487" s="84">
        <v>110910922.53826137</v>
      </c>
      <c r="I487" s="84">
        <v>116151691</v>
      </c>
      <c r="J487" s="84">
        <v>5240768.4617386311</v>
      </c>
      <c r="K487" s="84"/>
    </row>
    <row r="488" spans="1:11" ht="13.2">
      <c r="A488" s="81">
        <v>479</v>
      </c>
      <c r="B488" s="84">
        <v>59169247</v>
      </c>
      <c r="C488" s="84">
        <v>59169247</v>
      </c>
      <c r="D488" s="84">
        <v>23228716.542027917</v>
      </c>
      <c r="E488" s="84">
        <v>42841492.650110096</v>
      </c>
      <c r="F488" s="84">
        <v>26825822.295789864</v>
      </c>
      <c r="G488" s="84">
        <v>15000000</v>
      </c>
      <c r="H488" s="84">
        <v>107896031.48792788</v>
      </c>
      <c r="I488" s="84">
        <v>118338494</v>
      </c>
      <c r="J488" s="84">
        <v>10442462.512072116</v>
      </c>
      <c r="K488" s="84"/>
    </row>
    <row r="489" spans="1:11" ht="13.2">
      <c r="A489" s="81">
        <v>480</v>
      </c>
      <c r="B489" s="84">
        <v>57934867</v>
      </c>
      <c r="C489" s="84">
        <v>57934867</v>
      </c>
      <c r="D489" s="84">
        <v>23781042.902138911</v>
      </c>
      <c r="E489" s="84">
        <v>44665444.062098622</v>
      </c>
      <c r="F489" s="84">
        <v>27071048.463000637</v>
      </c>
      <c r="G489" s="84">
        <v>15000000</v>
      </c>
      <c r="H489" s="84">
        <v>110517535.42723818</v>
      </c>
      <c r="I489" s="84">
        <v>115869734</v>
      </c>
      <c r="J489" s="84">
        <v>5352198.5727618188</v>
      </c>
      <c r="K489" s="84"/>
    </row>
    <row r="490" spans="1:11" ht="13.2">
      <c r="A490" s="81">
        <v>481</v>
      </c>
      <c r="B490" s="84">
        <v>57425011.5</v>
      </c>
      <c r="C490" s="84">
        <v>57425011.5</v>
      </c>
      <c r="D490" s="84">
        <v>24176794.70399126</v>
      </c>
      <c r="E490" s="84">
        <v>42788573.958540544</v>
      </c>
      <c r="F490" s="84">
        <v>26371924.47509766</v>
      </c>
      <c r="G490" s="84">
        <v>15000000</v>
      </c>
      <c r="H490" s="84">
        <v>108337293.13762946</v>
      </c>
      <c r="I490" s="84">
        <v>114850023</v>
      </c>
      <c r="J490" s="84">
        <v>6512729.8623705357</v>
      </c>
      <c r="K490" s="84"/>
    </row>
    <row r="491" spans="1:11" ht="13.2">
      <c r="A491" s="81">
        <v>482</v>
      </c>
      <c r="B491" s="84">
        <v>56703875</v>
      </c>
      <c r="C491" s="84">
        <v>56703875</v>
      </c>
      <c r="D491" s="84">
        <v>23385585.200838193</v>
      </c>
      <c r="E491" s="84">
        <v>41916974.451336816</v>
      </c>
      <c r="F491" s="84">
        <v>27048752.797591098</v>
      </c>
      <c r="G491" s="84">
        <v>15000000</v>
      </c>
      <c r="H491" s="84">
        <v>107351312.4497661</v>
      </c>
      <c r="I491" s="84">
        <v>113407750</v>
      </c>
      <c r="J491" s="84">
        <v>6056437.5502339005</v>
      </c>
      <c r="K491" s="84"/>
    </row>
    <row r="492" spans="1:11" ht="13.2">
      <c r="A492" s="81">
        <v>483</v>
      </c>
      <c r="B492" s="84">
        <v>56997507.5</v>
      </c>
      <c r="C492" s="84">
        <v>56997507.5</v>
      </c>
      <c r="D492" s="84">
        <v>22975829.337071732</v>
      </c>
      <c r="E492" s="84">
        <v>42225870.116845958</v>
      </c>
      <c r="F492" s="84">
        <v>27815137.89911681</v>
      </c>
      <c r="G492" s="84">
        <v>15000000</v>
      </c>
      <c r="H492" s="84">
        <v>108016837.3530345</v>
      </c>
      <c r="I492" s="84">
        <v>113995015</v>
      </c>
      <c r="J492" s="84">
        <v>5978177.6469655037</v>
      </c>
      <c r="K492" s="84"/>
    </row>
    <row r="493" spans="1:11" ht="13.2">
      <c r="A493" s="81">
        <v>484</v>
      </c>
      <c r="B493" s="84">
        <v>52790283</v>
      </c>
      <c r="C493" s="84">
        <v>52790283</v>
      </c>
      <c r="D493" s="84">
        <v>24590924.487844139</v>
      </c>
      <c r="E493" s="84">
        <v>39982494.15756014</v>
      </c>
      <c r="F493" s="84">
        <v>26980827.722092997</v>
      </c>
      <c r="G493" s="84">
        <v>15000000</v>
      </c>
      <c r="H493" s="84">
        <v>106554246.36749728</v>
      </c>
      <c r="I493" s="84">
        <v>105580566</v>
      </c>
      <c r="J493" s="84">
        <v>-973680.36749728024</v>
      </c>
      <c r="K493" s="84"/>
    </row>
    <row r="494" spans="1:11" ht="13.2">
      <c r="A494" s="81">
        <v>485</v>
      </c>
      <c r="B494" s="84">
        <v>56553446</v>
      </c>
      <c r="C494" s="84">
        <v>56553446</v>
      </c>
      <c r="D494" s="84">
        <v>22695944.566123974</v>
      </c>
      <c r="E494" s="84">
        <v>41359421.849056795</v>
      </c>
      <c r="F494" s="84">
        <v>27962304.038977653</v>
      </c>
      <c r="G494" s="84">
        <v>15000000</v>
      </c>
      <c r="H494" s="84">
        <v>107017670.45415843</v>
      </c>
      <c r="I494" s="84">
        <v>113106892</v>
      </c>
      <c r="J494" s="84">
        <v>6089221.5458415747</v>
      </c>
      <c r="K494" s="84"/>
    </row>
    <row r="495" spans="1:11" ht="13.2">
      <c r="A495" s="81">
        <v>486</v>
      </c>
      <c r="B495" s="84">
        <v>59703281</v>
      </c>
      <c r="C495" s="84">
        <v>59703281</v>
      </c>
      <c r="D495" s="84">
        <v>24974270.986722302</v>
      </c>
      <c r="E495" s="84">
        <v>43116290.053418353</v>
      </c>
      <c r="F495" s="84">
        <v>28193212.465620391</v>
      </c>
      <c r="G495" s="84">
        <v>15000000</v>
      </c>
      <c r="H495" s="84">
        <v>111283773.50576106</v>
      </c>
      <c r="I495" s="84">
        <v>119406562</v>
      </c>
      <c r="J495" s="84">
        <v>8122788.4942389429</v>
      </c>
      <c r="K495" s="84"/>
    </row>
    <row r="496" spans="1:11" ht="13.2">
      <c r="A496" s="81">
        <v>487</v>
      </c>
      <c r="B496" s="84">
        <v>56443029.5</v>
      </c>
      <c r="C496" s="84">
        <v>56443029.5</v>
      </c>
      <c r="D496" s="84">
        <v>24983607.02799838</v>
      </c>
      <c r="E496" s="84">
        <v>43151498.978792101</v>
      </c>
      <c r="F496" s="84">
        <v>29299583.757619612</v>
      </c>
      <c r="G496" s="84">
        <v>15000000</v>
      </c>
      <c r="H496" s="84">
        <v>112434689.76441011</v>
      </c>
      <c r="I496" s="84">
        <v>112886059</v>
      </c>
      <c r="J496" s="84">
        <v>451369.23558989167</v>
      </c>
      <c r="K496" s="84"/>
    </row>
    <row r="497" spans="1:11" ht="13.2">
      <c r="A497" s="81">
        <v>488</v>
      </c>
      <c r="B497" s="84">
        <v>59158624</v>
      </c>
      <c r="C497" s="84">
        <v>59158624</v>
      </c>
      <c r="D497" s="84">
        <v>24169351.52220675</v>
      </c>
      <c r="E497" s="84">
        <v>43753846.359283477</v>
      </c>
      <c r="F497" s="84">
        <v>26112693.993012737</v>
      </c>
      <c r="G497" s="84">
        <v>15000000</v>
      </c>
      <c r="H497" s="84">
        <v>109035891.87450297</v>
      </c>
      <c r="I497" s="84">
        <v>118317248</v>
      </c>
      <c r="J497" s="84">
        <v>9281356.1254970282</v>
      </c>
      <c r="K497" s="84"/>
    </row>
    <row r="498" spans="1:11" ht="13.2">
      <c r="A498" s="81">
        <v>489</v>
      </c>
      <c r="B498" s="84">
        <v>60663601.5</v>
      </c>
      <c r="C498" s="84">
        <v>60663601.5</v>
      </c>
      <c r="D498" s="84">
        <v>23378142.019053683</v>
      </c>
      <c r="E498" s="84">
        <v>42114881.996650361</v>
      </c>
      <c r="F498" s="84">
        <v>27558000.36346272</v>
      </c>
      <c r="G498" s="84">
        <v>15000000</v>
      </c>
      <c r="H498" s="84">
        <v>108051024.37916677</v>
      </c>
      <c r="I498" s="84">
        <v>121327203</v>
      </c>
      <c r="J498" s="84">
        <v>13276178.620833233</v>
      </c>
      <c r="K498" s="84"/>
    </row>
    <row r="499" spans="1:11" ht="13.2">
      <c r="A499" s="81">
        <v>490</v>
      </c>
      <c r="B499" s="84">
        <v>52753511</v>
      </c>
      <c r="C499" s="84">
        <v>52753511</v>
      </c>
      <c r="D499" s="84">
        <v>25652094.519565612</v>
      </c>
      <c r="E499" s="84">
        <v>44785833.318604462</v>
      </c>
      <c r="F499" s="84">
        <v>25031108.286577463</v>
      </c>
      <c r="G499" s="84">
        <v>15000000</v>
      </c>
      <c r="H499" s="84">
        <v>110469036.12474754</v>
      </c>
      <c r="I499" s="84">
        <v>105507022</v>
      </c>
      <c r="J499" s="84">
        <v>-4962014.1247475445</v>
      </c>
      <c r="K499" s="84"/>
    </row>
    <row r="500" spans="1:11" ht="13.2">
      <c r="A500" s="81">
        <v>491</v>
      </c>
      <c r="B500" s="84">
        <v>52009766</v>
      </c>
      <c r="C500" s="84">
        <v>52009766</v>
      </c>
      <c r="D500" s="84">
        <v>24579401.48652485</v>
      </c>
      <c r="E500" s="84">
        <v>42749710.883533724</v>
      </c>
      <c r="F500" s="84">
        <v>27319226.806305978</v>
      </c>
      <c r="G500" s="84">
        <v>15000000</v>
      </c>
      <c r="H500" s="84">
        <v>109648339.17636454</v>
      </c>
      <c r="I500" s="84">
        <v>104019532</v>
      </c>
      <c r="J500" s="84">
        <v>-5628807.1763645411</v>
      </c>
      <c r="K500" s="84"/>
    </row>
    <row r="501" spans="1:11" ht="13.2">
      <c r="A501" s="81">
        <v>492</v>
      </c>
      <c r="B501" s="84">
        <v>55377216.5</v>
      </c>
      <c r="C501" s="84">
        <v>55377216.5</v>
      </c>
      <c r="D501" s="84">
        <v>24583481.306059629</v>
      </c>
      <c r="E501" s="84">
        <v>42239270.559957772</v>
      </c>
      <c r="F501" s="84">
        <v>27955203.453108516</v>
      </c>
      <c r="G501" s="84">
        <v>15000000</v>
      </c>
      <c r="H501" s="84">
        <v>109777955.31912592</v>
      </c>
      <c r="I501" s="84">
        <v>110754433</v>
      </c>
      <c r="J501" s="84">
        <v>976477.68087407947</v>
      </c>
      <c r="K501" s="84"/>
    </row>
    <row r="502" spans="1:11" ht="13.2">
      <c r="A502" s="81">
        <v>493</v>
      </c>
      <c r="B502" s="84">
        <v>57746079</v>
      </c>
      <c r="C502" s="84">
        <v>57746079</v>
      </c>
      <c r="D502" s="84">
        <v>23646209.68813052</v>
      </c>
      <c r="E502" s="84">
        <v>42635404.418873847</v>
      </c>
      <c r="F502" s="84">
        <v>29186247.429418325</v>
      </c>
      <c r="G502" s="84">
        <v>15000000</v>
      </c>
      <c r="H502" s="84">
        <v>110467861.5364227</v>
      </c>
      <c r="I502" s="84">
        <v>115492158</v>
      </c>
      <c r="J502" s="84">
        <v>5024296.4635773003</v>
      </c>
      <c r="K502" s="84"/>
    </row>
    <row r="503" spans="1:11" ht="13.2">
      <c r="A503" s="81">
        <v>494</v>
      </c>
      <c r="B503" s="84">
        <v>58226496.5</v>
      </c>
      <c r="C503" s="84">
        <v>58226496.5</v>
      </c>
      <c r="D503" s="84">
        <v>22045118.599272233</v>
      </c>
      <c r="E503" s="84">
        <v>42621409.460303754</v>
      </c>
      <c r="F503" s="84">
        <v>25272539.710776981</v>
      </c>
      <c r="G503" s="84">
        <v>15000000</v>
      </c>
      <c r="H503" s="84">
        <v>104939067.77035297</v>
      </c>
      <c r="I503" s="84">
        <v>116452993</v>
      </c>
      <c r="J503" s="84">
        <v>11513925.229647025</v>
      </c>
      <c r="K503" s="84"/>
    </row>
    <row r="504" spans="1:11" ht="13.2">
      <c r="A504" s="81">
        <v>495</v>
      </c>
      <c r="B504" s="84">
        <v>57762482</v>
      </c>
      <c r="C504" s="84">
        <v>57762482</v>
      </c>
      <c r="D504" s="84">
        <v>25251968.797626853</v>
      </c>
      <c r="E504" s="84">
        <v>41595801.73547028</v>
      </c>
      <c r="F504" s="84">
        <v>25543822.624873813</v>
      </c>
      <c r="G504" s="84">
        <v>15000000</v>
      </c>
      <c r="H504" s="84">
        <v>107391593.15797095</v>
      </c>
      <c r="I504" s="84">
        <v>115524964</v>
      </c>
      <c r="J504" s="84">
        <v>8133370.84202905</v>
      </c>
      <c r="K504" s="84"/>
    </row>
    <row r="505" spans="1:11" ht="13.2">
      <c r="A505" s="81">
        <v>496</v>
      </c>
      <c r="B505" s="84">
        <v>59074566.5</v>
      </c>
      <c r="C505" s="84">
        <v>59074566.5</v>
      </c>
      <c r="D505" s="84">
        <v>23778561.841544073</v>
      </c>
      <c r="E505" s="84">
        <v>42886775.031852379</v>
      </c>
      <c r="F505" s="84">
        <v>28825694.367539931</v>
      </c>
      <c r="G505" s="84">
        <v>15000000</v>
      </c>
      <c r="H505" s="84">
        <v>110491031.24093638</v>
      </c>
      <c r="I505" s="84">
        <v>118149133</v>
      </c>
      <c r="J505" s="84">
        <v>7658101.7590636164</v>
      </c>
      <c r="K505" s="84"/>
    </row>
    <row r="506" spans="1:11" ht="13.2">
      <c r="A506" s="81">
        <v>497</v>
      </c>
      <c r="B506" s="84">
        <v>62188938.5</v>
      </c>
      <c r="C506" s="84">
        <v>62188938.5</v>
      </c>
      <c r="D506" s="84">
        <v>26452345.963443119</v>
      </c>
      <c r="E506" s="84">
        <v>42411056.789031461</v>
      </c>
      <c r="F506" s="84">
        <v>28884239.648049194</v>
      </c>
      <c r="G506" s="84">
        <v>15000000</v>
      </c>
      <c r="H506" s="84">
        <v>112747642.40052377</v>
      </c>
      <c r="I506" s="84">
        <v>124377877</v>
      </c>
      <c r="J506" s="84">
        <v>11630234.599476233</v>
      </c>
      <c r="K506" s="84"/>
    </row>
    <row r="507" spans="1:11" ht="13.2">
      <c r="A507" s="81">
        <v>498</v>
      </c>
      <c r="B507" s="84">
        <v>57526562</v>
      </c>
      <c r="C507" s="84">
        <v>57526562</v>
      </c>
      <c r="D507" s="84">
        <v>24846292.753395159</v>
      </c>
      <c r="E507" s="84">
        <v>43834010.252398454</v>
      </c>
      <c r="F507" s="84">
        <v>26429595.340292487</v>
      </c>
      <c r="G507" s="84">
        <v>15000000</v>
      </c>
      <c r="H507" s="84">
        <v>110109898.3460861</v>
      </c>
      <c r="I507" s="84">
        <v>115053124</v>
      </c>
      <c r="J507" s="84">
        <v>4943225.6539139003</v>
      </c>
      <c r="K507" s="84"/>
    </row>
    <row r="508" spans="1:11" ht="13.2">
      <c r="A508" s="81">
        <v>499</v>
      </c>
      <c r="B508" s="84">
        <v>54396679</v>
      </c>
      <c r="C508" s="84">
        <v>54396679</v>
      </c>
      <c r="D508" s="84">
        <v>23633804.385156337</v>
      </c>
      <c r="E508" s="84">
        <v>43449485.26952783</v>
      </c>
      <c r="F508" s="84">
        <v>28858758.496552844</v>
      </c>
      <c r="G508" s="84">
        <v>15000000</v>
      </c>
      <c r="H508" s="84">
        <v>110942048.15123701</v>
      </c>
      <c r="I508" s="84">
        <v>108793358</v>
      </c>
      <c r="J508" s="84">
        <v>-2148690.151237011</v>
      </c>
      <c r="K508" s="84"/>
    </row>
    <row r="509" spans="1:11" ht="15.75" customHeight="1">
      <c r="A509" s="81">
        <v>500</v>
      </c>
      <c r="B509" s="84">
        <v>58104042</v>
      </c>
      <c r="C509" s="84">
        <v>58104042</v>
      </c>
      <c r="D509" s="84">
        <v>23243308.805045296</v>
      </c>
      <c r="E509" s="84">
        <v>43253388.164590687</v>
      </c>
      <c r="F509" s="84">
        <v>27642426.892474964</v>
      </c>
      <c r="G509" s="84">
        <v>15000000</v>
      </c>
      <c r="H509" s="84">
        <v>109139123.86211094</v>
      </c>
      <c r="I509" s="84">
        <v>116208084</v>
      </c>
      <c r="J509" s="84">
        <v>7068960.1378890574</v>
      </c>
      <c r="K509" s="8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tabColor rgb="FF6AA84F"/>
    <outlinePr summaryBelow="0" summaryRight="0"/>
  </sheetPr>
  <dimension ref="A3:O38"/>
  <sheetViews>
    <sheetView topLeftCell="B1" workbookViewId="0">
      <selection activeCell="N5" sqref="N5"/>
    </sheetView>
  </sheetViews>
  <sheetFormatPr defaultColWidth="12.6640625" defaultRowHeight="15.75" customHeight="1"/>
  <cols>
    <col min="1" max="1" width="12.6640625" style="91"/>
    <col min="2" max="2" width="37" style="91" bestFit="1" customWidth="1"/>
    <col min="3" max="3" width="21.6640625" style="91" customWidth="1"/>
    <col min="4" max="6" width="12.6640625" style="91"/>
    <col min="7" max="7" width="17.109375" style="91" customWidth="1"/>
    <col min="8" max="13" width="12.6640625" style="91"/>
    <col min="14" max="14" width="16" style="91" bestFit="1" customWidth="1"/>
    <col min="15" max="16384" width="12.6640625" style="91"/>
  </cols>
  <sheetData>
    <row r="3" spans="1:15" ht="15.75" customHeight="1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</row>
    <row r="4" spans="1:15" ht="15.75" customHeight="1">
      <c r="B4" s="161" t="s">
        <v>12</v>
      </c>
      <c r="C4" s="161"/>
      <c r="D4" s="161"/>
      <c r="E4" s="161"/>
      <c r="F4" s="161"/>
      <c r="G4" s="93"/>
      <c r="H4" s="161" t="s">
        <v>131</v>
      </c>
      <c r="I4" s="161"/>
      <c r="J4" s="161"/>
      <c r="K4" s="161"/>
      <c r="L4" s="161"/>
      <c r="M4" s="93"/>
      <c r="N4" s="94" t="s">
        <v>13</v>
      </c>
      <c r="O4" s="94" t="s">
        <v>14</v>
      </c>
    </row>
    <row r="5" spans="1:15" ht="15.75" customHeight="1">
      <c r="B5" s="95"/>
      <c r="C5" s="95" t="s">
        <v>15</v>
      </c>
      <c r="D5" s="95" t="s">
        <v>16</v>
      </c>
      <c r="E5" s="95" t="s">
        <v>17</v>
      </c>
      <c r="F5" s="95" t="s">
        <v>18</v>
      </c>
      <c r="G5" s="93"/>
      <c r="H5" s="96"/>
      <c r="I5" s="96" t="s">
        <v>15</v>
      </c>
      <c r="J5" s="96" t="s">
        <v>16</v>
      </c>
      <c r="K5" s="96" t="s">
        <v>17</v>
      </c>
      <c r="L5" s="96" t="s">
        <v>18</v>
      </c>
      <c r="M5" s="93"/>
      <c r="N5" s="107">
        <v>1</v>
      </c>
      <c r="O5" s="94" t="s">
        <v>19</v>
      </c>
    </row>
    <row r="6" spans="1:15" ht="15.75" customHeight="1">
      <c r="B6" s="95" t="s">
        <v>20</v>
      </c>
      <c r="C6" s="97">
        <f>7500000/2</f>
        <v>3750000</v>
      </c>
      <c r="D6" s="95">
        <f>40000/2</f>
        <v>20000</v>
      </c>
      <c r="E6" s="95">
        <f>210000/2</f>
        <v>105000</v>
      </c>
      <c r="F6" s="95">
        <f>35000/2</f>
        <v>17500</v>
      </c>
      <c r="G6" s="93"/>
      <c r="H6" s="96" t="s">
        <v>20</v>
      </c>
      <c r="I6" s="96">
        <f>2</f>
        <v>2</v>
      </c>
      <c r="J6" s="96">
        <f>7</f>
        <v>7</v>
      </c>
      <c r="K6" s="96">
        <f>60</f>
        <v>60</v>
      </c>
      <c r="L6" s="96">
        <f>199</f>
        <v>199</v>
      </c>
      <c r="M6" s="93"/>
      <c r="N6" s="94" t="s">
        <v>21</v>
      </c>
      <c r="O6" s="94">
        <v>0</v>
      </c>
    </row>
    <row r="7" spans="1:15" ht="15.75" customHeight="1">
      <c r="B7" s="95" t="s">
        <v>22</v>
      </c>
      <c r="C7" s="95">
        <f>400000/2</f>
        <v>200000</v>
      </c>
      <c r="D7" s="95">
        <f>2000/2</f>
        <v>1000</v>
      </c>
      <c r="E7" s="95">
        <f>10000/2</f>
        <v>5000</v>
      </c>
      <c r="F7" s="95">
        <f>2500/2</f>
        <v>1250</v>
      </c>
      <c r="G7" s="93"/>
      <c r="H7" s="96" t="s">
        <v>22</v>
      </c>
      <c r="I7" s="96">
        <f>2.5</f>
        <v>2.5</v>
      </c>
      <c r="J7" s="96">
        <f>8</f>
        <v>8</v>
      </c>
      <c r="K7" s="96">
        <f>65</f>
        <v>65</v>
      </c>
      <c r="L7" s="96">
        <f>219</f>
        <v>219</v>
      </c>
      <c r="M7" s="93"/>
      <c r="N7" s="93" t="s">
        <v>10</v>
      </c>
      <c r="O7" s="93"/>
    </row>
    <row r="8" spans="1:15" ht="15.75" customHeight="1">
      <c r="A8" s="92"/>
      <c r="B8" s="95" t="s">
        <v>23</v>
      </c>
      <c r="C8" s="95">
        <f>9200000/2</f>
        <v>4600000</v>
      </c>
      <c r="D8" s="95">
        <f>75000/2</f>
        <v>37500</v>
      </c>
      <c r="E8" s="95">
        <f>280000/2</f>
        <v>140000</v>
      </c>
      <c r="F8" s="95" t="s">
        <v>24</v>
      </c>
      <c r="G8" s="93"/>
      <c r="H8" s="96" t="s">
        <v>23</v>
      </c>
      <c r="I8" s="96">
        <f>4</f>
        <v>4</v>
      </c>
      <c r="J8" s="96">
        <f>14</f>
        <v>14</v>
      </c>
      <c r="K8" s="96">
        <f>115</f>
        <v>115</v>
      </c>
      <c r="L8" s="96" t="s">
        <v>24</v>
      </c>
      <c r="M8" s="93"/>
      <c r="N8" s="93"/>
      <c r="O8" s="93"/>
    </row>
    <row r="9" spans="1:15" ht="15.75" customHeight="1">
      <c r="A9" s="92"/>
      <c r="B9" s="95" t="s">
        <v>25</v>
      </c>
      <c r="C9" s="95">
        <f>600000/2</f>
        <v>300000</v>
      </c>
      <c r="D9" s="95">
        <f>5000/2</f>
        <v>2500</v>
      </c>
      <c r="E9" s="95">
        <f>25000/2</f>
        <v>12500</v>
      </c>
      <c r="F9" s="95" t="s">
        <v>24</v>
      </c>
      <c r="G9" s="93"/>
      <c r="H9" s="96" t="s">
        <v>25</v>
      </c>
      <c r="I9" s="96">
        <f>5</f>
        <v>5</v>
      </c>
      <c r="J9" s="96">
        <f>16</f>
        <v>16</v>
      </c>
      <c r="K9" s="96">
        <f>125</f>
        <v>125</v>
      </c>
      <c r="L9" s="96" t="s">
        <v>24</v>
      </c>
      <c r="M9" s="93"/>
      <c r="N9" s="93" t="s">
        <v>10</v>
      </c>
      <c r="O9" s="93"/>
    </row>
    <row r="10" spans="1:15" ht="15.75" customHeight="1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 t="s">
        <v>10</v>
      </c>
      <c r="O10" s="92"/>
    </row>
    <row r="11" spans="1:15" ht="15.75" customHeight="1">
      <c r="A11" s="92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 t="s">
        <v>10</v>
      </c>
      <c r="O11" s="92"/>
    </row>
    <row r="12" spans="1:15" ht="15.75" customHeight="1">
      <c r="A12" s="92"/>
      <c r="B12" s="161" t="s">
        <v>26</v>
      </c>
      <c r="C12" s="161"/>
      <c r="D12" s="161"/>
      <c r="E12" s="161"/>
      <c r="F12" s="161"/>
      <c r="G12" s="92"/>
      <c r="H12" s="162" t="s">
        <v>27</v>
      </c>
      <c r="I12" s="162"/>
      <c r="J12" s="162"/>
      <c r="K12" s="162"/>
      <c r="L12" s="162"/>
      <c r="M12" s="92"/>
      <c r="N12" s="92" t="s">
        <v>11</v>
      </c>
      <c r="O12" s="92"/>
    </row>
    <row r="13" spans="1:15" ht="15.75" customHeight="1">
      <c r="A13" s="92"/>
      <c r="B13" s="98"/>
      <c r="C13" s="98" t="s">
        <v>15</v>
      </c>
      <c r="D13" s="98" t="s">
        <v>16</v>
      </c>
      <c r="E13" s="98" t="s">
        <v>17</v>
      </c>
      <c r="F13" s="98" t="s">
        <v>18</v>
      </c>
      <c r="G13" s="92"/>
      <c r="H13" s="99"/>
      <c r="I13" s="99" t="s">
        <v>15</v>
      </c>
      <c r="J13" s="99" t="s">
        <v>16</v>
      </c>
      <c r="K13" s="99" t="s">
        <v>17</v>
      </c>
      <c r="L13" s="99" t="s">
        <v>18</v>
      </c>
      <c r="M13" s="92"/>
      <c r="N13" s="92" t="s">
        <v>10</v>
      </c>
      <c r="O13" s="92"/>
    </row>
    <row r="14" spans="1:15" ht="15.75" customHeight="1">
      <c r="A14" s="92"/>
      <c r="B14" s="98" t="s">
        <v>20</v>
      </c>
      <c r="C14" s="98">
        <f t="shared" ref="C14:F15" ca="1" si="0">NORMINV(RAND(),C6,C6*0.0333)</f>
        <v>3620829.8273769324</v>
      </c>
      <c r="D14" s="98">
        <f t="shared" ca="1" si="0"/>
        <v>19252.830013051622</v>
      </c>
      <c r="E14" s="98">
        <f t="shared" ca="1" si="0"/>
        <v>105647.23224460092</v>
      </c>
      <c r="F14" s="98">
        <f t="shared" ca="1" si="0"/>
        <v>18002.140835922157</v>
      </c>
      <c r="G14" s="92"/>
      <c r="H14" s="99" t="s">
        <v>20</v>
      </c>
      <c r="I14" s="100">
        <f>I6*$N$5</f>
        <v>2</v>
      </c>
      <c r="J14" s="100">
        <f t="shared" ref="I14:L15" si="1">J6*$N$5</f>
        <v>7</v>
      </c>
      <c r="K14" s="100">
        <f t="shared" si="1"/>
        <v>60</v>
      </c>
      <c r="L14" s="100">
        <f t="shared" si="1"/>
        <v>199</v>
      </c>
      <c r="M14" s="92"/>
      <c r="N14" s="92" t="s">
        <v>10</v>
      </c>
      <c r="O14" s="92"/>
    </row>
    <row r="15" spans="1:15" ht="15.75" customHeight="1">
      <c r="A15" s="92"/>
      <c r="B15" s="98" t="s">
        <v>22</v>
      </c>
      <c r="C15" s="98">
        <f t="shared" ca="1" si="0"/>
        <v>197221.51203248423</v>
      </c>
      <c r="D15" s="98">
        <f t="shared" ca="1" si="0"/>
        <v>961.10551820729313</v>
      </c>
      <c r="E15" s="98">
        <f t="shared" ca="1" si="0"/>
        <v>5020.2320269798247</v>
      </c>
      <c r="F15" s="98">
        <f t="shared" ca="1" si="0"/>
        <v>1213.6338934671157</v>
      </c>
      <c r="G15" s="92" t="s">
        <v>10</v>
      </c>
      <c r="H15" s="99" t="s">
        <v>22</v>
      </c>
      <c r="I15" s="100">
        <f t="shared" si="1"/>
        <v>2.5</v>
      </c>
      <c r="J15" s="100">
        <f t="shared" si="1"/>
        <v>8</v>
      </c>
      <c r="K15" s="100">
        <f t="shared" si="1"/>
        <v>65</v>
      </c>
      <c r="L15" s="100">
        <f t="shared" si="1"/>
        <v>219</v>
      </c>
      <c r="M15" s="92"/>
      <c r="N15" s="92" t="s">
        <v>10</v>
      </c>
      <c r="O15" s="92"/>
    </row>
    <row r="16" spans="1:15" ht="15.75" customHeight="1">
      <c r="A16" s="92"/>
      <c r="B16" s="98" t="s">
        <v>23</v>
      </c>
      <c r="C16" s="98">
        <f t="shared" ref="C16:E17" ca="1" si="2">NORMINV(RAND(),C8,C8*0.0333)</f>
        <v>4628711.4786268491</v>
      </c>
      <c r="D16" s="98">
        <f t="shared" ca="1" si="2"/>
        <v>36232.246493843217</v>
      </c>
      <c r="E16" s="98">
        <f t="shared" ca="1" si="2"/>
        <v>137785.52877358551</v>
      </c>
      <c r="F16" s="98" t="s">
        <v>24</v>
      </c>
      <c r="G16" s="92" t="s">
        <v>10</v>
      </c>
      <c r="H16" s="99" t="s">
        <v>23</v>
      </c>
      <c r="I16" s="100">
        <f t="shared" ref="I16:K17" si="3">I8*$N$5</f>
        <v>4</v>
      </c>
      <c r="J16" s="100">
        <f t="shared" si="3"/>
        <v>14</v>
      </c>
      <c r="K16" s="100">
        <f t="shared" si="3"/>
        <v>115</v>
      </c>
      <c r="L16" s="99" t="s">
        <v>24</v>
      </c>
      <c r="M16" s="92"/>
      <c r="N16" s="92" t="s">
        <v>10</v>
      </c>
      <c r="O16" s="92"/>
    </row>
    <row r="17" spans="1:15" ht="15.75" customHeight="1">
      <c r="A17" s="92"/>
      <c r="B17" s="98" t="s">
        <v>25</v>
      </c>
      <c r="C17" s="98">
        <f t="shared" ca="1" si="2"/>
        <v>298375.95889909158</v>
      </c>
      <c r="D17" s="98">
        <f t="shared" ca="1" si="2"/>
        <v>2399.1470049880713</v>
      </c>
      <c r="E17" s="98">
        <f t="shared" ca="1" si="2"/>
        <v>13028.287614362969</v>
      </c>
      <c r="F17" s="98" t="s">
        <v>24</v>
      </c>
      <c r="G17" s="92"/>
      <c r="H17" s="99" t="s">
        <v>25</v>
      </c>
      <c r="I17" s="100">
        <f t="shared" si="3"/>
        <v>5</v>
      </c>
      <c r="J17" s="100">
        <f t="shared" si="3"/>
        <v>16</v>
      </c>
      <c r="K17" s="100">
        <f t="shared" si="3"/>
        <v>125</v>
      </c>
      <c r="L17" s="99" t="s">
        <v>24</v>
      </c>
      <c r="M17" s="92"/>
      <c r="N17" s="92"/>
      <c r="O17" s="92"/>
    </row>
    <row r="18" spans="1:15" ht="15.75" customHeight="1">
      <c r="A18" s="92"/>
      <c r="B18" s="92"/>
      <c r="C18" s="92"/>
      <c r="D18" s="92" t="s">
        <v>10</v>
      </c>
      <c r="E18" s="92" t="s">
        <v>10</v>
      </c>
      <c r="F18" s="92"/>
      <c r="G18" s="92" t="s">
        <v>10</v>
      </c>
      <c r="H18" s="92"/>
      <c r="I18" s="92"/>
      <c r="J18" s="92"/>
      <c r="K18" s="92"/>
      <c r="L18" s="92"/>
      <c r="M18" s="92"/>
      <c r="N18" s="92"/>
      <c r="O18" s="92"/>
    </row>
    <row r="19" spans="1:15" ht="15.75" customHeight="1">
      <c r="A19" s="92"/>
      <c r="B19" s="92"/>
      <c r="C19" s="92"/>
      <c r="D19" s="92" t="s">
        <v>10</v>
      </c>
      <c r="E19" s="92" t="s">
        <v>10</v>
      </c>
      <c r="F19" s="92" t="s">
        <v>11</v>
      </c>
      <c r="G19" s="92" t="s">
        <v>10</v>
      </c>
      <c r="H19" s="93"/>
      <c r="I19" s="92"/>
      <c r="J19" s="92"/>
      <c r="K19" s="92"/>
      <c r="L19" s="92"/>
      <c r="M19" s="92"/>
      <c r="N19" s="92"/>
      <c r="O19" s="92"/>
    </row>
    <row r="20" spans="1:15" ht="15.75" customHeight="1">
      <c r="B20" s="160" t="s">
        <v>28</v>
      </c>
      <c r="C20" s="160"/>
      <c r="D20" s="160"/>
      <c r="E20" s="160"/>
      <c r="F20" s="160"/>
      <c r="G20" s="92" t="s">
        <v>10</v>
      </c>
      <c r="H20" s="92"/>
      <c r="I20" s="92"/>
      <c r="J20" s="92"/>
      <c r="K20" s="92"/>
      <c r="L20" s="92"/>
      <c r="M20" s="92"/>
      <c r="N20" s="92"/>
      <c r="O20" s="92"/>
    </row>
    <row r="21" spans="1:15" ht="15.75" customHeight="1">
      <c r="B21" s="101"/>
      <c r="C21" s="101" t="s">
        <v>15</v>
      </c>
      <c r="D21" s="101" t="s">
        <v>16</v>
      </c>
      <c r="E21" s="101" t="s">
        <v>17</v>
      </c>
      <c r="F21" s="101" t="s">
        <v>18</v>
      </c>
      <c r="G21" s="92" t="s">
        <v>10</v>
      </c>
      <c r="H21" s="92" t="s">
        <v>10</v>
      </c>
      <c r="I21" s="92" t="s">
        <v>10</v>
      </c>
      <c r="J21" s="92" t="s">
        <v>10</v>
      </c>
      <c r="K21" s="92"/>
      <c r="L21" s="92"/>
      <c r="M21" s="92"/>
      <c r="N21" s="92"/>
      <c r="O21" s="92"/>
    </row>
    <row r="22" spans="1:15" ht="15.75" customHeight="1">
      <c r="B22" s="101" t="s">
        <v>20</v>
      </c>
      <c r="C22" s="102">
        <f t="shared" ref="C22:D25" ca="1" si="4">ROUND(NORMINV(RAND(), C6, C6*0.1) * (1 + (-0.5) * (I14 - I6) / I6), 0)</f>
        <v>3895911</v>
      </c>
      <c r="D22" s="102">
        <f t="shared" ca="1" si="4"/>
        <v>21456</v>
      </c>
      <c r="E22" s="102">
        <f ca="1">ROUND(NORMINV(RAND(), E6, E6*0.1) * (1 + (-0.7) * (K14 - K6) / K6), 0)</f>
        <v>100208</v>
      </c>
      <c r="F22" s="102">
        <f ca="1">IF((ROUND(NORMINV(RAND(), F6, F6*0.1) * (1 + (-0.7) * (L14 - L6) / L6), 0))&lt;0,0,ROUND(NORMINV(RAND(), F6, F6*0.1) * (1 + (-0.7) * (L14 - L6) / L6),0))</f>
        <v>19343</v>
      </c>
      <c r="G22" s="93" t="s">
        <v>10</v>
      </c>
      <c r="H22" s="93" t="s">
        <v>10</v>
      </c>
      <c r="I22" s="93" t="s">
        <v>10</v>
      </c>
      <c r="J22" s="93"/>
      <c r="K22" s="93"/>
      <c r="L22" s="93"/>
      <c r="M22" s="93"/>
      <c r="N22" s="93"/>
      <c r="O22" s="93"/>
    </row>
    <row r="23" spans="1:15" ht="15.75" customHeight="1">
      <c r="B23" s="101" t="s">
        <v>22</v>
      </c>
      <c r="C23" s="102">
        <f t="shared" ca="1" si="4"/>
        <v>180700</v>
      </c>
      <c r="D23" s="102">
        <f t="shared" ca="1" si="4"/>
        <v>866</v>
      </c>
      <c r="E23" s="102">
        <f ca="1">ROUND(NORMINV(RAND(), E7, E7*0.1) * (1 + (-0.7) * (K15 - K7) / K7), 0)</f>
        <v>4860</v>
      </c>
      <c r="F23" s="102">
        <f ca="1">IF((ROUND(NORMINV(RAND(), F7, F7*0.1) * (1 + (-0.7) * (L15 - L7) / L7), 0))&lt;0,0,ROUND(NORMINV(RAND(), F7, F7*0.1) * (1 + (-0.7) * (L15 - L7) / L7),0))</f>
        <v>1367</v>
      </c>
      <c r="G23" s="93" t="s">
        <v>10</v>
      </c>
      <c r="H23" s="93" t="s">
        <v>10</v>
      </c>
      <c r="I23" s="93" t="s">
        <v>10</v>
      </c>
      <c r="J23" s="93" t="s">
        <v>10</v>
      </c>
      <c r="K23" s="93"/>
      <c r="L23" s="93"/>
      <c r="M23" s="93"/>
      <c r="N23" s="93"/>
      <c r="O23" s="93"/>
    </row>
    <row r="24" spans="1:15" ht="15.75" customHeight="1">
      <c r="B24" s="101" t="s">
        <v>23</v>
      </c>
      <c r="C24" s="102">
        <f t="shared" ca="1" si="4"/>
        <v>4552699</v>
      </c>
      <c r="D24" s="102">
        <f t="shared" ca="1" si="4"/>
        <v>41008</v>
      </c>
      <c r="E24" s="102">
        <f ca="1">ROUND(NORMINV(RAND(), E8, E8*0.1) * (1 + (-0.7) * (K16 - K8) / K8), 0)</f>
        <v>151031</v>
      </c>
      <c r="F24" s="101" t="s">
        <v>24</v>
      </c>
      <c r="G24" s="93" t="s">
        <v>10</v>
      </c>
      <c r="H24" s="93" t="s">
        <v>10</v>
      </c>
      <c r="I24" s="93" t="s">
        <v>10</v>
      </c>
      <c r="J24" s="93" t="s">
        <v>10</v>
      </c>
      <c r="K24" s="93"/>
      <c r="L24" s="93"/>
      <c r="M24" s="93"/>
      <c r="N24" s="93"/>
      <c r="O24" s="93"/>
    </row>
    <row r="25" spans="1:15" ht="15.75" customHeight="1">
      <c r="B25" s="101" t="s">
        <v>25</v>
      </c>
      <c r="C25" s="102">
        <f t="shared" ca="1" si="4"/>
        <v>304563</v>
      </c>
      <c r="D25" s="102">
        <f t="shared" ca="1" si="4"/>
        <v>2577</v>
      </c>
      <c r="E25" s="102">
        <f ca="1">ROUND(NORMINV(RAND(), E9, E9*0.1) * (1 + (-0.7) * (K17 - K9) / K9), 0)</f>
        <v>10237</v>
      </c>
      <c r="F25" s="101" t="s">
        <v>24</v>
      </c>
      <c r="G25" s="103"/>
      <c r="H25" s="93" t="s">
        <v>10</v>
      </c>
      <c r="I25" s="93" t="s">
        <v>10</v>
      </c>
      <c r="J25" s="93" t="s">
        <v>10</v>
      </c>
      <c r="K25" s="93" t="s">
        <v>10</v>
      </c>
      <c r="L25" s="93"/>
      <c r="M25" s="93"/>
      <c r="N25" s="93"/>
      <c r="O25" s="93"/>
    </row>
    <row r="26" spans="1:15" ht="15.75" customHeight="1">
      <c r="B26" s="93"/>
      <c r="C26" s="93"/>
      <c r="D26" s="93"/>
      <c r="E26" s="93"/>
      <c r="F26" s="93"/>
      <c r="G26" s="93" t="s">
        <v>10</v>
      </c>
      <c r="H26" s="93" t="s">
        <v>10</v>
      </c>
      <c r="I26" s="93" t="s">
        <v>10</v>
      </c>
      <c r="J26" s="93" t="s">
        <v>10</v>
      </c>
      <c r="K26" s="93" t="s">
        <v>10</v>
      </c>
      <c r="L26" s="93"/>
      <c r="M26" s="93"/>
      <c r="N26" s="93"/>
      <c r="O26" s="93"/>
    </row>
    <row r="27" spans="1:15" ht="23.1" customHeight="1">
      <c r="B27" s="104"/>
      <c r="C27" s="104"/>
      <c r="D27" s="93"/>
      <c r="E27" s="93"/>
      <c r="F27" s="93"/>
      <c r="G27" s="93" t="s">
        <v>10</v>
      </c>
      <c r="H27" s="93" t="s">
        <v>11</v>
      </c>
      <c r="I27" s="93" t="s">
        <v>10</v>
      </c>
      <c r="J27" s="93"/>
      <c r="K27" s="93" t="s">
        <v>10</v>
      </c>
      <c r="L27" s="93"/>
      <c r="M27" s="93"/>
      <c r="N27" s="93"/>
      <c r="O27" s="93"/>
    </row>
    <row r="28" spans="1:15" ht="22.35" customHeight="1">
      <c r="B28" s="105"/>
      <c r="C28" s="105"/>
      <c r="G28" s="91" t="s">
        <v>10</v>
      </c>
    </row>
    <row r="29" spans="1:15" ht="15.75" customHeight="1">
      <c r="G29" s="91" t="s">
        <v>10</v>
      </c>
    </row>
    <row r="30" spans="1:15" ht="23.1" customHeight="1">
      <c r="B30" s="90" t="s">
        <v>130</v>
      </c>
      <c r="C30" s="90">
        <f ca="1">SUM(C22:F25)</f>
        <v>9286826</v>
      </c>
      <c r="D30" s="91" t="s">
        <v>10</v>
      </c>
      <c r="G30" s="91" t="s">
        <v>10</v>
      </c>
    </row>
    <row r="31" spans="1:15" ht="23.1" customHeight="1">
      <c r="B31" s="106" t="s">
        <v>29</v>
      </c>
      <c r="C31" s="106">
        <f ca="1">SUMPRODUCT(C22:F25,I14:L17)</f>
        <v>57874847</v>
      </c>
      <c r="G31" s="91" t="s">
        <v>10</v>
      </c>
    </row>
    <row r="32" spans="1:15" ht="15.75" customHeight="1">
      <c r="C32" s="91" t="s">
        <v>10</v>
      </c>
      <c r="G32" s="91" t="s">
        <v>10</v>
      </c>
    </row>
    <row r="33" spans="4:7" ht="15.75" customHeight="1">
      <c r="G33" s="91" t="s">
        <v>10</v>
      </c>
    </row>
    <row r="34" spans="4:7" ht="15.75" customHeight="1">
      <c r="G34" s="91" t="s">
        <v>10</v>
      </c>
    </row>
    <row r="35" spans="4:7" ht="15.75" customHeight="1">
      <c r="D35" s="91" t="s">
        <v>10</v>
      </c>
      <c r="G35" s="91" t="s">
        <v>10</v>
      </c>
    </row>
    <row r="36" spans="4:7" ht="15.75" customHeight="1">
      <c r="D36" s="91" t="s">
        <v>10</v>
      </c>
      <c r="G36" s="91" t="s">
        <v>10</v>
      </c>
    </row>
    <row r="37" spans="4:7" ht="15.75" customHeight="1">
      <c r="G37" s="91" t="s">
        <v>10</v>
      </c>
    </row>
    <row r="38" spans="4:7" ht="15.75" customHeight="1">
      <c r="G38" s="91" t="s">
        <v>10</v>
      </c>
    </row>
  </sheetData>
  <mergeCells count="5">
    <mergeCell ref="B20:F20"/>
    <mergeCell ref="B12:F12"/>
    <mergeCell ref="B4:F4"/>
    <mergeCell ref="H4:L4"/>
    <mergeCell ref="H12:L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CAED8-181B-457F-9EB1-976135F279DE}">
  <sheetPr codeName="Arkusz23"/>
  <dimension ref="A1:AU39"/>
  <sheetViews>
    <sheetView tabSelected="1" zoomScale="70" zoomScaleNormal="70" workbookViewId="0">
      <selection activeCell="AA50" sqref="AA50"/>
    </sheetView>
  </sheetViews>
  <sheetFormatPr defaultColWidth="8.88671875" defaultRowHeight="13.2"/>
  <cols>
    <col min="2" max="3" width="9.109375" bestFit="1" customWidth="1"/>
    <col min="4" max="4" width="9.33203125" bestFit="1" customWidth="1"/>
    <col min="7" max="7" width="18.33203125" bestFit="1" customWidth="1"/>
    <col min="9" max="9" width="16.109375" bestFit="1" customWidth="1"/>
    <col min="11" max="11" width="11.5546875" bestFit="1" customWidth="1"/>
    <col min="12" max="13" width="11.6640625" bestFit="1" customWidth="1"/>
    <col min="14" max="14" width="11.5546875" bestFit="1" customWidth="1"/>
    <col min="15" max="15" width="11.6640625" bestFit="1" customWidth="1"/>
    <col min="16" max="16" width="11" bestFit="1" customWidth="1"/>
    <col min="17" max="17" width="11.6640625" bestFit="1" customWidth="1"/>
    <col min="18" max="19" width="13" bestFit="1" customWidth="1"/>
    <col min="20" max="20" width="11.6640625" bestFit="1" customWidth="1"/>
    <col min="21" max="22" width="13" bestFit="1" customWidth="1"/>
    <col min="23" max="24" width="11.6640625" bestFit="1" customWidth="1"/>
    <col min="25" max="25" width="13" bestFit="1" customWidth="1"/>
    <col min="26" max="26" width="12.44140625" bestFit="1" customWidth="1"/>
    <col min="27" max="28" width="11.6640625" bestFit="1" customWidth="1"/>
    <col min="29" max="29" width="13" bestFit="1" customWidth="1"/>
    <col min="30" max="31" width="11.6640625" bestFit="1" customWidth="1"/>
    <col min="32" max="32" width="11.5546875" bestFit="1" customWidth="1"/>
    <col min="33" max="33" width="11.6640625" bestFit="1" customWidth="1"/>
    <col min="34" max="34" width="12.6640625" bestFit="1" customWidth="1"/>
    <col min="35" max="35" width="11.88671875" bestFit="1" customWidth="1"/>
    <col min="36" max="36" width="13.6640625" bestFit="1" customWidth="1"/>
    <col min="37" max="39" width="11.6640625" bestFit="1" customWidth="1"/>
    <col min="40" max="40" width="11.5546875" bestFit="1" customWidth="1"/>
    <col min="41" max="41" width="13.6640625" bestFit="1" customWidth="1"/>
    <col min="42" max="42" width="12.44140625" bestFit="1" customWidth="1"/>
    <col min="43" max="43" width="11.44140625" bestFit="1" customWidth="1"/>
    <col min="44" max="44" width="12" bestFit="1" customWidth="1"/>
    <col min="45" max="45" width="14.33203125" bestFit="1" customWidth="1"/>
    <col min="46" max="46" width="11.33203125" bestFit="1" customWidth="1"/>
    <col min="47" max="47" width="13.6640625" bestFit="1" customWidth="1"/>
  </cols>
  <sheetData>
    <row r="1" spans="1:47">
      <c r="E1" s="52"/>
    </row>
    <row r="2" spans="1:47">
      <c r="P2" s="156">
        <v>0.7</v>
      </c>
      <c r="Q2" s="156">
        <v>0.8</v>
      </c>
      <c r="R2" s="156">
        <v>0.9</v>
      </c>
      <c r="S2" s="156">
        <v>1</v>
      </c>
      <c r="T2" s="156">
        <v>1.1000000000000001</v>
      </c>
      <c r="U2" s="156">
        <v>1.2</v>
      </c>
      <c r="V2" s="156">
        <v>1.3</v>
      </c>
      <c r="W2" s="156">
        <v>1.4</v>
      </c>
      <c r="X2" s="156">
        <v>1.5</v>
      </c>
    </row>
    <row r="3" spans="1:47">
      <c r="J3" s="57" t="s">
        <v>32</v>
      </c>
      <c r="P3" s="58"/>
    </row>
    <row r="4" spans="1:47">
      <c r="A4" s="55" t="s">
        <v>30</v>
      </c>
      <c r="B4" s="152">
        <v>0.7</v>
      </c>
      <c r="C4" s="153">
        <v>1</v>
      </c>
      <c r="D4" s="154">
        <v>2</v>
      </c>
      <c r="E4" s="151" t="s">
        <v>144</v>
      </c>
      <c r="G4" s="109"/>
      <c r="J4" s="50" t="s">
        <v>30</v>
      </c>
      <c r="K4" s="50">
        <v>9116005.8897192758</v>
      </c>
      <c r="L4" s="50">
        <v>-4049668.7905572713</v>
      </c>
      <c r="M4" s="50">
        <v>13165674.680276547</v>
      </c>
      <c r="N4" s="50" t="s">
        <v>30</v>
      </c>
      <c r="O4" s="50">
        <v>-7470993.2159618419</v>
      </c>
      <c r="P4" s="110">
        <v>8971904.9914156459</v>
      </c>
      <c r="Q4" s="82">
        <v>6015934.4271172369</v>
      </c>
      <c r="R4" s="82">
        <v>5165374.8506666049</v>
      </c>
      <c r="S4" s="82">
        <v>2820407.6593312966</v>
      </c>
      <c r="T4" s="82">
        <v>2408432.2675064621</v>
      </c>
      <c r="U4" s="82">
        <v>1369677.1786709202</v>
      </c>
      <c r="V4" s="82">
        <v>1362551.5468427972</v>
      </c>
      <c r="W4" s="82">
        <v>50868.330234498681</v>
      </c>
      <c r="X4" s="82">
        <v>-1278421.6367820725</v>
      </c>
      <c r="Y4" s="82"/>
      <c r="Z4" s="82"/>
      <c r="AA4" s="82"/>
      <c r="AB4" s="82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</row>
    <row r="5" spans="1:47">
      <c r="A5" s="55" t="s">
        <v>31</v>
      </c>
      <c r="B5" s="155">
        <v>4</v>
      </c>
      <c r="C5" s="155">
        <v>6.0045028916666698</v>
      </c>
      <c r="D5" s="155">
        <v>8</v>
      </c>
      <c r="E5" s="151" t="s">
        <v>143</v>
      </c>
      <c r="G5" s="59" t="s">
        <v>10</v>
      </c>
      <c r="J5" s="50" t="s">
        <v>13</v>
      </c>
      <c r="K5" s="50">
        <v>10276091.808085328</v>
      </c>
      <c r="L5" s="50">
        <v>-4494921.4360224558</v>
      </c>
      <c r="M5" s="50">
        <v>14771013.244107783</v>
      </c>
      <c r="N5" s="50" t="s">
        <v>31</v>
      </c>
      <c r="O5" s="50">
        <v>-7916245.8614270259</v>
      </c>
      <c r="P5" s="49">
        <v>11287609.895356894</v>
      </c>
      <c r="Q5" s="49">
        <v>8972606.9519092683</v>
      </c>
      <c r="R5" s="49">
        <v>4867520.6169800349</v>
      </c>
      <c r="S5" s="49">
        <v>2820407.6593312966</v>
      </c>
      <c r="T5" s="49">
        <v>884128.06527943641</v>
      </c>
      <c r="U5" s="49">
        <v>-1144834.6676276021</v>
      </c>
      <c r="V5" s="49">
        <v>-2248017.412679011</v>
      </c>
      <c r="W5" s="49">
        <v>-4601465.602729396</v>
      </c>
      <c r="X5" s="49">
        <v>-6554217.9524352923</v>
      </c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1:47">
      <c r="A6" s="55" t="s">
        <v>128</v>
      </c>
      <c r="B6" s="152">
        <v>0.8</v>
      </c>
      <c r="C6" s="153">
        <v>1</v>
      </c>
      <c r="D6" s="154">
        <v>1.2</v>
      </c>
      <c r="E6" s="151" t="s">
        <v>146</v>
      </c>
      <c r="G6" s="59" t="s">
        <v>10</v>
      </c>
      <c r="I6" s="54">
        <v>4</v>
      </c>
      <c r="J6" s="50" t="s">
        <v>128</v>
      </c>
      <c r="K6" s="50">
        <v>13346332.737105753</v>
      </c>
      <c r="L6" s="50">
        <v>-4198801.7489234209</v>
      </c>
      <c r="M6" s="50">
        <v>17545134.486029174</v>
      </c>
      <c r="N6" s="157" t="s">
        <v>154</v>
      </c>
      <c r="O6" s="50">
        <v>-7620126.174327991</v>
      </c>
      <c r="P6" s="110">
        <v>17699567.128306016</v>
      </c>
      <c r="Q6" s="49">
        <v>12795084.388491249</v>
      </c>
      <c r="R6" s="49">
        <v>9001079.0557379015</v>
      </c>
      <c r="S6" s="49">
        <v>2820407.6593312966</v>
      </c>
      <c r="T6" s="49">
        <v>-879687.25078328734</v>
      </c>
      <c r="U6" s="49">
        <v>-5500156.6528720167</v>
      </c>
      <c r="V6" s="49">
        <v>-7914002.5861424254</v>
      </c>
      <c r="W6" s="49">
        <v>-12565968.328099245</v>
      </c>
      <c r="X6" s="49">
        <v>-16886155.105379093</v>
      </c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</row>
    <row r="7" spans="1:47">
      <c r="A7" s="55" t="s">
        <v>13</v>
      </c>
      <c r="B7" s="152">
        <v>0.7</v>
      </c>
      <c r="C7" s="153">
        <v>1</v>
      </c>
      <c r="D7" s="154">
        <v>1.3</v>
      </c>
      <c r="E7" s="151" t="s">
        <v>145</v>
      </c>
      <c r="G7" s="48"/>
      <c r="I7" s="53" t="s">
        <v>119</v>
      </c>
      <c r="J7" s="50" t="s">
        <v>31</v>
      </c>
      <c r="K7" s="50">
        <v>-15681133.876461923</v>
      </c>
      <c r="L7" s="50">
        <v>11452839.434188176</v>
      </c>
      <c r="M7" s="50">
        <v>27133973.310650099</v>
      </c>
      <c r="N7" s="157" t="s">
        <v>155</v>
      </c>
      <c r="O7" s="50">
        <v>-19102458.301866494</v>
      </c>
      <c r="P7" s="49">
        <v>-16354811.64000495</v>
      </c>
      <c r="Q7" s="49">
        <v>-7875554.0515289996</v>
      </c>
      <c r="R7" s="49">
        <v>-2555205.430686777</v>
      </c>
      <c r="S7" s="49">
        <v>2820407.6593312966</v>
      </c>
      <c r="T7" s="49">
        <v>7240307.5732160518</v>
      </c>
      <c r="U7" s="49">
        <v>10581643.56606002</v>
      </c>
      <c r="V7" s="49">
        <v>10488974.247434724</v>
      </c>
      <c r="W7" s="49">
        <v>11858553.174788665</v>
      </c>
      <c r="X7" s="49">
        <v>9130815.6176998615</v>
      </c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1:47">
      <c r="A8" s="56"/>
      <c r="B8" s="56"/>
      <c r="C8" s="56"/>
      <c r="D8" s="56"/>
      <c r="E8" s="51"/>
      <c r="G8" s="56">
        <f ca="1">Podsumowanie!J9</f>
        <v>9079414.4904083908</v>
      </c>
      <c r="J8" s="50" t="s">
        <v>35</v>
      </c>
      <c r="K8" s="50"/>
      <c r="L8" s="50"/>
      <c r="M8" s="50"/>
      <c r="N8" s="50"/>
      <c r="O8" s="157" t="s">
        <v>147</v>
      </c>
      <c r="P8" s="110" t="s">
        <v>148</v>
      </c>
      <c r="Q8" s="49">
        <v>10310827.139885336</v>
      </c>
      <c r="R8" s="49">
        <v>-1083039.1400656551</v>
      </c>
      <c r="S8" s="49">
        <v>439812.4169433713</v>
      </c>
      <c r="T8" s="49">
        <v>1005135.2067784965</v>
      </c>
      <c r="U8" s="49">
        <v>-11126107.983173847</v>
      </c>
      <c r="V8" s="49">
        <v>-14242257.205674827</v>
      </c>
      <c r="W8" s="49">
        <v>-14310892.132003799</v>
      </c>
      <c r="X8" s="49">
        <v>-21689460.184276462</v>
      </c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  <c r="AO8" s="49"/>
      <c r="AP8" s="49"/>
      <c r="AQ8" s="49"/>
      <c r="AR8" s="49"/>
      <c r="AS8" s="49"/>
      <c r="AT8" s="49"/>
      <c r="AU8" s="49"/>
    </row>
    <row r="9" spans="1:47">
      <c r="A9" s="48"/>
      <c r="G9" s="59" t="s">
        <v>10</v>
      </c>
    </row>
    <row r="10" spans="1:47">
      <c r="A10" s="48"/>
      <c r="G10" s="59" t="s">
        <v>10</v>
      </c>
    </row>
    <row r="11" spans="1:47">
      <c r="G11" s="59" t="s">
        <v>10</v>
      </c>
      <c r="M11" s="48" t="s">
        <v>151</v>
      </c>
      <c r="N11" s="48" t="s">
        <v>147</v>
      </c>
      <c r="O11" s="48" t="s">
        <v>148</v>
      </c>
      <c r="P11" s="48" t="s">
        <v>152</v>
      </c>
    </row>
    <row r="12" spans="1:47">
      <c r="G12" s="59" t="s">
        <v>10</v>
      </c>
      <c r="M12" s="55" t="s">
        <v>149</v>
      </c>
      <c r="N12">
        <f>K5-Podsumowanie!$J$2</f>
        <v>6443532.4779613335</v>
      </c>
      <c r="O12">
        <f>L5-Podsumowanie!$J$2</f>
        <v>-8327480.7661464503</v>
      </c>
      <c r="P12">
        <f>O12-N12</f>
        <v>-14771013.244107783</v>
      </c>
    </row>
    <row r="13" spans="1:47">
      <c r="G13" s="59" t="s">
        <v>10</v>
      </c>
      <c r="M13" s="55" t="s">
        <v>150</v>
      </c>
      <c r="N13">
        <f>K6-Podsumowanie!$J$2</f>
        <v>9513773.4069817588</v>
      </c>
      <c r="O13">
        <f>L6-Podsumowanie!$J$2</f>
        <v>-8031361.0790474154</v>
      </c>
      <c r="P13">
        <f>N13-O13</f>
        <v>17545134.486029174</v>
      </c>
      <c r="S13" s="84"/>
    </row>
    <row r="14" spans="1:47">
      <c r="G14" s="59" t="s">
        <v>10</v>
      </c>
      <c r="M14" s="55" t="s">
        <v>31</v>
      </c>
      <c r="N14">
        <f>K7-Podsumowanie!$J$2</f>
        <v>-19513693.206585918</v>
      </c>
      <c r="O14">
        <f>L7-Podsumowanie!$J$2</f>
        <v>7620280.1040641814</v>
      </c>
      <c r="P14">
        <f>N14-O14</f>
        <v>-27133973.310650099</v>
      </c>
    </row>
    <row r="15" spans="1:47" ht="15">
      <c r="G15" s="59" t="s">
        <v>10</v>
      </c>
      <c r="M15" s="55" t="s">
        <v>30</v>
      </c>
      <c r="N15">
        <f>K8-Podsumowanie!$J$2</f>
        <v>-3832559.3301239945</v>
      </c>
      <c r="O15">
        <f>L8-Podsumowanie!$J$2</f>
        <v>-3832559.3301239945</v>
      </c>
      <c r="P15">
        <f>N15-O15</f>
        <v>0</v>
      </c>
      <c r="Z15" s="159" t="s">
        <v>153</v>
      </c>
    </row>
    <row r="16" spans="1:47">
      <c r="G16" s="59" t="s">
        <v>10</v>
      </c>
    </row>
    <row r="17" spans="5:20">
      <c r="G17" s="48" t="s">
        <v>10</v>
      </c>
    </row>
    <row r="18" spans="5:20">
      <c r="E18" s="59" t="s">
        <v>10</v>
      </c>
      <c r="G18" s="59" t="s">
        <v>10</v>
      </c>
    </row>
    <row r="19" spans="5:20">
      <c r="E19" s="59" t="s">
        <v>10</v>
      </c>
      <c r="G19" s="59" t="s">
        <v>10</v>
      </c>
      <c r="N19" s="48" t="s">
        <v>10</v>
      </c>
      <c r="R19" s="48" t="s">
        <v>10</v>
      </c>
      <c r="S19" s="48" t="s">
        <v>10</v>
      </c>
    </row>
    <row r="20" spans="5:20">
      <c r="E20" s="59" t="s">
        <v>10</v>
      </c>
      <c r="G20" s="59" t="s">
        <v>10</v>
      </c>
      <c r="N20" s="48" t="s">
        <v>10</v>
      </c>
      <c r="R20" s="48" t="s">
        <v>10</v>
      </c>
      <c r="S20" s="48" t="s">
        <v>11</v>
      </c>
    </row>
    <row r="21" spans="5:20">
      <c r="E21" s="59" t="s">
        <v>10</v>
      </c>
      <c r="G21" s="59" t="s">
        <v>10</v>
      </c>
      <c r="N21" s="48" t="s">
        <v>10</v>
      </c>
      <c r="R21" s="48" t="s">
        <v>10</v>
      </c>
    </row>
    <row r="22" spans="5:20">
      <c r="E22" s="59" t="s">
        <v>10</v>
      </c>
      <c r="G22" s="59" t="s">
        <v>10</v>
      </c>
      <c r="N22" s="48" t="s">
        <v>10</v>
      </c>
      <c r="R22" s="48" t="s">
        <v>10</v>
      </c>
    </row>
    <row r="23" spans="5:20">
      <c r="E23" s="59" t="s">
        <v>10</v>
      </c>
      <c r="G23" s="59" t="s">
        <v>10</v>
      </c>
      <c r="R23" s="48" t="s">
        <v>10</v>
      </c>
      <c r="S23" s="48" t="s">
        <v>10</v>
      </c>
    </row>
    <row r="24" spans="5:20">
      <c r="E24" s="59" t="s">
        <v>10</v>
      </c>
      <c r="G24" s="48" t="s">
        <v>10</v>
      </c>
      <c r="R24" s="48" t="s">
        <v>10</v>
      </c>
      <c r="T24" s="48" t="s">
        <v>10</v>
      </c>
    </row>
    <row r="25" spans="5:20">
      <c r="E25" s="59" t="s">
        <v>10</v>
      </c>
      <c r="R25" s="48" t="s">
        <v>10</v>
      </c>
      <c r="T25" s="48" t="s">
        <v>10</v>
      </c>
    </row>
    <row r="26" spans="5:20">
      <c r="E26" s="59" t="s">
        <v>10</v>
      </c>
      <c r="G26" s="48" t="s">
        <v>10</v>
      </c>
      <c r="R26" s="48" t="s">
        <v>10</v>
      </c>
    </row>
    <row r="27" spans="5:20">
      <c r="E27" s="59" t="s">
        <v>10</v>
      </c>
      <c r="G27" s="48" t="s">
        <v>10</v>
      </c>
      <c r="O27" s="48" t="s">
        <v>10</v>
      </c>
      <c r="R27" s="48" t="s">
        <v>10</v>
      </c>
    </row>
    <row r="28" spans="5:20">
      <c r="E28" s="59" t="s">
        <v>10</v>
      </c>
      <c r="G28" s="48" t="s">
        <v>10</v>
      </c>
      <c r="K28" s="158"/>
      <c r="L28" s="48" t="s">
        <v>10</v>
      </c>
      <c r="O28" s="48" t="s">
        <v>10</v>
      </c>
    </row>
    <row r="29" spans="5:20">
      <c r="E29" s="59" t="s">
        <v>10</v>
      </c>
      <c r="L29" s="48" t="s">
        <v>11</v>
      </c>
      <c r="O29" s="48" t="s">
        <v>10</v>
      </c>
    </row>
    <row r="30" spans="5:20">
      <c r="L30" s="48" t="s">
        <v>10</v>
      </c>
      <c r="M30" s="48" t="s">
        <v>10</v>
      </c>
      <c r="O30" s="48" t="s">
        <v>10</v>
      </c>
      <c r="Q30" s="48" t="s">
        <v>10</v>
      </c>
    </row>
    <row r="31" spans="5:20">
      <c r="M31" s="48" t="s">
        <v>10</v>
      </c>
      <c r="N31" s="48" t="s">
        <v>10</v>
      </c>
      <c r="O31" s="48" t="s">
        <v>10</v>
      </c>
      <c r="Q31" s="48" t="s">
        <v>10</v>
      </c>
    </row>
    <row r="32" spans="5:20">
      <c r="M32" s="48" t="s">
        <v>10</v>
      </c>
      <c r="N32" s="48" t="s">
        <v>10</v>
      </c>
    </row>
    <row r="33" spans="13:14">
      <c r="M33" s="48" t="s">
        <v>10</v>
      </c>
      <c r="N33" s="48" t="s">
        <v>10</v>
      </c>
    </row>
    <row r="34" spans="13:14">
      <c r="M34" s="48" t="s">
        <v>10</v>
      </c>
      <c r="N34" s="48" t="s">
        <v>10</v>
      </c>
    </row>
    <row r="37" spans="13:14">
      <c r="N37" t="s">
        <v>10</v>
      </c>
    </row>
    <row r="38" spans="13:14">
      <c r="N38" t="s">
        <v>10</v>
      </c>
    </row>
    <row r="39" spans="13:14">
      <c r="N39" t="s">
        <v>10</v>
      </c>
    </row>
  </sheetData>
  <sortState xmlns:xlrd2="http://schemas.microsoft.com/office/spreadsheetml/2017/richdata2" ref="A4:P7">
    <sortCondition ref="M4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6">
    <tabColor rgb="FFCC0000"/>
    <outlinePr summaryBelow="0" summaryRight="0"/>
  </sheetPr>
  <dimension ref="B2:T13"/>
  <sheetViews>
    <sheetView zoomScale="70" zoomScaleNormal="70" workbookViewId="0">
      <selection activeCell="E10" sqref="E10"/>
    </sheetView>
  </sheetViews>
  <sheetFormatPr defaultColWidth="12.6640625" defaultRowHeight="15.75" customHeight="1"/>
  <cols>
    <col min="5" max="5" width="21" bestFit="1" customWidth="1"/>
    <col min="18" max="18" width="15.6640625" customWidth="1"/>
    <col min="19" max="19" width="35.109375" customWidth="1"/>
    <col min="20" max="20" width="26.6640625" customWidth="1"/>
  </cols>
  <sheetData>
    <row r="2" spans="2:20" ht="15.75" customHeight="1">
      <c r="B2" s="6" t="s">
        <v>66</v>
      </c>
      <c r="C2" s="6" t="s">
        <v>67</v>
      </c>
      <c r="D2" s="6" t="s">
        <v>68</v>
      </c>
      <c r="E2" s="6" t="s">
        <v>69</v>
      </c>
      <c r="F2" s="6" t="s">
        <v>70</v>
      </c>
      <c r="G2" s="6" t="s">
        <v>71</v>
      </c>
      <c r="H2" s="6" t="s">
        <v>72</v>
      </c>
      <c r="I2" s="6" t="s">
        <v>73</v>
      </c>
      <c r="J2" s="6" t="s">
        <v>74</v>
      </c>
      <c r="K2" s="6" t="s">
        <v>75</v>
      </c>
      <c r="L2" s="6" t="s">
        <v>76</v>
      </c>
      <c r="M2" s="6" t="s">
        <v>77</v>
      </c>
      <c r="N2" s="6" t="s">
        <v>78</v>
      </c>
      <c r="O2" s="6" t="s">
        <v>79</v>
      </c>
      <c r="P2" s="7" t="s">
        <v>80</v>
      </c>
      <c r="Q2" s="7" t="s">
        <v>81</v>
      </c>
      <c r="R2" s="7" t="s">
        <v>82</v>
      </c>
      <c r="S2" s="7" t="s">
        <v>83</v>
      </c>
      <c r="T2" s="7" t="s">
        <v>84</v>
      </c>
    </row>
    <row r="3" spans="2:20" ht="15.75" customHeight="1">
      <c r="B3" s="8" t="s">
        <v>85</v>
      </c>
      <c r="C3" s="6">
        <v>357.5</v>
      </c>
      <c r="D3" s="6">
        <v>354.3</v>
      </c>
      <c r="E3" s="6">
        <v>348.3</v>
      </c>
      <c r="F3" s="47">
        <v>346</v>
      </c>
      <c r="G3" s="6">
        <v>340.9</v>
      </c>
      <c r="H3" s="6">
        <v>340.1</v>
      </c>
      <c r="I3" s="6">
        <v>337.9</v>
      </c>
      <c r="J3" s="6">
        <v>332.7</v>
      </c>
      <c r="K3" s="6">
        <v>334.3</v>
      </c>
      <c r="L3" s="6">
        <v>334.4</v>
      </c>
      <c r="M3" s="6">
        <v>330.5</v>
      </c>
      <c r="N3" s="6">
        <v>330.2</v>
      </c>
      <c r="O3" s="6">
        <v>340.6</v>
      </c>
      <c r="P3" s="7">
        <f>STDEV(C3:N3)</f>
        <v>9.1457350550390313</v>
      </c>
      <c r="Q3" s="7">
        <f ca="1">NORMINV(RAND(),O3,P3)*C12</f>
        <v>2353830.2276911759</v>
      </c>
      <c r="R3" s="9">
        <f ca="1">Q3*12</f>
        <v>28245962.732294112</v>
      </c>
      <c r="S3" s="7"/>
    </row>
    <row r="4" spans="2:20" ht="15.75" customHeight="1">
      <c r="B4" s="8" t="s">
        <v>86</v>
      </c>
      <c r="C4" s="6">
        <v>132</v>
      </c>
      <c r="D4" s="6">
        <v>130.69999999999999</v>
      </c>
      <c r="E4" s="6">
        <v>129.19999999999999</v>
      </c>
      <c r="F4" s="47">
        <v>130</v>
      </c>
      <c r="G4" s="6">
        <v>129.19999999999999</v>
      </c>
      <c r="H4" s="6">
        <v>129</v>
      </c>
      <c r="I4" s="6">
        <v>130.5</v>
      </c>
      <c r="J4" s="6">
        <v>128.9</v>
      </c>
      <c r="K4" s="6">
        <v>128</v>
      </c>
      <c r="L4" s="6">
        <v>128.69999999999999</v>
      </c>
      <c r="M4" s="6">
        <v>129.19999999999999</v>
      </c>
      <c r="N4" s="6">
        <v>130.5</v>
      </c>
      <c r="O4" s="6">
        <v>129.6</v>
      </c>
      <c r="P4" s="7">
        <f>STDEV(C4:N4)</f>
        <v>1.1040901917484611</v>
      </c>
      <c r="Q4" s="7">
        <f ca="1">NORMINV(RAND(),O4,P4)*C13</f>
        <v>770749.39388779236</v>
      </c>
      <c r="R4" s="9">
        <f ca="1">Q4*12</f>
        <v>9248992.7266535088</v>
      </c>
      <c r="S4" s="7"/>
    </row>
    <row r="5" spans="2:20" ht="15.75" customHeight="1">
      <c r="B5" s="8" t="s">
        <v>87</v>
      </c>
      <c r="C5" s="6">
        <v>53.6</v>
      </c>
      <c r="D5" s="6">
        <v>54.6</v>
      </c>
      <c r="E5" s="6">
        <v>54.6</v>
      </c>
      <c r="F5" s="6">
        <v>54.6</v>
      </c>
      <c r="G5" s="6">
        <v>55</v>
      </c>
      <c r="H5" s="6">
        <v>55.6</v>
      </c>
      <c r="I5" s="6">
        <v>54.8</v>
      </c>
      <c r="J5" s="6">
        <v>53</v>
      </c>
      <c r="K5" s="6">
        <v>53</v>
      </c>
      <c r="L5" s="6">
        <v>54</v>
      </c>
      <c r="M5" s="6">
        <v>55</v>
      </c>
      <c r="N5" s="6">
        <v>56</v>
      </c>
      <c r="O5" s="6">
        <v>54.5</v>
      </c>
      <c r="P5" s="7">
        <f>STDEV(C5:N5)</f>
        <v>0.93598109279012998</v>
      </c>
      <c r="Q5" s="7">
        <f ca="1">NORMINV(RAND(),O5,P5)*C10</f>
        <v>385922.74892691453</v>
      </c>
      <c r="R5" s="9">
        <f ca="1">Q5*12</f>
        <v>4631072.9871229744</v>
      </c>
      <c r="S5" s="7"/>
    </row>
    <row r="6" spans="2:20" ht="15.75" customHeight="1">
      <c r="B6" s="8" t="s">
        <v>88</v>
      </c>
      <c r="C6" s="8">
        <v>543.1</v>
      </c>
      <c r="D6" s="8">
        <v>539.5</v>
      </c>
      <c r="E6" s="8">
        <v>532.1</v>
      </c>
      <c r="F6" s="8">
        <v>530.6</v>
      </c>
      <c r="G6" s="8">
        <v>525.1</v>
      </c>
      <c r="H6" s="8">
        <v>524.70000000000005</v>
      </c>
      <c r="I6" s="8">
        <v>523.20000000000005</v>
      </c>
      <c r="J6" s="8">
        <v>514.6</v>
      </c>
      <c r="K6" s="8">
        <v>515.29999999999995</v>
      </c>
      <c r="L6" s="8">
        <v>517</v>
      </c>
      <c r="M6" s="8">
        <v>514.70000000000005</v>
      </c>
      <c r="N6" s="8">
        <v>516.70000000000005</v>
      </c>
      <c r="O6" s="8">
        <v>524.70000000000005</v>
      </c>
      <c r="P6" s="7"/>
      <c r="Q6" s="7">
        <f ca="1">SUM(Q3:Q5)</f>
        <v>3510502.3705058824</v>
      </c>
      <c r="R6" s="9">
        <f ca="1">Q6*12</f>
        <v>42126028.446070589</v>
      </c>
      <c r="S6" s="9">
        <f ca="1">R6+108200</f>
        <v>42234228.446070589</v>
      </c>
      <c r="T6" s="1">
        <f ca="1">S6+238220</f>
        <v>42472448.446070589</v>
      </c>
    </row>
    <row r="8" spans="2:20" ht="15.75" customHeight="1">
      <c r="B8" s="10" t="s">
        <v>89</v>
      </c>
      <c r="C8" s="10" t="s">
        <v>90</v>
      </c>
      <c r="E8" s="60" t="s">
        <v>134</v>
      </c>
    </row>
    <row r="9" spans="2:20" ht="15.75" customHeight="1">
      <c r="B9" s="11" t="s">
        <v>91</v>
      </c>
      <c r="C9" s="10">
        <f>6732.22*(E9)</f>
        <v>6732.22</v>
      </c>
      <c r="E9" s="61">
        <v>1</v>
      </c>
    </row>
    <row r="10" spans="2:20" ht="15.75" customHeight="1">
      <c r="B10" s="10" t="s">
        <v>92</v>
      </c>
      <c r="C10" s="10">
        <f>7146.95*(E9)</f>
        <v>7146.95</v>
      </c>
    </row>
    <row r="11" spans="2:20" ht="15.75" customHeight="1">
      <c r="B11" s="10" t="s">
        <v>93</v>
      </c>
      <c r="C11" s="10">
        <f>6684.17*(E9)</f>
        <v>6684.17</v>
      </c>
    </row>
    <row r="12" spans="2:20" ht="15.75" customHeight="1">
      <c r="B12" s="10" t="s">
        <v>94</v>
      </c>
      <c r="C12" s="10">
        <f>7000.08*(E9)</f>
        <v>7000.08</v>
      </c>
    </row>
    <row r="13" spans="2:20" ht="15.75" customHeight="1">
      <c r="B13" s="10" t="s">
        <v>95</v>
      </c>
      <c r="C13" s="10">
        <f>5854.27*(E9)</f>
        <v>5854.27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7">
    <tabColor rgb="FFCC0000"/>
    <outlinePr summaryBelow="0" summaryRight="0"/>
  </sheetPr>
  <dimension ref="A2:CA100"/>
  <sheetViews>
    <sheetView topLeftCell="D10" workbookViewId="0">
      <selection activeCell="P25" sqref="P25"/>
    </sheetView>
  </sheetViews>
  <sheetFormatPr defaultColWidth="12.6640625" defaultRowHeight="15.75" customHeight="1"/>
  <cols>
    <col min="2" max="3" width="15.6640625" customWidth="1"/>
    <col min="4" max="4" width="18.109375" customWidth="1"/>
    <col min="7" max="7" width="19.33203125" customWidth="1"/>
  </cols>
  <sheetData>
    <row r="2" spans="1:79" ht="15.75" customHeight="1">
      <c r="A2" s="3"/>
      <c r="B2" s="3" t="s">
        <v>96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</row>
    <row r="3" spans="1:79" ht="15.75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</row>
    <row r="4" spans="1:79" ht="15.75" customHeight="1">
      <c r="A4" s="3"/>
      <c r="B4" s="12" t="s">
        <v>97</v>
      </c>
      <c r="C4" s="12"/>
      <c r="D4" s="12"/>
      <c r="E4" s="12"/>
      <c r="F4" s="12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</row>
    <row r="5" spans="1:79" ht="15.75" customHeight="1">
      <c r="A5" s="3"/>
      <c r="B5" s="13" t="s">
        <v>98</v>
      </c>
      <c r="C5" s="13" t="s">
        <v>91</v>
      </c>
      <c r="D5" s="13" t="s">
        <v>99</v>
      </c>
      <c r="E5" s="13" t="s">
        <v>100</v>
      </c>
      <c r="F5" s="12"/>
      <c r="G5" s="14" t="s">
        <v>101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</row>
    <row r="6" spans="1:79" ht="15.75" customHeight="1">
      <c r="A6" s="4">
        <f ca="1">RANDBETWEEN(45,55)</f>
        <v>50</v>
      </c>
      <c r="B6" s="15" t="s">
        <v>102</v>
      </c>
      <c r="C6" s="16">
        <v>2209113</v>
      </c>
      <c r="D6" s="16">
        <v>2177808</v>
      </c>
      <c r="E6" s="16">
        <v>31305</v>
      </c>
      <c r="F6" s="12"/>
      <c r="G6" s="17" t="s">
        <v>103</v>
      </c>
      <c r="H6" s="18">
        <v>44197</v>
      </c>
      <c r="I6" s="18">
        <v>44228</v>
      </c>
      <c r="J6" s="18">
        <v>44256</v>
      </c>
      <c r="K6" s="18">
        <v>44287</v>
      </c>
      <c r="L6" s="18">
        <v>44317</v>
      </c>
      <c r="M6" s="18">
        <v>44348</v>
      </c>
      <c r="N6" s="18">
        <v>44378</v>
      </c>
      <c r="O6" s="18">
        <v>44409</v>
      </c>
      <c r="P6" s="18">
        <v>44440</v>
      </c>
      <c r="Q6" s="18">
        <v>44470</v>
      </c>
      <c r="R6" s="18">
        <v>44501</v>
      </c>
      <c r="S6" s="18">
        <v>44531</v>
      </c>
      <c r="T6" s="18">
        <v>44562</v>
      </c>
      <c r="U6" s="18">
        <v>44593</v>
      </c>
      <c r="V6" s="18">
        <v>44621</v>
      </c>
      <c r="W6" s="18">
        <v>44652</v>
      </c>
      <c r="X6" s="18">
        <v>44682</v>
      </c>
      <c r="Y6" s="18">
        <v>44713</v>
      </c>
      <c r="Z6" s="18">
        <v>44743</v>
      </c>
      <c r="AA6" s="18">
        <v>44774</v>
      </c>
      <c r="AB6" s="18">
        <v>44805</v>
      </c>
      <c r="AC6" s="18">
        <v>44835</v>
      </c>
      <c r="AD6" s="18">
        <v>44866</v>
      </c>
      <c r="AE6" s="18">
        <v>44896</v>
      </c>
      <c r="AF6" s="18">
        <v>44927</v>
      </c>
      <c r="AG6" s="18">
        <v>44958</v>
      </c>
      <c r="AH6" s="18">
        <v>44986</v>
      </c>
      <c r="AI6" s="18">
        <v>45017</v>
      </c>
      <c r="AJ6" s="18">
        <v>45047</v>
      </c>
      <c r="AK6" s="18">
        <v>45078</v>
      </c>
      <c r="AL6" s="18">
        <v>45108</v>
      </c>
      <c r="AM6" s="18">
        <v>45139</v>
      </c>
      <c r="AN6" s="18">
        <v>45170</v>
      </c>
      <c r="AO6" s="18">
        <v>45200</v>
      </c>
      <c r="AP6" s="18">
        <v>45231</v>
      </c>
      <c r="AQ6" s="18">
        <v>45261</v>
      </c>
      <c r="AR6" s="18">
        <v>45292</v>
      </c>
      <c r="AS6" s="18">
        <v>45323</v>
      </c>
      <c r="AT6" s="18">
        <v>45352</v>
      </c>
      <c r="AU6" s="18">
        <v>45383</v>
      </c>
      <c r="AV6" s="18">
        <v>45413</v>
      </c>
      <c r="AW6" s="18">
        <v>45444</v>
      </c>
      <c r="AX6" s="18">
        <v>45474</v>
      </c>
      <c r="AY6" s="18">
        <v>45505</v>
      </c>
      <c r="AZ6" s="18">
        <v>45536</v>
      </c>
      <c r="BA6" s="18">
        <v>45566</v>
      </c>
      <c r="BB6" s="18">
        <v>45597</v>
      </c>
      <c r="BC6" s="18">
        <v>45627</v>
      </c>
      <c r="BD6" s="18">
        <v>45658</v>
      </c>
      <c r="BE6" s="18">
        <v>45689</v>
      </c>
      <c r="BF6" s="18">
        <v>45717</v>
      </c>
      <c r="BG6" s="18">
        <v>45748</v>
      </c>
      <c r="BH6" s="18">
        <v>45778</v>
      </c>
      <c r="BI6" s="18">
        <v>45809</v>
      </c>
      <c r="BJ6" s="18">
        <v>45839</v>
      </c>
      <c r="BK6" s="18">
        <v>45870</v>
      </c>
      <c r="BL6" s="18">
        <v>45901</v>
      </c>
      <c r="BM6" s="18">
        <v>45931</v>
      </c>
      <c r="BN6" s="18">
        <v>45962</v>
      </c>
      <c r="BO6" s="18">
        <v>45992</v>
      </c>
      <c r="BP6" s="18">
        <v>46023</v>
      </c>
      <c r="BQ6" s="18">
        <v>46054</v>
      </c>
      <c r="BR6" s="18">
        <v>46082</v>
      </c>
      <c r="BS6" s="18">
        <v>46113</v>
      </c>
      <c r="BT6" s="18">
        <v>46143</v>
      </c>
      <c r="BU6" s="18">
        <v>46174</v>
      </c>
      <c r="BV6" s="18">
        <v>46204</v>
      </c>
      <c r="BW6" s="18">
        <v>46235</v>
      </c>
      <c r="BX6" s="18">
        <v>46266</v>
      </c>
      <c r="BY6" s="18">
        <v>46296</v>
      </c>
      <c r="BZ6" s="18">
        <v>46327</v>
      </c>
      <c r="CA6" s="18">
        <v>46357</v>
      </c>
    </row>
    <row r="7" spans="1:79" ht="15.75" customHeight="1">
      <c r="A7" s="4">
        <f ca="1">RANDBETWEEN(36,44)</f>
        <v>37</v>
      </c>
      <c r="B7" s="15" t="s">
        <v>104</v>
      </c>
      <c r="C7" s="16">
        <v>6705081</v>
      </c>
      <c r="D7" s="16">
        <v>6534162</v>
      </c>
      <c r="E7" s="16">
        <v>170919</v>
      </c>
      <c r="F7" s="12"/>
      <c r="G7" s="17" t="s">
        <v>105</v>
      </c>
      <c r="H7" s="19">
        <v>4.71</v>
      </c>
      <c r="I7" s="19">
        <v>4.79</v>
      </c>
      <c r="J7" s="19">
        <v>5.0599999999999996</v>
      </c>
      <c r="K7" s="19">
        <v>5.15</v>
      </c>
      <c r="L7" s="19">
        <v>5.17</v>
      </c>
      <c r="M7" s="19">
        <v>5.3</v>
      </c>
      <c r="N7" s="19">
        <v>5.46</v>
      </c>
      <c r="O7" s="19">
        <v>5.48</v>
      </c>
      <c r="P7" s="19">
        <v>5.63</v>
      </c>
      <c r="Q7" s="19">
        <v>5.89</v>
      </c>
      <c r="R7" s="19">
        <v>6.02</v>
      </c>
      <c r="S7" s="19">
        <v>5.95</v>
      </c>
      <c r="T7" s="19">
        <v>5.74</v>
      </c>
      <c r="U7" s="19">
        <v>5.4</v>
      </c>
      <c r="V7" s="19">
        <v>7.31</v>
      </c>
      <c r="W7" s="19">
        <v>8.34</v>
      </c>
      <c r="X7" s="19">
        <v>8.52</v>
      </c>
      <c r="Y7" s="19">
        <v>8.43</v>
      </c>
      <c r="Z7" s="19">
        <v>7.54</v>
      </c>
      <c r="AA7" s="19">
        <v>6.89</v>
      </c>
      <c r="AB7" s="19">
        <v>7.32</v>
      </c>
      <c r="AC7" s="19">
        <v>7.93</v>
      </c>
      <c r="AD7" s="19">
        <v>7.79</v>
      </c>
      <c r="AE7" s="19">
        <v>7.68</v>
      </c>
      <c r="AF7" s="19">
        <v>7.66</v>
      </c>
      <c r="AG7" s="19">
        <v>7.35</v>
      </c>
      <c r="AH7" s="19">
        <v>6.87</v>
      </c>
      <c r="AI7" s="19">
        <v>6.71</v>
      </c>
      <c r="AJ7" s="19">
        <v>6.19</v>
      </c>
      <c r="AK7" s="19">
        <v>6.14</v>
      </c>
      <c r="AL7" s="19">
        <v>6.15</v>
      </c>
      <c r="AM7" s="19">
        <v>6.22</v>
      </c>
      <c r="AN7" s="19">
        <v>6.18</v>
      </c>
      <c r="AO7" s="19">
        <v>6.12</v>
      </c>
      <c r="AP7" s="19">
        <v>6.75</v>
      </c>
      <c r="AQ7" s="19">
        <v>6.49</v>
      </c>
      <c r="AR7" s="19">
        <v>6.46</v>
      </c>
      <c r="AS7" s="19">
        <v>6.79</v>
      </c>
      <c r="AT7" s="19">
        <v>6.73</v>
      </c>
      <c r="AU7" s="19">
        <v>6.66</v>
      </c>
      <c r="AV7" s="19">
        <v>6.54</v>
      </c>
      <c r="AW7" s="19">
        <v>6.44</v>
      </c>
      <c r="AX7" s="19">
        <v>6.35</v>
      </c>
      <c r="AY7" s="19">
        <v>6.21</v>
      </c>
      <c r="AZ7" s="19">
        <v>6</v>
      </c>
      <c r="BA7" s="19">
        <v>6.1</v>
      </c>
      <c r="BB7" s="19">
        <v>6.07</v>
      </c>
      <c r="BC7" s="19">
        <v>6.15</v>
      </c>
      <c r="BD7" s="19">
        <v>6.32</v>
      </c>
      <c r="BE7" s="19">
        <v>6.38</v>
      </c>
      <c r="BF7" s="19">
        <v>6.27</v>
      </c>
      <c r="BG7" s="19">
        <v>6.03</v>
      </c>
      <c r="BH7" s="19">
        <v>5.98</v>
      </c>
      <c r="BI7" s="19">
        <v>5.88</v>
      </c>
      <c r="BJ7" s="19">
        <v>6.11</v>
      </c>
      <c r="BK7" s="19">
        <v>6.01</v>
      </c>
      <c r="BL7" s="19">
        <v>5.94</v>
      </c>
      <c r="BM7" s="19">
        <v>6.03</v>
      </c>
      <c r="BN7" s="19">
        <v>6.21</v>
      </c>
      <c r="BO7" s="19">
        <v>6.19</v>
      </c>
      <c r="BP7" s="19">
        <f t="shared" ref="BP7:CA7" si="0">FORECAST(BP6,H7:BO7,H6:BO6)</f>
        <v>6.490449834804406</v>
      </c>
      <c r="BQ7" s="19">
        <f t="shared" si="0"/>
        <v>6.4404309723732354</v>
      </c>
      <c r="BR7" s="19">
        <f t="shared" si="0"/>
        <v>6.3869744546845268</v>
      </c>
      <c r="BS7" s="19">
        <f t="shared" si="0"/>
        <v>6.336420169563282</v>
      </c>
      <c r="BT7" s="19">
        <f t="shared" si="0"/>
        <v>6.2835476507339845</v>
      </c>
      <c r="BU7" s="19">
        <f t="shared" si="0"/>
        <v>6.2255706058723899</v>
      </c>
      <c r="BV7" s="19">
        <f t="shared" si="0"/>
        <v>6.1667158532520041</v>
      </c>
      <c r="BW7" s="19">
        <f t="shared" si="0"/>
        <v>6.107537547838529</v>
      </c>
      <c r="BX7" s="19">
        <f t="shared" si="0"/>
        <v>6.0438906465518585</v>
      </c>
      <c r="BY7" s="19">
        <f t="shared" si="0"/>
        <v>5.9807769567040694</v>
      </c>
      <c r="BZ7" s="19">
        <f t="shared" si="0"/>
        <v>5.9212047973636359</v>
      </c>
      <c r="CA7" s="19">
        <f t="shared" si="0"/>
        <v>5.8627907750168688</v>
      </c>
    </row>
    <row r="8" spans="1:79" ht="15.75" customHeight="1">
      <c r="A8" s="4">
        <f ca="1">RANDBETWEEN(27,33)</f>
        <v>33</v>
      </c>
      <c r="B8" s="15" t="s">
        <v>106</v>
      </c>
      <c r="C8" s="16">
        <v>41320</v>
      </c>
      <c r="D8" s="16">
        <v>40021</v>
      </c>
      <c r="E8" s="16">
        <v>1299</v>
      </c>
      <c r="F8" s="12"/>
      <c r="G8" s="19">
        <f>AVERAGE(AR7:BC7)</f>
        <v>6.375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</row>
    <row r="9" spans="1:79" ht="15.75" customHeight="1">
      <c r="A9" s="3"/>
      <c r="B9" s="15" t="s">
        <v>107</v>
      </c>
      <c r="C9" s="20">
        <v>8955514</v>
      </c>
      <c r="D9" s="20">
        <v>8751991</v>
      </c>
      <c r="E9" s="20">
        <v>203523</v>
      </c>
      <c r="F9" s="21">
        <f>SUM(C6:E8)</f>
        <v>17911028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 t="s">
        <v>10</v>
      </c>
      <c r="BY9" s="3"/>
      <c r="BZ9" s="3"/>
      <c r="CA9" s="3"/>
    </row>
    <row r="10" spans="1:79" ht="15.75" customHeight="1">
      <c r="A10" s="3"/>
      <c r="B10" s="12"/>
      <c r="C10" s="12"/>
      <c r="D10" s="12"/>
      <c r="E10" s="12"/>
      <c r="F10" s="12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 t="s">
        <v>10</v>
      </c>
      <c r="BY10" s="3"/>
      <c r="BZ10" s="3"/>
      <c r="CA10" s="3"/>
    </row>
    <row r="11" spans="1:79" ht="15.75" customHeight="1">
      <c r="A11" s="3"/>
      <c r="B11" s="12" t="s">
        <v>108</v>
      </c>
      <c r="C11" s="13" t="s">
        <v>91</v>
      </c>
      <c r="D11" s="13" t="s">
        <v>99</v>
      </c>
      <c r="E11" s="13" t="s">
        <v>100</v>
      </c>
      <c r="F11" s="12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 t="s">
        <v>10</v>
      </c>
      <c r="BY11" s="3"/>
      <c r="BZ11" s="3"/>
      <c r="CA11" s="3"/>
    </row>
    <row r="12" spans="1:79" ht="15.75" customHeight="1">
      <c r="A12" s="3"/>
      <c r="B12" s="15" t="s">
        <v>102</v>
      </c>
      <c r="C12" s="22">
        <f ca="1">(A6*C6/100)*$P$25</f>
        <v>6632312.6982592158</v>
      </c>
      <c r="D12" s="22">
        <f ca="1">(A6*D6/100)*$P$25</f>
        <v>6538327.2167474031</v>
      </c>
      <c r="E12" s="22">
        <f ca="1">(A6*E6/100)*$P$25</f>
        <v>93985.481511812555</v>
      </c>
      <c r="F12" s="12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 t="s">
        <v>10</v>
      </c>
      <c r="BY12" s="3"/>
      <c r="BZ12" s="3"/>
      <c r="CA12" s="3"/>
    </row>
    <row r="13" spans="1:79" ht="15.75" customHeight="1">
      <c r="A13" s="3"/>
      <c r="B13" s="15" t="s">
        <v>104</v>
      </c>
      <c r="C13" s="22">
        <f ca="1">(A7*C7/100)*$P$25</f>
        <v>14896450.953742923</v>
      </c>
      <c r="D13" s="22">
        <f ca="1">(A7*D7/100)*$P$25</f>
        <v>14516726.010738835</v>
      </c>
      <c r="E13" s="22">
        <f ca="1">(A7*E7/100)*$P$25</f>
        <v>379724.94300408696</v>
      </c>
      <c r="F13" s="12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 t="s">
        <v>10</v>
      </c>
      <c r="BY13" s="3"/>
      <c r="BZ13" s="3"/>
      <c r="CA13" s="3"/>
    </row>
    <row r="14" spans="1:79" ht="15.75" customHeight="1">
      <c r="A14" s="3"/>
      <c r="B14" s="15" t="s">
        <v>106</v>
      </c>
      <c r="C14" s="22">
        <f ca="1">(A8*C8/100)*$P$25</f>
        <v>81874.999629610043</v>
      </c>
      <c r="D14" s="22">
        <f ca="1">(A8*D8/100)*$P$25</f>
        <v>79301.049375039292</v>
      </c>
      <c r="E14" s="22">
        <f ca="1">(A8*E8/100)*$P$25</f>
        <v>2573.9502545707514</v>
      </c>
      <c r="F14" s="12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</row>
    <row r="15" spans="1:79" ht="15.75" customHeight="1">
      <c r="A15" s="3"/>
      <c r="B15" s="15" t="s">
        <v>107</v>
      </c>
      <c r="C15" s="22">
        <f ca="1">SUM(C12:C14)</f>
        <v>21610638.65163175</v>
      </c>
      <c r="D15" s="22">
        <f ca="1">SUM(D12:D14)</f>
        <v>21134354.276861276</v>
      </c>
      <c r="E15" s="22">
        <f ca="1">SUM(E12:E14)</f>
        <v>476284.37477047025</v>
      </c>
      <c r="F15" s="12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</row>
    <row r="16" spans="1:79" ht="15.75" customHeight="1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</row>
    <row r="17" spans="1:79" ht="15.75" customHeight="1">
      <c r="A17" s="3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</row>
    <row r="18" spans="1:79" ht="15.75" customHeight="1">
      <c r="A18" s="3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</row>
    <row r="19" spans="1:79" ht="15.75" customHeight="1">
      <c r="A19" s="3"/>
      <c r="B19" s="12"/>
      <c r="C19" s="12"/>
      <c r="D19" s="12"/>
      <c r="E19" s="12"/>
      <c r="F19" s="12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</row>
    <row r="20" spans="1:79" ht="15.75" customHeight="1">
      <c r="A20" s="3"/>
      <c r="B20" s="12" t="s">
        <v>109</v>
      </c>
      <c r="C20" s="12"/>
      <c r="D20" s="12"/>
      <c r="E20" s="12"/>
      <c r="F20" s="12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</row>
    <row r="21" spans="1:79" ht="15.75" customHeight="1">
      <c r="A21" s="3"/>
      <c r="B21" s="13" t="s">
        <v>98</v>
      </c>
      <c r="C21" s="13" t="s">
        <v>91</v>
      </c>
      <c r="D21" s="13" t="s">
        <v>99</v>
      </c>
      <c r="E21" s="13" t="s">
        <v>100</v>
      </c>
      <c r="F21" s="12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</row>
    <row r="22" spans="1:79" ht="15.75" customHeight="1">
      <c r="A22" s="4">
        <f ca="1">RANDBETWEEN(31.5,38.5)</f>
        <v>34</v>
      </c>
      <c r="B22" s="15" t="s">
        <v>102</v>
      </c>
      <c r="C22" s="16">
        <v>539625</v>
      </c>
      <c r="D22" s="16">
        <v>518622</v>
      </c>
      <c r="E22" s="16">
        <v>21003</v>
      </c>
      <c r="F22" s="12"/>
      <c r="G22" s="5"/>
      <c r="H22" s="5"/>
      <c r="I22" s="18">
        <v>44927</v>
      </c>
      <c r="J22" s="18">
        <v>44958</v>
      </c>
      <c r="K22" s="18">
        <v>44986</v>
      </c>
      <c r="L22" s="18">
        <v>45017</v>
      </c>
      <c r="M22" s="18">
        <v>45047</v>
      </c>
      <c r="N22" s="18">
        <v>45078</v>
      </c>
      <c r="O22" s="18">
        <v>45108</v>
      </c>
      <c r="P22" s="18">
        <v>45139</v>
      </c>
      <c r="Q22" s="18">
        <v>45170</v>
      </c>
      <c r="R22" s="18">
        <v>45200</v>
      </c>
      <c r="S22" s="18">
        <v>45231</v>
      </c>
      <c r="T22" s="18">
        <v>45261</v>
      </c>
      <c r="U22" s="18">
        <v>45292</v>
      </c>
      <c r="V22" s="18">
        <v>45323</v>
      </c>
      <c r="W22" s="18">
        <v>45352</v>
      </c>
      <c r="X22" s="18">
        <v>45383</v>
      </c>
      <c r="Y22" s="18">
        <v>45413</v>
      </c>
      <c r="Z22" s="18">
        <v>45444</v>
      </c>
      <c r="AA22" s="18">
        <v>45474</v>
      </c>
      <c r="AB22" s="18">
        <v>45505</v>
      </c>
      <c r="AC22" s="18">
        <v>45536</v>
      </c>
      <c r="AD22" s="18">
        <v>45566</v>
      </c>
      <c r="AE22" s="18">
        <v>45597</v>
      </c>
      <c r="AF22" s="18">
        <v>45627</v>
      </c>
      <c r="AG22" s="18">
        <v>45658</v>
      </c>
      <c r="AH22" s="18">
        <v>45689</v>
      </c>
      <c r="AI22" s="18">
        <v>45717</v>
      </c>
      <c r="AJ22" s="18">
        <v>45748</v>
      </c>
      <c r="AK22" s="18">
        <v>45778</v>
      </c>
      <c r="AL22" s="18">
        <v>45809</v>
      </c>
      <c r="AM22" s="18">
        <v>45839</v>
      </c>
      <c r="AN22" s="18">
        <v>45870</v>
      </c>
      <c r="AO22" s="18">
        <v>45901</v>
      </c>
      <c r="AP22" s="18">
        <v>45931</v>
      </c>
      <c r="AQ22" s="18">
        <v>45962</v>
      </c>
      <c r="AR22" s="18">
        <v>45992</v>
      </c>
      <c r="AS22" s="18">
        <v>46023</v>
      </c>
      <c r="AT22" s="18">
        <v>46054</v>
      </c>
      <c r="AU22" s="18">
        <v>46082</v>
      </c>
      <c r="AV22" s="18">
        <v>46113</v>
      </c>
      <c r="AW22" s="18">
        <v>46143</v>
      </c>
      <c r="AX22" s="18">
        <v>46174</v>
      </c>
      <c r="AY22" s="18">
        <v>46204</v>
      </c>
      <c r="AZ22" s="18">
        <v>46235</v>
      </c>
      <c r="BA22" s="18">
        <v>46266</v>
      </c>
      <c r="BB22" s="18">
        <v>46296</v>
      </c>
      <c r="BC22" s="18">
        <v>46327</v>
      </c>
      <c r="BD22" s="18">
        <v>46357</v>
      </c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</row>
    <row r="23" spans="1:79" ht="15.75" customHeight="1">
      <c r="A23" s="4">
        <f ca="1">RANDBETWEEN(25.2,30.8)</f>
        <v>28</v>
      </c>
      <c r="B23" s="15" t="s">
        <v>104</v>
      </c>
      <c r="C23" s="16">
        <v>960693</v>
      </c>
      <c r="D23" s="16">
        <v>927702</v>
      </c>
      <c r="E23" s="16">
        <v>32991</v>
      </c>
      <c r="F23" s="12"/>
      <c r="G23" s="5"/>
      <c r="H23" s="5"/>
      <c r="I23" s="19">
        <v>7.66</v>
      </c>
      <c r="J23" s="19">
        <v>7.35</v>
      </c>
      <c r="K23" s="19">
        <v>6.87</v>
      </c>
      <c r="L23" s="19">
        <v>6.71</v>
      </c>
      <c r="M23" s="19">
        <v>6.19</v>
      </c>
      <c r="N23" s="19">
        <v>6.14</v>
      </c>
      <c r="O23" s="19">
        <v>6.15</v>
      </c>
      <c r="P23" s="19">
        <v>6.22</v>
      </c>
      <c r="Q23" s="19">
        <v>6.18</v>
      </c>
      <c r="R23" s="19">
        <v>6.12</v>
      </c>
      <c r="S23" s="19">
        <v>6.75</v>
      </c>
      <c r="T23" s="19">
        <v>6.49</v>
      </c>
      <c r="U23" s="19">
        <v>6.46</v>
      </c>
      <c r="V23" s="19">
        <v>6.79</v>
      </c>
      <c r="W23" s="19">
        <v>6.73</v>
      </c>
      <c r="X23" s="19">
        <v>6.66</v>
      </c>
      <c r="Y23" s="19">
        <v>6.54</v>
      </c>
      <c r="Z23" s="19">
        <v>6.44</v>
      </c>
      <c r="AA23" s="19">
        <v>6.35</v>
      </c>
      <c r="AB23" s="19">
        <v>6.21</v>
      </c>
      <c r="AC23" s="19">
        <v>6</v>
      </c>
      <c r="AD23" s="19">
        <v>6.1</v>
      </c>
      <c r="AE23" s="19">
        <v>6.07</v>
      </c>
      <c r="AF23" s="19">
        <v>6.15</v>
      </c>
      <c r="AG23" s="19">
        <v>6.32</v>
      </c>
      <c r="AH23" s="19">
        <v>6.38</v>
      </c>
      <c r="AI23" s="19">
        <v>6.27</v>
      </c>
      <c r="AJ23" s="19">
        <v>6.03</v>
      </c>
      <c r="AK23" s="19">
        <v>5.98</v>
      </c>
      <c r="AL23" s="19">
        <v>5.88</v>
      </c>
      <c r="AM23" s="19">
        <v>6.11</v>
      </c>
      <c r="AN23" s="19">
        <v>6.01</v>
      </c>
      <c r="AO23" s="19">
        <v>5.94</v>
      </c>
      <c r="AP23" s="19">
        <v>6.03</v>
      </c>
      <c r="AQ23" s="19">
        <v>6.21</v>
      </c>
      <c r="AR23" s="23">
        <v>6.19</v>
      </c>
      <c r="AS23" s="23">
        <v>6.2156047000000001</v>
      </c>
      <c r="AT23" s="23">
        <v>6.3485981000000002</v>
      </c>
      <c r="AU23" s="23">
        <v>6.2744445000000004</v>
      </c>
      <c r="AV23" s="23">
        <v>6.2062223999999997</v>
      </c>
      <c r="AW23" s="23">
        <v>6.1226374999999997</v>
      </c>
      <c r="AX23" s="23">
        <v>5.9483296000000001</v>
      </c>
      <c r="AY23" s="23">
        <v>5.9150223999999998</v>
      </c>
      <c r="AZ23" s="23">
        <v>5.7821812000000001</v>
      </c>
      <c r="BA23" s="23">
        <v>5.6621870999999997</v>
      </c>
      <c r="BB23" s="23">
        <v>5.6976880000000003</v>
      </c>
      <c r="BC23" s="23">
        <v>5.9350911999999996</v>
      </c>
      <c r="BD23" s="23">
        <v>5.9460280000000001</v>
      </c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</row>
    <row r="24" spans="1:79" ht="15.75" customHeight="1">
      <c r="A24" s="3"/>
      <c r="B24" s="15" t="s">
        <v>107</v>
      </c>
      <c r="C24" s="20">
        <v>1500318</v>
      </c>
      <c r="D24" s="20">
        <v>1446324</v>
      </c>
      <c r="E24" s="20">
        <v>53994</v>
      </c>
      <c r="F24" s="12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</row>
    <row r="25" spans="1:79" ht="15.75" customHeight="1">
      <c r="A25" s="3"/>
      <c r="B25" s="12"/>
      <c r="C25" s="12"/>
      <c r="D25" s="12"/>
      <c r="E25" s="12"/>
      <c r="F25" s="12"/>
      <c r="G25" s="5"/>
      <c r="H25" s="5"/>
      <c r="I25" s="5"/>
      <c r="J25" s="5"/>
      <c r="K25" s="5"/>
      <c r="L25" s="5"/>
      <c r="M25" s="5"/>
      <c r="N25" s="5"/>
      <c r="O25" s="5" t="s">
        <v>110</v>
      </c>
      <c r="P25" s="24">
        <v>6.0045028916666698</v>
      </c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</row>
    <row r="26" spans="1:79" ht="15.75" customHeight="1">
      <c r="A26" s="3"/>
      <c r="B26" s="12" t="s">
        <v>109</v>
      </c>
      <c r="C26" s="12"/>
      <c r="D26" s="12"/>
      <c r="E26" s="12"/>
      <c r="F26" s="12"/>
      <c r="G26" s="25">
        <f ca="1">SUM(C24,C15)</f>
        <v>23110956.65163175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26"/>
      <c r="AR26" s="26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</row>
    <row r="27" spans="1:79" ht="15.75" customHeight="1">
      <c r="A27" s="3"/>
      <c r="B27" s="13" t="s">
        <v>98</v>
      </c>
      <c r="C27" s="13" t="s">
        <v>91</v>
      </c>
      <c r="D27" s="13" t="s">
        <v>99</v>
      </c>
      <c r="E27" s="13" t="s">
        <v>100</v>
      </c>
      <c r="F27" s="12"/>
      <c r="G27" s="5" t="s">
        <v>10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26"/>
      <c r="AR27" s="26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</row>
    <row r="28" spans="1:79" ht="15.75" customHeight="1">
      <c r="A28" s="3"/>
      <c r="B28" s="15" t="s">
        <v>111</v>
      </c>
      <c r="C28" s="22">
        <f ca="1">A22 * C22/100 *$P$25</f>
        <v>1101661.1567913131</v>
      </c>
      <c r="D28" s="22">
        <f ca="1">A22 * D22/100 * $P$25</f>
        <v>1058782.8815518636</v>
      </c>
      <c r="E28" s="22">
        <f ca="1">A22 * E22/100 * $P$25</f>
        <v>42878.275239449526</v>
      </c>
      <c r="F28" s="27"/>
      <c r="G28" s="28"/>
      <c r="H28" s="28"/>
      <c r="I28" s="28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26"/>
      <c r="AR28" s="26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</row>
    <row r="29" spans="1:79" ht="15.75" customHeight="1">
      <c r="A29" s="3"/>
      <c r="B29" s="15" t="s">
        <v>112</v>
      </c>
      <c r="C29" s="22">
        <f ca="1">A23 * C23/100 * $P$25</f>
        <v>1615175.4910210997</v>
      </c>
      <c r="D29" s="22">
        <f ca="1">A23 * D23/100 * $P$25</f>
        <v>1559709.0156493869</v>
      </c>
      <c r="E29" s="22">
        <f ca="1">A23 * E23/100 * $P$25</f>
        <v>55466.47537171303</v>
      </c>
      <c r="F29" s="12"/>
      <c r="G29" s="3"/>
      <c r="H29" s="3"/>
      <c r="I29" s="3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26"/>
      <c r="AR29" s="26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</row>
    <row r="30" spans="1:79" ht="15.75" customHeight="1">
      <c r="A30" s="3"/>
      <c r="B30" s="15" t="s">
        <v>107</v>
      </c>
      <c r="C30" s="29">
        <f ca="1">SUM(C28:C29)</f>
        <v>2716836.6478124131</v>
      </c>
      <c r="D30" s="29">
        <f ca="1">SUM(D28:D29)</f>
        <v>2618491.8972012503</v>
      </c>
      <c r="E30" s="29">
        <f ca="1">SUM(E28:E29)</f>
        <v>98344.750611162555</v>
      </c>
      <c r="F30" s="12" t="s">
        <v>10</v>
      </c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26"/>
      <c r="AR30" s="26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</row>
    <row r="31" spans="1:79" ht="15.75" customHeight="1">
      <c r="A31" s="3"/>
      <c r="B31" s="5"/>
      <c r="C31" s="5"/>
      <c r="D31" s="5"/>
      <c r="E31" s="5"/>
      <c r="F31" s="5" t="s">
        <v>10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26"/>
      <c r="AR31" s="26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</row>
    <row r="32" spans="1:79" ht="15.75" customHeight="1">
      <c r="A32" s="3"/>
      <c r="B32" s="5"/>
      <c r="C32" s="5"/>
      <c r="D32" s="5"/>
      <c r="E32" s="5"/>
      <c r="F32" s="5" t="s">
        <v>10</v>
      </c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26"/>
      <c r="AR32" s="26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</row>
    <row r="33" spans="1:79" ht="15.75" customHeight="1">
      <c r="A33" s="3"/>
      <c r="B33" s="5"/>
      <c r="C33" s="5"/>
      <c r="D33" s="5"/>
      <c r="E33" s="5"/>
      <c r="F33" s="5" t="s">
        <v>10</v>
      </c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26"/>
      <c r="AR33" s="26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</row>
    <row r="34" spans="1:79" ht="15.75" customHeight="1">
      <c r="A34" s="3"/>
      <c r="B34" s="5" t="s">
        <v>113</v>
      </c>
      <c r="C34" s="30">
        <v>-1847500</v>
      </c>
      <c r="D34" s="31"/>
      <c r="E34" s="5"/>
      <c r="F34" s="5" t="s">
        <v>10</v>
      </c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26"/>
      <c r="AR34" s="26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</row>
    <row r="35" spans="1:79" ht="15.75" customHeight="1">
      <c r="A35" s="3"/>
      <c r="B35" s="5"/>
      <c r="C35" s="5"/>
      <c r="D35" s="5"/>
      <c r="E35" s="5"/>
      <c r="F35" s="5" t="s">
        <v>10</v>
      </c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26"/>
      <c r="AR35" s="26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</row>
    <row r="36" spans="1:79" ht="15.75" customHeight="1">
      <c r="A36" s="3"/>
      <c r="B36" s="5"/>
      <c r="C36" s="5"/>
      <c r="D36" s="5"/>
      <c r="E36" s="5"/>
      <c r="F36" s="5" t="s">
        <v>10</v>
      </c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26"/>
      <c r="AR36" s="26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</row>
    <row r="37" spans="1:79" ht="15.75" customHeight="1">
      <c r="A37" s="3"/>
      <c r="B37" s="5"/>
      <c r="C37" s="5"/>
      <c r="D37" s="5"/>
      <c r="E37" s="5"/>
      <c r="F37" s="5" t="s">
        <v>10</v>
      </c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26"/>
      <c r="AR37" s="26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</row>
    <row r="38" spans="1:79" ht="15.75" customHeight="1">
      <c r="A38" s="3"/>
      <c r="B38" s="5"/>
      <c r="C38" s="5"/>
      <c r="D38" s="5"/>
      <c r="E38" s="5"/>
      <c r="F38" s="5" t="s">
        <v>10</v>
      </c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26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</row>
    <row r="39" spans="1:79" ht="15.75" customHeight="1">
      <c r="A39" s="3"/>
      <c r="B39" s="5">
        <v>2023</v>
      </c>
      <c r="C39" s="5"/>
      <c r="D39" s="5"/>
      <c r="E39" s="5"/>
      <c r="F39" s="5" t="s">
        <v>10</v>
      </c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26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</row>
    <row r="40" spans="1:79" ht="13.8">
      <c r="I40" s="32" t="s">
        <v>114</v>
      </c>
      <c r="J40" s="33" t="s">
        <v>115</v>
      </c>
      <c r="K40" s="33" t="s">
        <v>116</v>
      </c>
      <c r="L40" s="33" t="s">
        <v>117</v>
      </c>
      <c r="M40" s="34" t="s">
        <v>118</v>
      </c>
      <c r="AP40" s="2"/>
      <c r="AQ40" s="26"/>
      <c r="AR40" s="2"/>
      <c r="AS40" s="2"/>
      <c r="AT40" s="2"/>
    </row>
    <row r="41" spans="1:79" ht="15.75" customHeight="1">
      <c r="I41" s="35">
        <v>46045</v>
      </c>
      <c r="J41" s="36">
        <v>7.66</v>
      </c>
      <c r="K41" s="37"/>
      <c r="L41" s="37"/>
      <c r="M41" s="38"/>
      <c r="AP41" s="2"/>
      <c r="AQ41" s="26"/>
      <c r="AR41" s="2"/>
      <c r="AS41" s="2"/>
      <c r="AT41" s="2"/>
    </row>
    <row r="42" spans="1:79" ht="15.75" customHeight="1">
      <c r="I42" s="39">
        <v>46076</v>
      </c>
      <c r="J42" s="40">
        <v>7.35</v>
      </c>
      <c r="K42" s="41"/>
      <c r="L42" s="41"/>
      <c r="M42" s="42"/>
      <c r="AP42" s="2"/>
      <c r="AQ42" s="26"/>
      <c r="AR42" s="2"/>
      <c r="AS42" s="2"/>
      <c r="AT42" s="2"/>
    </row>
    <row r="43" spans="1:79" ht="15.75" customHeight="1">
      <c r="I43" s="35">
        <v>46104</v>
      </c>
      <c r="J43" s="36">
        <v>6.87</v>
      </c>
      <c r="K43" s="37"/>
      <c r="L43" s="37"/>
      <c r="M43" s="38"/>
      <c r="AP43" s="2"/>
      <c r="AQ43" s="26"/>
      <c r="AR43" s="2"/>
      <c r="AS43" s="2"/>
      <c r="AT43" s="2"/>
    </row>
    <row r="44" spans="1:79" ht="15.75" customHeight="1">
      <c r="I44" s="39">
        <v>46135</v>
      </c>
      <c r="J44" s="40">
        <v>6.71</v>
      </c>
      <c r="K44" s="41"/>
      <c r="L44" s="41"/>
      <c r="M44" s="42"/>
      <c r="AP44" s="2"/>
      <c r="AQ44" s="26"/>
      <c r="AR44" s="2"/>
      <c r="AS44" s="2"/>
      <c r="AT44" s="2"/>
    </row>
    <row r="45" spans="1:79" ht="15.75" customHeight="1">
      <c r="I45" s="35">
        <v>46165</v>
      </c>
      <c r="J45" s="36">
        <v>6.19</v>
      </c>
      <c r="K45" s="37"/>
      <c r="L45" s="37"/>
      <c r="M45" s="38"/>
      <c r="AP45" s="2"/>
      <c r="AQ45" s="26"/>
      <c r="AR45" s="2"/>
      <c r="AS45" s="2"/>
      <c r="AT45" s="2"/>
    </row>
    <row r="46" spans="1:79" ht="15.75" customHeight="1">
      <c r="I46" s="39">
        <v>46196</v>
      </c>
      <c r="J46" s="40">
        <v>6.14</v>
      </c>
      <c r="K46" s="41"/>
      <c r="L46" s="41"/>
      <c r="M46" s="42"/>
      <c r="AP46" s="2"/>
      <c r="AQ46" s="26"/>
      <c r="AR46" s="2"/>
      <c r="AS46" s="2"/>
      <c r="AT46" s="2"/>
    </row>
    <row r="47" spans="1:79" ht="15.75" customHeight="1">
      <c r="I47" s="35">
        <v>46226</v>
      </c>
      <c r="J47" s="36">
        <v>6.15</v>
      </c>
      <c r="K47" s="37"/>
      <c r="L47" s="37"/>
      <c r="M47" s="38"/>
      <c r="AP47" s="2"/>
      <c r="AQ47" s="26"/>
      <c r="AR47" s="2"/>
      <c r="AS47" s="2"/>
      <c r="AT47" s="2"/>
    </row>
    <row r="48" spans="1:79" ht="15.75" customHeight="1">
      <c r="I48" s="39">
        <v>46257</v>
      </c>
      <c r="J48" s="40">
        <v>6.22</v>
      </c>
      <c r="K48" s="41"/>
      <c r="L48" s="41"/>
      <c r="M48" s="42"/>
      <c r="AP48" s="2"/>
      <c r="AQ48" s="26"/>
      <c r="AR48" s="2"/>
      <c r="AS48" s="2"/>
      <c r="AT48" s="2"/>
    </row>
    <row r="49" spans="9:46" ht="13.8">
      <c r="I49" s="35">
        <v>46288</v>
      </c>
      <c r="J49" s="36">
        <v>6.18</v>
      </c>
      <c r="K49" s="37"/>
      <c r="L49" s="37"/>
      <c r="M49" s="38"/>
      <c r="AP49" s="2"/>
      <c r="AQ49" s="26"/>
      <c r="AR49" s="2"/>
      <c r="AS49" s="2"/>
      <c r="AT49" s="2"/>
    </row>
    <row r="50" spans="9:46" ht="13.8">
      <c r="I50" s="39">
        <v>46318</v>
      </c>
      <c r="J50" s="40">
        <v>6.12</v>
      </c>
      <c r="K50" s="41"/>
      <c r="L50" s="41"/>
      <c r="M50" s="42"/>
      <c r="AP50" s="2"/>
      <c r="AQ50" s="26"/>
      <c r="AR50" s="2"/>
      <c r="AS50" s="2"/>
      <c r="AT50" s="2"/>
    </row>
    <row r="51" spans="9:46" ht="13.8">
      <c r="I51" s="35">
        <v>46349</v>
      </c>
      <c r="J51" s="36">
        <v>6.75</v>
      </c>
      <c r="K51" s="37"/>
      <c r="L51" s="37"/>
      <c r="M51" s="38"/>
    </row>
    <row r="52" spans="9:46" ht="13.8">
      <c r="I52" s="39">
        <v>46379</v>
      </c>
      <c r="J52" s="40">
        <v>6.49</v>
      </c>
      <c r="K52" s="41"/>
      <c r="L52" s="41"/>
      <c r="M52" s="42"/>
    </row>
    <row r="53" spans="9:46" ht="13.8">
      <c r="I53" s="35">
        <v>46046</v>
      </c>
      <c r="J53" s="36">
        <v>6.46</v>
      </c>
      <c r="K53" s="37"/>
      <c r="L53" s="37"/>
      <c r="M53" s="38"/>
    </row>
    <row r="54" spans="9:46" ht="13.8">
      <c r="I54" s="39">
        <v>46077</v>
      </c>
      <c r="J54" s="40">
        <v>6.79</v>
      </c>
      <c r="K54" s="41"/>
      <c r="L54" s="41"/>
      <c r="M54" s="42"/>
    </row>
    <row r="55" spans="9:46" ht="13.8">
      <c r="I55" s="35">
        <v>46105</v>
      </c>
      <c r="J55" s="36">
        <v>6.73</v>
      </c>
      <c r="K55" s="37"/>
      <c r="L55" s="37"/>
      <c r="M55" s="38"/>
    </row>
    <row r="56" spans="9:46" ht="13.8">
      <c r="I56" s="39">
        <v>46136</v>
      </c>
      <c r="J56" s="40">
        <v>6.66</v>
      </c>
      <c r="K56" s="41"/>
      <c r="L56" s="41"/>
      <c r="M56" s="42"/>
    </row>
    <row r="57" spans="9:46" ht="13.8">
      <c r="I57" s="35">
        <v>46166</v>
      </c>
      <c r="J57" s="36">
        <v>6.54</v>
      </c>
      <c r="K57" s="37"/>
      <c r="L57" s="37"/>
      <c r="M57" s="38"/>
    </row>
    <row r="58" spans="9:46" ht="13.8">
      <c r="I58" s="39">
        <v>46197</v>
      </c>
      <c r="J58" s="40">
        <v>6.44</v>
      </c>
      <c r="K58" s="41"/>
      <c r="L58" s="41"/>
      <c r="M58" s="42"/>
    </row>
    <row r="59" spans="9:46" ht="13.8">
      <c r="I59" s="35">
        <v>46227</v>
      </c>
      <c r="J59" s="36">
        <v>6.35</v>
      </c>
      <c r="K59" s="37"/>
      <c r="L59" s="37"/>
      <c r="M59" s="38"/>
    </row>
    <row r="60" spans="9:46" ht="13.8">
      <c r="I60" s="39">
        <v>46258</v>
      </c>
      <c r="J60" s="40">
        <v>6.21</v>
      </c>
      <c r="K60" s="41"/>
      <c r="L60" s="41"/>
      <c r="M60" s="42"/>
    </row>
    <row r="61" spans="9:46" ht="13.8">
      <c r="I61" s="35">
        <v>46289</v>
      </c>
      <c r="J61" s="36">
        <v>6</v>
      </c>
      <c r="K61" s="37"/>
      <c r="L61" s="37"/>
      <c r="M61" s="38"/>
    </row>
    <row r="62" spans="9:46" ht="13.8">
      <c r="I62" s="39">
        <v>46319</v>
      </c>
      <c r="J62" s="40">
        <v>6.1</v>
      </c>
      <c r="K62" s="41"/>
      <c r="L62" s="41"/>
      <c r="M62" s="42"/>
    </row>
    <row r="63" spans="9:46" ht="13.8">
      <c r="I63" s="35">
        <v>46350</v>
      </c>
      <c r="J63" s="36">
        <v>6.07</v>
      </c>
      <c r="K63" s="37"/>
      <c r="L63" s="37"/>
      <c r="M63" s="38"/>
    </row>
    <row r="64" spans="9:46" ht="13.8">
      <c r="I64" s="39">
        <v>46380</v>
      </c>
      <c r="J64" s="40">
        <v>6.15</v>
      </c>
      <c r="K64" s="41"/>
      <c r="L64" s="41"/>
      <c r="M64" s="42"/>
    </row>
    <row r="65" spans="9:13" ht="13.8">
      <c r="I65" s="35">
        <v>46047</v>
      </c>
      <c r="J65" s="36">
        <v>6.32</v>
      </c>
      <c r="K65" s="37"/>
      <c r="L65" s="37"/>
      <c r="M65" s="38"/>
    </row>
    <row r="66" spans="9:13" ht="13.8">
      <c r="I66" s="39">
        <v>46078</v>
      </c>
      <c r="J66" s="40">
        <v>6.38</v>
      </c>
      <c r="K66" s="41"/>
      <c r="L66" s="41"/>
      <c r="M66" s="42"/>
    </row>
    <row r="67" spans="9:13" ht="13.8">
      <c r="I67" s="35">
        <v>46106</v>
      </c>
      <c r="J67" s="36">
        <v>6.27</v>
      </c>
      <c r="K67" s="37"/>
      <c r="L67" s="37"/>
      <c r="M67" s="38"/>
    </row>
    <row r="68" spans="9:13" ht="13.8">
      <c r="I68" s="39">
        <v>46137</v>
      </c>
      <c r="J68" s="40">
        <v>6.03</v>
      </c>
      <c r="K68" s="41"/>
      <c r="L68" s="41"/>
      <c r="M68" s="42"/>
    </row>
    <row r="69" spans="9:13" ht="13.8">
      <c r="I69" s="35">
        <v>46167</v>
      </c>
      <c r="J69" s="36">
        <v>5.98</v>
      </c>
      <c r="K69" s="37"/>
      <c r="L69" s="37"/>
      <c r="M69" s="38"/>
    </row>
    <row r="70" spans="9:13" ht="13.8">
      <c r="I70" s="39">
        <v>46198</v>
      </c>
      <c r="J70" s="40">
        <v>5.88</v>
      </c>
      <c r="K70" s="41"/>
      <c r="L70" s="41"/>
      <c r="M70" s="42"/>
    </row>
    <row r="71" spans="9:13" ht="13.8">
      <c r="I71" s="35">
        <v>46228</v>
      </c>
      <c r="J71" s="36">
        <v>6.11</v>
      </c>
      <c r="K71" s="37"/>
      <c r="L71" s="37"/>
      <c r="M71" s="38"/>
    </row>
    <row r="72" spans="9:13" ht="13.8">
      <c r="I72" s="39">
        <v>46259</v>
      </c>
      <c r="J72" s="40">
        <v>6.01</v>
      </c>
      <c r="K72" s="41"/>
      <c r="L72" s="41"/>
      <c r="M72" s="42"/>
    </row>
    <row r="73" spans="9:13" ht="13.8">
      <c r="I73" s="35">
        <v>46290</v>
      </c>
      <c r="J73" s="36">
        <v>5.94</v>
      </c>
      <c r="K73" s="37"/>
      <c r="L73" s="37"/>
      <c r="M73" s="38"/>
    </row>
    <row r="74" spans="9:13" ht="13.8">
      <c r="I74" s="39">
        <v>46320</v>
      </c>
      <c r="J74" s="40">
        <v>6.03</v>
      </c>
      <c r="K74" s="41"/>
      <c r="L74" s="41"/>
      <c r="M74" s="42"/>
    </row>
    <row r="75" spans="9:13" ht="13.8">
      <c r="I75" s="35">
        <v>46351</v>
      </c>
      <c r="J75" s="36">
        <v>6.21</v>
      </c>
      <c r="K75" s="37"/>
      <c r="L75" s="37"/>
      <c r="M75" s="38"/>
    </row>
    <row r="76" spans="9:13" ht="13.8">
      <c r="I76" s="39">
        <v>46381</v>
      </c>
      <c r="J76" s="40">
        <v>6.19</v>
      </c>
      <c r="K76" s="40">
        <v>6.19</v>
      </c>
      <c r="L76" s="40">
        <v>6.19</v>
      </c>
      <c r="M76" s="43">
        <v>6.19</v>
      </c>
    </row>
    <row r="77" spans="9:13" ht="13.8">
      <c r="I77" s="35">
        <v>46048</v>
      </c>
      <c r="J77" s="37"/>
      <c r="K77" s="36">
        <v>6.2156047000000001</v>
      </c>
      <c r="L77" s="36">
        <v>5.79</v>
      </c>
      <c r="M77" s="44">
        <v>6.64</v>
      </c>
    </row>
    <row r="78" spans="9:13" ht="13.8">
      <c r="I78" s="39">
        <v>46079</v>
      </c>
      <c r="J78" s="41"/>
      <c r="K78" s="40">
        <v>6.3485981000000002</v>
      </c>
      <c r="L78" s="40">
        <v>5.82</v>
      </c>
      <c r="M78" s="43">
        <v>6.88</v>
      </c>
    </row>
    <row r="79" spans="9:13" ht="13.8">
      <c r="I79" s="35">
        <v>46107</v>
      </c>
      <c r="J79" s="37"/>
      <c r="K79" s="36">
        <v>6.2744445000000004</v>
      </c>
      <c r="L79" s="36">
        <v>5.65</v>
      </c>
      <c r="M79" s="44">
        <v>6.9</v>
      </c>
    </row>
    <row r="80" spans="9:13" ht="13.8">
      <c r="I80" s="39">
        <v>46138</v>
      </c>
      <c r="J80" s="41"/>
      <c r="K80" s="40">
        <v>6.2062223999999997</v>
      </c>
      <c r="L80" s="40">
        <v>5.51</v>
      </c>
      <c r="M80" s="43">
        <v>6.91</v>
      </c>
    </row>
    <row r="81" spans="9:13" ht="13.8">
      <c r="I81" s="35">
        <v>46168</v>
      </c>
      <c r="J81" s="37"/>
      <c r="K81" s="36">
        <v>6.1226374999999997</v>
      </c>
      <c r="L81" s="36">
        <v>5.35</v>
      </c>
      <c r="M81" s="44">
        <v>6.89</v>
      </c>
    </row>
    <row r="82" spans="9:13" ht="13.8">
      <c r="I82" s="39">
        <v>46199</v>
      </c>
      <c r="J82" s="41"/>
      <c r="K82" s="40">
        <v>5.9483296000000001</v>
      </c>
      <c r="L82" s="40">
        <v>5.1100000000000003</v>
      </c>
      <c r="M82" s="43">
        <v>6.78</v>
      </c>
    </row>
    <row r="83" spans="9:13" ht="13.8">
      <c r="I83" s="35">
        <v>46229</v>
      </c>
      <c r="J83" s="37"/>
      <c r="K83" s="36">
        <v>5.9150223999999998</v>
      </c>
      <c r="L83" s="36">
        <v>5.0199999999999996</v>
      </c>
      <c r="M83" s="44">
        <v>6.81</v>
      </c>
    </row>
    <row r="84" spans="9:13" ht="13.8">
      <c r="I84" s="39">
        <v>46260</v>
      </c>
      <c r="J84" s="41"/>
      <c r="K84" s="40">
        <v>5.7821812000000001</v>
      </c>
      <c r="L84" s="40">
        <v>4.83</v>
      </c>
      <c r="M84" s="43">
        <v>6.73</v>
      </c>
    </row>
    <row r="85" spans="9:13" ht="13.8">
      <c r="I85" s="35">
        <v>46291</v>
      </c>
      <c r="J85" s="37"/>
      <c r="K85" s="36">
        <v>5.6621870999999997</v>
      </c>
      <c r="L85" s="36">
        <v>4.66</v>
      </c>
      <c r="M85" s="44">
        <v>6.67</v>
      </c>
    </row>
    <row r="86" spans="9:13" ht="13.8">
      <c r="I86" s="39">
        <v>46321</v>
      </c>
      <c r="J86" s="41"/>
      <c r="K86" s="40">
        <v>5.6976880000000003</v>
      </c>
      <c r="L86" s="40">
        <v>4.6399999999999997</v>
      </c>
      <c r="M86" s="43">
        <v>6.75</v>
      </c>
    </row>
    <row r="87" spans="9:13" ht="13.8">
      <c r="I87" s="35">
        <v>46352</v>
      </c>
      <c r="J87" s="37"/>
      <c r="K87" s="36">
        <v>5.9350911999999996</v>
      </c>
      <c r="L87" s="36">
        <v>4.83</v>
      </c>
      <c r="M87" s="44">
        <v>7.04</v>
      </c>
    </row>
    <row r="88" spans="9:13" ht="13.8">
      <c r="I88" s="39">
        <v>46382</v>
      </c>
      <c r="J88" s="41"/>
      <c r="K88" s="40">
        <v>5.9460280000000001</v>
      </c>
      <c r="L88" s="40">
        <v>4.79</v>
      </c>
      <c r="M88" s="43">
        <v>7.1</v>
      </c>
    </row>
    <row r="89" spans="9:13" ht="13.8">
      <c r="I89" s="35">
        <v>46049</v>
      </c>
      <c r="J89" s="37"/>
      <c r="K89" s="36">
        <v>5.9715914000000003</v>
      </c>
      <c r="L89" s="36">
        <v>4.74</v>
      </c>
      <c r="M89" s="44">
        <v>7.2</v>
      </c>
    </row>
    <row r="90" spans="9:13" ht="13.8">
      <c r="I90" s="39">
        <v>46080</v>
      </c>
      <c r="J90" s="41"/>
      <c r="K90" s="40">
        <v>6.1045847999999996</v>
      </c>
      <c r="L90" s="40">
        <v>4.83</v>
      </c>
      <c r="M90" s="43">
        <v>7.38</v>
      </c>
    </row>
    <row r="91" spans="9:13" ht="13.8">
      <c r="I91" s="35">
        <v>46108</v>
      </c>
      <c r="J91" s="37"/>
      <c r="K91" s="36">
        <v>6.0304311999999998</v>
      </c>
      <c r="L91" s="36">
        <v>4.72</v>
      </c>
      <c r="M91" s="44">
        <v>7.34</v>
      </c>
    </row>
    <row r="92" spans="9:13" ht="13.8">
      <c r="I92" s="39">
        <v>46139</v>
      </c>
      <c r="J92" s="41"/>
      <c r="K92" s="40">
        <v>5.9622090999999999</v>
      </c>
      <c r="L92" s="40">
        <v>4.6100000000000003</v>
      </c>
      <c r="M92" s="43">
        <v>7.32</v>
      </c>
    </row>
    <row r="93" spans="9:13" ht="13.8">
      <c r="I93" s="35">
        <v>46169</v>
      </c>
      <c r="J93" s="37"/>
      <c r="K93" s="36">
        <v>5.8786242</v>
      </c>
      <c r="L93" s="36">
        <v>4.49</v>
      </c>
      <c r="M93" s="44">
        <v>7.27</v>
      </c>
    </row>
    <row r="94" spans="9:13" ht="13.8">
      <c r="I94" s="39">
        <v>46200</v>
      </c>
      <c r="J94" s="41"/>
      <c r="K94" s="40">
        <v>5.7043162000000001</v>
      </c>
      <c r="L94" s="40">
        <v>4.2699999999999996</v>
      </c>
      <c r="M94" s="43">
        <v>7.13</v>
      </c>
    </row>
    <row r="95" spans="9:13" ht="13.8">
      <c r="I95" s="35">
        <v>46230</v>
      </c>
      <c r="J95" s="37"/>
      <c r="K95" s="36">
        <v>5.6710091</v>
      </c>
      <c r="L95" s="36">
        <v>4.2</v>
      </c>
      <c r="M95" s="44">
        <v>7.14</v>
      </c>
    </row>
    <row r="96" spans="9:13" ht="13.8">
      <c r="I96" s="39">
        <v>46261</v>
      </c>
      <c r="J96" s="41"/>
      <c r="K96" s="40">
        <v>5.5381679000000004</v>
      </c>
      <c r="L96" s="40">
        <v>4.04</v>
      </c>
      <c r="M96" s="43">
        <v>7.04</v>
      </c>
    </row>
    <row r="97" spans="9:13" ht="13.8">
      <c r="I97" s="35">
        <v>46292</v>
      </c>
      <c r="J97" s="37"/>
      <c r="K97" s="36">
        <v>5.4181737999999999</v>
      </c>
      <c r="L97" s="36">
        <v>3.88</v>
      </c>
      <c r="M97" s="44">
        <v>6.96</v>
      </c>
    </row>
    <row r="98" spans="9:13" ht="13.8">
      <c r="I98" s="39">
        <v>46322</v>
      </c>
      <c r="J98" s="41"/>
      <c r="K98" s="40">
        <v>5.4536746999999997</v>
      </c>
      <c r="L98" s="40">
        <v>3.88</v>
      </c>
      <c r="M98" s="43">
        <v>7.03</v>
      </c>
    </row>
    <row r="99" spans="9:13" ht="13.8">
      <c r="I99" s="35">
        <v>46353</v>
      </c>
      <c r="J99" s="37"/>
      <c r="K99" s="36">
        <v>5.6910778000000004</v>
      </c>
      <c r="L99" s="36">
        <v>4.08</v>
      </c>
      <c r="M99" s="44">
        <v>7.3</v>
      </c>
    </row>
    <row r="100" spans="9:13" ht="13.8">
      <c r="I100" s="39">
        <v>46383</v>
      </c>
      <c r="J100" s="41"/>
      <c r="K100" s="40">
        <v>5.7020147000000003</v>
      </c>
      <c r="L100" s="40">
        <v>4.0599999999999996</v>
      </c>
      <c r="M100" s="43">
        <v>7.34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2EAC7-3306-44AC-AA6D-EAC8A861CC11}">
  <sheetPr codeName="Arkusz5">
    <tabColor rgb="FFCC0000"/>
    <outlinePr summaryBelow="0" summaryRight="0"/>
  </sheetPr>
  <dimension ref="A1:AS141"/>
  <sheetViews>
    <sheetView topLeftCell="Z1" zoomScale="70" zoomScaleNormal="70" workbookViewId="0">
      <selection activeCell="AH16" sqref="AH16"/>
    </sheetView>
  </sheetViews>
  <sheetFormatPr defaultColWidth="12.6640625" defaultRowHeight="15.75" customHeight="1"/>
  <cols>
    <col min="1" max="1" width="13.109375" style="150" customWidth="1"/>
    <col min="2" max="2" width="23" style="143" bestFit="1" customWidth="1"/>
    <col min="3" max="3" width="23" style="143" customWidth="1"/>
    <col min="4" max="4" width="14.6640625" style="143" customWidth="1"/>
    <col min="5" max="5" width="15.33203125" style="143" customWidth="1"/>
    <col min="6" max="6" width="12.6640625" style="143"/>
    <col min="7" max="15" width="15.33203125" style="143" bestFit="1" customWidth="1"/>
    <col min="16" max="16" width="15.33203125" style="143" customWidth="1"/>
    <col min="17" max="17" width="16.33203125" style="143" bestFit="1" customWidth="1"/>
    <col min="18" max="18" width="12.6640625" style="143"/>
    <col min="19" max="28" width="17" style="143" customWidth="1"/>
    <col min="29" max="29" width="20.6640625" style="143" bestFit="1" customWidth="1"/>
    <col min="30" max="30" width="14.44140625" style="143" customWidth="1"/>
    <col min="31" max="37" width="12.6640625" style="143"/>
    <col min="38" max="38" width="14.44140625" style="143" bestFit="1" customWidth="1"/>
    <col min="39" max="39" width="26" style="143" bestFit="1" customWidth="1"/>
    <col min="40" max="40" width="26.109375" style="143" bestFit="1" customWidth="1"/>
    <col min="41" max="41" width="26.44140625" style="143" customWidth="1"/>
    <col min="42" max="16384" width="12.6640625" style="143"/>
  </cols>
  <sheetData>
    <row r="1" spans="1:45" s="120" customFormat="1" ht="15.75" customHeight="1">
      <c r="A1" s="111" t="s">
        <v>36</v>
      </c>
      <c r="B1" s="112" t="s">
        <v>37</v>
      </c>
      <c r="C1" s="113"/>
      <c r="D1" s="114" t="s">
        <v>38</v>
      </c>
      <c r="E1" s="115" t="s">
        <v>135</v>
      </c>
      <c r="F1" s="116" t="s">
        <v>39</v>
      </c>
      <c r="G1" s="116" t="s">
        <v>40</v>
      </c>
      <c r="H1" s="116" t="s">
        <v>41</v>
      </c>
      <c r="I1" s="116" t="s">
        <v>42</v>
      </c>
      <c r="J1" s="116" t="s">
        <v>43</v>
      </c>
      <c r="K1" s="116" t="s">
        <v>44</v>
      </c>
      <c r="L1" s="116" t="s">
        <v>45</v>
      </c>
      <c r="M1" s="116" t="s">
        <v>46</v>
      </c>
      <c r="N1" s="116" t="s">
        <v>47</v>
      </c>
      <c r="O1" s="116" t="s">
        <v>48</v>
      </c>
      <c r="P1" s="117"/>
      <c r="Q1" s="118" t="s">
        <v>49</v>
      </c>
      <c r="R1" s="118" t="s">
        <v>50</v>
      </c>
      <c r="S1" s="118" t="s">
        <v>51</v>
      </c>
      <c r="T1" s="118" t="s">
        <v>52</v>
      </c>
      <c r="U1" s="118" t="s">
        <v>53</v>
      </c>
      <c r="V1" s="118" t="s">
        <v>54</v>
      </c>
      <c r="W1" s="118" t="s">
        <v>55</v>
      </c>
      <c r="X1" s="118" t="s">
        <v>56</v>
      </c>
      <c r="Y1" s="118" t="s">
        <v>57</v>
      </c>
      <c r="Z1" s="118" t="s">
        <v>58</v>
      </c>
      <c r="AA1" s="119" t="s">
        <v>59</v>
      </c>
      <c r="AB1" s="114"/>
      <c r="AE1" s="121"/>
      <c r="AF1" s="121"/>
      <c r="AG1" s="122" t="s">
        <v>136</v>
      </c>
      <c r="AH1" s="122" t="s">
        <v>137</v>
      </c>
      <c r="AI1" s="122" t="s">
        <v>60</v>
      </c>
      <c r="AJ1" s="123" t="s">
        <v>138</v>
      </c>
      <c r="AK1" s="124" t="s">
        <v>139</v>
      </c>
      <c r="AL1" s="122" t="s">
        <v>140</v>
      </c>
      <c r="AM1" s="125" t="s">
        <v>141</v>
      </c>
    </row>
    <row r="2" spans="1:45" ht="15.75" customHeight="1">
      <c r="A2" s="126">
        <v>1</v>
      </c>
      <c r="B2" s="127">
        <v>40000</v>
      </c>
      <c r="C2" s="128"/>
      <c r="D2" s="129">
        <f t="shared" ref="D2:D65" ca="1" si="0">RAND()</f>
        <v>0.11576524169947155</v>
      </c>
      <c r="E2" s="130">
        <f ca="1">VLOOKUP(D2,$AH$2:$AL$12, 5, TRUE)</f>
        <v>1</v>
      </c>
      <c r="F2" s="131">
        <f t="shared" ref="F2:F65" ca="1" si="1">IF(E2&gt;=1,1,0)</f>
        <v>1</v>
      </c>
      <c r="G2" s="131">
        <f t="shared" ref="G2:G65" ca="1" si="2">IF(E2&gt;=2,1,0)</f>
        <v>0</v>
      </c>
      <c r="H2" s="131">
        <f t="shared" ref="H2:H65" ca="1" si="3">IF(E2&gt;=3,1,0)</f>
        <v>0</v>
      </c>
      <c r="I2" s="131">
        <f t="shared" ref="I2:I65" ca="1" si="4">IF(E2&gt;=4,1,0)</f>
        <v>0</v>
      </c>
      <c r="J2" s="131">
        <f t="shared" ref="J2:J65" ca="1" si="5">IF(E2&gt;=5,1,0)</f>
        <v>0</v>
      </c>
      <c r="K2" s="131">
        <f t="shared" ref="K2:K65" ca="1" si="6">IF(E2&gt;=6,1,0)</f>
        <v>0</v>
      </c>
      <c r="L2" s="131">
        <f t="shared" ref="L2:L38" ca="1" si="7">IF(E2&gt;=7,1,0)</f>
        <v>0</v>
      </c>
      <c r="M2" s="131">
        <f t="shared" ref="M2:M33" ca="1" si="8">IF(E2&gt;=8,1,0)</f>
        <v>0</v>
      </c>
      <c r="N2" s="131">
        <f t="shared" ref="N2:N65" ca="1" si="9">IF(E2&gt;=9,1,0)</f>
        <v>0</v>
      </c>
      <c r="O2" s="131">
        <f t="shared" ref="O2:O65" ca="1" si="10">IF(E2&gt;=10,1,0)</f>
        <v>0</v>
      </c>
      <c r="P2" s="132"/>
      <c r="Q2" s="133">
        <f t="shared" ref="Q2:Z27" ca="1" si="11">_xlfn.CHISQ.INV(RAND(),2)*$AO$4 *F2</f>
        <v>48221.853958214531</v>
      </c>
      <c r="R2" s="133">
        <f t="shared" ca="1" si="11"/>
        <v>0</v>
      </c>
      <c r="S2" s="133">
        <f t="shared" ca="1" si="11"/>
        <v>0</v>
      </c>
      <c r="T2" s="133">
        <f t="shared" ca="1" si="11"/>
        <v>0</v>
      </c>
      <c r="U2" s="133">
        <f t="shared" ca="1" si="11"/>
        <v>0</v>
      </c>
      <c r="V2" s="133">
        <f t="shared" ca="1" si="11"/>
        <v>0</v>
      </c>
      <c r="W2" s="133">
        <f t="shared" ca="1" si="11"/>
        <v>0</v>
      </c>
      <c r="X2" s="133">
        <f t="shared" ca="1" si="11"/>
        <v>0</v>
      </c>
      <c r="Y2" s="133">
        <f t="shared" ca="1" si="11"/>
        <v>0</v>
      </c>
      <c r="Z2" s="133">
        <f t="shared" ca="1" si="11"/>
        <v>0</v>
      </c>
      <c r="AA2" s="134">
        <f t="shared" ref="AA2:AA65" ca="1" si="12">SUM(Q2:Z2)</f>
        <v>48221.853958214531</v>
      </c>
      <c r="AB2" s="135"/>
      <c r="AC2" s="136" t="s">
        <v>61</v>
      </c>
      <c r="AD2" s="137">
        <f ca="1">SUM(R2:AA141) + 140 * 40000</f>
        <v>26086874.411889274</v>
      </c>
      <c r="AE2" s="121"/>
      <c r="AF2" s="121"/>
      <c r="AG2" s="138">
        <f>AI2</f>
        <v>7.0000000000000007E-2</v>
      </c>
      <c r="AH2" s="138">
        <v>0</v>
      </c>
      <c r="AI2" s="138">
        <f>POWER(AJ2,$AN$7)</f>
        <v>7.0000000000000007E-2</v>
      </c>
      <c r="AJ2" s="139">
        <f>AK2</f>
        <v>7.0000000000000007E-2</v>
      </c>
      <c r="AK2" s="139">
        <v>7.0000000000000007E-2</v>
      </c>
      <c r="AL2" s="138">
        <v>0</v>
      </c>
      <c r="AM2" s="140">
        <f ca="1">COUNTIF(E:E, "=0")</f>
        <v>7</v>
      </c>
      <c r="AN2" s="141"/>
      <c r="AO2" s="142" t="s">
        <v>62</v>
      </c>
    </row>
    <row r="3" spans="1:45" ht="15.75" customHeight="1">
      <c r="A3" s="126">
        <v>2</v>
      </c>
      <c r="B3" s="127">
        <v>40000</v>
      </c>
      <c r="C3" s="128"/>
      <c r="D3" s="129">
        <f t="shared" ca="1" si="0"/>
        <v>0.77318545339665345</v>
      </c>
      <c r="E3" s="130">
        <f t="shared" ref="E3:E66" ca="1" si="13">VLOOKUP(D3,$AH$2:$AL$12, 5, TRUE)</f>
        <v>6</v>
      </c>
      <c r="F3" s="131">
        <f t="shared" ca="1" si="1"/>
        <v>1</v>
      </c>
      <c r="G3" s="131">
        <f t="shared" ca="1" si="2"/>
        <v>1</v>
      </c>
      <c r="H3" s="131">
        <f t="shared" ca="1" si="3"/>
        <v>1</v>
      </c>
      <c r="I3" s="131">
        <f t="shared" ca="1" si="4"/>
        <v>1</v>
      </c>
      <c r="J3" s="131">
        <f t="shared" ca="1" si="5"/>
        <v>1</v>
      </c>
      <c r="K3" s="131">
        <f t="shared" ca="1" si="6"/>
        <v>1</v>
      </c>
      <c r="L3" s="131">
        <f t="shared" ca="1" si="7"/>
        <v>0</v>
      </c>
      <c r="M3" s="131">
        <f t="shared" ca="1" si="8"/>
        <v>0</v>
      </c>
      <c r="N3" s="131">
        <f t="shared" ca="1" si="9"/>
        <v>0</v>
      </c>
      <c r="O3" s="131">
        <f t="shared" ca="1" si="10"/>
        <v>0</v>
      </c>
      <c r="P3" s="132"/>
      <c r="Q3" s="133">
        <f t="shared" ca="1" si="11"/>
        <v>37784.395213212614</v>
      </c>
      <c r="R3" s="133">
        <f t="shared" ca="1" si="11"/>
        <v>13173.910784919781</v>
      </c>
      <c r="S3" s="133">
        <f t="shared" ca="1" si="11"/>
        <v>5106.0025248513439</v>
      </c>
      <c r="T3" s="133">
        <f t="shared" ca="1" si="11"/>
        <v>34878.166285907711</v>
      </c>
      <c r="U3" s="133">
        <f t="shared" ca="1" si="11"/>
        <v>4474.5513053261102</v>
      </c>
      <c r="V3" s="133">
        <f t="shared" ca="1" si="11"/>
        <v>3616.429025995988</v>
      </c>
      <c r="W3" s="133">
        <f t="shared" ca="1" si="11"/>
        <v>0</v>
      </c>
      <c r="X3" s="133">
        <f t="shared" ca="1" si="11"/>
        <v>0</v>
      </c>
      <c r="Y3" s="133">
        <f t="shared" ca="1" si="11"/>
        <v>0</v>
      </c>
      <c r="Z3" s="133">
        <f t="shared" ca="1" si="11"/>
        <v>0</v>
      </c>
      <c r="AA3" s="134">
        <f t="shared" ca="1" si="12"/>
        <v>99033.45514021354</v>
      </c>
      <c r="AB3" s="135"/>
      <c r="AC3" s="136" t="s">
        <v>63</v>
      </c>
      <c r="AD3" s="137">
        <f ca="1">AVERAGE(AA2:AA141)</f>
        <v>82516.815844121418</v>
      </c>
      <c r="AE3" s="121"/>
      <c r="AF3" s="121"/>
      <c r="AG3" s="138">
        <f>AI3-AI2</f>
        <v>0.09</v>
      </c>
      <c r="AH3" s="138">
        <f>AI2</f>
        <v>7.0000000000000007E-2</v>
      </c>
      <c r="AI3" s="138">
        <f t="shared" ref="AI3:AI12" si="14">POWER(AJ3,$AN$7)</f>
        <v>0.16</v>
      </c>
      <c r="AJ3" s="139">
        <f>AJ2+AK3</f>
        <v>0.16</v>
      </c>
      <c r="AK3" s="139">
        <v>0.09</v>
      </c>
      <c r="AL3" s="138">
        <v>1</v>
      </c>
      <c r="AM3" s="140">
        <f ca="1">COUNTIF(E:E, "=1")</f>
        <v>17</v>
      </c>
      <c r="AN3" s="142" t="s">
        <v>64</v>
      </c>
      <c r="AO3" s="142">
        <f ca="1">_xlfn.CHISQ.INV(RAND(),2)</f>
        <v>6.3344537382071894E-2</v>
      </c>
      <c r="AS3" s="144"/>
    </row>
    <row r="4" spans="1:45" ht="15.75" customHeight="1">
      <c r="A4" s="126">
        <v>3</v>
      </c>
      <c r="B4" s="127">
        <v>40000</v>
      </c>
      <c r="C4" s="128"/>
      <c r="D4" s="129">
        <f t="shared" ca="1" si="0"/>
        <v>0.29536846015465745</v>
      </c>
      <c r="E4" s="130">
        <f t="shared" ca="1" si="13"/>
        <v>3</v>
      </c>
      <c r="F4" s="131">
        <f t="shared" ca="1" si="1"/>
        <v>1</v>
      </c>
      <c r="G4" s="131">
        <f t="shared" ca="1" si="2"/>
        <v>1</v>
      </c>
      <c r="H4" s="131">
        <f t="shared" ca="1" si="3"/>
        <v>1</v>
      </c>
      <c r="I4" s="131">
        <f t="shared" ca="1" si="4"/>
        <v>0</v>
      </c>
      <c r="J4" s="131">
        <f t="shared" ca="1" si="5"/>
        <v>0</v>
      </c>
      <c r="K4" s="131">
        <f t="shared" ca="1" si="6"/>
        <v>0</v>
      </c>
      <c r="L4" s="131">
        <f t="shared" ca="1" si="7"/>
        <v>0</v>
      </c>
      <c r="M4" s="131">
        <f t="shared" ca="1" si="8"/>
        <v>0</v>
      </c>
      <c r="N4" s="131">
        <f t="shared" ca="1" si="9"/>
        <v>0</v>
      </c>
      <c r="O4" s="131">
        <f t="shared" ca="1" si="10"/>
        <v>0</v>
      </c>
      <c r="P4" s="132"/>
      <c r="Q4" s="133">
        <f t="shared" ca="1" si="11"/>
        <v>6712.8360409831821</v>
      </c>
      <c r="R4" s="133">
        <f t="shared" ca="1" si="11"/>
        <v>3443.9121044040007</v>
      </c>
      <c r="S4" s="133">
        <f t="shared" ca="1" si="11"/>
        <v>4863.6442966983323</v>
      </c>
      <c r="T4" s="133">
        <f t="shared" ca="1" si="11"/>
        <v>0</v>
      </c>
      <c r="U4" s="133">
        <f t="shared" ca="1" si="11"/>
        <v>0</v>
      </c>
      <c r="V4" s="133">
        <f t="shared" ca="1" si="11"/>
        <v>0</v>
      </c>
      <c r="W4" s="133">
        <f t="shared" ca="1" si="11"/>
        <v>0</v>
      </c>
      <c r="X4" s="133">
        <f t="shared" ca="1" si="11"/>
        <v>0</v>
      </c>
      <c r="Y4" s="133">
        <f t="shared" ca="1" si="11"/>
        <v>0</v>
      </c>
      <c r="Z4" s="133">
        <f t="shared" ca="1" si="11"/>
        <v>0</v>
      </c>
      <c r="AA4" s="134">
        <f t="shared" ca="1" si="12"/>
        <v>15020.392442085515</v>
      </c>
      <c r="AB4" s="135"/>
      <c r="AC4" s="121" t="s">
        <v>10</v>
      </c>
      <c r="AD4" s="121" t="s">
        <v>10</v>
      </c>
      <c r="AE4" s="121"/>
      <c r="AF4" s="121"/>
      <c r="AG4" s="138">
        <f t="shared" ref="AG4:AG12" si="15">AI4-AI3</f>
        <v>0.11000000000000001</v>
      </c>
      <c r="AH4" s="138">
        <f t="shared" ref="AH4:AH12" si="16">AI3</f>
        <v>0.16</v>
      </c>
      <c r="AI4" s="138">
        <f t="shared" si="14"/>
        <v>0.27</v>
      </c>
      <c r="AJ4" s="139">
        <f t="shared" ref="AJ4:AJ12" si="17">AJ3+AK4</f>
        <v>0.27</v>
      </c>
      <c r="AK4" s="139">
        <v>0.11</v>
      </c>
      <c r="AL4" s="138">
        <v>2</v>
      </c>
      <c r="AM4" s="140">
        <f ca="1">COUNTIF(E:E, "=2")</f>
        <v>12</v>
      </c>
      <c r="AN4" s="142" t="s">
        <v>65</v>
      </c>
      <c r="AO4" s="142">
        <v>10000</v>
      </c>
    </row>
    <row r="5" spans="1:45" ht="15.75" customHeight="1">
      <c r="A5" s="126">
        <v>4</v>
      </c>
      <c r="B5" s="127">
        <v>40000</v>
      </c>
      <c r="C5" s="128"/>
      <c r="D5" s="129">
        <f t="shared" ca="1" si="0"/>
        <v>0.4623549738847218</v>
      </c>
      <c r="E5" s="130">
        <f t="shared" ca="1" si="13"/>
        <v>4</v>
      </c>
      <c r="F5" s="131">
        <f t="shared" ca="1" si="1"/>
        <v>1</v>
      </c>
      <c r="G5" s="131">
        <f t="shared" ca="1" si="2"/>
        <v>1</v>
      </c>
      <c r="H5" s="131">
        <f t="shared" ca="1" si="3"/>
        <v>1</v>
      </c>
      <c r="I5" s="131">
        <f t="shared" ca="1" si="4"/>
        <v>1</v>
      </c>
      <c r="J5" s="131">
        <f t="shared" ca="1" si="5"/>
        <v>0</v>
      </c>
      <c r="K5" s="131">
        <f t="shared" ca="1" si="6"/>
        <v>0</v>
      </c>
      <c r="L5" s="131">
        <f t="shared" ca="1" si="7"/>
        <v>0</v>
      </c>
      <c r="M5" s="131">
        <f t="shared" ca="1" si="8"/>
        <v>0</v>
      </c>
      <c r="N5" s="131">
        <f t="shared" ca="1" si="9"/>
        <v>0</v>
      </c>
      <c r="O5" s="131">
        <f t="shared" ca="1" si="10"/>
        <v>0</v>
      </c>
      <c r="P5" s="132"/>
      <c r="Q5" s="133">
        <f t="shared" ca="1" si="11"/>
        <v>12729.205627453197</v>
      </c>
      <c r="R5" s="133">
        <f t="shared" ca="1" si="11"/>
        <v>1380.8008483892902</v>
      </c>
      <c r="S5" s="133">
        <f t="shared" ca="1" si="11"/>
        <v>3787.2610101803843</v>
      </c>
      <c r="T5" s="133">
        <f t="shared" ca="1" si="11"/>
        <v>10034.949953877915</v>
      </c>
      <c r="U5" s="133">
        <f t="shared" ca="1" si="11"/>
        <v>0</v>
      </c>
      <c r="V5" s="133">
        <f t="shared" ca="1" si="11"/>
        <v>0</v>
      </c>
      <c r="W5" s="133">
        <f t="shared" ca="1" si="11"/>
        <v>0</v>
      </c>
      <c r="X5" s="133">
        <f t="shared" ca="1" si="11"/>
        <v>0</v>
      </c>
      <c r="Y5" s="133">
        <f t="shared" ca="1" si="11"/>
        <v>0</v>
      </c>
      <c r="Z5" s="133">
        <f t="shared" ca="1" si="11"/>
        <v>0</v>
      </c>
      <c r="AA5" s="134">
        <f t="shared" ca="1" si="12"/>
        <v>27932.217439900785</v>
      </c>
      <c r="AB5" s="135"/>
      <c r="AC5" s="121" t="s">
        <v>10</v>
      </c>
      <c r="AD5" s="121" t="s">
        <v>10</v>
      </c>
      <c r="AE5" s="121"/>
      <c r="AF5" s="121"/>
      <c r="AG5" s="138">
        <f t="shared" si="15"/>
        <v>0.13</v>
      </c>
      <c r="AH5" s="138">
        <f t="shared" si="16"/>
        <v>0.27</v>
      </c>
      <c r="AI5" s="138">
        <f t="shared" si="14"/>
        <v>0.4</v>
      </c>
      <c r="AJ5" s="139">
        <f t="shared" si="17"/>
        <v>0.4</v>
      </c>
      <c r="AK5" s="139">
        <v>0.13</v>
      </c>
      <c r="AL5" s="138">
        <v>3</v>
      </c>
      <c r="AM5" s="140">
        <f ca="1">COUNTIF(E:E, "=3")</f>
        <v>15</v>
      </c>
      <c r="AN5" s="141"/>
      <c r="AO5" s="141"/>
    </row>
    <row r="6" spans="1:45" ht="15.75" customHeight="1">
      <c r="A6" s="126">
        <v>5</v>
      </c>
      <c r="B6" s="127">
        <v>40000</v>
      </c>
      <c r="C6" s="128"/>
      <c r="D6" s="129">
        <f t="shared" ca="1" si="0"/>
        <v>0.91691151866854959</v>
      </c>
      <c r="E6" s="130">
        <f t="shared" ca="1" si="13"/>
        <v>8</v>
      </c>
      <c r="F6" s="131">
        <f t="shared" ca="1" si="1"/>
        <v>1</v>
      </c>
      <c r="G6" s="131">
        <f t="shared" ca="1" si="2"/>
        <v>1</v>
      </c>
      <c r="H6" s="131">
        <f t="shared" ca="1" si="3"/>
        <v>1</v>
      </c>
      <c r="I6" s="131">
        <f t="shared" ca="1" si="4"/>
        <v>1</v>
      </c>
      <c r="J6" s="131">
        <f t="shared" ca="1" si="5"/>
        <v>1</v>
      </c>
      <c r="K6" s="131">
        <f t="shared" ca="1" si="6"/>
        <v>1</v>
      </c>
      <c r="L6" s="131">
        <f t="shared" ca="1" si="7"/>
        <v>1</v>
      </c>
      <c r="M6" s="131">
        <f t="shared" ca="1" si="8"/>
        <v>1</v>
      </c>
      <c r="N6" s="131">
        <f t="shared" ca="1" si="9"/>
        <v>0</v>
      </c>
      <c r="O6" s="131">
        <f t="shared" ca="1" si="10"/>
        <v>0</v>
      </c>
      <c r="P6" s="132"/>
      <c r="Q6" s="133">
        <f t="shared" ca="1" si="11"/>
        <v>31122.950548823326</v>
      </c>
      <c r="R6" s="133">
        <f t="shared" ca="1" si="11"/>
        <v>3601.0998662606371</v>
      </c>
      <c r="S6" s="133">
        <f t="shared" ca="1" si="11"/>
        <v>11788.808934384819</v>
      </c>
      <c r="T6" s="133">
        <f t="shared" ca="1" si="11"/>
        <v>15.170598121416932</v>
      </c>
      <c r="U6" s="133">
        <f t="shared" ca="1" si="11"/>
        <v>9221.3395065084042</v>
      </c>
      <c r="V6" s="133">
        <f t="shared" ca="1" si="11"/>
        <v>1755.5036677521468</v>
      </c>
      <c r="W6" s="133">
        <f t="shared" ca="1" si="11"/>
        <v>14535.076329882393</v>
      </c>
      <c r="X6" s="133">
        <f t="shared" ca="1" si="11"/>
        <v>13583.953810975454</v>
      </c>
      <c r="Y6" s="133">
        <f t="shared" ca="1" si="11"/>
        <v>0</v>
      </c>
      <c r="Z6" s="133">
        <f t="shared" ca="1" si="11"/>
        <v>0</v>
      </c>
      <c r="AA6" s="134">
        <f t="shared" ca="1" si="12"/>
        <v>85623.903262708598</v>
      </c>
      <c r="AB6" s="135"/>
      <c r="AC6" s="121" t="s">
        <v>10</v>
      </c>
      <c r="AD6" s="121" t="s">
        <v>10</v>
      </c>
      <c r="AE6" s="121"/>
      <c r="AF6" s="121"/>
      <c r="AG6" s="138">
        <f t="shared" si="15"/>
        <v>0.15000000000000002</v>
      </c>
      <c r="AH6" s="138">
        <f t="shared" si="16"/>
        <v>0.4</v>
      </c>
      <c r="AI6" s="138">
        <f t="shared" si="14"/>
        <v>0.55000000000000004</v>
      </c>
      <c r="AJ6" s="139">
        <f t="shared" si="17"/>
        <v>0.55000000000000004</v>
      </c>
      <c r="AK6" s="139">
        <v>0.15</v>
      </c>
      <c r="AL6" s="138">
        <v>4</v>
      </c>
      <c r="AM6" s="140">
        <f ca="1">COUNTIF(E:E, "=4")</f>
        <v>22</v>
      </c>
      <c r="AN6" s="145" t="s">
        <v>142</v>
      </c>
      <c r="AO6" s="141"/>
    </row>
    <row r="7" spans="1:45" ht="15.75" customHeight="1">
      <c r="A7" s="126">
        <v>6</v>
      </c>
      <c r="B7" s="127">
        <v>40000</v>
      </c>
      <c r="C7" s="128"/>
      <c r="D7" s="129">
        <f t="shared" ca="1" si="0"/>
        <v>5.8929041570484064E-2</v>
      </c>
      <c r="E7" s="130">
        <f t="shared" ca="1" si="13"/>
        <v>0</v>
      </c>
      <c r="F7" s="131">
        <f t="shared" ca="1" si="1"/>
        <v>0</v>
      </c>
      <c r="G7" s="131">
        <f t="shared" ca="1" si="2"/>
        <v>0</v>
      </c>
      <c r="H7" s="131">
        <f t="shared" ca="1" si="3"/>
        <v>0</v>
      </c>
      <c r="I7" s="131">
        <f t="shared" ca="1" si="4"/>
        <v>0</v>
      </c>
      <c r="J7" s="131">
        <f t="shared" ca="1" si="5"/>
        <v>0</v>
      </c>
      <c r="K7" s="131">
        <f t="shared" ca="1" si="6"/>
        <v>0</v>
      </c>
      <c r="L7" s="131">
        <f t="shared" ca="1" si="7"/>
        <v>0</v>
      </c>
      <c r="M7" s="131">
        <f t="shared" ca="1" si="8"/>
        <v>0</v>
      </c>
      <c r="N7" s="131">
        <f t="shared" ca="1" si="9"/>
        <v>0</v>
      </c>
      <c r="O7" s="131">
        <f t="shared" ca="1" si="10"/>
        <v>0</v>
      </c>
      <c r="P7" s="132"/>
      <c r="Q7" s="133">
        <f t="shared" ca="1" si="11"/>
        <v>0</v>
      </c>
      <c r="R7" s="133">
        <f t="shared" ca="1" si="11"/>
        <v>0</v>
      </c>
      <c r="S7" s="133">
        <f t="shared" ca="1" si="11"/>
        <v>0</v>
      </c>
      <c r="T7" s="133">
        <f t="shared" ca="1" si="11"/>
        <v>0</v>
      </c>
      <c r="U7" s="133">
        <f t="shared" ca="1" si="11"/>
        <v>0</v>
      </c>
      <c r="V7" s="133">
        <f t="shared" ca="1" si="11"/>
        <v>0</v>
      </c>
      <c r="W7" s="133">
        <f t="shared" ca="1" si="11"/>
        <v>0</v>
      </c>
      <c r="X7" s="133">
        <f t="shared" ca="1" si="11"/>
        <v>0</v>
      </c>
      <c r="Y7" s="133">
        <f t="shared" ca="1" si="11"/>
        <v>0</v>
      </c>
      <c r="Z7" s="133">
        <f t="shared" ca="1" si="11"/>
        <v>0</v>
      </c>
      <c r="AA7" s="134">
        <f t="shared" ca="1" si="12"/>
        <v>0</v>
      </c>
      <c r="AB7" s="135"/>
      <c r="AC7" s="121" t="s">
        <v>10</v>
      </c>
      <c r="AD7" s="121" t="s">
        <v>10</v>
      </c>
      <c r="AE7" s="121"/>
      <c r="AF7" s="121"/>
      <c r="AG7" s="138">
        <f t="shared" si="15"/>
        <v>0.13</v>
      </c>
      <c r="AH7" s="138">
        <f t="shared" si="16"/>
        <v>0.55000000000000004</v>
      </c>
      <c r="AI7" s="138">
        <f t="shared" si="14"/>
        <v>0.68</v>
      </c>
      <c r="AJ7" s="139">
        <f t="shared" si="17"/>
        <v>0.68</v>
      </c>
      <c r="AK7" s="139">
        <v>0.13</v>
      </c>
      <c r="AL7" s="138">
        <v>5</v>
      </c>
      <c r="AM7" s="140">
        <f ca="1">COUNTIF(E:E, "=5")</f>
        <v>20</v>
      </c>
      <c r="AN7" s="146">
        <v>1</v>
      </c>
      <c r="AO7" s="141"/>
    </row>
    <row r="8" spans="1:45" ht="15.75" customHeight="1">
      <c r="A8" s="126">
        <v>7</v>
      </c>
      <c r="B8" s="127">
        <v>40000</v>
      </c>
      <c r="C8" s="128"/>
      <c r="D8" s="129">
        <f t="shared" ca="1" si="0"/>
        <v>0.1136513169126544</v>
      </c>
      <c r="E8" s="130">
        <f t="shared" ca="1" si="13"/>
        <v>1</v>
      </c>
      <c r="F8" s="131">
        <f t="shared" ca="1" si="1"/>
        <v>1</v>
      </c>
      <c r="G8" s="131">
        <f t="shared" ca="1" si="2"/>
        <v>0</v>
      </c>
      <c r="H8" s="131">
        <f t="shared" ca="1" si="3"/>
        <v>0</v>
      </c>
      <c r="I8" s="131">
        <f t="shared" ca="1" si="4"/>
        <v>0</v>
      </c>
      <c r="J8" s="131">
        <f t="shared" ca="1" si="5"/>
        <v>0</v>
      </c>
      <c r="K8" s="131">
        <f t="shared" ca="1" si="6"/>
        <v>0</v>
      </c>
      <c r="L8" s="131">
        <f t="shared" ca="1" si="7"/>
        <v>0</v>
      </c>
      <c r="M8" s="131">
        <f t="shared" ca="1" si="8"/>
        <v>0</v>
      </c>
      <c r="N8" s="131">
        <f t="shared" ca="1" si="9"/>
        <v>0</v>
      </c>
      <c r="O8" s="131">
        <f t="shared" ca="1" si="10"/>
        <v>0</v>
      </c>
      <c r="P8" s="132"/>
      <c r="Q8" s="133">
        <f t="shared" ca="1" si="11"/>
        <v>114193.71225849866</v>
      </c>
      <c r="R8" s="133">
        <f t="shared" ca="1" si="11"/>
        <v>0</v>
      </c>
      <c r="S8" s="133">
        <f t="shared" ca="1" si="11"/>
        <v>0</v>
      </c>
      <c r="T8" s="133">
        <f t="shared" ca="1" si="11"/>
        <v>0</v>
      </c>
      <c r="U8" s="133">
        <f t="shared" ca="1" si="11"/>
        <v>0</v>
      </c>
      <c r="V8" s="133">
        <f t="shared" ca="1" si="11"/>
        <v>0</v>
      </c>
      <c r="W8" s="133">
        <f t="shared" ca="1" si="11"/>
        <v>0</v>
      </c>
      <c r="X8" s="133">
        <f t="shared" ca="1" si="11"/>
        <v>0</v>
      </c>
      <c r="Y8" s="133">
        <f t="shared" ca="1" si="11"/>
        <v>0</v>
      </c>
      <c r="Z8" s="133">
        <f t="shared" ca="1" si="11"/>
        <v>0</v>
      </c>
      <c r="AA8" s="134">
        <f t="shared" ca="1" si="12"/>
        <v>114193.71225849866</v>
      </c>
      <c r="AB8" s="135"/>
      <c r="AC8" s="121" t="s">
        <v>10</v>
      </c>
      <c r="AD8" s="121" t="s">
        <v>10</v>
      </c>
      <c r="AE8" s="121"/>
      <c r="AF8" s="121"/>
      <c r="AG8" s="138">
        <f t="shared" si="15"/>
        <v>0.10999999999999999</v>
      </c>
      <c r="AH8" s="138">
        <f t="shared" si="16"/>
        <v>0.68</v>
      </c>
      <c r="AI8" s="138">
        <f t="shared" si="14"/>
        <v>0.79</v>
      </c>
      <c r="AJ8" s="139">
        <f t="shared" si="17"/>
        <v>0.79</v>
      </c>
      <c r="AK8" s="139">
        <v>0.11</v>
      </c>
      <c r="AL8" s="138">
        <v>6</v>
      </c>
      <c r="AM8" s="140">
        <f ca="1">COUNTIF(E:E, "=6")</f>
        <v>19</v>
      </c>
      <c r="AN8" s="141"/>
      <c r="AO8" s="141"/>
    </row>
    <row r="9" spans="1:45" ht="15.75" customHeight="1">
      <c r="A9" s="126">
        <v>8</v>
      </c>
      <c r="B9" s="127">
        <v>40000</v>
      </c>
      <c r="C9" s="128"/>
      <c r="D9" s="129">
        <f t="shared" ca="1" si="0"/>
        <v>0.34394121043521686</v>
      </c>
      <c r="E9" s="130">
        <f t="shared" ca="1" si="13"/>
        <v>3</v>
      </c>
      <c r="F9" s="131">
        <f t="shared" ca="1" si="1"/>
        <v>1</v>
      </c>
      <c r="G9" s="131">
        <f t="shared" ca="1" si="2"/>
        <v>1</v>
      </c>
      <c r="H9" s="131">
        <f t="shared" ca="1" si="3"/>
        <v>1</v>
      </c>
      <c r="I9" s="131">
        <f t="shared" ca="1" si="4"/>
        <v>0</v>
      </c>
      <c r="J9" s="131">
        <f t="shared" ca="1" si="5"/>
        <v>0</v>
      </c>
      <c r="K9" s="131">
        <f t="shared" ca="1" si="6"/>
        <v>0</v>
      </c>
      <c r="L9" s="131">
        <f t="shared" ca="1" si="7"/>
        <v>0</v>
      </c>
      <c r="M9" s="131">
        <f t="shared" ca="1" si="8"/>
        <v>0</v>
      </c>
      <c r="N9" s="131">
        <f t="shared" ca="1" si="9"/>
        <v>0</v>
      </c>
      <c r="O9" s="131">
        <f t="shared" ca="1" si="10"/>
        <v>0</v>
      </c>
      <c r="P9" s="132"/>
      <c r="Q9" s="133">
        <f t="shared" ca="1" si="11"/>
        <v>16786.414640690738</v>
      </c>
      <c r="R9" s="133">
        <f t="shared" ca="1" si="11"/>
        <v>119.73838342363173</v>
      </c>
      <c r="S9" s="133">
        <f t="shared" ca="1" si="11"/>
        <v>505.63001160471214</v>
      </c>
      <c r="T9" s="133">
        <f t="shared" ca="1" si="11"/>
        <v>0</v>
      </c>
      <c r="U9" s="133">
        <f t="shared" ca="1" si="11"/>
        <v>0</v>
      </c>
      <c r="V9" s="133">
        <f t="shared" ca="1" si="11"/>
        <v>0</v>
      </c>
      <c r="W9" s="133">
        <f t="shared" ca="1" si="11"/>
        <v>0</v>
      </c>
      <c r="X9" s="133">
        <f t="shared" ca="1" si="11"/>
        <v>0</v>
      </c>
      <c r="Y9" s="133">
        <f t="shared" ca="1" si="11"/>
        <v>0</v>
      </c>
      <c r="Z9" s="133">
        <f t="shared" ca="1" si="11"/>
        <v>0</v>
      </c>
      <c r="AA9" s="134">
        <f t="shared" ca="1" si="12"/>
        <v>17411.783035719083</v>
      </c>
      <c r="AB9" s="135"/>
      <c r="AC9" s="121" t="s">
        <v>10</v>
      </c>
      <c r="AD9" s="121" t="s">
        <v>10</v>
      </c>
      <c r="AE9" s="121"/>
      <c r="AF9" s="121"/>
      <c r="AG9" s="138">
        <f t="shared" si="15"/>
        <v>7.0000000000000062E-2</v>
      </c>
      <c r="AH9" s="138">
        <f t="shared" si="16"/>
        <v>0.79</v>
      </c>
      <c r="AI9" s="138">
        <f>POWER(AJ9,$AN$7)</f>
        <v>0.8600000000000001</v>
      </c>
      <c r="AJ9" s="139">
        <f t="shared" si="17"/>
        <v>0.8600000000000001</v>
      </c>
      <c r="AK9" s="139">
        <v>7.0000000000000007E-2</v>
      </c>
      <c r="AL9" s="138">
        <v>7</v>
      </c>
      <c r="AM9" s="140">
        <f ca="1">COUNTIF(E:E, "=7")</f>
        <v>8</v>
      </c>
      <c r="AN9" s="141"/>
      <c r="AO9" s="141" t="s">
        <v>10</v>
      </c>
    </row>
    <row r="10" spans="1:45" ht="15.75" customHeight="1">
      <c r="A10" s="126">
        <v>9</v>
      </c>
      <c r="B10" s="127">
        <v>40000</v>
      </c>
      <c r="C10" s="128"/>
      <c r="D10" s="129">
        <f t="shared" ca="1" si="0"/>
        <v>1.7575514614137311E-2</v>
      </c>
      <c r="E10" s="130">
        <f t="shared" ca="1" si="13"/>
        <v>0</v>
      </c>
      <c r="F10" s="131">
        <f t="shared" ca="1" si="1"/>
        <v>0</v>
      </c>
      <c r="G10" s="131">
        <f t="shared" ca="1" si="2"/>
        <v>0</v>
      </c>
      <c r="H10" s="131">
        <f t="shared" ca="1" si="3"/>
        <v>0</v>
      </c>
      <c r="I10" s="131">
        <f t="shared" ca="1" si="4"/>
        <v>0</v>
      </c>
      <c r="J10" s="131">
        <f t="shared" ca="1" si="5"/>
        <v>0</v>
      </c>
      <c r="K10" s="131">
        <f t="shared" ca="1" si="6"/>
        <v>0</v>
      </c>
      <c r="L10" s="131">
        <f t="shared" ca="1" si="7"/>
        <v>0</v>
      </c>
      <c r="M10" s="131">
        <f t="shared" ca="1" si="8"/>
        <v>0</v>
      </c>
      <c r="N10" s="131">
        <f t="shared" ca="1" si="9"/>
        <v>0</v>
      </c>
      <c r="O10" s="131">
        <f t="shared" ca="1" si="10"/>
        <v>0</v>
      </c>
      <c r="P10" s="132"/>
      <c r="Q10" s="133">
        <f t="shared" ca="1" si="11"/>
        <v>0</v>
      </c>
      <c r="R10" s="133">
        <f t="shared" ca="1" si="11"/>
        <v>0</v>
      </c>
      <c r="S10" s="133">
        <f t="shared" ca="1" si="11"/>
        <v>0</v>
      </c>
      <c r="T10" s="133">
        <f t="shared" ca="1" si="11"/>
        <v>0</v>
      </c>
      <c r="U10" s="133">
        <f t="shared" ca="1" si="11"/>
        <v>0</v>
      </c>
      <c r="V10" s="133">
        <f t="shared" ca="1" si="11"/>
        <v>0</v>
      </c>
      <c r="W10" s="133">
        <f t="shared" ca="1" si="11"/>
        <v>0</v>
      </c>
      <c r="X10" s="133">
        <f t="shared" ca="1" si="11"/>
        <v>0</v>
      </c>
      <c r="Y10" s="133">
        <f t="shared" ca="1" si="11"/>
        <v>0</v>
      </c>
      <c r="Z10" s="133">
        <f t="shared" ca="1" si="11"/>
        <v>0</v>
      </c>
      <c r="AA10" s="134">
        <f t="shared" ca="1" si="12"/>
        <v>0</v>
      </c>
      <c r="AB10" s="135"/>
      <c r="AC10" s="121" t="s">
        <v>10</v>
      </c>
      <c r="AD10" s="121" t="s">
        <v>10</v>
      </c>
      <c r="AE10" s="121"/>
      <c r="AF10" s="121"/>
      <c r="AG10" s="138">
        <f t="shared" si="15"/>
        <v>6.0000000000000053E-2</v>
      </c>
      <c r="AH10" s="138">
        <f t="shared" si="16"/>
        <v>0.8600000000000001</v>
      </c>
      <c r="AI10" s="138">
        <f t="shared" si="14"/>
        <v>0.92000000000000015</v>
      </c>
      <c r="AJ10" s="139">
        <f t="shared" si="17"/>
        <v>0.92000000000000015</v>
      </c>
      <c r="AK10" s="139">
        <v>0.06</v>
      </c>
      <c r="AL10" s="138">
        <v>8</v>
      </c>
      <c r="AM10" s="140">
        <f ca="1">COUNTIF(E:E, "=8")</f>
        <v>8</v>
      </c>
      <c r="AN10" s="141"/>
      <c r="AO10" s="141" t="s">
        <v>10</v>
      </c>
    </row>
    <row r="11" spans="1:45" ht="15.75" customHeight="1">
      <c r="A11" s="126">
        <v>10</v>
      </c>
      <c r="B11" s="127">
        <v>40000</v>
      </c>
      <c r="C11" s="128"/>
      <c r="D11" s="129">
        <f t="shared" ca="1" si="0"/>
        <v>0.29680613029471092</v>
      </c>
      <c r="E11" s="130">
        <f t="shared" ca="1" si="13"/>
        <v>3</v>
      </c>
      <c r="F11" s="131">
        <f t="shared" ca="1" si="1"/>
        <v>1</v>
      </c>
      <c r="G11" s="131">
        <f t="shared" ca="1" si="2"/>
        <v>1</v>
      </c>
      <c r="H11" s="131">
        <f t="shared" ca="1" si="3"/>
        <v>1</v>
      </c>
      <c r="I11" s="131">
        <f t="shared" ca="1" si="4"/>
        <v>0</v>
      </c>
      <c r="J11" s="131">
        <f t="shared" ca="1" si="5"/>
        <v>0</v>
      </c>
      <c r="K11" s="131">
        <f t="shared" ca="1" si="6"/>
        <v>0</v>
      </c>
      <c r="L11" s="131">
        <f t="shared" ca="1" si="7"/>
        <v>0</v>
      </c>
      <c r="M11" s="131">
        <f t="shared" ca="1" si="8"/>
        <v>0</v>
      </c>
      <c r="N11" s="131">
        <f t="shared" ca="1" si="9"/>
        <v>0</v>
      </c>
      <c r="O11" s="131">
        <f t="shared" ca="1" si="10"/>
        <v>0</v>
      </c>
      <c r="P11" s="132"/>
      <c r="Q11" s="133">
        <f t="shared" ca="1" si="11"/>
        <v>3678.5690002628962</v>
      </c>
      <c r="R11" s="133">
        <f t="shared" ca="1" si="11"/>
        <v>15210.852988399041</v>
      </c>
      <c r="S11" s="133">
        <f t="shared" ca="1" si="11"/>
        <v>23654.79075379801</v>
      </c>
      <c r="T11" s="133">
        <f t="shared" ca="1" si="11"/>
        <v>0</v>
      </c>
      <c r="U11" s="133">
        <f t="shared" ca="1" si="11"/>
        <v>0</v>
      </c>
      <c r="V11" s="133">
        <f t="shared" ca="1" si="11"/>
        <v>0</v>
      </c>
      <c r="W11" s="133">
        <f t="shared" ca="1" si="11"/>
        <v>0</v>
      </c>
      <c r="X11" s="133">
        <f t="shared" ca="1" si="11"/>
        <v>0</v>
      </c>
      <c r="Y11" s="133">
        <f t="shared" ca="1" si="11"/>
        <v>0</v>
      </c>
      <c r="Z11" s="133">
        <f t="shared" ca="1" si="11"/>
        <v>0</v>
      </c>
      <c r="AA11" s="134">
        <f t="shared" ca="1" si="12"/>
        <v>42544.212742459946</v>
      </c>
      <c r="AB11" s="135"/>
      <c r="AC11" s="121" t="s">
        <v>10</v>
      </c>
      <c r="AD11" s="121" t="s">
        <v>10</v>
      </c>
      <c r="AE11" s="121"/>
      <c r="AF11" s="121"/>
      <c r="AG11" s="138">
        <f t="shared" si="15"/>
        <v>5.0000000000000044E-2</v>
      </c>
      <c r="AH11" s="138">
        <f t="shared" si="16"/>
        <v>0.92000000000000015</v>
      </c>
      <c r="AI11" s="138">
        <f t="shared" si="14"/>
        <v>0.9700000000000002</v>
      </c>
      <c r="AJ11" s="139">
        <f t="shared" si="17"/>
        <v>0.9700000000000002</v>
      </c>
      <c r="AK11" s="139">
        <v>0.05</v>
      </c>
      <c r="AL11" s="138">
        <v>9</v>
      </c>
      <c r="AM11" s="140">
        <f ca="1">COUNTIF(E:E, "=9")</f>
        <v>8</v>
      </c>
      <c r="AN11" s="141"/>
      <c r="AO11" s="141" t="s">
        <v>10</v>
      </c>
    </row>
    <row r="12" spans="1:45" ht="15.75" customHeight="1">
      <c r="A12" s="126">
        <v>11</v>
      </c>
      <c r="B12" s="127">
        <v>40000</v>
      </c>
      <c r="C12" s="128"/>
      <c r="D12" s="129">
        <f t="shared" ca="1" si="0"/>
        <v>0.1182320856986574</v>
      </c>
      <c r="E12" s="130">
        <f t="shared" ca="1" si="13"/>
        <v>1</v>
      </c>
      <c r="F12" s="131">
        <f t="shared" ca="1" si="1"/>
        <v>1</v>
      </c>
      <c r="G12" s="131">
        <f t="shared" ca="1" si="2"/>
        <v>0</v>
      </c>
      <c r="H12" s="131">
        <f t="shared" ca="1" si="3"/>
        <v>0</v>
      </c>
      <c r="I12" s="131">
        <f t="shared" ca="1" si="4"/>
        <v>0</v>
      </c>
      <c r="J12" s="131">
        <f t="shared" ca="1" si="5"/>
        <v>0</v>
      </c>
      <c r="K12" s="131">
        <f t="shared" ca="1" si="6"/>
        <v>0</v>
      </c>
      <c r="L12" s="131">
        <f t="shared" ca="1" si="7"/>
        <v>0</v>
      </c>
      <c r="M12" s="131">
        <f t="shared" ca="1" si="8"/>
        <v>0</v>
      </c>
      <c r="N12" s="131">
        <f t="shared" ca="1" si="9"/>
        <v>0</v>
      </c>
      <c r="O12" s="131">
        <f t="shared" ca="1" si="10"/>
        <v>0</v>
      </c>
      <c r="P12" s="132"/>
      <c r="Q12" s="133">
        <f t="shared" ca="1" si="11"/>
        <v>830.47016868032244</v>
      </c>
      <c r="R12" s="133">
        <f t="shared" ca="1" si="11"/>
        <v>0</v>
      </c>
      <c r="S12" s="133">
        <f t="shared" ca="1" si="11"/>
        <v>0</v>
      </c>
      <c r="T12" s="133">
        <f t="shared" ca="1" si="11"/>
        <v>0</v>
      </c>
      <c r="U12" s="133">
        <f t="shared" ca="1" si="11"/>
        <v>0</v>
      </c>
      <c r="V12" s="133">
        <f t="shared" ca="1" si="11"/>
        <v>0</v>
      </c>
      <c r="W12" s="133">
        <f t="shared" ca="1" si="11"/>
        <v>0</v>
      </c>
      <c r="X12" s="133">
        <f t="shared" ca="1" si="11"/>
        <v>0</v>
      </c>
      <c r="Y12" s="133">
        <f t="shared" ca="1" si="11"/>
        <v>0</v>
      </c>
      <c r="Z12" s="133">
        <f t="shared" ca="1" si="11"/>
        <v>0</v>
      </c>
      <c r="AA12" s="134">
        <f t="shared" ca="1" si="12"/>
        <v>830.47016868032244</v>
      </c>
      <c r="AB12" s="135"/>
      <c r="AC12" s="121" t="s">
        <v>10</v>
      </c>
      <c r="AD12" s="121" t="s">
        <v>10</v>
      </c>
      <c r="AE12" s="121"/>
      <c r="AF12" s="121"/>
      <c r="AG12" s="138">
        <f t="shared" si="15"/>
        <v>3.0000000000000027E-2</v>
      </c>
      <c r="AH12" s="138">
        <f t="shared" si="16"/>
        <v>0.9700000000000002</v>
      </c>
      <c r="AI12" s="138">
        <f t="shared" si="14"/>
        <v>1.0000000000000002</v>
      </c>
      <c r="AJ12" s="139">
        <f t="shared" si="17"/>
        <v>1.0000000000000002</v>
      </c>
      <c r="AK12" s="139">
        <v>0.03</v>
      </c>
      <c r="AL12" s="138">
        <v>10</v>
      </c>
      <c r="AM12" s="140"/>
      <c r="AN12" s="141" t="s">
        <v>10</v>
      </c>
      <c r="AO12" s="141" t="s">
        <v>10</v>
      </c>
    </row>
    <row r="13" spans="1:45" ht="15.75" customHeight="1">
      <c r="A13" s="126">
        <v>12</v>
      </c>
      <c r="B13" s="127">
        <v>40000</v>
      </c>
      <c r="C13" s="128"/>
      <c r="D13" s="129">
        <f t="shared" ca="1" si="0"/>
        <v>0.60967984337762271</v>
      </c>
      <c r="E13" s="130">
        <f t="shared" ca="1" si="13"/>
        <v>5</v>
      </c>
      <c r="F13" s="131">
        <f t="shared" ca="1" si="1"/>
        <v>1</v>
      </c>
      <c r="G13" s="131">
        <f t="shared" ca="1" si="2"/>
        <v>1</v>
      </c>
      <c r="H13" s="131">
        <f t="shared" ca="1" si="3"/>
        <v>1</v>
      </c>
      <c r="I13" s="131">
        <f t="shared" ca="1" si="4"/>
        <v>1</v>
      </c>
      <c r="J13" s="131">
        <f t="shared" ca="1" si="5"/>
        <v>1</v>
      </c>
      <c r="K13" s="131">
        <f t="shared" ca="1" si="6"/>
        <v>0</v>
      </c>
      <c r="L13" s="131">
        <f t="shared" ca="1" si="7"/>
        <v>0</v>
      </c>
      <c r="M13" s="131">
        <f t="shared" ca="1" si="8"/>
        <v>0</v>
      </c>
      <c r="N13" s="131">
        <f t="shared" ca="1" si="9"/>
        <v>0</v>
      </c>
      <c r="O13" s="131">
        <f t="shared" ca="1" si="10"/>
        <v>0</v>
      </c>
      <c r="P13" s="132"/>
      <c r="Q13" s="133">
        <f t="shared" ca="1" si="11"/>
        <v>30450.8816316183</v>
      </c>
      <c r="R13" s="133">
        <f t="shared" ca="1" si="11"/>
        <v>1043.5421989723347</v>
      </c>
      <c r="S13" s="133">
        <f t="shared" ca="1" si="11"/>
        <v>6648.2194142989702</v>
      </c>
      <c r="T13" s="133">
        <f t="shared" ca="1" si="11"/>
        <v>9699.2146478314171</v>
      </c>
      <c r="U13" s="133">
        <f t="shared" ca="1" si="11"/>
        <v>10385.7105604764</v>
      </c>
      <c r="V13" s="133">
        <f t="shared" ca="1" si="11"/>
        <v>0</v>
      </c>
      <c r="W13" s="133">
        <f t="shared" ca="1" si="11"/>
        <v>0</v>
      </c>
      <c r="X13" s="133">
        <f t="shared" ca="1" si="11"/>
        <v>0</v>
      </c>
      <c r="Y13" s="133">
        <f t="shared" ca="1" si="11"/>
        <v>0</v>
      </c>
      <c r="Z13" s="133">
        <f t="shared" ca="1" si="11"/>
        <v>0</v>
      </c>
      <c r="AA13" s="134">
        <f t="shared" ca="1" si="12"/>
        <v>58227.568453197426</v>
      </c>
      <c r="AB13" s="135"/>
      <c r="AC13" s="121" t="s">
        <v>10</v>
      </c>
      <c r="AD13" s="121" t="s">
        <v>10</v>
      </c>
      <c r="AE13" s="121"/>
      <c r="AF13" s="121"/>
      <c r="AG13" s="138"/>
      <c r="AH13" s="138"/>
      <c r="AI13" s="138"/>
      <c r="AJ13" s="139"/>
      <c r="AK13" s="139">
        <f ca="1">SUM(AK2:AK13)</f>
        <v>1.0000000000000002</v>
      </c>
      <c r="AL13" s="138"/>
      <c r="AM13" s="147"/>
      <c r="AN13" s="141" t="s">
        <v>10</v>
      </c>
      <c r="AO13" s="143" t="s">
        <v>10</v>
      </c>
    </row>
    <row r="14" spans="1:45" ht="15.75" customHeight="1">
      <c r="A14" s="126">
        <v>13</v>
      </c>
      <c r="B14" s="127">
        <v>40000</v>
      </c>
      <c r="C14" s="128"/>
      <c r="D14" s="129">
        <f t="shared" ca="1" si="0"/>
        <v>0.96725543344980092</v>
      </c>
      <c r="E14" s="130">
        <f t="shared" ca="1" si="13"/>
        <v>9</v>
      </c>
      <c r="F14" s="131">
        <f t="shared" ca="1" si="1"/>
        <v>1</v>
      </c>
      <c r="G14" s="131">
        <f t="shared" ca="1" si="2"/>
        <v>1</v>
      </c>
      <c r="H14" s="131">
        <f t="shared" ca="1" si="3"/>
        <v>1</v>
      </c>
      <c r="I14" s="131">
        <f t="shared" ca="1" si="4"/>
        <v>1</v>
      </c>
      <c r="J14" s="131">
        <f t="shared" ca="1" si="5"/>
        <v>1</v>
      </c>
      <c r="K14" s="131">
        <f t="shared" ca="1" si="6"/>
        <v>1</v>
      </c>
      <c r="L14" s="131">
        <f t="shared" ca="1" si="7"/>
        <v>1</v>
      </c>
      <c r="M14" s="131">
        <f t="shared" ca="1" si="8"/>
        <v>1</v>
      </c>
      <c r="N14" s="131">
        <f t="shared" ca="1" si="9"/>
        <v>1</v>
      </c>
      <c r="O14" s="131">
        <f t="shared" ca="1" si="10"/>
        <v>0</v>
      </c>
      <c r="P14" s="132"/>
      <c r="Q14" s="133">
        <f t="shared" ca="1" si="11"/>
        <v>40571.015789591293</v>
      </c>
      <c r="R14" s="133">
        <f t="shared" ca="1" si="11"/>
        <v>24373.257631988981</v>
      </c>
      <c r="S14" s="133">
        <f t="shared" ca="1" si="11"/>
        <v>46782.067500231336</v>
      </c>
      <c r="T14" s="133">
        <f t="shared" ca="1" si="11"/>
        <v>1770.6168731077175</v>
      </c>
      <c r="U14" s="133">
        <f t="shared" ca="1" si="11"/>
        <v>7200.3551675317467</v>
      </c>
      <c r="V14" s="133">
        <f t="shared" ca="1" si="11"/>
        <v>2705.7463429817367</v>
      </c>
      <c r="W14" s="133">
        <f t="shared" ca="1" si="11"/>
        <v>3677.811269005309</v>
      </c>
      <c r="X14" s="133">
        <f t="shared" ca="1" si="11"/>
        <v>41674.295258371632</v>
      </c>
      <c r="Y14" s="133">
        <f t="shared" ca="1" si="11"/>
        <v>4558.5056958038922</v>
      </c>
      <c r="Z14" s="133">
        <f t="shared" ca="1" si="11"/>
        <v>0</v>
      </c>
      <c r="AA14" s="134">
        <f t="shared" ca="1" si="12"/>
        <v>173313.67152861366</v>
      </c>
      <c r="AB14" s="135"/>
      <c r="AC14" s="121" t="s">
        <v>10</v>
      </c>
      <c r="AD14" s="121"/>
      <c r="AE14" s="121"/>
      <c r="AF14" s="121"/>
      <c r="AG14" s="121"/>
      <c r="AH14" s="121"/>
      <c r="AI14" s="121"/>
      <c r="AJ14" s="138"/>
      <c r="AK14" s="148"/>
      <c r="AL14" s="138"/>
      <c r="AM14" s="140"/>
      <c r="AN14" s="121" t="s">
        <v>10</v>
      </c>
      <c r="AO14" s="143" t="s">
        <v>10</v>
      </c>
    </row>
    <row r="15" spans="1:45" ht="15.75" customHeight="1">
      <c r="A15" s="126">
        <v>14</v>
      </c>
      <c r="B15" s="127">
        <v>40000</v>
      </c>
      <c r="C15" s="128"/>
      <c r="D15" s="129">
        <f t="shared" ca="1" si="0"/>
        <v>0.79294118886610365</v>
      </c>
      <c r="E15" s="130">
        <f t="shared" ca="1" si="13"/>
        <v>7</v>
      </c>
      <c r="F15" s="131">
        <f t="shared" ca="1" si="1"/>
        <v>1</v>
      </c>
      <c r="G15" s="131">
        <f t="shared" ca="1" si="2"/>
        <v>1</v>
      </c>
      <c r="H15" s="131">
        <f t="shared" ca="1" si="3"/>
        <v>1</v>
      </c>
      <c r="I15" s="131">
        <f t="shared" ca="1" si="4"/>
        <v>1</v>
      </c>
      <c r="J15" s="131">
        <f t="shared" ca="1" si="5"/>
        <v>1</v>
      </c>
      <c r="K15" s="131">
        <f t="shared" ca="1" si="6"/>
        <v>1</v>
      </c>
      <c r="L15" s="131">
        <f t="shared" ca="1" si="7"/>
        <v>1</v>
      </c>
      <c r="M15" s="131">
        <f t="shared" ca="1" si="8"/>
        <v>0</v>
      </c>
      <c r="N15" s="131">
        <f t="shared" ca="1" si="9"/>
        <v>0</v>
      </c>
      <c r="O15" s="131">
        <f t="shared" ca="1" si="10"/>
        <v>0</v>
      </c>
      <c r="P15" s="132"/>
      <c r="Q15" s="133">
        <f t="shared" ca="1" si="11"/>
        <v>11875.587594810122</v>
      </c>
      <c r="R15" s="133">
        <f t="shared" ca="1" si="11"/>
        <v>41589.982277566283</v>
      </c>
      <c r="S15" s="133">
        <f t="shared" ca="1" si="11"/>
        <v>37562.374077732093</v>
      </c>
      <c r="T15" s="133">
        <f t="shared" ca="1" si="11"/>
        <v>11574.400136513248</v>
      </c>
      <c r="U15" s="133">
        <f t="shared" ca="1" si="11"/>
        <v>10435.408951656542</v>
      </c>
      <c r="V15" s="133">
        <f t="shared" ca="1" si="11"/>
        <v>6100.3158943946946</v>
      </c>
      <c r="W15" s="133">
        <f t="shared" ca="1" si="11"/>
        <v>28154.633012998092</v>
      </c>
      <c r="X15" s="133">
        <f t="shared" ca="1" si="11"/>
        <v>0</v>
      </c>
      <c r="Y15" s="133">
        <f t="shared" ca="1" si="11"/>
        <v>0</v>
      </c>
      <c r="Z15" s="133">
        <f t="shared" ca="1" si="11"/>
        <v>0</v>
      </c>
      <c r="AA15" s="134">
        <f t="shared" ca="1" si="12"/>
        <v>147292.70194567106</v>
      </c>
      <c r="AB15" s="135"/>
      <c r="AC15" s="121" t="s">
        <v>10</v>
      </c>
      <c r="AD15" s="121"/>
      <c r="AE15" s="141"/>
      <c r="AF15" s="141"/>
      <c r="AG15" s="141"/>
      <c r="AH15" s="141"/>
      <c r="AI15" s="141"/>
      <c r="AJ15" s="141"/>
      <c r="AK15" s="141"/>
      <c r="AL15" s="141"/>
      <c r="AM15" s="121" t="s">
        <v>10</v>
      </c>
      <c r="AN15" s="121" t="s">
        <v>10</v>
      </c>
      <c r="AO15" s="143" t="s">
        <v>10</v>
      </c>
    </row>
    <row r="16" spans="1:45" ht="15.75" customHeight="1">
      <c r="A16" s="126">
        <v>15</v>
      </c>
      <c r="B16" s="127">
        <v>40000</v>
      </c>
      <c r="C16" s="128"/>
      <c r="D16" s="129">
        <f t="shared" ca="1" si="0"/>
        <v>0.76687270537322239</v>
      </c>
      <c r="E16" s="130">
        <f t="shared" ca="1" si="13"/>
        <v>6</v>
      </c>
      <c r="F16" s="131">
        <f t="shared" ca="1" si="1"/>
        <v>1</v>
      </c>
      <c r="G16" s="131">
        <f t="shared" ca="1" si="2"/>
        <v>1</v>
      </c>
      <c r="H16" s="131">
        <f t="shared" ca="1" si="3"/>
        <v>1</v>
      </c>
      <c r="I16" s="131">
        <f t="shared" ca="1" si="4"/>
        <v>1</v>
      </c>
      <c r="J16" s="131">
        <f t="shared" ca="1" si="5"/>
        <v>1</v>
      </c>
      <c r="K16" s="131">
        <f t="shared" ca="1" si="6"/>
        <v>1</v>
      </c>
      <c r="L16" s="131">
        <f t="shared" ca="1" si="7"/>
        <v>0</v>
      </c>
      <c r="M16" s="131">
        <f t="shared" ca="1" si="8"/>
        <v>0</v>
      </c>
      <c r="N16" s="131">
        <f t="shared" ca="1" si="9"/>
        <v>0</v>
      </c>
      <c r="O16" s="131">
        <f t="shared" ca="1" si="10"/>
        <v>0</v>
      </c>
      <c r="P16" s="132"/>
      <c r="Q16" s="133">
        <f t="shared" ca="1" si="11"/>
        <v>245.35107002025575</v>
      </c>
      <c r="R16" s="133">
        <f t="shared" ca="1" si="11"/>
        <v>23103.182324303692</v>
      </c>
      <c r="S16" s="133">
        <f t="shared" ca="1" si="11"/>
        <v>3547.3022585749691</v>
      </c>
      <c r="T16" s="133">
        <f t="shared" ca="1" si="11"/>
        <v>1090.9486070339808</v>
      </c>
      <c r="U16" s="133">
        <f t="shared" ca="1" si="11"/>
        <v>14320.92321874546</v>
      </c>
      <c r="V16" s="133">
        <f t="shared" ca="1" si="11"/>
        <v>624.26875045354041</v>
      </c>
      <c r="W16" s="133">
        <f t="shared" ca="1" si="11"/>
        <v>0</v>
      </c>
      <c r="X16" s="133">
        <f t="shared" ca="1" si="11"/>
        <v>0</v>
      </c>
      <c r="Y16" s="133">
        <f t="shared" ca="1" si="11"/>
        <v>0</v>
      </c>
      <c r="Z16" s="133">
        <f t="shared" ca="1" si="11"/>
        <v>0</v>
      </c>
      <c r="AA16" s="134">
        <f t="shared" ca="1" si="12"/>
        <v>42931.976229131898</v>
      </c>
      <c r="AB16" s="135"/>
      <c r="AC16" s="121" t="s">
        <v>10</v>
      </c>
      <c r="AD16" s="121"/>
      <c r="AE16" s="121" t="s">
        <v>10</v>
      </c>
      <c r="AF16" s="121"/>
      <c r="AG16" s="121"/>
      <c r="AH16" s="121"/>
      <c r="AI16" s="121"/>
      <c r="AJ16" s="141"/>
      <c r="AK16" s="141"/>
      <c r="AL16" s="141"/>
      <c r="AM16" s="121" t="s">
        <v>10</v>
      </c>
      <c r="AN16" s="121" t="s">
        <v>10</v>
      </c>
    </row>
    <row r="17" spans="1:41" ht="15.75" customHeight="1">
      <c r="A17" s="126">
        <v>16</v>
      </c>
      <c r="B17" s="127">
        <v>40000</v>
      </c>
      <c r="C17" s="128"/>
      <c r="D17" s="129">
        <f t="shared" ca="1" si="0"/>
        <v>0.63618366588314734</v>
      </c>
      <c r="E17" s="130">
        <f t="shared" ca="1" si="13"/>
        <v>5</v>
      </c>
      <c r="F17" s="131">
        <f t="shared" ca="1" si="1"/>
        <v>1</v>
      </c>
      <c r="G17" s="131">
        <f t="shared" ca="1" si="2"/>
        <v>1</v>
      </c>
      <c r="H17" s="131">
        <f t="shared" ca="1" si="3"/>
        <v>1</v>
      </c>
      <c r="I17" s="131">
        <f t="shared" ca="1" si="4"/>
        <v>1</v>
      </c>
      <c r="J17" s="131">
        <f t="shared" ca="1" si="5"/>
        <v>1</v>
      </c>
      <c r="K17" s="131">
        <f t="shared" ca="1" si="6"/>
        <v>0</v>
      </c>
      <c r="L17" s="131">
        <f t="shared" ca="1" si="7"/>
        <v>0</v>
      </c>
      <c r="M17" s="131">
        <f t="shared" ca="1" si="8"/>
        <v>0</v>
      </c>
      <c r="N17" s="131">
        <f t="shared" ca="1" si="9"/>
        <v>0</v>
      </c>
      <c r="O17" s="131">
        <f t="shared" ca="1" si="10"/>
        <v>0</v>
      </c>
      <c r="P17" s="132"/>
      <c r="Q17" s="133">
        <f t="shared" ca="1" si="11"/>
        <v>3712.2590870589165</v>
      </c>
      <c r="R17" s="133">
        <f t="shared" ca="1" si="11"/>
        <v>12034.049012653542</v>
      </c>
      <c r="S17" s="133">
        <f t="shared" ca="1" si="11"/>
        <v>5149.1894913066972</v>
      </c>
      <c r="T17" s="133">
        <f t="shared" ca="1" si="11"/>
        <v>14114.23564000827</v>
      </c>
      <c r="U17" s="133">
        <f t="shared" ca="1" si="11"/>
        <v>9147.0235749696167</v>
      </c>
      <c r="V17" s="133">
        <f t="shared" ca="1" si="11"/>
        <v>0</v>
      </c>
      <c r="W17" s="133">
        <f t="shared" ca="1" si="11"/>
        <v>0</v>
      </c>
      <c r="X17" s="133">
        <f t="shared" ca="1" si="11"/>
        <v>0</v>
      </c>
      <c r="Y17" s="133">
        <f t="shared" ca="1" si="11"/>
        <v>0</v>
      </c>
      <c r="Z17" s="133">
        <f t="shared" ca="1" si="11"/>
        <v>0</v>
      </c>
      <c r="AA17" s="134">
        <f t="shared" ca="1" si="12"/>
        <v>44156.756805997044</v>
      </c>
      <c r="AB17" s="135"/>
      <c r="AC17" s="121" t="s">
        <v>10</v>
      </c>
      <c r="AD17" s="121"/>
      <c r="AE17" s="121" t="s">
        <v>10</v>
      </c>
      <c r="AF17" s="121"/>
      <c r="AG17" s="121"/>
      <c r="AH17" s="121"/>
      <c r="AI17" s="121"/>
      <c r="AJ17" s="141"/>
      <c r="AK17" s="141"/>
      <c r="AL17" s="141"/>
      <c r="AM17" s="121" t="s">
        <v>10</v>
      </c>
      <c r="AN17" s="121" t="s">
        <v>10</v>
      </c>
    </row>
    <row r="18" spans="1:41" ht="15.75" customHeight="1">
      <c r="A18" s="126">
        <v>17</v>
      </c>
      <c r="B18" s="127">
        <v>40000</v>
      </c>
      <c r="C18" s="128"/>
      <c r="D18" s="129">
        <f t="shared" ca="1" si="0"/>
        <v>0.83753987088381143</v>
      </c>
      <c r="E18" s="130">
        <f t="shared" ca="1" si="13"/>
        <v>7</v>
      </c>
      <c r="F18" s="131">
        <f t="shared" ca="1" si="1"/>
        <v>1</v>
      </c>
      <c r="G18" s="131">
        <f t="shared" ca="1" si="2"/>
        <v>1</v>
      </c>
      <c r="H18" s="131">
        <f t="shared" ca="1" si="3"/>
        <v>1</v>
      </c>
      <c r="I18" s="131">
        <f t="shared" ca="1" si="4"/>
        <v>1</v>
      </c>
      <c r="J18" s="131">
        <f t="shared" ca="1" si="5"/>
        <v>1</v>
      </c>
      <c r="K18" s="131">
        <f t="shared" ca="1" si="6"/>
        <v>1</v>
      </c>
      <c r="L18" s="131">
        <f t="shared" ca="1" si="7"/>
        <v>1</v>
      </c>
      <c r="M18" s="131">
        <f t="shared" ca="1" si="8"/>
        <v>0</v>
      </c>
      <c r="N18" s="131">
        <f t="shared" ca="1" si="9"/>
        <v>0</v>
      </c>
      <c r="O18" s="131">
        <f t="shared" ca="1" si="10"/>
        <v>0</v>
      </c>
      <c r="P18" s="132"/>
      <c r="Q18" s="133">
        <f t="shared" ca="1" si="11"/>
        <v>34048.414507255497</v>
      </c>
      <c r="R18" s="133">
        <f t="shared" ca="1" si="11"/>
        <v>625.97253994598793</v>
      </c>
      <c r="S18" s="133">
        <f t="shared" ca="1" si="11"/>
        <v>918.53481661437172</v>
      </c>
      <c r="T18" s="133">
        <f t="shared" ca="1" si="11"/>
        <v>12207.978644170065</v>
      </c>
      <c r="U18" s="133">
        <f t="shared" ca="1" si="11"/>
        <v>398.65931539073455</v>
      </c>
      <c r="V18" s="133">
        <f t="shared" ca="1" si="11"/>
        <v>33100.827151136764</v>
      </c>
      <c r="W18" s="133">
        <f t="shared" ca="1" si="11"/>
        <v>32528.992763271453</v>
      </c>
      <c r="X18" s="133">
        <f t="shared" ca="1" si="11"/>
        <v>0</v>
      </c>
      <c r="Y18" s="133">
        <f t="shared" ca="1" si="11"/>
        <v>0</v>
      </c>
      <c r="Z18" s="133">
        <f t="shared" ca="1" si="11"/>
        <v>0</v>
      </c>
      <c r="AA18" s="134">
        <f t="shared" ca="1" si="12"/>
        <v>113829.37973778487</v>
      </c>
      <c r="AB18" s="135"/>
      <c r="AC18" s="121" t="s">
        <v>10</v>
      </c>
      <c r="AD18" s="121"/>
      <c r="AE18" s="141"/>
      <c r="AF18" s="141"/>
      <c r="AG18" s="141"/>
      <c r="AH18" s="141"/>
      <c r="AI18" s="141"/>
      <c r="AJ18" s="141"/>
      <c r="AK18" s="141"/>
      <c r="AL18" s="141"/>
      <c r="AM18" s="121" t="s">
        <v>10</v>
      </c>
      <c r="AN18" s="121" t="s">
        <v>10</v>
      </c>
    </row>
    <row r="19" spans="1:41" ht="15.75" customHeight="1">
      <c r="A19" s="126">
        <v>18</v>
      </c>
      <c r="B19" s="127">
        <v>40000</v>
      </c>
      <c r="C19" s="128"/>
      <c r="D19" s="129">
        <f t="shared" ca="1" si="0"/>
        <v>0.91221921762780844</v>
      </c>
      <c r="E19" s="130">
        <f t="shared" ca="1" si="13"/>
        <v>8</v>
      </c>
      <c r="F19" s="131">
        <f t="shared" ca="1" si="1"/>
        <v>1</v>
      </c>
      <c r="G19" s="131">
        <f t="shared" ca="1" si="2"/>
        <v>1</v>
      </c>
      <c r="H19" s="131">
        <f t="shared" ca="1" si="3"/>
        <v>1</v>
      </c>
      <c r="I19" s="131">
        <f t="shared" ca="1" si="4"/>
        <v>1</v>
      </c>
      <c r="J19" s="131">
        <f t="shared" ca="1" si="5"/>
        <v>1</v>
      </c>
      <c r="K19" s="131">
        <f t="shared" ca="1" si="6"/>
        <v>1</v>
      </c>
      <c r="L19" s="131">
        <f t="shared" ca="1" si="7"/>
        <v>1</v>
      </c>
      <c r="M19" s="131">
        <f t="shared" ca="1" si="8"/>
        <v>1</v>
      </c>
      <c r="N19" s="131">
        <f t="shared" ca="1" si="9"/>
        <v>0</v>
      </c>
      <c r="O19" s="131">
        <f t="shared" ca="1" si="10"/>
        <v>0</v>
      </c>
      <c r="P19" s="132"/>
      <c r="Q19" s="133">
        <f t="shared" ca="1" si="11"/>
        <v>10588.066139536779</v>
      </c>
      <c r="R19" s="133">
        <f t="shared" ca="1" si="11"/>
        <v>27348.931004609556</v>
      </c>
      <c r="S19" s="133">
        <f t="shared" ca="1" si="11"/>
        <v>18192.058643629105</v>
      </c>
      <c r="T19" s="133">
        <f t="shared" ca="1" si="11"/>
        <v>2767.2405029219099</v>
      </c>
      <c r="U19" s="133">
        <f t="shared" ca="1" si="11"/>
        <v>859.07331228514613</v>
      </c>
      <c r="V19" s="133">
        <f t="shared" ca="1" si="11"/>
        <v>21023.127488468737</v>
      </c>
      <c r="W19" s="133">
        <f t="shared" ca="1" si="11"/>
        <v>313.07062912916871</v>
      </c>
      <c r="X19" s="133">
        <f t="shared" ca="1" si="11"/>
        <v>37821.099593946426</v>
      </c>
      <c r="Y19" s="133">
        <f t="shared" ca="1" si="11"/>
        <v>0</v>
      </c>
      <c r="Z19" s="133">
        <f t="shared" ca="1" si="11"/>
        <v>0</v>
      </c>
      <c r="AA19" s="134">
        <f t="shared" ca="1" si="12"/>
        <v>118912.66731452683</v>
      </c>
      <c r="AB19" s="135"/>
      <c r="AC19" s="121" t="s">
        <v>10</v>
      </c>
      <c r="AD19" s="121"/>
      <c r="AE19" s="141"/>
      <c r="AF19" s="141"/>
      <c r="AG19" s="141"/>
      <c r="AH19" s="141"/>
      <c r="AI19" s="141"/>
      <c r="AJ19" s="141"/>
      <c r="AK19" s="141"/>
      <c r="AL19" s="141"/>
      <c r="AM19" s="121" t="s">
        <v>10</v>
      </c>
      <c r="AN19" s="121" t="s">
        <v>10</v>
      </c>
      <c r="AO19" s="121"/>
    </row>
    <row r="20" spans="1:41" ht="15.75" customHeight="1">
      <c r="A20" s="126">
        <v>19</v>
      </c>
      <c r="B20" s="127">
        <v>40000</v>
      </c>
      <c r="C20" s="128"/>
      <c r="D20" s="129">
        <f t="shared" ca="1" si="0"/>
        <v>0.56158436938027767</v>
      </c>
      <c r="E20" s="130">
        <f t="shared" ca="1" si="13"/>
        <v>5</v>
      </c>
      <c r="F20" s="131">
        <f t="shared" ca="1" si="1"/>
        <v>1</v>
      </c>
      <c r="G20" s="131">
        <f t="shared" ca="1" si="2"/>
        <v>1</v>
      </c>
      <c r="H20" s="131">
        <f t="shared" ca="1" si="3"/>
        <v>1</v>
      </c>
      <c r="I20" s="131">
        <f t="shared" ca="1" si="4"/>
        <v>1</v>
      </c>
      <c r="J20" s="131">
        <f t="shared" ca="1" si="5"/>
        <v>1</v>
      </c>
      <c r="K20" s="131">
        <f t="shared" ca="1" si="6"/>
        <v>0</v>
      </c>
      <c r="L20" s="131">
        <f t="shared" ca="1" si="7"/>
        <v>0</v>
      </c>
      <c r="M20" s="131">
        <f t="shared" ca="1" si="8"/>
        <v>0</v>
      </c>
      <c r="N20" s="131">
        <f t="shared" ca="1" si="9"/>
        <v>0</v>
      </c>
      <c r="O20" s="131">
        <f t="shared" ca="1" si="10"/>
        <v>0</v>
      </c>
      <c r="P20" s="132"/>
      <c r="Q20" s="133">
        <f t="shared" ca="1" si="11"/>
        <v>29469.570460904699</v>
      </c>
      <c r="R20" s="133">
        <f t="shared" ca="1" si="11"/>
        <v>43272.887450308946</v>
      </c>
      <c r="S20" s="133">
        <f t="shared" ca="1" si="11"/>
        <v>31231.425578459115</v>
      </c>
      <c r="T20" s="133">
        <f t="shared" ca="1" si="11"/>
        <v>6750.1497196121009</v>
      </c>
      <c r="U20" s="133">
        <f t="shared" ca="1" si="11"/>
        <v>9785.2093393431496</v>
      </c>
      <c r="V20" s="133">
        <f t="shared" ca="1" si="11"/>
        <v>0</v>
      </c>
      <c r="W20" s="133">
        <f t="shared" ca="1" si="11"/>
        <v>0</v>
      </c>
      <c r="X20" s="133">
        <f t="shared" ca="1" si="11"/>
        <v>0</v>
      </c>
      <c r="Y20" s="133">
        <f t="shared" ca="1" si="11"/>
        <v>0</v>
      </c>
      <c r="Z20" s="133">
        <f t="shared" ca="1" si="11"/>
        <v>0</v>
      </c>
      <c r="AA20" s="134">
        <f t="shared" ca="1" si="12"/>
        <v>120509.24254862801</v>
      </c>
      <c r="AB20" s="135"/>
      <c r="AC20" s="121" t="s">
        <v>10</v>
      </c>
      <c r="AD20" s="141"/>
      <c r="AE20" s="141"/>
      <c r="AF20" s="141"/>
      <c r="AG20" s="141"/>
      <c r="AH20" s="141"/>
      <c r="AI20" s="141"/>
      <c r="AJ20" s="141"/>
      <c r="AK20" s="141"/>
      <c r="AL20" s="141"/>
      <c r="AM20" s="121" t="s">
        <v>10</v>
      </c>
      <c r="AN20" s="121" t="s">
        <v>10</v>
      </c>
    </row>
    <row r="21" spans="1:41" ht="15.75" customHeight="1">
      <c r="A21" s="126">
        <v>20</v>
      </c>
      <c r="B21" s="127">
        <v>40000</v>
      </c>
      <c r="C21" s="128"/>
      <c r="D21" s="129">
        <f t="shared" ca="1" si="0"/>
        <v>0.61576526957818978</v>
      </c>
      <c r="E21" s="130">
        <f t="shared" ca="1" si="13"/>
        <v>5</v>
      </c>
      <c r="F21" s="131">
        <f t="shared" ca="1" si="1"/>
        <v>1</v>
      </c>
      <c r="G21" s="131">
        <f t="shared" ca="1" si="2"/>
        <v>1</v>
      </c>
      <c r="H21" s="131">
        <f t="shared" ca="1" si="3"/>
        <v>1</v>
      </c>
      <c r="I21" s="131">
        <f t="shared" ca="1" si="4"/>
        <v>1</v>
      </c>
      <c r="J21" s="131">
        <f t="shared" ca="1" si="5"/>
        <v>1</v>
      </c>
      <c r="K21" s="131">
        <f t="shared" ca="1" si="6"/>
        <v>0</v>
      </c>
      <c r="L21" s="131">
        <f t="shared" ca="1" si="7"/>
        <v>0</v>
      </c>
      <c r="M21" s="131">
        <f t="shared" ca="1" si="8"/>
        <v>0</v>
      </c>
      <c r="N21" s="131">
        <f t="shared" ca="1" si="9"/>
        <v>0</v>
      </c>
      <c r="O21" s="131">
        <f t="shared" ca="1" si="10"/>
        <v>0</v>
      </c>
      <c r="P21" s="132"/>
      <c r="Q21" s="133">
        <f t="shared" ca="1" si="11"/>
        <v>11332.676287855576</v>
      </c>
      <c r="R21" s="133">
        <f t="shared" ca="1" si="11"/>
        <v>31944.964057084264</v>
      </c>
      <c r="S21" s="133">
        <f t="shared" ca="1" si="11"/>
        <v>25353.339785145748</v>
      </c>
      <c r="T21" s="133">
        <f t="shared" ca="1" si="11"/>
        <v>67123.69426112069</v>
      </c>
      <c r="U21" s="133">
        <f t="shared" ca="1" si="11"/>
        <v>8144.4477987389064</v>
      </c>
      <c r="V21" s="133">
        <f t="shared" ca="1" si="11"/>
        <v>0</v>
      </c>
      <c r="W21" s="133">
        <f t="shared" ca="1" si="11"/>
        <v>0</v>
      </c>
      <c r="X21" s="133">
        <f t="shared" ca="1" si="11"/>
        <v>0</v>
      </c>
      <c r="Y21" s="133">
        <f t="shared" ca="1" si="11"/>
        <v>0</v>
      </c>
      <c r="Z21" s="133">
        <f t="shared" ca="1" si="11"/>
        <v>0</v>
      </c>
      <c r="AA21" s="134">
        <f t="shared" ca="1" si="12"/>
        <v>143899.12218994519</v>
      </c>
      <c r="AB21" s="135"/>
      <c r="AC21" s="121" t="s">
        <v>10</v>
      </c>
      <c r="AD21" s="141"/>
      <c r="AE21" s="141"/>
      <c r="AF21" s="141"/>
      <c r="AG21" s="141"/>
      <c r="AH21" s="141"/>
      <c r="AI21" s="141"/>
      <c r="AJ21" s="141"/>
      <c r="AK21" s="121" t="s">
        <v>10</v>
      </c>
      <c r="AL21" s="149" t="s">
        <v>10</v>
      </c>
      <c r="AM21" s="121" t="s">
        <v>10</v>
      </c>
      <c r="AN21" s="121" t="s">
        <v>10</v>
      </c>
    </row>
    <row r="22" spans="1:41" ht="15.75" customHeight="1">
      <c r="A22" s="126">
        <v>21</v>
      </c>
      <c r="B22" s="127">
        <v>40000</v>
      </c>
      <c r="C22" s="128"/>
      <c r="D22" s="129">
        <f t="shared" ca="1" si="0"/>
        <v>0.82179202276948971</v>
      </c>
      <c r="E22" s="130">
        <f t="shared" ca="1" si="13"/>
        <v>7</v>
      </c>
      <c r="F22" s="131">
        <f t="shared" ca="1" si="1"/>
        <v>1</v>
      </c>
      <c r="G22" s="131">
        <f t="shared" ca="1" si="2"/>
        <v>1</v>
      </c>
      <c r="H22" s="131">
        <f t="shared" ca="1" si="3"/>
        <v>1</v>
      </c>
      <c r="I22" s="131">
        <f t="shared" ca="1" si="4"/>
        <v>1</v>
      </c>
      <c r="J22" s="131">
        <f t="shared" ca="1" si="5"/>
        <v>1</v>
      </c>
      <c r="K22" s="131">
        <f t="shared" ca="1" si="6"/>
        <v>1</v>
      </c>
      <c r="L22" s="131">
        <f t="shared" ca="1" si="7"/>
        <v>1</v>
      </c>
      <c r="M22" s="131">
        <f t="shared" ca="1" si="8"/>
        <v>0</v>
      </c>
      <c r="N22" s="131">
        <f t="shared" ca="1" si="9"/>
        <v>0</v>
      </c>
      <c r="O22" s="131">
        <f t="shared" ca="1" si="10"/>
        <v>0</v>
      </c>
      <c r="P22" s="132"/>
      <c r="Q22" s="133">
        <f t="shared" ca="1" si="11"/>
        <v>9159.0706008129746</v>
      </c>
      <c r="R22" s="133">
        <f t="shared" ca="1" si="11"/>
        <v>4440.808948056685</v>
      </c>
      <c r="S22" s="133">
        <f t="shared" ca="1" si="11"/>
        <v>4555.8468786597723</v>
      </c>
      <c r="T22" s="133">
        <f t="shared" ca="1" si="11"/>
        <v>22643.315784715767</v>
      </c>
      <c r="U22" s="133">
        <f t="shared" ca="1" si="11"/>
        <v>36598.675008467748</v>
      </c>
      <c r="V22" s="133">
        <f t="shared" ca="1" si="11"/>
        <v>1010.1728569011141</v>
      </c>
      <c r="W22" s="133">
        <f t="shared" ca="1" si="11"/>
        <v>4098.0259001946042</v>
      </c>
      <c r="X22" s="133">
        <f t="shared" ca="1" si="11"/>
        <v>0</v>
      </c>
      <c r="Y22" s="133">
        <f t="shared" ca="1" si="11"/>
        <v>0</v>
      </c>
      <c r="Z22" s="133">
        <f t="shared" ca="1" si="11"/>
        <v>0</v>
      </c>
      <c r="AA22" s="134">
        <f t="shared" ca="1" si="12"/>
        <v>82505.915977808676</v>
      </c>
      <c r="AB22" s="135"/>
      <c r="AC22" s="121" t="s">
        <v>10</v>
      </c>
      <c r="AD22" s="141"/>
      <c r="AE22" s="141"/>
      <c r="AF22" s="141"/>
      <c r="AG22" s="141"/>
      <c r="AH22" s="141"/>
      <c r="AI22" s="141"/>
      <c r="AJ22" s="141"/>
      <c r="AK22" s="141"/>
      <c r="AL22" s="141"/>
      <c r="AM22" s="121" t="s">
        <v>10</v>
      </c>
      <c r="AN22" s="121" t="s">
        <v>10</v>
      </c>
    </row>
    <row r="23" spans="1:41" ht="15.75" customHeight="1">
      <c r="A23" s="126">
        <v>22</v>
      </c>
      <c r="B23" s="127">
        <v>40000</v>
      </c>
      <c r="C23" s="128"/>
      <c r="D23" s="129">
        <f t="shared" ca="1" si="0"/>
        <v>0.22705281564239765</v>
      </c>
      <c r="E23" s="130">
        <f t="shared" ca="1" si="13"/>
        <v>2</v>
      </c>
      <c r="F23" s="131">
        <f t="shared" ca="1" si="1"/>
        <v>1</v>
      </c>
      <c r="G23" s="131">
        <f t="shared" ca="1" si="2"/>
        <v>1</v>
      </c>
      <c r="H23" s="131">
        <f t="shared" ca="1" si="3"/>
        <v>0</v>
      </c>
      <c r="I23" s="131">
        <f t="shared" ca="1" si="4"/>
        <v>0</v>
      </c>
      <c r="J23" s="131">
        <f t="shared" ca="1" si="5"/>
        <v>0</v>
      </c>
      <c r="K23" s="131">
        <f t="shared" ca="1" si="6"/>
        <v>0</v>
      </c>
      <c r="L23" s="131">
        <f t="shared" ca="1" si="7"/>
        <v>0</v>
      </c>
      <c r="M23" s="131">
        <f t="shared" ca="1" si="8"/>
        <v>0</v>
      </c>
      <c r="N23" s="131">
        <f t="shared" ca="1" si="9"/>
        <v>0</v>
      </c>
      <c r="O23" s="131">
        <f t="shared" ca="1" si="10"/>
        <v>0</v>
      </c>
      <c r="P23" s="132"/>
      <c r="Q23" s="133">
        <f t="shared" ca="1" si="11"/>
        <v>8597.8821466819518</v>
      </c>
      <c r="R23" s="133">
        <f t="shared" ca="1" si="11"/>
        <v>11015.156850413661</v>
      </c>
      <c r="S23" s="133">
        <f t="shared" ca="1" si="11"/>
        <v>0</v>
      </c>
      <c r="T23" s="133">
        <f t="shared" ca="1" si="11"/>
        <v>0</v>
      </c>
      <c r="U23" s="133">
        <f t="shared" ca="1" si="11"/>
        <v>0</v>
      </c>
      <c r="V23" s="133">
        <f t="shared" ca="1" si="11"/>
        <v>0</v>
      </c>
      <c r="W23" s="133">
        <f t="shared" ca="1" si="11"/>
        <v>0</v>
      </c>
      <c r="X23" s="133">
        <f t="shared" ca="1" si="11"/>
        <v>0</v>
      </c>
      <c r="Y23" s="133">
        <f t="shared" ca="1" si="11"/>
        <v>0</v>
      </c>
      <c r="Z23" s="133">
        <f t="shared" ca="1" si="11"/>
        <v>0</v>
      </c>
      <c r="AA23" s="134">
        <f t="shared" ca="1" si="12"/>
        <v>19613.038997095613</v>
      </c>
      <c r="AB23" s="135"/>
      <c r="AC23" s="121" t="s">
        <v>10</v>
      </c>
      <c r="AD23" s="141"/>
      <c r="AE23" s="141"/>
      <c r="AF23" s="141"/>
      <c r="AG23" s="141"/>
      <c r="AH23" s="141"/>
      <c r="AI23" s="141"/>
      <c r="AJ23" s="141"/>
      <c r="AK23" s="121" t="s">
        <v>10</v>
      </c>
      <c r="AL23" s="141"/>
      <c r="AM23" s="121" t="s">
        <v>10</v>
      </c>
      <c r="AN23" s="121" t="s">
        <v>10</v>
      </c>
    </row>
    <row r="24" spans="1:41" ht="15.75" customHeight="1">
      <c r="A24" s="126">
        <v>23</v>
      </c>
      <c r="B24" s="127">
        <v>40000</v>
      </c>
      <c r="C24" s="128"/>
      <c r="D24" s="129">
        <f t="shared" ca="1" si="0"/>
        <v>0.82420984351713955</v>
      </c>
      <c r="E24" s="130">
        <f t="shared" ca="1" si="13"/>
        <v>7</v>
      </c>
      <c r="F24" s="131">
        <f t="shared" ca="1" si="1"/>
        <v>1</v>
      </c>
      <c r="G24" s="131">
        <f t="shared" ca="1" si="2"/>
        <v>1</v>
      </c>
      <c r="H24" s="131">
        <f t="shared" ca="1" si="3"/>
        <v>1</v>
      </c>
      <c r="I24" s="131">
        <f t="shared" ca="1" si="4"/>
        <v>1</v>
      </c>
      <c r="J24" s="131">
        <f t="shared" ca="1" si="5"/>
        <v>1</v>
      </c>
      <c r="K24" s="131">
        <f t="shared" ca="1" si="6"/>
        <v>1</v>
      </c>
      <c r="L24" s="131">
        <f t="shared" ca="1" si="7"/>
        <v>1</v>
      </c>
      <c r="M24" s="131">
        <f t="shared" ca="1" si="8"/>
        <v>0</v>
      </c>
      <c r="N24" s="131">
        <f t="shared" ca="1" si="9"/>
        <v>0</v>
      </c>
      <c r="O24" s="131">
        <f t="shared" ca="1" si="10"/>
        <v>0</v>
      </c>
      <c r="P24" s="132"/>
      <c r="Q24" s="133">
        <f t="shared" ca="1" si="11"/>
        <v>12185.884074890064</v>
      </c>
      <c r="R24" s="133">
        <f t="shared" ca="1" si="11"/>
        <v>24312.246345101419</v>
      </c>
      <c r="S24" s="133">
        <f t="shared" ca="1" si="11"/>
        <v>2131.7832163708945</v>
      </c>
      <c r="T24" s="133">
        <f t="shared" ca="1" si="11"/>
        <v>23974.135079347012</v>
      </c>
      <c r="U24" s="133">
        <f t="shared" ca="1" si="11"/>
        <v>17315.289557269625</v>
      </c>
      <c r="V24" s="133">
        <f t="shared" ca="1" si="11"/>
        <v>8226.4635983427561</v>
      </c>
      <c r="W24" s="133">
        <f t="shared" ca="1" si="11"/>
        <v>58377.28473232939</v>
      </c>
      <c r="X24" s="133">
        <f t="shared" ca="1" si="11"/>
        <v>0</v>
      </c>
      <c r="Y24" s="133">
        <f t="shared" ca="1" si="11"/>
        <v>0</v>
      </c>
      <c r="Z24" s="133">
        <f t="shared" ca="1" si="11"/>
        <v>0</v>
      </c>
      <c r="AA24" s="134">
        <f t="shared" ca="1" si="12"/>
        <v>146523.08660365117</v>
      </c>
      <c r="AB24" s="135"/>
      <c r="AC24" s="121" t="s">
        <v>10</v>
      </c>
      <c r="AD24" s="121" t="s">
        <v>10</v>
      </c>
      <c r="AE24" s="141"/>
      <c r="AF24" s="141"/>
      <c r="AG24" s="141"/>
      <c r="AH24" s="141"/>
      <c r="AI24" s="141"/>
      <c r="AJ24" s="141"/>
      <c r="AK24" s="121" t="s">
        <v>10</v>
      </c>
      <c r="AL24" s="141"/>
      <c r="AM24" s="121" t="s">
        <v>10</v>
      </c>
      <c r="AN24" s="121" t="s">
        <v>10</v>
      </c>
    </row>
    <row r="25" spans="1:41" ht="15.75" customHeight="1">
      <c r="A25" s="126">
        <v>24</v>
      </c>
      <c r="B25" s="127">
        <v>40000</v>
      </c>
      <c r="C25" s="128"/>
      <c r="D25" s="129">
        <f t="shared" ca="1" si="0"/>
        <v>0.70576830344154073</v>
      </c>
      <c r="E25" s="130">
        <f t="shared" ca="1" si="13"/>
        <v>6</v>
      </c>
      <c r="F25" s="131">
        <f t="shared" ca="1" si="1"/>
        <v>1</v>
      </c>
      <c r="G25" s="131">
        <f t="shared" ca="1" si="2"/>
        <v>1</v>
      </c>
      <c r="H25" s="131">
        <f t="shared" ca="1" si="3"/>
        <v>1</v>
      </c>
      <c r="I25" s="131">
        <f t="shared" ca="1" si="4"/>
        <v>1</v>
      </c>
      <c r="J25" s="131">
        <f t="shared" ca="1" si="5"/>
        <v>1</v>
      </c>
      <c r="K25" s="131">
        <f t="shared" ca="1" si="6"/>
        <v>1</v>
      </c>
      <c r="L25" s="131">
        <f t="shared" ca="1" si="7"/>
        <v>0</v>
      </c>
      <c r="M25" s="131">
        <f t="shared" ca="1" si="8"/>
        <v>0</v>
      </c>
      <c r="N25" s="131">
        <f t="shared" ca="1" si="9"/>
        <v>0</v>
      </c>
      <c r="O25" s="131">
        <f t="shared" ca="1" si="10"/>
        <v>0</v>
      </c>
      <c r="P25" s="132"/>
      <c r="Q25" s="133">
        <f t="shared" ca="1" si="11"/>
        <v>11832.876476365869</v>
      </c>
      <c r="R25" s="133">
        <f t="shared" ca="1" si="11"/>
        <v>35593.133432539114</v>
      </c>
      <c r="S25" s="133">
        <f t="shared" ca="1" si="11"/>
        <v>4119.9090068757614</v>
      </c>
      <c r="T25" s="133">
        <f t="shared" ca="1" si="11"/>
        <v>30057.345764066344</v>
      </c>
      <c r="U25" s="133">
        <f t="shared" ca="1" si="11"/>
        <v>3643.5824101263242</v>
      </c>
      <c r="V25" s="133">
        <f t="shared" ca="1" si="11"/>
        <v>19466.867198183663</v>
      </c>
      <c r="W25" s="133">
        <f t="shared" ca="1" si="11"/>
        <v>0</v>
      </c>
      <c r="X25" s="133">
        <f t="shared" ca="1" si="11"/>
        <v>0</v>
      </c>
      <c r="Y25" s="133">
        <f t="shared" ca="1" si="11"/>
        <v>0</v>
      </c>
      <c r="Z25" s="133">
        <f t="shared" ca="1" si="11"/>
        <v>0</v>
      </c>
      <c r="AA25" s="134">
        <f t="shared" ca="1" si="12"/>
        <v>104713.71428815708</v>
      </c>
      <c r="AB25" s="135"/>
      <c r="AC25" s="143" t="s">
        <v>10</v>
      </c>
      <c r="AD25" s="121" t="s">
        <v>10</v>
      </c>
      <c r="AE25" s="141"/>
      <c r="AF25" s="141"/>
      <c r="AG25" s="141"/>
      <c r="AH25" s="141"/>
      <c r="AI25" s="141"/>
      <c r="AJ25" s="141"/>
      <c r="AK25" s="121" t="s">
        <v>10</v>
      </c>
      <c r="AL25" s="149" t="s">
        <v>10</v>
      </c>
      <c r="AM25" s="121" t="s">
        <v>10</v>
      </c>
      <c r="AN25" s="121" t="s">
        <v>10</v>
      </c>
    </row>
    <row r="26" spans="1:41" ht="15.75" customHeight="1">
      <c r="A26" s="126">
        <v>25</v>
      </c>
      <c r="B26" s="127">
        <v>40000</v>
      </c>
      <c r="C26" s="128"/>
      <c r="D26" s="129">
        <f t="shared" ca="1" si="0"/>
        <v>0.5412137686297841</v>
      </c>
      <c r="E26" s="130">
        <f t="shared" ca="1" si="13"/>
        <v>4</v>
      </c>
      <c r="F26" s="131">
        <f t="shared" ca="1" si="1"/>
        <v>1</v>
      </c>
      <c r="G26" s="131">
        <f t="shared" ca="1" si="2"/>
        <v>1</v>
      </c>
      <c r="H26" s="131">
        <f t="shared" ca="1" si="3"/>
        <v>1</v>
      </c>
      <c r="I26" s="131">
        <f t="shared" ca="1" si="4"/>
        <v>1</v>
      </c>
      <c r="J26" s="131">
        <f t="shared" ca="1" si="5"/>
        <v>0</v>
      </c>
      <c r="K26" s="131">
        <f t="shared" ca="1" si="6"/>
        <v>0</v>
      </c>
      <c r="L26" s="131">
        <f t="shared" ca="1" si="7"/>
        <v>0</v>
      </c>
      <c r="M26" s="131">
        <f t="shared" ca="1" si="8"/>
        <v>0</v>
      </c>
      <c r="N26" s="131">
        <f t="shared" ca="1" si="9"/>
        <v>0</v>
      </c>
      <c r="O26" s="131">
        <f t="shared" ca="1" si="10"/>
        <v>0</v>
      </c>
      <c r="P26" s="132"/>
      <c r="Q26" s="133">
        <f t="shared" ca="1" si="11"/>
        <v>40576.712396924762</v>
      </c>
      <c r="R26" s="133">
        <f t="shared" ca="1" si="11"/>
        <v>6054.5821143144422</v>
      </c>
      <c r="S26" s="133">
        <f t="shared" ca="1" si="11"/>
        <v>714.05275791665417</v>
      </c>
      <c r="T26" s="133">
        <f t="shared" ca="1" si="11"/>
        <v>13653.757224252919</v>
      </c>
      <c r="U26" s="133">
        <f t="shared" ca="1" si="11"/>
        <v>0</v>
      </c>
      <c r="V26" s="133">
        <f t="shared" ca="1" si="11"/>
        <v>0</v>
      </c>
      <c r="W26" s="133">
        <f t="shared" ca="1" si="11"/>
        <v>0</v>
      </c>
      <c r="X26" s="133">
        <f t="shared" ca="1" si="11"/>
        <v>0</v>
      </c>
      <c r="Y26" s="133">
        <f t="shared" ca="1" si="11"/>
        <v>0</v>
      </c>
      <c r="Z26" s="133">
        <f t="shared" ca="1" si="11"/>
        <v>0</v>
      </c>
      <c r="AA26" s="134">
        <f t="shared" ca="1" si="12"/>
        <v>60999.104493408777</v>
      </c>
      <c r="AB26" s="135"/>
      <c r="AC26" s="143" t="s">
        <v>10</v>
      </c>
      <c r="AD26" s="121" t="s">
        <v>10</v>
      </c>
      <c r="AE26" s="141"/>
      <c r="AF26" s="141"/>
      <c r="AG26" s="141"/>
      <c r="AH26" s="141"/>
      <c r="AI26" s="141"/>
      <c r="AJ26" s="141"/>
      <c r="AK26" s="121" t="s">
        <v>10</v>
      </c>
      <c r="AL26" s="149" t="s">
        <v>10</v>
      </c>
      <c r="AM26" s="121" t="s">
        <v>10</v>
      </c>
      <c r="AN26" s="121" t="s">
        <v>10</v>
      </c>
    </row>
    <row r="27" spans="1:41" ht="15.75" customHeight="1">
      <c r="A27" s="126">
        <v>26</v>
      </c>
      <c r="B27" s="127">
        <v>40000</v>
      </c>
      <c r="C27" s="128"/>
      <c r="D27" s="129">
        <f t="shared" ca="1" si="0"/>
        <v>0.72864751025425023</v>
      </c>
      <c r="E27" s="130">
        <f t="shared" ca="1" si="13"/>
        <v>6</v>
      </c>
      <c r="F27" s="131">
        <f t="shared" ca="1" si="1"/>
        <v>1</v>
      </c>
      <c r="G27" s="131">
        <f t="shared" ca="1" si="2"/>
        <v>1</v>
      </c>
      <c r="H27" s="131">
        <f t="shared" ca="1" si="3"/>
        <v>1</v>
      </c>
      <c r="I27" s="131">
        <f t="shared" ca="1" si="4"/>
        <v>1</v>
      </c>
      <c r="J27" s="131">
        <f t="shared" ca="1" si="5"/>
        <v>1</v>
      </c>
      <c r="K27" s="131">
        <f t="shared" ca="1" si="6"/>
        <v>1</v>
      </c>
      <c r="L27" s="131">
        <f t="shared" ca="1" si="7"/>
        <v>0</v>
      </c>
      <c r="M27" s="131">
        <f t="shared" ca="1" si="8"/>
        <v>0</v>
      </c>
      <c r="N27" s="131">
        <f t="shared" ca="1" si="9"/>
        <v>0</v>
      </c>
      <c r="O27" s="131">
        <f t="shared" ca="1" si="10"/>
        <v>0</v>
      </c>
      <c r="P27" s="132"/>
      <c r="Q27" s="133">
        <f t="shared" ca="1" si="11"/>
        <v>18458.880367512786</v>
      </c>
      <c r="R27" s="133">
        <f t="shared" ca="1" si="11"/>
        <v>23020.828932537435</v>
      </c>
      <c r="S27" s="133">
        <f t="shared" ca="1" si="11"/>
        <v>30881.110913924927</v>
      </c>
      <c r="T27" s="133">
        <f t="shared" ca="1" si="11"/>
        <v>34535.311376807258</v>
      </c>
      <c r="U27" s="133">
        <f t="shared" ca="1" si="11"/>
        <v>585.06763908683251</v>
      </c>
      <c r="V27" s="133">
        <f t="shared" ref="V27:Z58" ca="1" si="18">_xlfn.CHISQ.INV(RAND(),2)*$AO$4 *K27</f>
        <v>10107.363040915676</v>
      </c>
      <c r="W27" s="133">
        <f t="shared" ca="1" si="18"/>
        <v>0</v>
      </c>
      <c r="X27" s="133">
        <f t="shared" ca="1" si="18"/>
        <v>0</v>
      </c>
      <c r="Y27" s="133">
        <f t="shared" ca="1" si="18"/>
        <v>0</v>
      </c>
      <c r="Z27" s="133">
        <f t="shared" ca="1" si="18"/>
        <v>0</v>
      </c>
      <c r="AA27" s="134">
        <f t="shared" ca="1" si="12"/>
        <v>117588.56227078491</v>
      </c>
      <c r="AB27" s="135"/>
      <c r="AC27" s="143" t="s">
        <v>10</v>
      </c>
      <c r="AD27" s="121" t="s">
        <v>10</v>
      </c>
      <c r="AE27" s="141"/>
      <c r="AF27" s="141"/>
      <c r="AG27" s="141"/>
      <c r="AH27" s="141"/>
      <c r="AI27" s="141"/>
      <c r="AJ27" s="141"/>
      <c r="AK27" s="121" t="s">
        <v>10</v>
      </c>
      <c r="AL27" s="141"/>
      <c r="AM27" s="121" t="s">
        <v>10</v>
      </c>
      <c r="AN27" s="121" t="s">
        <v>10</v>
      </c>
    </row>
    <row r="28" spans="1:41" ht="15.75" customHeight="1">
      <c r="A28" s="126">
        <v>27</v>
      </c>
      <c r="B28" s="127">
        <v>40000</v>
      </c>
      <c r="C28" s="128"/>
      <c r="D28" s="129">
        <f t="shared" ca="1" si="0"/>
        <v>2.0190079490259416E-2</v>
      </c>
      <c r="E28" s="130">
        <f t="shared" ca="1" si="13"/>
        <v>0</v>
      </c>
      <c r="F28" s="131">
        <f t="shared" ca="1" si="1"/>
        <v>0</v>
      </c>
      <c r="G28" s="131">
        <f t="shared" ca="1" si="2"/>
        <v>0</v>
      </c>
      <c r="H28" s="131">
        <f t="shared" ca="1" si="3"/>
        <v>0</v>
      </c>
      <c r="I28" s="131">
        <f t="shared" ca="1" si="4"/>
        <v>0</v>
      </c>
      <c r="J28" s="131">
        <f t="shared" ca="1" si="5"/>
        <v>0</v>
      </c>
      <c r="K28" s="131">
        <f t="shared" ca="1" si="6"/>
        <v>0</v>
      </c>
      <c r="L28" s="131">
        <f ca="1">IF(E28&gt;=7,1,0)</f>
        <v>0</v>
      </c>
      <c r="M28" s="131">
        <f t="shared" ca="1" si="8"/>
        <v>0</v>
      </c>
      <c r="N28" s="131">
        <f t="shared" ca="1" si="9"/>
        <v>0</v>
      </c>
      <c r="O28" s="131">
        <f t="shared" ca="1" si="10"/>
        <v>0</v>
      </c>
      <c r="P28" s="132"/>
      <c r="Q28" s="133">
        <f t="shared" ref="Q28:Z59" ca="1" si="19">_xlfn.CHISQ.INV(RAND(),2)*$AO$4 *F28</f>
        <v>0</v>
      </c>
      <c r="R28" s="133">
        <f t="shared" ca="1" si="19"/>
        <v>0</v>
      </c>
      <c r="S28" s="133">
        <f t="shared" ca="1" si="19"/>
        <v>0</v>
      </c>
      <c r="T28" s="133">
        <f t="shared" ca="1" si="19"/>
        <v>0</v>
      </c>
      <c r="U28" s="133">
        <f t="shared" ca="1" si="19"/>
        <v>0</v>
      </c>
      <c r="V28" s="133">
        <f t="shared" ca="1" si="18"/>
        <v>0</v>
      </c>
      <c r="W28" s="133">
        <f t="shared" ca="1" si="18"/>
        <v>0</v>
      </c>
      <c r="X28" s="133">
        <f t="shared" ca="1" si="18"/>
        <v>0</v>
      </c>
      <c r="Y28" s="133">
        <f t="shared" ca="1" si="18"/>
        <v>0</v>
      </c>
      <c r="Z28" s="133">
        <f t="shared" ca="1" si="18"/>
        <v>0</v>
      </c>
      <c r="AA28" s="134">
        <f t="shared" ca="1" si="12"/>
        <v>0</v>
      </c>
      <c r="AB28" s="135"/>
      <c r="AC28" s="143" t="s">
        <v>10</v>
      </c>
      <c r="AD28" s="121" t="s">
        <v>10</v>
      </c>
      <c r="AE28" s="141"/>
      <c r="AF28" s="141"/>
      <c r="AG28" s="141"/>
      <c r="AH28" s="141"/>
      <c r="AI28" s="141"/>
      <c r="AJ28" s="141"/>
      <c r="AK28" s="121" t="s">
        <v>10</v>
      </c>
      <c r="AL28" s="141"/>
      <c r="AM28" s="121" t="s">
        <v>10</v>
      </c>
      <c r="AN28" s="141"/>
    </row>
    <row r="29" spans="1:41" ht="15.75" customHeight="1">
      <c r="A29" s="126">
        <v>28</v>
      </c>
      <c r="B29" s="127">
        <v>40000</v>
      </c>
      <c r="C29" s="128"/>
      <c r="D29" s="129">
        <f t="shared" ca="1" si="0"/>
        <v>0.76342429223426511</v>
      </c>
      <c r="E29" s="130">
        <f t="shared" ca="1" si="13"/>
        <v>6</v>
      </c>
      <c r="F29" s="131">
        <f t="shared" ca="1" si="1"/>
        <v>1</v>
      </c>
      <c r="G29" s="131">
        <f t="shared" ca="1" si="2"/>
        <v>1</v>
      </c>
      <c r="H29" s="131">
        <f t="shared" ca="1" si="3"/>
        <v>1</v>
      </c>
      <c r="I29" s="131">
        <f t="shared" ca="1" si="4"/>
        <v>1</v>
      </c>
      <c r="J29" s="131">
        <f t="shared" ca="1" si="5"/>
        <v>1</v>
      </c>
      <c r="K29" s="131">
        <f t="shared" ca="1" si="6"/>
        <v>1</v>
      </c>
      <c r="L29" s="131">
        <f t="shared" ca="1" si="7"/>
        <v>0</v>
      </c>
      <c r="M29" s="131">
        <f t="shared" ca="1" si="8"/>
        <v>0</v>
      </c>
      <c r="N29" s="131">
        <f t="shared" ca="1" si="9"/>
        <v>0</v>
      </c>
      <c r="O29" s="131">
        <f t="shared" ca="1" si="10"/>
        <v>0</v>
      </c>
      <c r="P29" s="132"/>
      <c r="Q29" s="133">
        <f t="shared" ca="1" si="19"/>
        <v>10772.145174041654</v>
      </c>
      <c r="R29" s="133">
        <f t="shared" ca="1" si="19"/>
        <v>79106.400791600186</v>
      </c>
      <c r="S29" s="133">
        <f t="shared" ca="1" si="19"/>
        <v>2474.405098917196</v>
      </c>
      <c r="T29" s="133">
        <f t="shared" ca="1" si="19"/>
        <v>2050.9296475505157</v>
      </c>
      <c r="U29" s="133">
        <f t="shared" ca="1" si="19"/>
        <v>11235.837438750003</v>
      </c>
      <c r="V29" s="133">
        <f t="shared" ca="1" si="18"/>
        <v>7974.5555456993343</v>
      </c>
      <c r="W29" s="133">
        <f t="shared" ca="1" si="18"/>
        <v>0</v>
      </c>
      <c r="X29" s="133">
        <f t="shared" ca="1" si="18"/>
        <v>0</v>
      </c>
      <c r="Y29" s="133">
        <f t="shared" ca="1" si="18"/>
        <v>0</v>
      </c>
      <c r="Z29" s="133">
        <f t="shared" ca="1" si="18"/>
        <v>0</v>
      </c>
      <c r="AA29" s="134">
        <f t="shared" ca="1" si="12"/>
        <v>113614.27369655888</v>
      </c>
      <c r="AB29" s="135"/>
      <c r="AC29" s="143" t="s">
        <v>10</v>
      </c>
      <c r="AD29" s="121" t="s">
        <v>10</v>
      </c>
      <c r="AE29" s="141"/>
      <c r="AF29" s="141"/>
      <c r="AG29" s="141" t="s">
        <v>10</v>
      </c>
      <c r="AH29" s="141"/>
      <c r="AI29" s="141"/>
      <c r="AJ29" s="141"/>
      <c r="AK29" s="121" t="s">
        <v>10</v>
      </c>
      <c r="AL29" s="141"/>
      <c r="AM29" s="121" t="s">
        <v>10</v>
      </c>
      <c r="AN29" s="141"/>
    </row>
    <row r="30" spans="1:41" ht="15.75" customHeight="1">
      <c r="A30" s="126">
        <v>29</v>
      </c>
      <c r="B30" s="127">
        <v>40000</v>
      </c>
      <c r="C30" s="128"/>
      <c r="D30" s="129">
        <f t="shared" ca="1" si="0"/>
        <v>0.81852670485330403</v>
      </c>
      <c r="E30" s="130">
        <f t="shared" ca="1" si="13"/>
        <v>7</v>
      </c>
      <c r="F30" s="131">
        <f t="shared" ca="1" si="1"/>
        <v>1</v>
      </c>
      <c r="G30" s="131">
        <f t="shared" ca="1" si="2"/>
        <v>1</v>
      </c>
      <c r="H30" s="131">
        <f t="shared" ca="1" si="3"/>
        <v>1</v>
      </c>
      <c r="I30" s="131">
        <f t="shared" ca="1" si="4"/>
        <v>1</v>
      </c>
      <c r="J30" s="131">
        <f t="shared" ca="1" si="5"/>
        <v>1</v>
      </c>
      <c r="K30" s="131">
        <f t="shared" ca="1" si="6"/>
        <v>1</v>
      </c>
      <c r="L30" s="131">
        <f t="shared" ca="1" si="7"/>
        <v>1</v>
      </c>
      <c r="M30" s="131">
        <f t="shared" ca="1" si="8"/>
        <v>0</v>
      </c>
      <c r="N30" s="131">
        <f t="shared" ca="1" si="9"/>
        <v>0</v>
      </c>
      <c r="O30" s="131">
        <f t="shared" ca="1" si="10"/>
        <v>0</v>
      </c>
      <c r="P30" s="132"/>
      <c r="Q30" s="133">
        <f t="shared" ca="1" si="19"/>
        <v>3374.8177824523923</v>
      </c>
      <c r="R30" s="133">
        <f t="shared" ca="1" si="19"/>
        <v>25365.590548927998</v>
      </c>
      <c r="S30" s="133">
        <f t="shared" ca="1" si="19"/>
        <v>5739.5647563865605</v>
      </c>
      <c r="T30" s="133">
        <f t="shared" ca="1" si="19"/>
        <v>2751.6749728047198</v>
      </c>
      <c r="U30" s="133">
        <f t="shared" ca="1" si="19"/>
        <v>10030.136561447192</v>
      </c>
      <c r="V30" s="133">
        <f t="shared" ca="1" si="18"/>
        <v>53116.103680873784</v>
      </c>
      <c r="W30" s="133">
        <f t="shared" ca="1" si="18"/>
        <v>6192.1648685450982</v>
      </c>
      <c r="X30" s="133">
        <f t="shared" ca="1" si="18"/>
        <v>0</v>
      </c>
      <c r="Y30" s="133">
        <f t="shared" ca="1" si="18"/>
        <v>0</v>
      </c>
      <c r="Z30" s="133">
        <f t="shared" ca="1" si="18"/>
        <v>0</v>
      </c>
      <c r="AA30" s="134">
        <f t="shared" ca="1" si="12"/>
        <v>106570.05317143774</v>
      </c>
      <c r="AB30" s="135"/>
      <c r="AC30" s="143" t="s">
        <v>10</v>
      </c>
      <c r="AD30" s="121" t="s">
        <v>10</v>
      </c>
      <c r="AE30" s="141"/>
      <c r="AF30" s="141"/>
      <c r="AG30" s="141" t="s">
        <v>10</v>
      </c>
      <c r="AH30" s="141"/>
      <c r="AI30" s="141"/>
      <c r="AJ30" s="141"/>
      <c r="AK30" s="121" t="s">
        <v>10</v>
      </c>
      <c r="AL30" s="141"/>
      <c r="AM30" s="121" t="s">
        <v>10</v>
      </c>
      <c r="AN30" s="141"/>
    </row>
    <row r="31" spans="1:41" ht="15.75" customHeight="1">
      <c r="A31" s="126">
        <v>30</v>
      </c>
      <c r="B31" s="127">
        <v>40000</v>
      </c>
      <c r="C31" s="128"/>
      <c r="D31" s="129">
        <f t="shared" ca="1" si="0"/>
        <v>0.22950742662511248</v>
      </c>
      <c r="E31" s="130">
        <f t="shared" ca="1" si="13"/>
        <v>2</v>
      </c>
      <c r="F31" s="131">
        <f t="shared" ca="1" si="1"/>
        <v>1</v>
      </c>
      <c r="G31" s="131">
        <f t="shared" ca="1" si="2"/>
        <v>1</v>
      </c>
      <c r="H31" s="131">
        <f t="shared" ca="1" si="3"/>
        <v>0</v>
      </c>
      <c r="I31" s="131">
        <f t="shared" ca="1" si="4"/>
        <v>0</v>
      </c>
      <c r="J31" s="131">
        <f t="shared" ca="1" si="5"/>
        <v>0</v>
      </c>
      <c r="K31" s="131">
        <f t="shared" ca="1" si="6"/>
        <v>0</v>
      </c>
      <c r="L31" s="131">
        <f t="shared" ca="1" si="7"/>
        <v>0</v>
      </c>
      <c r="M31" s="131">
        <f t="shared" ca="1" si="8"/>
        <v>0</v>
      </c>
      <c r="N31" s="131">
        <f t="shared" ca="1" si="9"/>
        <v>0</v>
      </c>
      <c r="O31" s="131">
        <f t="shared" ca="1" si="10"/>
        <v>0</v>
      </c>
      <c r="P31" s="132"/>
      <c r="Q31" s="133">
        <f t="shared" ca="1" si="19"/>
        <v>20046.942450797484</v>
      </c>
      <c r="R31" s="133">
        <f t="shared" ca="1" si="19"/>
        <v>5482.9434674049926</v>
      </c>
      <c r="S31" s="133">
        <f t="shared" ca="1" si="19"/>
        <v>0</v>
      </c>
      <c r="T31" s="133">
        <f t="shared" ca="1" si="19"/>
        <v>0</v>
      </c>
      <c r="U31" s="133">
        <f t="shared" ca="1" si="19"/>
        <v>0</v>
      </c>
      <c r="V31" s="133">
        <f t="shared" ca="1" si="18"/>
        <v>0</v>
      </c>
      <c r="W31" s="133">
        <f t="shared" ca="1" si="18"/>
        <v>0</v>
      </c>
      <c r="X31" s="133">
        <f t="shared" ca="1" si="18"/>
        <v>0</v>
      </c>
      <c r="Y31" s="133">
        <f t="shared" ca="1" si="18"/>
        <v>0</v>
      </c>
      <c r="Z31" s="133">
        <f t="shared" ca="1" si="18"/>
        <v>0</v>
      </c>
      <c r="AA31" s="134">
        <f t="shared" ca="1" si="12"/>
        <v>25529.885918202475</v>
      </c>
      <c r="AB31" s="135"/>
      <c r="AC31" s="141"/>
      <c r="AD31" s="141"/>
      <c r="AE31" s="141"/>
      <c r="AF31" s="141"/>
      <c r="AG31" s="141" t="s">
        <v>10</v>
      </c>
      <c r="AH31" s="141"/>
      <c r="AI31" s="141"/>
      <c r="AJ31" s="141"/>
      <c r="AK31" s="121" t="s">
        <v>10</v>
      </c>
      <c r="AL31" s="141"/>
      <c r="AM31" s="121" t="s">
        <v>10</v>
      </c>
      <c r="AN31" s="141"/>
    </row>
    <row r="32" spans="1:41" ht="15.75" customHeight="1">
      <c r="A32" s="126">
        <v>31</v>
      </c>
      <c r="B32" s="127">
        <v>40000</v>
      </c>
      <c r="C32" s="128"/>
      <c r="D32" s="129">
        <f t="shared" ca="1" si="0"/>
        <v>0.68227723524890638</v>
      </c>
      <c r="E32" s="130">
        <f t="shared" ca="1" si="13"/>
        <v>6</v>
      </c>
      <c r="F32" s="131">
        <f t="shared" ca="1" si="1"/>
        <v>1</v>
      </c>
      <c r="G32" s="131">
        <f t="shared" ca="1" si="2"/>
        <v>1</v>
      </c>
      <c r="H32" s="131">
        <f t="shared" ca="1" si="3"/>
        <v>1</v>
      </c>
      <c r="I32" s="131">
        <f t="shared" ca="1" si="4"/>
        <v>1</v>
      </c>
      <c r="J32" s="131">
        <f t="shared" ca="1" si="5"/>
        <v>1</v>
      </c>
      <c r="K32" s="131">
        <f t="shared" ca="1" si="6"/>
        <v>1</v>
      </c>
      <c r="L32" s="131">
        <f t="shared" ca="1" si="7"/>
        <v>0</v>
      </c>
      <c r="M32" s="131">
        <f t="shared" ca="1" si="8"/>
        <v>0</v>
      </c>
      <c r="N32" s="131">
        <f t="shared" ca="1" si="9"/>
        <v>0</v>
      </c>
      <c r="O32" s="131">
        <f t="shared" ca="1" si="10"/>
        <v>0</v>
      </c>
      <c r="P32" s="132"/>
      <c r="Q32" s="133">
        <f t="shared" ca="1" si="19"/>
        <v>11959.619348424501</v>
      </c>
      <c r="R32" s="133">
        <f t="shared" ca="1" si="19"/>
        <v>34425.74503457181</v>
      </c>
      <c r="S32" s="133">
        <f t="shared" ca="1" si="19"/>
        <v>20693.51139431927</v>
      </c>
      <c r="T32" s="133">
        <f t="shared" ca="1" si="19"/>
        <v>6835.8378226863515</v>
      </c>
      <c r="U32" s="133">
        <f t="shared" ca="1" si="19"/>
        <v>8375.9833422385873</v>
      </c>
      <c r="V32" s="133">
        <f t="shared" ca="1" si="18"/>
        <v>12943.518797751154</v>
      </c>
      <c r="W32" s="133">
        <f t="shared" ca="1" si="18"/>
        <v>0</v>
      </c>
      <c r="X32" s="133">
        <f t="shared" ca="1" si="18"/>
        <v>0</v>
      </c>
      <c r="Y32" s="133">
        <f t="shared" ca="1" si="18"/>
        <v>0</v>
      </c>
      <c r="Z32" s="133">
        <f t="shared" ca="1" si="18"/>
        <v>0</v>
      </c>
      <c r="AA32" s="134">
        <f t="shared" ca="1" si="12"/>
        <v>95234.215739991676</v>
      </c>
      <c r="AB32" s="135"/>
      <c r="AC32" s="141"/>
      <c r="AD32" s="141"/>
      <c r="AE32" s="141"/>
      <c r="AF32" s="141"/>
      <c r="AG32" s="141" t="s">
        <v>10</v>
      </c>
      <c r="AH32" s="141"/>
      <c r="AI32" s="141"/>
      <c r="AJ32" s="141"/>
      <c r="AK32" s="121" t="s">
        <v>10</v>
      </c>
      <c r="AL32" s="141"/>
      <c r="AM32" s="121" t="s">
        <v>10</v>
      </c>
      <c r="AN32" s="141"/>
    </row>
    <row r="33" spans="1:41" ht="15.75" customHeight="1">
      <c r="A33" s="126">
        <v>32</v>
      </c>
      <c r="B33" s="127">
        <v>40000</v>
      </c>
      <c r="C33" s="128"/>
      <c r="D33" s="129">
        <f t="shared" ca="1" si="0"/>
        <v>0.72369841810372726</v>
      </c>
      <c r="E33" s="130">
        <f t="shared" ca="1" si="13"/>
        <v>6</v>
      </c>
      <c r="F33" s="131">
        <f t="shared" ca="1" si="1"/>
        <v>1</v>
      </c>
      <c r="G33" s="131">
        <f t="shared" ca="1" si="2"/>
        <v>1</v>
      </c>
      <c r="H33" s="131">
        <f t="shared" ca="1" si="3"/>
        <v>1</v>
      </c>
      <c r="I33" s="131">
        <f t="shared" ca="1" si="4"/>
        <v>1</v>
      </c>
      <c r="J33" s="131">
        <f t="shared" ca="1" si="5"/>
        <v>1</v>
      </c>
      <c r="K33" s="131">
        <f t="shared" ca="1" si="6"/>
        <v>1</v>
      </c>
      <c r="L33" s="131">
        <f t="shared" ca="1" si="7"/>
        <v>0</v>
      </c>
      <c r="M33" s="131">
        <f t="shared" ca="1" si="8"/>
        <v>0</v>
      </c>
      <c r="N33" s="131">
        <f t="shared" ca="1" si="9"/>
        <v>0</v>
      </c>
      <c r="O33" s="131">
        <f t="shared" ca="1" si="10"/>
        <v>0</v>
      </c>
      <c r="P33" s="132"/>
      <c r="Q33" s="133">
        <f t="shared" ca="1" si="19"/>
        <v>87892.781485158877</v>
      </c>
      <c r="R33" s="133">
        <f t="shared" ca="1" si="19"/>
        <v>3933.5275483929076</v>
      </c>
      <c r="S33" s="133">
        <f t="shared" ca="1" si="19"/>
        <v>3271.7734160942919</v>
      </c>
      <c r="T33" s="133">
        <f t="shared" ca="1" si="19"/>
        <v>17181.92608106296</v>
      </c>
      <c r="U33" s="133">
        <f t="shared" ca="1" si="19"/>
        <v>2595.5081865750944</v>
      </c>
      <c r="V33" s="133">
        <f t="shared" ca="1" si="18"/>
        <v>3056.7755248612179</v>
      </c>
      <c r="W33" s="133">
        <f t="shared" ca="1" si="18"/>
        <v>0</v>
      </c>
      <c r="X33" s="133">
        <f t="shared" ca="1" si="18"/>
        <v>0</v>
      </c>
      <c r="Y33" s="133">
        <f t="shared" ca="1" si="18"/>
        <v>0</v>
      </c>
      <c r="Z33" s="133">
        <f t="shared" ca="1" si="18"/>
        <v>0</v>
      </c>
      <c r="AA33" s="134">
        <f t="shared" ca="1" si="12"/>
        <v>117932.29224214537</v>
      </c>
      <c r="AB33" s="135"/>
      <c r="AC33" s="141"/>
      <c r="AD33" s="141"/>
      <c r="AE33" s="141"/>
      <c r="AF33" s="141"/>
      <c r="AG33" s="141" t="s">
        <v>10</v>
      </c>
      <c r="AH33" s="141"/>
      <c r="AI33" s="141"/>
      <c r="AJ33" s="141"/>
      <c r="AK33" s="121" t="s">
        <v>10</v>
      </c>
      <c r="AL33" s="141"/>
      <c r="AM33" s="121" t="s">
        <v>10</v>
      </c>
      <c r="AN33" s="141"/>
    </row>
    <row r="34" spans="1:41" ht="15.75" customHeight="1">
      <c r="A34" s="126">
        <v>33</v>
      </c>
      <c r="B34" s="127">
        <v>40000</v>
      </c>
      <c r="C34" s="128"/>
      <c r="D34" s="129">
        <f t="shared" ca="1" si="0"/>
        <v>7.6040497309808219E-2</v>
      </c>
      <c r="E34" s="130">
        <f t="shared" ca="1" si="13"/>
        <v>1</v>
      </c>
      <c r="F34" s="131">
        <f t="shared" ca="1" si="1"/>
        <v>1</v>
      </c>
      <c r="G34" s="131">
        <f t="shared" ca="1" si="2"/>
        <v>0</v>
      </c>
      <c r="H34" s="131">
        <f t="shared" ca="1" si="3"/>
        <v>0</v>
      </c>
      <c r="I34" s="131">
        <f t="shared" ca="1" si="4"/>
        <v>0</v>
      </c>
      <c r="J34" s="131">
        <f t="shared" ca="1" si="5"/>
        <v>0</v>
      </c>
      <c r="K34" s="131">
        <f t="shared" ca="1" si="6"/>
        <v>0</v>
      </c>
      <c r="L34" s="131">
        <f t="shared" ca="1" si="7"/>
        <v>0</v>
      </c>
      <c r="M34" s="131">
        <f ca="1">IF(E34&gt;=8,1,0)</f>
        <v>0</v>
      </c>
      <c r="N34" s="131">
        <f t="shared" ca="1" si="9"/>
        <v>0</v>
      </c>
      <c r="O34" s="131">
        <f t="shared" ca="1" si="10"/>
        <v>0</v>
      </c>
      <c r="P34" s="132"/>
      <c r="Q34" s="133">
        <f t="shared" ca="1" si="19"/>
        <v>1024.9350780094544</v>
      </c>
      <c r="R34" s="133">
        <f t="shared" ca="1" si="19"/>
        <v>0</v>
      </c>
      <c r="S34" s="133">
        <f t="shared" ca="1" si="19"/>
        <v>0</v>
      </c>
      <c r="T34" s="133">
        <f t="shared" ca="1" si="19"/>
        <v>0</v>
      </c>
      <c r="U34" s="133">
        <f t="shared" ca="1" si="19"/>
        <v>0</v>
      </c>
      <c r="V34" s="133">
        <f t="shared" ca="1" si="18"/>
        <v>0</v>
      </c>
      <c r="W34" s="133">
        <f t="shared" ca="1" si="18"/>
        <v>0</v>
      </c>
      <c r="X34" s="133">
        <f t="shared" ca="1" si="18"/>
        <v>0</v>
      </c>
      <c r="Y34" s="133">
        <f t="shared" ca="1" si="18"/>
        <v>0</v>
      </c>
      <c r="Z34" s="133">
        <f t="shared" ca="1" si="18"/>
        <v>0</v>
      </c>
      <c r="AA34" s="134">
        <f t="shared" ca="1" si="12"/>
        <v>1024.9350780094544</v>
      </c>
      <c r="AB34" s="135"/>
      <c r="AC34" s="141"/>
      <c r="AD34" s="141"/>
      <c r="AE34" s="141"/>
      <c r="AF34" s="141"/>
      <c r="AG34" s="141"/>
      <c r="AH34" s="141"/>
      <c r="AI34" s="141"/>
      <c r="AJ34" s="141"/>
      <c r="AK34" s="121" t="s">
        <v>10</v>
      </c>
      <c r="AL34" s="141"/>
      <c r="AM34" s="121" t="s">
        <v>10</v>
      </c>
      <c r="AN34" s="141"/>
    </row>
    <row r="35" spans="1:41" ht="15.75" customHeight="1">
      <c r="A35" s="126">
        <v>34</v>
      </c>
      <c r="B35" s="127">
        <v>40000</v>
      </c>
      <c r="C35" s="128"/>
      <c r="D35" s="129">
        <f t="shared" ca="1" si="0"/>
        <v>0.73518369637730097</v>
      </c>
      <c r="E35" s="130">
        <f t="shared" ca="1" si="13"/>
        <v>6</v>
      </c>
      <c r="F35" s="131">
        <f t="shared" ca="1" si="1"/>
        <v>1</v>
      </c>
      <c r="G35" s="131">
        <f t="shared" ca="1" si="2"/>
        <v>1</v>
      </c>
      <c r="H35" s="131">
        <f t="shared" ca="1" si="3"/>
        <v>1</v>
      </c>
      <c r="I35" s="131">
        <f t="shared" ca="1" si="4"/>
        <v>1</v>
      </c>
      <c r="J35" s="131">
        <f t="shared" ca="1" si="5"/>
        <v>1</v>
      </c>
      <c r="K35" s="131">
        <f t="shared" ca="1" si="6"/>
        <v>1</v>
      </c>
      <c r="L35" s="131">
        <f t="shared" ca="1" si="7"/>
        <v>0</v>
      </c>
      <c r="M35" s="131">
        <f t="shared" ref="M35:M98" ca="1" si="20">IF(E35&gt;=8,1,0)</f>
        <v>0</v>
      </c>
      <c r="N35" s="131">
        <f t="shared" ca="1" si="9"/>
        <v>0</v>
      </c>
      <c r="O35" s="131">
        <f t="shared" ca="1" si="10"/>
        <v>0</v>
      </c>
      <c r="P35" s="132"/>
      <c r="Q35" s="133">
        <f t="shared" ca="1" si="19"/>
        <v>5848.3336435209203</v>
      </c>
      <c r="R35" s="133">
        <f t="shared" ca="1" si="19"/>
        <v>43044.117940800206</v>
      </c>
      <c r="S35" s="133">
        <f t="shared" ca="1" si="19"/>
        <v>15183.264039951657</v>
      </c>
      <c r="T35" s="133">
        <f t="shared" ca="1" si="19"/>
        <v>1461.5050529133061</v>
      </c>
      <c r="U35" s="133">
        <f t="shared" ca="1" si="19"/>
        <v>5642.0840184097187</v>
      </c>
      <c r="V35" s="133">
        <f t="shared" ca="1" si="18"/>
        <v>14884.105622489353</v>
      </c>
      <c r="W35" s="133">
        <f t="shared" ca="1" si="18"/>
        <v>0</v>
      </c>
      <c r="X35" s="133">
        <f t="shared" ca="1" si="18"/>
        <v>0</v>
      </c>
      <c r="Y35" s="133">
        <f t="shared" ca="1" si="18"/>
        <v>0</v>
      </c>
      <c r="Z35" s="133">
        <f t="shared" ca="1" si="18"/>
        <v>0</v>
      </c>
      <c r="AA35" s="134">
        <f t="shared" ca="1" si="12"/>
        <v>86063.410318085153</v>
      </c>
      <c r="AB35" s="135"/>
      <c r="AC35" s="141"/>
      <c r="AD35" s="141"/>
      <c r="AE35" s="141"/>
      <c r="AF35" s="141"/>
      <c r="AG35" s="141"/>
      <c r="AH35" s="141"/>
      <c r="AI35" s="141"/>
      <c r="AJ35" s="141"/>
      <c r="AK35" s="121" t="s">
        <v>10</v>
      </c>
      <c r="AL35" s="141"/>
      <c r="AM35" s="121" t="s">
        <v>10</v>
      </c>
      <c r="AN35" s="141"/>
    </row>
    <row r="36" spans="1:41" ht="15.75" customHeight="1">
      <c r="A36" s="126">
        <v>35</v>
      </c>
      <c r="B36" s="127">
        <v>40000</v>
      </c>
      <c r="C36" s="128"/>
      <c r="D36" s="129">
        <f t="shared" ca="1" si="0"/>
        <v>0.3418921458407872</v>
      </c>
      <c r="E36" s="130">
        <f t="shared" ca="1" si="13"/>
        <v>3</v>
      </c>
      <c r="F36" s="131">
        <f t="shared" ca="1" si="1"/>
        <v>1</v>
      </c>
      <c r="G36" s="131">
        <f t="shared" ca="1" si="2"/>
        <v>1</v>
      </c>
      <c r="H36" s="131">
        <f t="shared" ca="1" si="3"/>
        <v>1</v>
      </c>
      <c r="I36" s="131">
        <f t="shared" ca="1" si="4"/>
        <v>0</v>
      </c>
      <c r="J36" s="131">
        <f t="shared" ca="1" si="5"/>
        <v>0</v>
      </c>
      <c r="K36" s="131">
        <f t="shared" ca="1" si="6"/>
        <v>0</v>
      </c>
      <c r="L36" s="131">
        <f t="shared" ca="1" si="7"/>
        <v>0</v>
      </c>
      <c r="M36" s="131">
        <f t="shared" ca="1" si="20"/>
        <v>0</v>
      </c>
      <c r="N36" s="131">
        <f t="shared" ca="1" si="9"/>
        <v>0</v>
      </c>
      <c r="O36" s="131">
        <f t="shared" ca="1" si="10"/>
        <v>0</v>
      </c>
      <c r="P36" s="132"/>
      <c r="Q36" s="133">
        <f t="shared" ca="1" si="19"/>
        <v>5621.0673221903244</v>
      </c>
      <c r="R36" s="133">
        <f t="shared" ca="1" si="19"/>
        <v>12783.776119882355</v>
      </c>
      <c r="S36" s="133">
        <f t="shared" ca="1" si="19"/>
        <v>9159.9513494983694</v>
      </c>
      <c r="T36" s="133">
        <f t="shared" ca="1" si="19"/>
        <v>0</v>
      </c>
      <c r="U36" s="133">
        <f t="shared" ca="1" si="19"/>
        <v>0</v>
      </c>
      <c r="V36" s="133">
        <f t="shared" ca="1" si="18"/>
        <v>0</v>
      </c>
      <c r="W36" s="133">
        <f t="shared" ca="1" si="18"/>
        <v>0</v>
      </c>
      <c r="X36" s="133">
        <f t="shared" ca="1" si="18"/>
        <v>0</v>
      </c>
      <c r="Y36" s="133">
        <f t="shared" ca="1" si="18"/>
        <v>0</v>
      </c>
      <c r="Z36" s="133">
        <f t="shared" ca="1" si="18"/>
        <v>0</v>
      </c>
      <c r="AA36" s="134">
        <f t="shared" ca="1" si="12"/>
        <v>27564.79479157105</v>
      </c>
      <c r="AB36" s="135"/>
      <c r="AC36" s="141"/>
      <c r="AD36" s="141"/>
      <c r="AE36" s="141"/>
      <c r="AF36" s="141"/>
      <c r="AG36" s="141"/>
      <c r="AH36" s="141"/>
      <c r="AI36" s="141"/>
      <c r="AJ36" s="141"/>
      <c r="AK36" s="121" t="s">
        <v>10</v>
      </c>
      <c r="AL36" s="141"/>
      <c r="AM36" s="121" t="s">
        <v>10</v>
      </c>
      <c r="AN36" s="141"/>
    </row>
    <row r="37" spans="1:41" ht="15.75" customHeight="1">
      <c r="A37" s="126">
        <v>36</v>
      </c>
      <c r="B37" s="127">
        <v>40000</v>
      </c>
      <c r="C37" s="128"/>
      <c r="D37" s="129">
        <f t="shared" ca="1" si="0"/>
        <v>0.58652145486645157</v>
      </c>
      <c r="E37" s="130">
        <f t="shared" ca="1" si="13"/>
        <v>5</v>
      </c>
      <c r="F37" s="131">
        <f t="shared" ca="1" si="1"/>
        <v>1</v>
      </c>
      <c r="G37" s="131">
        <f t="shared" ca="1" si="2"/>
        <v>1</v>
      </c>
      <c r="H37" s="131">
        <f t="shared" ca="1" si="3"/>
        <v>1</v>
      </c>
      <c r="I37" s="131">
        <f t="shared" ca="1" si="4"/>
        <v>1</v>
      </c>
      <c r="J37" s="131">
        <f t="shared" ca="1" si="5"/>
        <v>1</v>
      </c>
      <c r="K37" s="131">
        <f t="shared" ca="1" si="6"/>
        <v>0</v>
      </c>
      <c r="L37" s="131">
        <f t="shared" ca="1" si="7"/>
        <v>0</v>
      </c>
      <c r="M37" s="131">
        <f t="shared" ca="1" si="20"/>
        <v>0</v>
      </c>
      <c r="N37" s="131">
        <f t="shared" ca="1" si="9"/>
        <v>0</v>
      </c>
      <c r="O37" s="131">
        <f t="shared" ca="1" si="10"/>
        <v>0</v>
      </c>
      <c r="P37" s="132"/>
      <c r="Q37" s="133">
        <f t="shared" ca="1" si="19"/>
        <v>9769.5674428896327</v>
      </c>
      <c r="R37" s="133">
        <f t="shared" ca="1" si="19"/>
        <v>636.54436752584786</v>
      </c>
      <c r="S37" s="133">
        <f t="shared" ca="1" si="19"/>
        <v>44235.024679654933</v>
      </c>
      <c r="T37" s="133">
        <f t="shared" ca="1" si="19"/>
        <v>10592.326638824272</v>
      </c>
      <c r="U37" s="133">
        <f t="shared" ca="1" si="19"/>
        <v>1042.4240966923487</v>
      </c>
      <c r="V37" s="133">
        <f t="shared" ca="1" si="18"/>
        <v>0</v>
      </c>
      <c r="W37" s="133">
        <f t="shared" ca="1" si="18"/>
        <v>0</v>
      </c>
      <c r="X37" s="133">
        <f t="shared" ca="1" si="18"/>
        <v>0</v>
      </c>
      <c r="Y37" s="133">
        <f t="shared" ca="1" si="18"/>
        <v>0</v>
      </c>
      <c r="Z37" s="133">
        <f t="shared" ca="1" si="18"/>
        <v>0</v>
      </c>
      <c r="AA37" s="134">
        <f t="shared" ca="1" si="12"/>
        <v>66275.887225587037</v>
      </c>
      <c r="AB37" s="135"/>
      <c r="AC37" s="141"/>
      <c r="AD37" s="141"/>
      <c r="AE37" s="141"/>
      <c r="AF37" s="141"/>
      <c r="AG37" s="141"/>
      <c r="AH37" s="141"/>
      <c r="AI37" s="141"/>
      <c r="AJ37" s="141"/>
      <c r="AK37" s="121" t="s">
        <v>10</v>
      </c>
      <c r="AL37" s="141"/>
      <c r="AM37" s="141"/>
      <c r="AN37" s="141"/>
    </row>
    <row r="38" spans="1:41" ht="15.75" customHeight="1">
      <c r="A38" s="126">
        <v>37</v>
      </c>
      <c r="B38" s="127">
        <v>40000</v>
      </c>
      <c r="C38" s="128"/>
      <c r="D38" s="129">
        <f t="shared" ca="1" si="0"/>
        <v>0.54070023133687117</v>
      </c>
      <c r="E38" s="130">
        <f t="shared" ca="1" si="13"/>
        <v>4</v>
      </c>
      <c r="F38" s="131">
        <f t="shared" ca="1" si="1"/>
        <v>1</v>
      </c>
      <c r="G38" s="131">
        <f t="shared" ca="1" si="2"/>
        <v>1</v>
      </c>
      <c r="H38" s="131">
        <f t="shared" ca="1" si="3"/>
        <v>1</v>
      </c>
      <c r="I38" s="131">
        <f t="shared" ca="1" si="4"/>
        <v>1</v>
      </c>
      <c r="J38" s="131">
        <f t="shared" ca="1" si="5"/>
        <v>0</v>
      </c>
      <c r="K38" s="131">
        <f t="shared" ca="1" si="6"/>
        <v>0</v>
      </c>
      <c r="L38" s="131">
        <f t="shared" ca="1" si="7"/>
        <v>0</v>
      </c>
      <c r="M38" s="131">
        <f t="shared" ca="1" si="20"/>
        <v>0</v>
      </c>
      <c r="N38" s="131">
        <f t="shared" ca="1" si="9"/>
        <v>0</v>
      </c>
      <c r="O38" s="131">
        <f t="shared" ca="1" si="10"/>
        <v>0</v>
      </c>
      <c r="P38" s="132"/>
      <c r="Q38" s="133">
        <f t="shared" ca="1" si="19"/>
        <v>22373.603548733648</v>
      </c>
      <c r="R38" s="133">
        <f t="shared" ca="1" si="19"/>
        <v>5507.1567784854979</v>
      </c>
      <c r="S38" s="133">
        <f t="shared" ca="1" si="19"/>
        <v>11966.991106882802</v>
      </c>
      <c r="T38" s="133">
        <f t="shared" ca="1" si="19"/>
        <v>6059.6050862648899</v>
      </c>
      <c r="U38" s="133">
        <f t="shared" ca="1" si="19"/>
        <v>0</v>
      </c>
      <c r="V38" s="133">
        <f t="shared" ca="1" si="18"/>
        <v>0</v>
      </c>
      <c r="W38" s="133">
        <f t="shared" ca="1" si="18"/>
        <v>0</v>
      </c>
      <c r="X38" s="133">
        <f t="shared" ca="1" si="18"/>
        <v>0</v>
      </c>
      <c r="Y38" s="133">
        <f t="shared" ca="1" si="18"/>
        <v>0</v>
      </c>
      <c r="Z38" s="133">
        <f t="shared" ca="1" si="18"/>
        <v>0</v>
      </c>
      <c r="AA38" s="134">
        <f t="shared" ca="1" si="12"/>
        <v>45907.35652036684</v>
      </c>
      <c r="AB38" s="135"/>
      <c r="AC38" s="141"/>
      <c r="AD38" s="141"/>
      <c r="AE38" s="141"/>
      <c r="AF38" s="141"/>
      <c r="AG38" s="141"/>
      <c r="AH38" s="141"/>
      <c r="AI38" s="141"/>
      <c r="AJ38" s="141"/>
      <c r="AK38" s="121" t="s">
        <v>10</v>
      </c>
      <c r="AL38" s="141"/>
      <c r="AM38" s="141"/>
      <c r="AN38" s="141"/>
    </row>
    <row r="39" spans="1:41" ht="15.75" customHeight="1">
      <c r="A39" s="126">
        <v>38</v>
      </c>
      <c r="B39" s="127">
        <v>40000</v>
      </c>
      <c r="C39" s="128"/>
      <c r="D39" s="129">
        <f t="shared" ca="1" si="0"/>
        <v>0.26028582464388506</v>
      </c>
      <c r="E39" s="130">
        <f t="shared" ca="1" si="13"/>
        <v>2</v>
      </c>
      <c r="F39" s="131">
        <f t="shared" ca="1" si="1"/>
        <v>1</v>
      </c>
      <c r="G39" s="131">
        <f t="shared" ca="1" si="2"/>
        <v>1</v>
      </c>
      <c r="H39" s="131">
        <f t="shared" ca="1" si="3"/>
        <v>0</v>
      </c>
      <c r="I39" s="131">
        <f t="shared" ca="1" si="4"/>
        <v>0</v>
      </c>
      <c r="J39" s="131">
        <f t="shared" ca="1" si="5"/>
        <v>0</v>
      </c>
      <c r="K39" s="131">
        <f ca="1">IF(E39&gt;=6,1,0)</f>
        <v>0</v>
      </c>
      <c r="L39" s="131">
        <f ca="1">IF(E39&gt;=7,1,0)</f>
        <v>0</v>
      </c>
      <c r="M39" s="131">
        <f t="shared" ca="1" si="20"/>
        <v>0</v>
      </c>
      <c r="N39" s="131">
        <f t="shared" ca="1" si="9"/>
        <v>0</v>
      </c>
      <c r="O39" s="131">
        <f t="shared" ca="1" si="10"/>
        <v>0</v>
      </c>
      <c r="P39" s="132"/>
      <c r="Q39" s="133">
        <f t="shared" ca="1" si="19"/>
        <v>16275.208174912326</v>
      </c>
      <c r="R39" s="133">
        <f t="shared" ca="1" si="19"/>
        <v>4855.6726498201915</v>
      </c>
      <c r="S39" s="133">
        <f t="shared" ca="1" si="19"/>
        <v>0</v>
      </c>
      <c r="T39" s="133">
        <f t="shared" ca="1" si="19"/>
        <v>0</v>
      </c>
      <c r="U39" s="133">
        <f t="shared" ca="1" si="19"/>
        <v>0</v>
      </c>
      <c r="V39" s="133">
        <f t="shared" ca="1" si="18"/>
        <v>0</v>
      </c>
      <c r="W39" s="133">
        <f t="shared" ca="1" si="18"/>
        <v>0</v>
      </c>
      <c r="X39" s="133">
        <f t="shared" ca="1" si="18"/>
        <v>0</v>
      </c>
      <c r="Y39" s="133">
        <f t="shared" ca="1" si="18"/>
        <v>0</v>
      </c>
      <c r="Z39" s="133">
        <f t="shared" ca="1" si="18"/>
        <v>0</v>
      </c>
      <c r="AA39" s="134">
        <f t="shared" ca="1" si="12"/>
        <v>21130.880824732518</v>
      </c>
      <c r="AB39" s="135"/>
      <c r="AC39" s="141"/>
      <c r="AD39" s="141"/>
      <c r="AE39" s="141"/>
      <c r="AF39" s="141"/>
      <c r="AG39" s="141"/>
      <c r="AH39" s="141"/>
      <c r="AI39" s="141"/>
      <c r="AJ39" s="141"/>
      <c r="AK39" s="121" t="s">
        <v>10</v>
      </c>
      <c r="AL39" s="141"/>
      <c r="AM39" s="141"/>
      <c r="AN39" s="141"/>
    </row>
    <row r="40" spans="1:41" ht="15.75" customHeight="1">
      <c r="A40" s="126">
        <v>39</v>
      </c>
      <c r="B40" s="127">
        <v>40000</v>
      </c>
      <c r="C40" s="128"/>
      <c r="D40" s="129">
        <f t="shared" ca="1" si="0"/>
        <v>0.72993578093494094</v>
      </c>
      <c r="E40" s="130">
        <f t="shared" ca="1" si="13"/>
        <v>6</v>
      </c>
      <c r="F40" s="131">
        <f t="shared" ca="1" si="1"/>
        <v>1</v>
      </c>
      <c r="G40" s="131">
        <f t="shared" ca="1" si="2"/>
        <v>1</v>
      </c>
      <c r="H40" s="131">
        <f t="shared" ca="1" si="3"/>
        <v>1</v>
      </c>
      <c r="I40" s="131">
        <f t="shared" ca="1" si="4"/>
        <v>1</v>
      </c>
      <c r="J40" s="131">
        <f t="shared" ca="1" si="5"/>
        <v>1</v>
      </c>
      <c r="K40" s="131">
        <f t="shared" ca="1" si="6"/>
        <v>1</v>
      </c>
      <c r="L40" s="131">
        <f t="shared" ref="L40:L103" ca="1" si="21">IF(E40&gt;=7,1,0)</f>
        <v>0</v>
      </c>
      <c r="M40" s="131">
        <f t="shared" ca="1" si="20"/>
        <v>0</v>
      </c>
      <c r="N40" s="131">
        <f t="shared" ca="1" si="9"/>
        <v>0</v>
      </c>
      <c r="O40" s="131">
        <f t="shared" ca="1" si="10"/>
        <v>0</v>
      </c>
      <c r="P40" s="132"/>
      <c r="Q40" s="133">
        <f t="shared" ca="1" si="19"/>
        <v>19160.472257500976</v>
      </c>
      <c r="R40" s="133">
        <f t="shared" ca="1" si="19"/>
        <v>10904.370130811834</v>
      </c>
      <c r="S40" s="133">
        <f t="shared" ca="1" si="19"/>
        <v>3821.6777136874689</v>
      </c>
      <c r="T40" s="133">
        <f t="shared" ca="1" si="19"/>
        <v>1993.0436383590231</v>
      </c>
      <c r="U40" s="133">
        <f t="shared" ca="1" si="19"/>
        <v>15602.989511491318</v>
      </c>
      <c r="V40" s="133">
        <f t="shared" ca="1" si="18"/>
        <v>1266.3433006442513</v>
      </c>
      <c r="W40" s="133">
        <f t="shared" ca="1" si="18"/>
        <v>0</v>
      </c>
      <c r="X40" s="133">
        <f t="shared" ca="1" si="18"/>
        <v>0</v>
      </c>
      <c r="Y40" s="133">
        <f t="shared" ca="1" si="18"/>
        <v>0</v>
      </c>
      <c r="Z40" s="133">
        <f t="shared" ca="1" si="18"/>
        <v>0</v>
      </c>
      <c r="AA40" s="134">
        <f t="shared" ca="1" si="12"/>
        <v>52748.896552494865</v>
      </c>
      <c r="AB40" s="135"/>
      <c r="AC40" s="141"/>
      <c r="AD40" s="141"/>
      <c r="AE40" s="141"/>
      <c r="AF40" s="141"/>
      <c r="AG40" s="141"/>
      <c r="AH40" s="141"/>
      <c r="AI40" s="141"/>
      <c r="AJ40" s="141"/>
      <c r="AK40" s="121" t="s">
        <v>10</v>
      </c>
      <c r="AL40" s="141"/>
      <c r="AM40" s="141"/>
      <c r="AN40" s="141"/>
    </row>
    <row r="41" spans="1:41" ht="15.75" customHeight="1">
      <c r="A41" s="126">
        <v>40</v>
      </c>
      <c r="B41" s="127">
        <v>40000</v>
      </c>
      <c r="C41" s="128"/>
      <c r="D41" s="129">
        <f t="shared" ca="1" si="0"/>
        <v>0.5801847495590744</v>
      </c>
      <c r="E41" s="130">
        <f t="shared" ca="1" si="13"/>
        <v>5</v>
      </c>
      <c r="F41" s="131">
        <f t="shared" ca="1" si="1"/>
        <v>1</v>
      </c>
      <c r="G41" s="131">
        <f t="shared" ca="1" si="2"/>
        <v>1</v>
      </c>
      <c r="H41" s="131">
        <f t="shared" ca="1" si="3"/>
        <v>1</v>
      </c>
      <c r="I41" s="131">
        <f t="shared" ca="1" si="4"/>
        <v>1</v>
      </c>
      <c r="J41" s="131">
        <f ca="1">IF(E41&gt;=5,1,0)</f>
        <v>1</v>
      </c>
      <c r="K41" s="131">
        <f ca="1">IF(E41&gt;=6,1,0)</f>
        <v>0</v>
      </c>
      <c r="L41" s="131">
        <f t="shared" ca="1" si="21"/>
        <v>0</v>
      </c>
      <c r="M41" s="131">
        <f t="shared" ca="1" si="20"/>
        <v>0</v>
      </c>
      <c r="N41" s="131">
        <f t="shared" ca="1" si="9"/>
        <v>0</v>
      </c>
      <c r="O41" s="131">
        <f t="shared" ca="1" si="10"/>
        <v>0</v>
      </c>
      <c r="P41" s="132"/>
      <c r="Q41" s="133">
        <f t="shared" ca="1" si="19"/>
        <v>2609.6664128896787</v>
      </c>
      <c r="R41" s="133">
        <f t="shared" ca="1" si="19"/>
        <v>13955.903036459498</v>
      </c>
      <c r="S41" s="133">
        <f t="shared" ca="1" si="19"/>
        <v>3276.3820125924699</v>
      </c>
      <c r="T41" s="133">
        <f t="shared" ca="1" si="19"/>
        <v>30809.264159964572</v>
      </c>
      <c r="U41" s="133">
        <f t="shared" ca="1" si="19"/>
        <v>18704.014500229532</v>
      </c>
      <c r="V41" s="133">
        <f t="shared" ca="1" si="18"/>
        <v>0</v>
      </c>
      <c r="W41" s="133">
        <f t="shared" ca="1" si="18"/>
        <v>0</v>
      </c>
      <c r="X41" s="133">
        <f t="shared" ca="1" si="18"/>
        <v>0</v>
      </c>
      <c r="Y41" s="133">
        <f t="shared" ca="1" si="18"/>
        <v>0</v>
      </c>
      <c r="Z41" s="133">
        <f t="shared" ca="1" si="18"/>
        <v>0</v>
      </c>
      <c r="AA41" s="134">
        <f t="shared" ca="1" si="12"/>
        <v>69355.230122135748</v>
      </c>
      <c r="AB41" s="135"/>
      <c r="AC41" s="141"/>
      <c r="AD41" s="141"/>
      <c r="AE41" s="141"/>
      <c r="AF41" s="141"/>
      <c r="AG41" s="141"/>
      <c r="AH41" s="141"/>
      <c r="AI41" s="141"/>
      <c r="AJ41" s="141"/>
      <c r="AK41" s="121" t="s">
        <v>10</v>
      </c>
      <c r="AL41" s="141"/>
      <c r="AM41" s="141"/>
      <c r="AN41" s="141"/>
      <c r="AO41" s="141"/>
    </row>
    <row r="42" spans="1:41" ht="15.75" customHeight="1">
      <c r="A42" s="126">
        <v>41</v>
      </c>
      <c r="B42" s="127">
        <v>40000</v>
      </c>
      <c r="C42" s="128"/>
      <c r="D42" s="129">
        <f t="shared" ca="1" si="0"/>
        <v>0.10885165675665143</v>
      </c>
      <c r="E42" s="130">
        <f t="shared" ca="1" si="13"/>
        <v>1</v>
      </c>
      <c r="F42" s="131">
        <f t="shared" ca="1" si="1"/>
        <v>1</v>
      </c>
      <c r="G42" s="131">
        <f t="shared" ca="1" si="2"/>
        <v>0</v>
      </c>
      <c r="H42" s="131">
        <f t="shared" ca="1" si="3"/>
        <v>0</v>
      </c>
      <c r="I42" s="131">
        <f t="shared" ca="1" si="4"/>
        <v>0</v>
      </c>
      <c r="J42" s="131">
        <f t="shared" ca="1" si="5"/>
        <v>0</v>
      </c>
      <c r="K42" s="131">
        <f t="shared" ca="1" si="6"/>
        <v>0</v>
      </c>
      <c r="L42" s="131">
        <f t="shared" ca="1" si="21"/>
        <v>0</v>
      </c>
      <c r="M42" s="131">
        <f ca="1">IF(E42&gt;=8,1,0)</f>
        <v>0</v>
      </c>
      <c r="N42" s="131">
        <f t="shared" ca="1" si="9"/>
        <v>0</v>
      </c>
      <c r="O42" s="131">
        <f t="shared" ca="1" si="10"/>
        <v>0</v>
      </c>
      <c r="P42" s="132"/>
      <c r="Q42" s="133">
        <f t="shared" ca="1" si="19"/>
        <v>1052.5633606007621</v>
      </c>
      <c r="R42" s="133">
        <f t="shared" ca="1" si="19"/>
        <v>0</v>
      </c>
      <c r="S42" s="133">
        <f t="shared" ca="1" si="19"/>
        <v>0</v>
      </c>
      <c r="T42" s="133">
        <f t="shared" ca="1" si="19"/>
        <v>0</v>
      </c>
      <c r="U42" s="133">
        <f t="shared" ca="1" si="19"/>
        <v>0</v>
      </c>
      <c r="V42" s="133">
        <f t="shared" ca="1" si="18"/>
        <v>0</v>
      </c>
      <c r="W42" s="133">
        <f t="shared" ca="1" si="18"/>
        <v>0</v>
      </c>
      <c r="X42" s="133">
        <f t="shared" ca="1" si="18"/>
        <v>0</v>
      </c>
      <c r="Y42" s="133">
        <f t="shared" ca="1" si="18"/>
        <v>0</v>
      </c>
      <c r="Z42" s="133">
        <f t="shared" ca="1" si="18"/>
        <v>0</v>
      </c>
      <c r="AA42" s="134">
        <f t="shared" ca="1" si="12"/>
        <v>1052.5633606007621</v>
      </c>
      <c r="AB42" s="135"/>
      <c r="AC42" s="141"/>
      <c r="AD42" s="141"/>
      <c r="AE42" s="141"/>
      <c r="AF42" s="141"/>
      <c r="AG42" s="141"/>
      <c r="AH42" s="141"/>
      <c r="AI42" s="141"/>
      <c r="AJ42" s="141"/>
      <c r="AK42" s="141"/>
      <c r="AL42" s="141"/>
      <c r="AM42" s="141"/>
      <c r="AN42" s="141"/>
      <c r="AO42" s="141"/>
    </row>
    <row r="43" spans="1:41" ht="15.75" customHeight="1">
      <c r="A43" s="126">
        <v>42</v>
      </c>
      <c r="B43" s="127">
        <v>40000</v>
      </c>
      <c r="C43" s="128"/>
      <c r="D43" s="129">
        <f t="shared" ca="1" si="0"/>
        <v>0.36110695064866127</v>
      </c>
      <c r="E43" s="130">
        <f t="shared" ca="1" si="13"/>
        <v>3</v>
      </c>
      <c r="F43" s="131">
        <f t="shared" ca="1" si="1"/>
        <v>1</v>
      </c>
      <c r="G43" s="131">
        <f t="shared" ca="1" si="2"/>
        <v>1</v>
      </c>
      <c r="H43" s="131">
        <f t="shared" ca="1" si="3"/>
        <v>1</v>
      </c>
      <c r="I43" s="131">
        <f t="shared" ca="1" si="4"/>
        <v>0</v>
      </c>
      <c r="J43" s="131">
        <f t="shared" ca="1" si="5"/>
        <v>0</v>
      </c>
      <c r="K43" s="131">
        <f t="shared" ca="1" si="6"/>
        <v>0</v>
      </c>
      <c r="L43" s="131">
        <f t="shared" ca="1" si="21"/>
        <v>0</v>
      </c>
      <c r="M43" s="131">
        <f t="shared" ca="1" si="20"/>
        <v>0</v>
      </c>
      <c r="N43" s="131">
        <f t="shared" ca="1" si="9"/>
        <v>0</v>
      </c>
      <c r="O43" s="131">
        <f t="shared" ca="1" si="10"/>
        <v>0</v>
      </c>
      <c r="P43" s="132"/>
      <c r="Q43" s="133">
        <f t="shared" ca="1" si="19"/>
        <v>4903.2792213695338</v>
      </c>
      <c r="R43" s="133">
        <f t="shared" ca="1" si="19"/>
        <v>32942.64123907232</v>
      </c>
      <c r="S43" s="133">
        <f t="shared" ca="1" si="19"/>
        <v>6037.8222725940686</v>
      </c>
      <c r="T43" s="133">
        <f t="shared" ca="1" si="19"/>
        <v>0</v>
      </c>
      <c r="U43" s="133">
        <f t="shared" ca="1" si="19"/>
        <v>0</v>
      </c>
      <c r="V43" s="133">
        <f t="shared" ca="1" si="18"/>
        <v>0</v>
      </c>
      <c r="W43" s="133">
        <f t="shared" ca="1" si="18"/>
        <v>0</v>
      </c>
      <c r="X43" s="133">
        <f t="shared" ca="1" si="18"/>
        <v>0</v>
      </c>
      <c r="Y43" s="133">
        <f t="shared" ca="1" si="18"/>
        <v>0</v>
      </c>
      <c r="Z43" s="133">
        <f t="shared" ca="1" si="18"/>
        <v>0</v>
      </c>
      <c r="AA43" s="134">
        <f t="shared" ca="1" si="12"/>
        <v>43883.742733035921</v>
      </c>
      <c r="AB43" s="135"/>
      <c r="AC43" s="141"/>
      <c r="AD43" s="141"/>
      <c r="AE43" s="141"/>
      <c r="AF43" s="141"/>
      <c r="AG43" s="141"/>
      <c r="AH43" s="141"/>
      <c r="AI43" s="141"/>
      <c r="AJ43" s="141"/>
      <c r="AK43" s="141"/>
      <c r="AL43" s="141"/>
      <c r="AM43" s="141"/>
      <c r="AN43" s="141"/>
      <c r="AO43" s="141"/>
    </row>
    <row r="44" spans="1:41" ht="15.75" customHeight="1">
      <c r="A44" s="126">
        <v>43</v>
      </c>
      <c r="B44" s="127">
        <v>40000</v>
      </c>
      <c r="C44" s="128"/>
      <c r="D44" s="129">
        <f t="shared" ca="1" si="0"/>
        <v>0.89602898743970194</v>
      </c>
      <c r="E44" s="130">
        <f t="shared" ca="1" si="13"/>
        <v>8</v>
      </c>
      <c r="F44" s="131">
        <f t="shared" ca="1" si="1"/>
        <v>1</v>
      </c>
      <c r="G44" s="131">
        <f t="shared" ca="1" si="2"/>
        <v>1</v>
      </c>
      <c r="H44" s="131">
        <f t="shared" ca="1" si="3"/>
        <v>1</v>
      </c>
      <c r="I44" s="131">
        <f t="shared" ca="1" si="4"/>
        <v>1</v>
      </c>
      <c r="J44" s="131">
        <f t="shared" ca="1" si="5"/>
        <v>1</v>
      </c>
      <c r="K44" s="131">
        <f t="shared" ca="1" si="6"/>
        <v>1</v>
      </c>
      <c r="L44" s="131">
        <f t="shared" ca="1" si="21"/>
        <v>1</v>
      </c>
      <c r="M44" s="131">
        <f t="shared" ca="1" si="20"/>
        <v>1</v>
      </c>
      <c r="N44" s="131">
        <f t="shared" ca="1" si="9"/>
        <v>0</v>
      </c>
      <c r="O44" s="131">
        <f t="shared" ca="1" si="10"/>
        <v>0</v>
      </c>
      <c r="P44" s="132"/>
      <c r="Q44" s="133">
        <f t="shared" ca="1" si="19"/>
        <v>57632.228391492077</v>
      </c>
      <c r="R44" s="133">
        <f t="shared" ca="1" si="19"/>
        <v>16655.53820849652</v>
      </c>
      <c r="S44" s="133">
        <f t="shared" ca="1" si="19"/>
        <v>3167.6697462129496</v>
      </c>
      <c r="T44" s="133">
        <f t="shared" ca="1" si="19"/>
        <v>1966.9478105369087</v>
      </c>
      <c r="U44" s="133">
        <f t="shared" ca="1" si="19"/>
        <v>13914.275373180415</v>
      </c>
      <c r="V44" s="133">
        <f t="shared" ca="1" si="18"/>
        <v>42740.519604826979</v>
      </c>
      <c r="W44" s="133">
        <f t="shared" ca="1" si="18"/>
        <v>27859.036240880705</v>
      </c>
      <c r="X44" s="133">
        <f t="shared" ca="1" si="18"/>
        <v>4349.8433776444908</v>
      </c>
      <c r="Y44" s="133">
        <f t="shared" ca="1" si="18"/>
        <v>0</v>
      </c>
      <c r="Z44" s="133">
        <f t="shared" ca="1" si="18"/>
        <v>0</v>
      </c>
      <c r="AA44" s="134">
        <f t="shared" ca="1" si="12"/>
        <v>168286.05875327103</v>
      </c>
      <c r="AB44" s="135"/>
      <c r="AC44" s="141"/>
      <c r="AD44" s="141"/>
      <c r="AE44" s="141"/>
      <c r="AF44" s="141"/>
      <c r="AG44" s="141"/>
      <c r="AH44" s="141"/>
      <c r="AI44" s="141"/>
      <c r="AJ44" s="141"/>
      <c r="AK44" s="141"/>
      <c r="AL44" s="141"/>
      <c r="AM44" s="141"/>
      <c r="AN44" s="141"/>
      <c r="AO44" s="141"/>
    </row>
    <row r="45" spans="1:41" ht="15.75" customHeight="1">
      <c r="A45" s="126">
        <v>44</v>
      </c>
      <c r="B45" s="127">
        <v>40000</v>
      </c>
      <c r="C45" s="128"/>
      <c r="D45" s="129">
        <f t="shared" ca="1" si="0"/>
        <v>0.67696444477273121</v>
      </c>
      <c r="E45" s="130">
        <f t="shared" ca="1" si="13"/>
        <v>5</v>
      </c>
      <c r="F45" s="131">
        <f t="shared" ca="1" si="1"/>
        <v>1</v>
      </c>
      <c r="G45" s="131">
        <f t="shared" ca="1" si="2"/>
        <v>1</v>
      </c>
      <c r="H45" s="131">
        <f t="shared" ca="1" si="3"/>
        <v>1</v>
      </c>
      <c r="I45" s="131">
        <f t="shared" ca="1" si="4"/>
        <v>1</v>
      </c>
      <c r="J45" s="131">
        <f t="shared" ca="1" si="5"/>
        <v>1</v>
      </c>
      <c r="K45" s="131">
        <f t="shared" ca="1" si="6"/>
        <v>0</v>
      </c>
      <c r="L45" s="131">
        <f t="shared" ca="1" si="21"/>
        <v>0</v>
      </c>
      <c r="M45" s="131">
        <f t="shared" ca="1" si="20"/>
        <v>0</v>
      </c>
      <c r="N45" s="131">
        <f t="shared" ca="1" si="9"/>
        <v>0</v>
      </c>
      <c r="O45" s="131">
        <f t="shared" ca="1" si="10"/>
        <v>0</v>
      </c>
      <c r="P45" s="132"/>
      <c r="Q45" s="133">
        <f t="shared" ca="1" si="19"/>
        <v>8771.7528157196029</v>
      </c>
      <c r="R45" s="133">
        <f t="shared" ca="1" si="19"/>
        <v>28348.95435788274</v>
      </c>
      <c r="S45" s="133">
        <f t="shared" ca="1" si="19"/>
        <v>17991.322046887581</v>
      </c>
      <c r="T45" s="133">
        <f t="shared" ca="1" si="19"/>
        <v>10281.970516581981</v>
      </c>
      <c r="U45" s="133">
        <f t="shared" ca="1" si="19"/>
        <v>26063.979450584167</v>
      </c>
      <c r="V45" s="133">
        <f t="shared" ca="1" si="18"/>
        <v>0</v>
      </c>
      <c r="W45" s="133">
        <f t="shared" ca="1" si="18"/>
        <v>0</v>
      </c>
      <c r="X45" s="133">
        <f t="shared" ca="1" si="18"/>
        <v>0</v>
      </c>
      <c r="Y45" s="133">
        <f t="shared" ca="1" si="18"/>
        <v>0</v>
      </c>
      <c r="Z45" s="133">
        <f t="shared" ca="1" si="18"/>
        <v>0</v>
      </c>
      <c r="AA45" s="134">
        <f t="shared" ca="1" si="12"/>
        <v>91457.979187656078</v>
      </c>
      <c r="AB45" s="135"/>
      <c r="AC45" s="141"/>
      <c r="AD45" s="141"/>
      <c r="AE45" s="141"/>
      <c r="AF45" s="141"/>
      <c r="AG45" s="141"/>
      <c r="AH45" s="141"/>
      <c r="AI45" s="141"/>
      <c r="AJ45" s="141"/>
      <c r="AK45" s="141"/>
      <c r="AL45" s="141"/>
      <c r="AM45" s="141"/>
      <c r="AN45" s="141"/>
      <c r="AO45" s="141"/>
    </row>
    <row r="46" spans="1:41" ht="15.75" customHeight="1">
      <c r="A46" s="126">
        <v>45</v>
      </c>
      <c r="B46" s="127">
        <v>40000</v>
      </c>
      <c r="C46" s="128"/>
      <c r="D46" s="129">
        <f t="shared" ca="1" si="0"/>
        <v>0.12984921167647712</v>
      </c>
      <c r="E46" s="130">
        <f t="shared" ca="1" si="13"/>
        <v>1</v>
      </c>
      <c r="F46" s="131">
        <f t="shared" ca="1" si="1"/>
        <v>1</v>
      </c>
      <c r="G46" s="131">
        <f t="shared" ca="1" si="2"/>
        <v>0</v>
      </c>
      <c r="H46" s="131">
        <f t="shared" ca="1" si="3"/>
        <v>0</v>
      </c>
      <c r="I46" s="131">
        <f t="shared" ca="1" si="4"/>
        <v>0</v>
      </c>
      <c r="J46" s="131">
        <f t="shared" ca="1" si="5"/>
        <v>0</v>
      </c>
      <c r="K46" s="131">
        <f t="shared" ca="1" si="6"/>
        <v>0</v>
      </c>
      <c r="L46" s="131">
        <f t="shared" ca="1" si="21"/>
        <v>0</v>
      </c>
      <c r="M46" s="131">
        <f t="shared" ca="1" si="20"/>
        <v>0</v>
      </c>
      <c r="N46" s="131">
        <f t="shared" ca="1" si="9"/>
        <v>0</v>
      </c>
      <c r="O46" s="131">
        <f t="shared" ca="1" si="10"/>
        <v>0</v>
      </c>
      <c r="P46" s="132"/>
      <c r="Q46" s="133">
        <f t="shared" ca="1" si="19"/>
        <v>22162.766452534936</v>
      </c>
      <c r="R46" s="133">
        <f t="shared" ca="1" si="19"/>
        <v>0</v>
      </c>
      <c r="S46" s="133">
        <f t="shared" ca="1" si="19"/>
        <v>0</v>
      </c>
      <c r="T46" s="133">
        <f t="shared" ca="1" si="19"/>
        <v>0</v>
      </c>
      <c r="U46" s="133">
        <f t="shared" ca="1" si="19"/>
        <v>0</v>
      </c>
      <c r="V46" s="133">
        <f t="shared" ca="1" si="18"/>
        <v>0</v>
      </c>
      <c r="W46" s="133">
        <f t="shared" ca="1" si="18"/>
        <v>0</v>
      </c>
      <c r="X46" s="133">
        <f t="shared" ca="1" si="18"/>
        <v>0</v>
      </c>
      <c r="Y46" s="133">
        <f t="shared" ca="1" si="18"/>
        <v>0</v>
      </c>
      <c r="Z46" s="133">
        <f t="shared" ca="1" si="18"/>
        <v>0</v>
      </c>
      <c r="AA46" s="134">
        <f t="shared" ca="1" si="12"/>
        <v>22162.766452534936</v>
      </c>
      <c r="AB46" s="135"/>
      <c r="AC46" s="141"/>
      <c r="AD46" s="141"/>
      <c r="AE46" s="141"/>
      <c r="AF46" s="141"/>
      <c r="AG46" s="141"/>
      <c r="AH46" s="141"/>
      <c r="AI46" s="141"/>
      <c r="AJ46" s="141"/>
      <c r="AK46" s="141"/>
      <c r="AL46" s="141"/>
      <c r="AM46" s="149" t="s">
        <v>10</v>
      </c>
      <c r="AN46" s="141"/>
      <c r="AO46" s="141"/>
    </row>
    <row r="47" spans="1:41" ht="15.75" customHeight="1">
      <c r="A47" s="126">
        <v>46</v>
      </c>
      <c r="B47" s="127">
        <v>40000</v>
      </c>
      <c r="C47" s="128"/>
      <c r="D47" s="129">
        <f t="shared" ca="1" si="0"/>
        <v>0.14075756485104818</v>
      </c>
      <c r="E47" s="130">
        <f t="shared" ca="1" si="13"/>
        <v>1</v>
      </c>
      <c r="F47" s="131">
        <f t="shared" ca="1" si="1"/>
        <v>1</v>
      </c>
      <c r="G47" s="131">
        <f t="shared" ca="1" si="2"/>
        <v>0</v>
      </c>
      <c r="H47" s="131">
        <f t="shared" ca="1" si="3"/>
        <v>0</v>
      </c>
      <c r="I47" s="131">
        <f t="shared" ca="1" si="4"/>
        <v>0</v>
      </c>
      <c r="J47" s="131">
        <f t="shared" ca="1" si="5"/>
        <v>0</v>
      </c>
      <c r="K47" s="131">
        <f ca="1">IF(E47&gt;=6,1,0)</f>
        <v>0</v>
      </c>
      <c r="L47" s="131">
        <f t="shared" ca="1" si="21"/>
        <v>0</v>
      </c>
      <c r="M47" s="131">
        <f t="shared" ca="1" si="20"/>
        <v>0</v>
      </c>
      <c r="N47" s="131">
        <f t="shared" ca="1" si="9"/>
        <v>0</v>
      </c>
      <c r="O47" s="131">
        <f t="shared" ca="1" si="10"/>
        <v>0</v>
      </c>
      <c r="P47" s="132"/>
      <c r="Q47" s="133">
        <f t="shared" ca="1" si="19"/>
        <v>35794.326124004292</v>
      </c>
      <c r="R47" s="133">
        <f t="shared" ca="1" si="19"/>
        <v>0</v>
      </c>
      <c r="S47" s="133">
        <f t="shared" ca="1" si="19"/>
        <v>0</v>
      </c>
      <c r="T47" s="133">
        <f t="shared" ca="1" si="19"/>
        <v>0</v>
      </c>
      <c r="U47" s="133">
        <f t="shared" ca="1" si="19"/>
        <v>0</v>
      </c>
      <c r="V47" s="133">
        <f t="shared" ca="1" si="18"/>
        <v>0</v>
      </c>
      <c r="W47" s="133">
        <f t="shared" ca="1" si="18"/>
        <v>0</v>
      </c>
      <c r="X47" s="133">
        <f t="shared" ca="1" si="18"/>
        <v>0</v>
      </c>
      <c r="Y47" s="133">
        <f t="shared" ca="1" si="18"/>
        <v>0</v>
      </c>
      <c r="Z47" s="133">
        <f t="shared" ca="1" si="18"/>
        <v>0</v>
      </c>
      <c r="AA47" s="134">
        <f t="shared" ca="1" si="12"/>
        <v>35794.326124004292</v>
      </c>
      <c r="AB47" s="135"/>
      <c r="AC47" s="141"/>
      <c r="AD47" s="141"/>
      <c r="AE47" s="141"/>
      <c r="AF47" s="141"/>
      <c r="AG47" s="141"/>
      <c r="AH47" s="141"/>
      <c r="AI47" s="141"/>
      <c r="AJ47" s="141"/>
      <c r="AK47" s="141"/>
      <c r="AL47" s="141"/>
      <c r="AM47" s="149" t="s">
        <v>10</v>
      </c>
      <c r="AN47" s="141"/>
      <c r="AO47" s="141"/>
    </row>
    <row r="48" spans="1:41" ht="15.75" customHeight="1">
      <c r="A48" s="126">
        <v>47</v>
      </c>
      <c r="B48" s="127">
        <v>40000</v>
      </c>
      <c r="C48" s="128"/>
      <c r="D48" s="129">
        <f t="shared" ca="1" si="0"/>
        <v>0.44299671524357676</v>
      </c>
      <c r="E48" s="130">
        <f t="shared" ca="1" si="13"/>
        <v>4</v>
      </c>
      <c r="F48" s="131">
        <f t="shared" ca="1" si="1"/>
        <v>1</v>
      </c>
      <c r="G48" s="131">
        <f t="shared" ca="1" si="2"/>
        <v>1</v>
      </c>
      <c r="H48" s="131">
        <f t="shared" ca="1" si="3"/>
        <v>1</v>
      </c>
      <c r="I48" s="131">
        <f t="shared" ca="1" si="4"/>
        <v>1</v>
      </c>
      <c r="J48" s="131">
        <f t="shared" ca="1" si="5"/>
        <v>0</v>
      </c>
      <c r="K48" s="131">
        <f t="shared" ca="1" si="6"/>
        <v>0</v>
      </c>
      <c r="L48" s="131">
        <f t="shared" ca="1" si="21"/>
        <v>0</v>
      </c>
      <c r="M48" s="131">
        <f t="shared" ca="1" si="20"/>
        <v>0</v>
      </c>
      <c r="N48" s="131">
        <f t="shared" ca="1" si="9"/>
        <v>0</v>
      </c>
      <c r="O48" s="131">
        <f t="shared" ca="1" si="10"/>
        <v>0</v>
      </c>
      <c r="P48" s="132"/>
      <c r="Q48" s="133">
        <f t="shared" ca="1" si="19"/>
        <v>16333.736854358222</v>
      </c>
      <c r="R48" s="133">
        <f t="shared" ca="1" si="19"/>
        <v>12695.84680322613</v>
      </c>
      <c r="S48" s="133">
        <f t="shared" ca="1" si="19"/>
        <v>23884.081033157614</v>
      </c>
      <c r="T48" s="133">
        <f t="shared" ca="1" si="19"/>
        <v>38582.074097028402</v>
      </c>
      <c r="U48" s="133">
        <f t="shared" ca="1" si="19"/>
        <v>0</v>
      </c>
      <c r="V48" s="133">
        <f t="shared" ca="1" si="18"/>
        <v>0</v>
      </c>
      <c r="W48" s="133">
        <f t="shared" ca="1" si="18"/>
        <v>0</v>
      </c>
      <c r="X48" s="133">
        <f t="shared" ca="1" si="18"/>
        <v>0</v>
      </c>
      <c r="Y48" s="133">
        <f t="shared" ca="1" si="18"/>
        <v>0</v>
      </c>
      <c r="Z48" s="133">
        <f t="shared" ca="1" si="18"/>
        <v>0</v>
      </c>
      <c r="AA48" s="134">
        <f t="shared" ca="1" si="12"/>
        <v>91495.738787770359</v>
      </c>
      <c r="AB48" s="135"/>
      <c r="AC48" s="141"/>
      <c r="AD48" s="141"/>
      <c r="AE48" s="141"/>
      <c r="AF48" s="141"/>
      <c r="AG48" s="141"/>
      <c r="AH48" s="141"/>
      <c r="AI48" s="141"/>
      <c r="AJ48" s="141"/>
      <c r="AK48" s="141"/>
      <c r="AL48" s="141"/>
      <c r="AM48" s="149" t="s">
        <v>10</v>
      </c>
      <c r="AN48" s="141"/>
      <c r="AO48" s="141"/>
    </row>
    <row r="49" spans="1:41" ht="13.2">
      <c r="A49" s="126">
        <v>48</v>
      </c>
      <c r="B49" s="127">
        <v>40000</v>
      </c>
      <c r="C49" s="128"/>
      <c r="D49" s="129">
        <f t="shared" ca="1" si="0"/>
        <v>0.66878534538097956</v>
      </c>
      <c r="E49" s="130">
        <f t="shared" ca="1" si="13"/>
        <v>5</v>
      </c>
      <c r="F49" s="131">
        <f t="shared" ca="1" si="1"/>
        <v>1</v>
      </c>
      <c r="G49" s="131">
        <f t="shared" ca="1" si="2"/>
        <v>1</v>
      </c>
      <c r="H49" s="131">
        <f t="shared" ca="1" si="3"/>
        <v>1</v>
      </c>
      <c r="I49" s="131">
        <f t="shared" ca="1" si="4"/>
        <v>1</v>
      </c>
      <c r="J49" s="131">
        <f t="shared" ca="1" si="5"/>
        <v>1</v>
      </c>
      <c r="K49" s="131">
        <f t="shared" ca="1" si="6"/>
        <v>0</v>
      </c>
      <c r="L49" s="131">
        <f t="shared" ca="1" si="21"/>
        <v>0</v>
      </c>
      <c r="M49" s="131">
        <f t="shared" ca="1" si="20"/>
        <v>0</v>
      </c>
      <c r="N49" s="131">
        <f t="shared" ca="1" si="9"/>
        <v>0</v>
      </c>
      <c r="O49" s="131">
        <f t="shared" ca="1" si="10"/>
        <v>0</v>
      </c>
      <c r="P49" s="132"/>
      <c r="Q49" s="133">
        <f t="shared" ca="1" si="19"/>
        <v>28400.237906467486</v>
      </c>
      <c r="R49" s="133">
        <f t="shared" ca="1" si="19"/>
        <v>14038.815724276492</v>
      </c>
      <c r="S49" s="133">
        <f t="shared" ca="1" si="19"/>
        <v>30910.073877674931</v>
      </c>
      <c r="T49" s="133">
        <f t="shared" ca="1" si="19"/>
        <v>3296.7323419760673</v>
      </c>
      <c r="U49" s="133">
        <f t="shared" ca="1" si="19"/>
        <v>5699.4661215183196</v>
      </c>
      <c r="V49" s="133">
        <f t="shared" ca="1" si="18"/>
        <v>0</v>
      </c>
      <c r="W49" s="133">
        <f t="shared" ca="1" si="18"/>
        <v>0</v>
      </c>
      <c r="X49" s="133">
        <f t="shared" ca="1" si="18"/>
        <v>0</v>
      </c>
      <c r="Y49" s="133">
        <f t="shared" ca="1" si="18"/>
        <v>0</v>
      </c>
      <c r="Z49" s="133">
        <f t="shared" ca="1" si="18"/>
        <v>0</v>
      </c>
      <c r="AA49" s="134">
        <f t="shared" ca="1" si="12"/>
        <v>82345.325971913291</v>
      </c>
      <c r="AB49" s="135"/>
      <c r="AC49" s="141"/>
      <c r="AD49" s="141"/>
      <c r="AE49" s="141"/>
      <c r="AF49" s="141"/>
      <c r="AG49" s="141"/>
      <c r="AH49" s="141"/>
      <c r="AI49" s="141"/>
      <c r="AJ49" s="141"/>
      <c r="AK49" s="141"/>
      <c r="AL49" s="141"/>
      <c r="AM49" s="149" t="s">
        <v>10</v>
      </c>
      <c r="AN49" s="141"/>
      <c r="AO49" s="141"/>
    </row>
    <row r="50" spans="1:41" ht="13.2">
      <c r="A50" s="126">
        <v>49</v>
      </c>
      <c r="B50" s="127">
        <v>40000</v>
      </c>
      <c r="C50" s="128"/>
      <c r="D50" s="129">
        <f t="shared" ca="1" si="0"/>
        <v>0.30110508094873567</v>
      </c>
      <c r="E50" s="130">
        <f t="shared" ca="1" si="13"/>
        <v>3</v>
      </c>
      <c r="F50" s="131">
        <f t="shared" ca="1" si="1"/>
        <v>1</v>
      </c>
      <c r="G50" s="131">
        <f t="shared" ca="1" si="2"/>
        <v>1</v>
      </c>
      <c r="H50" s="131">
        <f t="shared" ca="1" si="3"/>
        <v>1</v>
      </c>
      <c r="I50" s="131">
        <f t="shared" ca="1" si="4"/>
        <v>0</v>
      </c>
      <c r="J50" s="131">
        <f t="shared" ca="1" si="5"/>
        <v>0</v>
      </c>
      <c r="K50" s="131">
        <f t="shared" ca="1" si="6"/>
        <v>0</v>
      </c>
      <c r="L50" s="131">
        <f t="shared" ca="1" si="21"/>
        <v>0</v>
      </c>
      <c r="M50" s="131">
        <f t="shared" ca="1" si="20"/>
        <v>0</v>
      </c>
      <c r="N50" s="131">
        <f t="shared" ca="1" si="9"/>
        <v>0</v>
      </c>
      <c r="O50" s="131">
        <f t="shared" ca="1" si="10"/>
        <v>0</v>
      </c>
      <c r="P50" s="132"/>
      <c r="Q50" s="133">
        <f t="shared" ca="1" si="19"/>
        <v>36090.999394936334</v>
      </c>
      <c r="R50" s="133">
        <f t="shared" ca="1" si="19"/>
        <v>13250.942482379342</v>
      </c>
      <c r="S50" s="133">
        <f t="shared" ca="1" si="19"/>
        <v>108735.18943241052</v>
      </c>
      <c r="T50" s="133">
        <f t="shared" ca="1" si="19"/>
        <v>0</v>
      </c>
      <c r="U50" s="133">
        <f t="shared" ca="1" si="19"/>
        <v>0</v>
      </c>
      <c r="V50" s="133">
        <f t="shared" ca="1" si="18"/>
        <v>0</v>
      </c>
      <c r="W50" s="133">
        <f t="shared" ca="1" si="18"/>
        <v>0</v>
      </c>
      <c r="X50" s="133">
        <f t="shared" ca="1" si="18"/>
        <v>0</v>
      </c>
      <c r="Y50" s="133">
        <f t="shared" ca="1" si="18"/>
        <v>0</v>
      </c>
      <c r="Z50" s="133">
        <f t="shared" ca="1" si="18"/>
        <v>0</v>
      </c>
      <c r="AA50" s="134">
        <f t="shared" ca="1" si="12"/>
        <v>158077.13130972622</v>
      </c>
      <c r="AB50" s="135"/>
      <c r="AC50" s="141"/>
      <c r="AD50" s="141"/>
      <c r="AE50" s="141"/>
      <c r="AF50" s="141"/>
      <c r="AG50" s="141"/>
      <c r="AH50" s="141"/>
      <c r="AI50" s="141"/>
      <c r="AJ50" s="141"/>
      <c r="AK50" s="141"/>
      <c r="AL50" s="141"/>
      <c r="AM50" s="149" t="s">
        <v>10</v>
      </c>
      <c r="AN50" s="141"/>
      <c r="AO50" s="141"/>
    </row>
    <row r="51" spans="1:41" ht="13.2">
      <c r="A51" s="126">
        <v>50</v>
      </c>
      <c r="B51" s="127">
        <v>40000</v>
      </c>
      <c r="C51" s="128"/>
      <c r="D51" s="129">
        <f t="shared" ca="1" si="0"/>
        <v>9.7969088952552297E-2</v>
      </c>
      <c r="E51" s="130">
        <f t="shared" ca="1" si="13"/>
        <v>1</v>
      </c>
      <c r="F51" s="131">
        <f t="shared" ca="1" si="1"/>
        <v>1</v>
      </c>
      <c r="G51" s="131">
        <f t="shared" ca="1" si="2"/>
        <v>0</v>
      </c>
      <c r="H51" s="131">
        <f t="shared" ca="1" si="3"/>
        <v>0</v>
      </c>
      <c r="I51" s="131">
        <f t="shared" ca="1" si="4"/>
        <v>0</v>
      </c>
      <c r="J51" s="131">
        <f t="shared" ca="1" si="5"/>
        <v>0</v>
      </c>
      <c r="K51" s="131">
        <f t="shared" ca="1" si="6"/>
        <v>0</v>
      </c>
      <c r="L51" s="131">
        <f t="shared" ca="1" si="21"/>
        <v>0</v>
      </c>
      <c r="M51" s="131">
        <f t="shared" ca="1" si="20"/>
        <v>0</v>
      </c>
      <c r="N51" s="131">
        <f t="shared" ca="1" si="9"/>
        <v>0</v>
      </c>
      <c r="O51" s="131">
        <f t="shared" ca="1" si="10"/>
        <v>0</v>
      </c>
      <c r="P51" s="132"/>
      <c r="Q51" s="133">
        <f t="shared" ca="1" si="19"/>
        <v>24046.110794124419</v>
      </c>
      <c r="R51" s="133">
        <f t="shared" ca="1" si="19"/>
        <v>0</v>
      </c>
      <c r="S51" s="133">
        <f t="shared" ca="1" si="19"/>
        <v>0</v>
      </c>
      <c r="T51" s="133">
        <f t="shared" ca="1" si="19"/>
        <v>0</v>
      </c>
      <c r="U51" s="133">
        <f t="shared" ca="1" si="19"/>
        <v>0</v>
      </c>
      <c r="V51" s="133">
        <f t="shared" ca="1" si="18"/>
        <v>0</v>
      </c>
      <c r="W51" s="133">
        <f t="shared" ca="1" si="18"/>
        <v>0</v>
      </c>
      <c r="X51" s="133">
        <f t="shared" ca="1" si="18"/>
        <v>0</v>
      </c>
      <c r="Y51" s="133">
        <f t="shared" ca="1" si="18"/>
        <v>0</v>
      </c>
      <c r="Z51" s="133">
        <f t="shared" ca="1" si="18"/>
        <v>0</v>
      </c>
      <c r="AA51" s="134">
        <f t="shared" ca="1" si="12"/>
        <v>24046.110794124419</v>
      </c>
      <c r="AB51" s="135"/>
      <c r="AC51" s="141"/>
      <c r="AD51" s="141"/>
      <c r="AE51" s="141"/>
      <c r="AF51" s="141"/>
      <c r="AG51" s="141"/>
      <c r="AH51" s="141"/>
      <c r="AI51" s="141"/>
      <c r="AJ51" s="141"/>
      <c r="AK51" s="141"/>
      <c r="AL51" s="141"/>
      <c r="AM51" s="149" t="s">
        <v>10</v>
      </c>
      <c r="AN51" s="141"/>
      <c r="AO51" s="141"/>
    </row>
    <row r="52" spans="1:41" ht="13.2">
      <c r="A52" s="126">
        <v>51</v>
      </c>
      <c r="B52" s="127">
        <v>40000</v>
      </c>
      <c r="C52" s="128"/>
      <c r="D52" s="129">
        <f t="shared" ca="1" si="0"/>
        <v>2.4265230017347927E-2</v>
      </c>
      <c r="E52" s="130">
        <f t="shared" ca="1" si="13"/>
        <v>0</v>
      </c>
      <c r="F52" s="131">
        <f t="shared" ca="1" si="1"/>
        <v>0</v>
      </c>
      <c r="G52" s="131">
        <f t="shared" ca="1" si="2"/>
        <v>0</v>
      </c>
      <c r="H52" s="131">
        <f t="shared" ca="1" si="3"/>
        <v>0</v>
      </c>
      <c r="I52" s="131">
        <f t="shared" ca="1" si="4"/>
        <v>0</v>
      </c>
      <c r="J52" s="131">
        <f t="shared" ca="1" si="5"/>
        <v>0</v>
      </c>
      <c r="K52" s="131">
        <f t="shared" ca="1" si="6"/>
        <v>0</v>
      </c>
      <c r="L52" s="131">
        <f t="shared" ca="1" si="21"/>
        <v>0</v>
      </c>
      <c r="M52" s="131">
        <f t="shared" ca="1" si="20"/>
        <v>0</v>
      </c>
      <c r="N52" s="131">
        <f t="shared" ca="1" si="9"/>
        <v>0</v>
      </c>
      <c r="O52" s="131">
        <f t="shared" ca="1" si="10"/>
        <v>0</v>
      </c>
      <c r="P52" s="132"/>
      <c r="Q52" s="133">
        <f t="shared" ca="1" si="19"/>
        <v>0</v>
      </c>
      <c r="R52" s="133">
        <f t="shared" ca="1" si="19"/>
        <v>0</v>
      </c>
      <c r="S52" s="133">
        <f t="shared" ca="1" si="19"/>
        <v>0</v>
      </c>
      <c r="T52" s="133">
        <f t="shared" ca="1" si="19"/>
        <v>0</v>
      </c>
      <c r="U52" s="133">
        <f t="shared" ca="1" si="19"/>
        <v>0</v>
      </c>
      <c r="V52" s="133">
        <f t="shared" ca="1" si="18"/>
        <v>0</v>
      </c>
      <c r="W52" s="133">
        <f t="shared" ca="1" si="18"/>
        <v>0</v>
      </c>
      <c r="X52" s="133">
        <f t="shared" ca="1" si="18"/>
        <v>0</v>
      </c>
      <c r="Y52" s="133">
        <f t="shared" ca="1" si="18"/>
        <v>0</v>
      </c>
      <c r="Z52" s="133">
        <f t="shared" ca="1" si="18"/>
        <v>0</v>
      </c>
      <c r="AA52" s="134">
        <f t="shared" ca="1" si="12"/>
        <v>0</v>
      </c>
      <c r="AB52" s="135"/>
      <c r="AC52" s="141"/>
      <c r="AD52" s="141"/>
      <c r="AE52" s="141"/>
      <c r="AF52" s="141"/>
      <c r="AG52" s="141"/>
      <c r="AH52" s="141"/>
      <c r="AI52" s="141"/>
      <c r="AJ52" s="141"/>
      <c r="AK52" s="141"/>
      <c r="AL52" s="141"/>
      <c r="AM52" s="149" t="s">
        <v>10</v>
      </c>
      <c r="AN52" s="141"/>
      <c r="AO52" s="141"/>
    </row>
    <row r="53" spans="1:41" ht="13.2">
      <c r="A53" s="126">
        <v>52</v>
      </c>
      <c r="B53" s="127">
        <v>40000</v>
      </c>
      <c r="C53" s="128"/>
      <c r="D53" s="129">
        <f t="shared" ca="1" si="0"/>
        <v>0.13582626739475057</v>
      </c>
      <c r="E53" s="130">
        <f t="shared" ca="1" si="13"/>
        <v>1</v>
      </c>
      <c r="F53" s="131">
        <f t="shared" ca="1" si="1"/>
        <v>1</v>
      </c>
      <c r="G53" s="131">
        <f t="shared" ca="1" si="2"/>
        <v>0</v>
      </c>
      <c r="H53" s="131">
        <f t="shared" ca="1" si="3"/>
        <v>0</v>
      </c>
      <c r="I53" s="131">
        <f t="shared" ca="1" si="4"/>
        <v>0</v>
      </c>
      <c r="J53" s="131">
        <f t="shared" ca="1" si="5"/>
        <v>0</v>
      </c>
      <c r="K53" s="131">
        <f t="shared" ca="1" si="6"/>
        <v>0</v>
      </c>
      <c r="L53" s="131">
        <f t="shared" ca="1" si="21"/>
        <v>0</v>
      </c>
      <c r="M53" s="131">
        <f t="shared" ca="1" si="20"/>
        <v>0</v>
      </c>
      <c r="N53" s="131">
        <f t="shared" ca="1" si="9"/>
        <v>0</v>
      </c>
      <c r="O53" s="131">
        <f t="shared" ca="1" si="10"/>
        <v>0</v>
      </c>
      <c r="P53" s="132"/>
      <c r="Q53" s="133">
        <f t="shared" ca="1" si="19"/>
        <v>61940.09515176688</v>
      </c>
      <c r="R53" s="133">
        <f t="shared" ca="1" si="19"/>
        <v>0</v>
      </c>
      <c r="S53" s="133">
        <f t="shared" ca="1" si="19"/>
        <v>0</v>
      </c>
      <c r="T53" s="133">
        <f t="shared" ca="1" si="19"/>
        <v>0</v>
      </c>
      <c r="U53" s="133">
        <f t="shared" ca="1" si="19"/>
        <v>0</v>
      </c>
      <c r="V53" s="133">
        <f t="shared" ca="1" si="18"/>
        <v>0</v>
      </c>
      <c r="W53" s="133">
        <f t="shared" ca="1" si="18"/>
        <v>0</v>
      </c>
      <c r="X53" s="133">
        <f t="shared" ca="1" si="18"/>
        <v>0</v>
      </c>
      <c r="Y53" s="133">
        <f t="shared" ca="1" si="18"/>
        <v>0</v>
      </c>
      <c r="Z53" s="133">
        <f t="shared" ca="1" si="18"/>
        <v>0</v>
      </c>
      <c r="AA53" s="134">
        <f t="shared" ca="1" si="12"/>
        <v>61940.09515176688</v>
      </c>
      <c r="AB53" s="135"/>
      <c r="AC53" s="141"/>
      <c r="AD53" s="141"/>
      <c r="AE53" s="141"/>
      <c r="AF53" s="141"/>
      <c r="AG53" s="141"/>
      <c r="AH53" s="141"/>
      <c r="AI53" s="141"/>
      <c r="AJ53" s="141"/>
      <c r="AK53" s="141"/>
      <c r="AL53" s="141"/>
      <c r="AM53" s="149" t="s">
        <v>10</v>
      </c>
      <c r="AN53" s="141"/>
      <c r="AO53" s="141"/>
    </row>
    <row r="54" spans="1:41" ht="13.2">
      <c r="A54" s="126">
        <v>53</v>
      </c>
      <c r="B54" s="127">
        <v>40000</v>
      </c>
      <c r="C54" s="128"/>
      <c r="D54" s="129">
        <f t="shared" ca="1" si="0"/>
        <v>0.98490736477564755</v>
      </c>
      <c r="E54" s="130">
        <f t="shared" ca="1" si="13"/>
        <v>10</v>
      </c>
      <c r="F54" s="131">
        <f t="shared" ca="1" si="1"/>
        <v>1</v>
      </c>
      <c r="G54" s="131">
        <f t="shared" ca="1" si="2"/>
        <v>1</v>
      </c>
      <c r="H54" s="131">
        <f t="shared" ca="1" si="3"/>
        <v>1</v>
      </c>
      <c r="I54" s="131">
        <f t="shared" ca="1" si="4"/>
        <v>1</v>
      </c>
      <c r="J54" s="131">
        <f t="shared" ca="1" si="5"/>
        <v>1</v>
      </c>
      <c r="K54" s="131">
        <f t="shared" ca="1" si="6"/>
        <v>1</v>
      </c>
      <c r="L54" s="131">
        <f t="shared" ca="1" si="21"/>
        <v>1</v>
      </c>
      <c r="M54" s="131">
        <f t="shared" ca="1" si="20"/>
        <v>1</v>
      </c>
      <c r="N54" s="131">
        <f t="shared" ca="1" si="9"/>
        <v>1</v>
      </c>
      <c r="O54" s="131">
        <f t="shared" ca="1" si="10"/>
        <v>1</v>
      </c>
      <c r="P54" s="132"/>
      <c r="Q54" s="133">
        <f t="shared" ca="1" si="19"/>
        <v>23561.824180463162</v>
      </c>
      <c r="R54" s="133">
        <f t="shared" ca="1" si="19"/>
        <v>25491.734979454228</v>
      </c>
      <c r="S54" s="133">
        <f t="shared" ca="1" si="19"/>
        <v>10609.457011723576</v>
      </c>
      <c r="T54" s="133">
        <f t="shared" ca="1" si="19"/>
        <v>8634.7332489076489</v>
      </c>
      <c r="U54" s="133">
        <f t="shared" ca="1" si="19"/>
        <v>24000.90818794099</v>
      </c>
      <c r="V54" s="133">
        <f t="shared" ca="1" si="18"/>
        <v>1290.7949328245675</v>
      </c>
      <c r="W54" s="133">
        <f t="shared" ca="1" si="18"/>
        <v>101596.55251146064</v>
      </c>
      <c r="X54" s="133">
        <f t="shared" ca="1" si="18"/>
        <v>3283.2135605940066</v>
      </c>
      <c r="Y54" s="133">
        <f t="shared" ca="1" si="18"/>
        <v>2177.116550163958</v>
      </c>
      <c r="Z54" s="133">
        <f t="shared" ca="1" si="18"/>
        <v>27137.781710105337</v>
      </c>
      <c r="AA54" s="134">
        <f t="shared" ca="1" si="12"/>
        <v>227784.11687363812</v>
      </c>
      <c r="AB54" s="135"/>
      <c r="AC54" s="141"/>
      <c r="AD54" s="141"/>
      <c r="AE54" s="141"/>
      <c r="AF54" s="141"/>
      <c r="AG54" s="141"/>
      <c r="AH54" s="141"/>
      <c r="AI54" s="141"/>
      <c r="AJ54" s="141"/>
      <c r="AK54" s="141"/>
      <c r="AL54" s="141"/>
      <c r="AM54" s="141"/>
      <c r="AN54" s="141"/>
      <c r="AO54" s="141"/>
    </row>
    <row r="55" spans="1:41" ht="13.2">
      <c r="A55" s="126">
        <v>54</v>
      </c>
      <c r="B55" s="127">
        <v>40000</v>
      </c>
      <c r="C55" s="128"/>
      <c r="D55" s="129">
        <f t="shared" ca="1" si="0"/>
        <v>0.58251639261714139</v>
      </c>
      <c r="E55" s="130">
        <f t="shared" ca="1" si="13"/>
        <v>5</v>
      </c>
      <c r="F55" s="131">
        <f t="shared" ca="1" si="1"/>
        <v>1</v>
      </c>
      <c r="G55" s="131">
        <f t="shared" ca="1" si="2"/>
        <v>1</v>
      </c>
      <c r="H55" s="131">
        <f t="shared" ca="1" si="3"/>
        <v>1</v>
      </c>
      <c r="I55" s="131">
        <f t="shared" ca="1" si="4"/>
        <v>1</v>
      </c>
      <c r="J55" s="131">
        <f t="shared" ca="1" si="5"/>
        <v>1</v>
      </c>
      <c r="K55" s="131">
        <f t="shared" ca="1" si="6"/>
        <v>0</v>
      </c>
      <c r="L55" s="131">
        <f t="shared" ca="1" si="21"/>
        <v>0</v>
      </c>
      <c r="M55" s="131">
        <f t="shared" ca="1" si="20"/>
        <v>0</v>
      </c>
      <c r="N55" s="131">
        <f t="shared" ca="1" si="9"/>
        <v>0</v>
      </c>
      <c r="O55" s="131">
        <f t="shared" ca="1" si="10"/>
        <v>0</v>
      </c>
      <c r="P55" s="132"/>
      <c r="Q55" s="133">
        <f t="shared" ca="1" si="19"/>
        <v>1613.1256443350326</v>
      </c>
      <c r="R55" s="133">
        <f t="shared" ca="1" si="19"/>
        <v>13547.014975974022</v>
      </c>
      <c r="S55" s="133">
        <f t="shared" ca="1" si="19"/>
        <v>12817.895674168185</v>
      </c>
      <c r="T55" s="133">
        <f t="shared" ca="1" si="19"/>
        <v>18281.076486060756</v>
      </c>
      <c r="U55" s="133">
        <f t="shared" ca="1" si="19"/>
        <v>364.45771363596123</v>
      </c>
      <c r="V55" s="133">
        <f t="shared" ca="1" si="18"/>
        <v>0</v>
      </c>
      <c r="W55" s="133">
        <f t="shared" ca="1" si="18"/>
        <v>0</v>
      </c>
      <c r="X55" s="133">
        <f t="shared" ca="1" si="18"/>
        <v>0</v>
      </c>
      <c r="Y55" s="133">
        <f t="shared" ca="1" si="18"/>
        <v>0</v>
      </c>
      <c r="Z55" s="133">
        <f t="shared" ca="1" si="18"/>
        <v>0</v>
      </c>
      <c r="AA55" s="134">
        <f t="shared" ca="1" si="12"/>
        <v>46623.570494173953</v>
      </c>
      <c r="AB55" s="135"/>
      <c r="AC55" s="141"/>
      <c r="AD55" s="141"/>
      <c r="AE55" s="141"/>
      <c r="AF55" s="141"/>
      <c r="AG55" s="141"/>
      <c r="AH55" s="141"/>
      <c r="AI55" s="141"/>
      <c r="AJ55" s="141"/>
      <c r="AK55" s="141"/>
      <c r="AL55" s="141"/>
      <c r="AM55" s="141"/>
      <c r="AN55" s="141"/>
      <c r="AO55" s="141"/>
    </row>
    <row r="56" spans="1:41" ht="13.2">
      <c r="A56" s="126">
        <v>55</v>
      </c>
      <c r="B56" s="127">
        <v>40000</v>
      </c>
      <c r="C56" s="128"/>
      <c r="D56" s="129">
        <f t="shared" ca="1" si="0"/>
        <v>0.45612469187170923</v>
      </c>
      <c r="E56" s="130">
        <f t="shared" ca="1" si="13"/>
        <v>4</v>
      </c>
      <c r="F56" s="131">
        <f t="shared" ca="1" si="1"/>
        <v>1</v>
      </c>
      <c r="G56" s="131">
        <f t="shared" ca="1" si="2"/>
        <v>1</v>
      </c>
      <c r="H56" s="131">
        <f t="shared" ca="1" si="3"/>
        <v>1</v>
      </c>
      <c r="I56" s="131">
        <f t="shared" ca="1" si="4"/>
        <v>1</v>
      </c>
      <c r="J56" s="131">
        <f t="shared" ca="1" si="5"/>
        <v>0</v>
      </c>
      <c r="K56" s="131">
        <f t="shared" ca="1" si="6"/>
        <v>0</v>
      </c>
      <c r="L56" s="131">
        <f t="shared" ca="1" si="21"/>
        <v>0</v>
      </c>
      <c r="M56" s="131">
        <f t="shared" ca="1" si="20"/>
        <v>0</v>
      </c>
      <c r="N56" s="131">
        <f t="shared" ca="1" si="9"/>
        <v>0</v>
      </c>
      <c r="O56" s="131">
        <f t="shared" ca="1" si="10"/>
        <v>0</v>
      </c>
      <c r="P56" s="132"/>
      <c r="Q56" s="133">
        <f t="shared" ca="1" si="19"/>
        <v>8324.9119503147595</v>
      </c>
      <c r="R56" s="133">
        <f t="shared" ca="1" si="19"/>
        <v>25794.901751578283</v>
      </c>
      <c r="S56" s="133">
        <f t="shared" ca="1" si="19"/>
        <v>13308.5997040358</v>
      </c>
      <c r="T56" s="133">
        <f t="shared" ca="1" si="19"/>
        <v>9759.9317143669832</v>
      </c>
      <c r="U56" s="133">
        <f t="shared" ca="1" si="19"/>
        <v>0</v>
      </c>
      <c r="V56" s="133">
        <f t="shared" ca="1" si="18"/>
        <v>0</v>
      </c>
      <c r="W56" s="133">
        <f t="shared" ca="1" si="18"/>
        <v>0</v>
      </c>
      <c r="X56" s="133">
        <f t="shared" ca="1" si="18"/>
        <v>0</v>
      </c>
      <c r="Y56" s="133">
        <f t="shared" ca="1" si="18"/>
        <v>0</v>
      </c>
      <c r="Z56" s="133">
        <f t="shared" ca="1" si="18"/>
        <v>0</v>
      </c>
      <c r="AA56" s="134">
        <f t="shared" ca="1" si="12"/>
        <v>57188.345120295824</v>
      </c>
      <c r="AB56" s="135"/>
      <c r="AC56" s="141"/>
      <c r="AD56" s="141"/>
      <c r="AE56" s="141"/>
      <c r="AF56" s="141"/>
      <c r="AG56" s="141"/>
      <c r="AH56" s="141"/>
      <c r="AI56" s="141"/>
      <c r="AJ56" s="141"/>
      <c r="AK56" s="141"/>
      <c r="AL56" s="141"/>
      <c r="AM56" s="141"/>
      <c r="AN56" s="141"/>
      <c r="AO56" s="141"/>
    </row>
    <row r="57" spans="1:41" ht="13.2">
      <c r="A57" s="126">
        <v>56</v>
      </c>
      <c r="B57" s="127">
        <v>40000</v>
      </c>
      <c r="C57" s="128"/>
      <c r="D57" s="129">
        <f t="shared" ca="1" si="0"/>
        <v>0.3438336086526772</v>
      </c>
      <c r="E57" s="130">
        <f t="shared" ca="1" si="13"/>
        <v>3</v>
      </c>
      <c r="F57" s="131">
        <f t="shared" ca="1" si="1"/>
        <v>1</v>
      </c>
      <c r="G57" s="131">
        <f t="shared" ca="1" si="2"/>
        <v>1</v>
      </c>
      <c r="H57" s="131">
        <f t="shared" ca="1" si="3"/>
        <v>1</v>
      </c>
      <c r="I57" s="131">
        <f t="shared" ca="1" si="4"/>
        <v>0</v>
      </c>
      <c r="J57" s="131">
        <f t="shared" ca="1" si="5"/>
        <v>0</v>
      </c>
      <c r="K57" s="131">
        <f t="shared" ca="1" si="6"/>
        <v>0</v>
      </c>
      <c r="L57" s="131">
        <f t="shared" ca="1" si="21"/>
        <v>0</v>
      </c>
      <c r="M57" s="131">
        <f t="shared" ca="1" si="20"/>
        <v>0</v>
      </c>
      <c r="N57" s="131">
        <f t="shared" ca="1" si="9"/>
        <v>0</v>
      </c>
      <c r="O57" s="131">
        <f t="shared" ca="1" si="10"/>
        <v>0</v>
      </c>
      <c r="P57" s="132"/>
      <c r="Q57" s="133">
        <f t="shared" ca="1" si="19"/>
        <v>22073.348035790106</v>
      </c>
      <c r="R57" s="133">
        <f t="shared" ca="1" si="19"/>
        <v>33467.68441935486</v>
      </c>
      <c r="S57" s="133">
        <f t="shared" ca="1" si="19"/>
        <v>9060.8444253214657</v>
      </c>
      <c r="T57" s="133">
        <f t="shared" ca="1" si="19"/>
        <v>0</v>
      </c>
      <c r="U57" s="133">
        <f t="shared" ca="1" si="19"/>
        <v>0</v>
      </c>
      <c r="V57" s="133">
        <f t="shared" ca="1" si="18"/>
        <v>0</v>
      </c>
      <c r="W57" s="133">
        <f t="shared" ca="1" si="18"/>
        <v>0</v>
      </c>
      <c r="X57" s="133">
        <f t="shared" ca="1" si="18"/>
        <v>0</v>
      </c>
      <c r="Y57" s="133">
        <f t="shared" ca="1" si="18"/>
        <v>0</v>
      </c>
      <c r="Z57" s="133">
        <f t="shared" ca="1" si="18"/>
        <v>0</v>
      </c>
      <c r="AA57" s="134">
        <f t="shared" ca="1" si="12"/>
        <v>64601.876880466429</v>
      </c>
      <c r="AB57" s="135"/>
      <c r="AC57" s="141"/>
      <c r="AD57" s="141"/>
      <c r="AE57" s="141"/>
      <c r="AF57" s="141"/>
      <c r="AG57" s="141"/>
      <c r="AH57" s="141"/>
      <c r="AI57" s="141"/>
      <c r="AJ57" s="141"/>
      <c r="AK57" s="141"/>
      <c r="AL57" s="141"/>
      <c r="AM57" s="141"/>
      <c r="AN57" s="141"/>
      <c r="AO57" s="141"/>
    </row>
    <row r="58" spans="1:41" ht="13.2">
      <c r="A58" s="126">
        <v>57</v>
      </c>
      <c r="B58" s="127">
        <v>40000</v>
      </c>
      <c r="C58" s="128"/>
      <c r="D58" s="129">
        <f t="shared" ca="1" si="0"/>
        <v>0.14684681228111274</v>
      </c>
      <c r="E58" s="130">
        <f t="shared" ca="1" si="13"/>
        <v>1</v>
      </c>
      <c r="F58" s="131">
        <f t="shared" ca="1" si="1"/>
        <v>1</v>
      </c>
      <c r="G58" s="131">
        <f t="shared" ca="1" si="2"/>
        <v>0</v>
      </c>
      <c r="H58" s="131">
        <f t="shared" ca="1" si="3"/>
        <v>0</v>
      </c>
      <c r="I58" s="131">
        <f t="shared" ca="1" si="4"/>
        <v>0</v>
      </c>
      <c r="J58" s="131">
        <f t="shared" ca="1" si="5"/>
        <v>0</v>
      </c>
      <c r="K58" s="131">
        <f t="shared" ca="1" si="6"/>
        <v>0</v>
      </c>
      <c r="L58" s="131">
        <f t="shared" ca="1" si="21"/>
        <v>0</v>
      </c>
      <c r="M58" s="131">
        <f t="shared" ca="1" si="20"/>
        <v>0</v>
      </c>
      <c r="N58" s="131">
        <f t="shared" ca="1" si="9"/>
        <v>0</v>
      </c>
      <c r="O58" s="131">
        <f t="shared" ca="1" si="10"/>
        <v>0</v>
      </c>
      <c r="P58" s="132"/>
      <c r="Q58" s="133">
        <f t="shared" ca="1" si="19"/>
        <v>5917.5682681834742</v>
      </c>
      <c r="R58" s="133">
        <f t="shared" ca="1" si="19"/>
        <v>0</v>
      </c>
      <c r="S58" s="133">
        <f t="shared" ca="1" si="19"/>
        <v>0</v>
      </c>
      <c r="T58" s="133">
        <f t="shared" ca="1" si="19"/>
        <v>0</v>
      </c>
      <c r="U58" s="133">
        <f t="shared" ca="1" si="19"/>
        <v>0</v>
      </c>
      <c r="V58" s="133">
        <f t="shared" ca="1" si="18"/>
        <v>0</v>
      </c>
      <c r="W58" s="133">
        <f t="shared" ca="1" si="18"/>
        <v>0</v>
      </c>
      <c r="X58" s="133">
        <f t="shared" ca="1" si="18"/>
        <v>0</v>
      </c>
      <c r="Y58" s="133">
        <f t="shared" ca="1" si="18"/>
        <v>0</v>
      </c>
      <c r="Z58" s="133">
        <f t="shared" ca="1" si="18"/>
        <v>0</v>
      </c>
      <c r="AA58" s="134">
        <f t="shared" ca="1" si="12"/>
        <v>5917.5682681834742</v>
      </c>
      <c r="AB58" s="135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</row>
    <row r="59" spans="1:41" ht="13.2">
      <c r="A59" s="126">
        <v>58</v>
      </c>
      <c r="B59" s="127">
        <v>40000</v>
      </c>
      <c r="C59" s="128"/>
      <c r="D59" s="129">
        <f t="shared" ca="1" si="0"/>
        <v>0.30692250528796183</v>
      </c>
      <c r="E59" s="130">
        <f t="shared" ca="1" si="13"/>
        <v>3</v>
      </c>
      <c r="F59" s="131">
        <f t="shared" ca="1" si="1"/>
        <v>1</v>
      </c>
      <c r="G59" s="131">
        <f t="shared" ca="1" si="2"/>
        <v>1</v>
      </c>
      <c r="H59" s="131">
        <f t="shared" ca="1" si="3"/>
        <v>1</v>
      </c>
      <c r="I59" s="131">
        <f t="shared" ca="1" si="4"/>
        <v>0</v>
      </c>
      <c r="J59" s="131">
        <f t="shared" ca="1" si="5"/>
        <v>0</v>
      </c>
      <c r="K59" s="131">
        <f t="shared" ca="1" si="6"/>
        <v>0</v>
      </c>
      <c r="L59" s="131">
        <f t="shared" ca="1" si="21"/>
        <v>0</v>
      </c>
      <c r="M59" s="131">
        <f t="shared" ca="1" si="20"/>
        <v>0</v>
      </c>
      <c r="N59" s="131">
        <f t="shared" ca="1" si="9"/>
        <v>0</v>
      </c>
      <c r="O59" s="131">
        <f t="shared" ca="1" si="10"/>
        <v>0</v>
      </c>
      <c r="P59" s="132"/>
      <c r="Q59" s="133">
        <f t="shared" ca="1" si="19"/>
        <v>15947.971070991407</v>
      </c>
      <c r="R59" s="133">
        <f t="shared" ca="1" si="19"/>
        <v>35926.786920861785</v>
      </c>
      <c r="S59" s="133">
        <f t="shared" ca="1" si="19"/>
        <v>10484.18854643397</v>
      </c>
      <c r="T59" s="133">
        <f t="shared" ca="1" si="19"/>
        <v>0</v>
      </c>
      <c r="U59" s="133">
        <f t="shared" ca="1" si="19"/>
        <v>0</v>
      </c>
      <c r="V59" s="133">
        <f t="shared" ca="1" si="19"/>
        <v>0</v>
      </c>
      <c r="W59" s="133">
        <f t="shared" ca="1" si="19"/>
        <v>0</v>
      </c>
      <c r="X59" s="133">
        <f t="shared" ca="1" si="19"/>
        <v>0</v>
      </c>
      <c r="Y59" s="133">
        <f t="shared" ca="1" si="19"/>
        <v>0</v>
      </c>
      <c r="Z59" s="133">
        <f t="shared" ca="1" si="19"/>
        <v>0</v>
      </c>
      <c r="AA59" s="134">
        <f t="shared" ca="1" si="12"/>
        <v>62358.946538287164</v>
      </c>
      <c r="AB59" s="135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</row>
    <row r="60" spans="1:41" ht="13.2">
      <c r="A60" s="126">
        <v>59</v>
      </c>
      <c r="B60" s="127">
        <v>40000</v>
      </c>
      <c r="C60" s="128"/>
      <c r="D60" s="129">
        <f t="shared" ca="1" si="0"/>
        <v>0.97427809069308469</v>
      </c>
      <c r="E60" s="130">
        <f t="shared" ca="1" si="13"/>
        <v>10</v>
      </c>
      <c r="F60" s="131">
        <f t="shared" ca="1" si="1"/>
        <v>1</v>
      </c>
      <c r="G60" s="131">
        <f t="shared" ca="1" si="2"/>
        <v>1</v>
      </c>
      <c r="H60" s="131">
        <f t="shared" ca="1" si="3"/>
        <v>1</v>
      </c>
      <c r="I60" s="131">
        <f t="shared" ca="1" si="4"/>
        <v>1</v>
      </c>
      <c r="J60" s="131">
        <f t="shared" ca="1" si="5"/>
        <v>1</v>
      </c>
      <c r="K60" s="131">
        <f t="shared" ca="1" si="6"/>
        <v>1</v>
      </c>
      <c r="L60" s="131">
        <f t="shared" ca="1" si="21"/>
        <v>1</v>
      </c>
      <c r="M60" s="131">
        <f t="shared" ca="1" si="20"/>
        <v>1</v>
      </c>
      <c r="N60" s="131">
        <f t="shared" ca="1" si="9"/>
        <v>1</v>
      </c>
      <c r="O60" s="131">
        <f t="shared" ca="1" si="10"/>
        <v>1</v>
      </c>
      <c r="P60" s="132"/>
      <c r="Q60" s="133">
        <f t="shared" ref="Q60:Z85" ca="1" si="22">_xlfn.CHISQ.INV(RAND(),2)*$AO$4 *F60</f>
        <v>29485.435990283782</v>
      </c>
      <c r="R60" s="133">
        <f t="shared" ca="1" si="22"/>
        <v>37876.246143670549</v>
      </c>
      <c r="S60" s="133">
        <f t="shared" ca="1" si="22"/>
        <v>3156.3803339175279</v>
      </c>
      <c r="T60" s="133">
        <f t="shared" ca="1" si="22"/>
        <v>81448.081836478304</v>
      </c>
      <c r="U60" s="133">
        <f t="shared" ca="1" si="22"/>
        <v>12666.130580690777</v>
      </c>
      <c r="V60" s="133">
        <f t="shared" ca="1" si="22"/>
        <v>26225.071921941482</v>
      </c>
      <c r="W60" s="133">
        <f t="shared" ca="1" si="22"/>
        <v>21659.990304856863</v>
      </c>
      <c r="X60" s="133">
        <f t="shared" ca="1" si="22"/>
        <v>23900.828706775468</v>
      </c>
      <c r="Y60" s="133">
        <f t="shared" ca="1" si="22"/>
        <v>50402.78129831994</v>
      </c>
      <c r="Z60" s="133">
        <f t="shared" ca="1" si="22"/>
        <v>8825.254852246986</v>
      </c>
      <c r="AA60" s="134">
        <f t="shared" ca="1" si="12"/>
        <v>295646.20196918165</v>
      </c>
      <c r="AB60" s="135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</row>
    <row r="61" spans="1:41" ht="13.2">
      <c r="A61" s="126">
        <v>60</v>
      </c>
      <c r="B61" s="127">
        <v>40000</v>
      </c>
      <c r="C61" s="128"/>
      <c r="D61" s="129">
        <f t="shared" ca="1" si="0"/>
        <v>0.94016729203505489</v>
      </c>
      <c r="E61" s="130">
        <f t="shared" ca="1" si="13"/>
        <v>9</v>
      </c>
      <c r="F61" s="131">
        <f t="shared" ca="1" si="1"/>
        <v>1</v>
      </c>
      <c r="G61" s="131">
        <f t="shared" ca="1" si="2"/>
        <v>1</v>
      </c>
      <c r="H61" s="131">
        <f t="shared" ca="1" si="3"/>
        <v>1</v>
      </c>
      <c r="I61" s="131">
        <f t="shared" ca="1" si="4"/>
        <v>1</v>
      </c>
      <c r="J61" s="131">
        <f t="shared" ca="1" si="5"/>
        <v>1</v>
      </c>
      <c r="K61" s="131">
        <f t="shared" ca="1" si="6"/>
        <v>1</v>
      </c>
      <c r="L61" s="131">
        <f t="shared" ca="1" si="21"/>
        <v>1</v>
      </c>
      <c r="M61" s="131">
        <f t="shared" ca="1" si="20"/>
        <v>1</v>
      </c>
      <c r="N61" s="131">
        <f t="shared" ca="1" si="9"/>
        <v>1</v>
      </c>
      <c r="O61" s="131">
        <f t="shared" ca="1" si="10"/>
        <v>0</v>
      </c>
      <c r="P61" s="132"/>
      <c r="Q61" s="133">
        <f t="shared" ca="1" si="22"/>
        <v>37987.51500950288</v>
      </c>
      <c r="R61" s="133">
        <f t="shared" ca="1" si="22"/>
        <v>11176.901287412667</v>
      </c>
      <c r="S61" s="133">
        <f t="shared" ca="1" si="22"/>
        <v>5234.0248597797499</v>
      </c>
      <c r="T61" s="133">
        <f t="shared" ca="1" si="22"/>
        <v>14139.657833069723</v>
      </c>
      <c r="U61" s="133">
        <f t="shared" ca="1" si="22"/>
        <v>8129.7831816475764</v>
      </c>
      <c r="V61" s="133">
        <f t="shared" ca="1" si="22"/>
        <v>7571.1207359826712</v>
      </c>
      <c r="W61" s="133">
        <f t="shared" ca="1" si="22"/>
        <v>4888.6693812255562</v>
      </c>
      <c r="X61" s="133">
        <f t="shared" ca="1" si="22"/>
        <v>25898.460606836506</v>
      </c>
      <c r="Y61" s="133">
        <f t="shared" ca="1" si="22"/>
        <v>23095.030352000358</v>
      </c>
      <c r="Z61" s="133">
        <f t="shared" ca="1" si="22"/>
        <v>0</v>
      </c>
      <c r="AA61" s="134">
        <f t="shared" ca="1" si="12"/>
        <v>138121.16324745768</v>
      </c>
      <c r="AB61" s="135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</row>
    <row r="62" spans="1:41" ht="13.2">
      <c r="A62" s="126">
        <v>61</v>
      </c>
      <c r="B62" s="127">
        <v>40000</v>
      </c>
      <c r="C62" s="128"/>
      <c r="D62" s="129">
        <f t="shared" ca="1" si="0"/>
        <v>0.97043438923110281</v>
      </c>
      <c r="E62" s="130">
        <f t="shared" ca="1" si="13"/>
        <v>10</v>
      </c>
      <c r="F62" s="131">
        <f t="shared" ca="1" si="1"/>
        <v>1</v>
      </c>
      <c r="G62" s="131">
        <f t="shared" ca="1" si="2"/>
        <v>1</v>
      </c>
      <c r="H62" s="131">
        <f t="shared" ca="1" si="3"/>
        <v>1</v>
      </c>
      <c r="I62" s="131">
        <f t="shared" ca="1" si="4"/>
        <v>1</v>
      </c>
      <c r="J62" s="131">
        <f t="shared" ca="1" si="5"/>
        <v>1</v>
      </c>
      <c r="K62" s="131">
        <f t="shared" ca="1" si="6"/>
        <v>1</v>
      </c>
      <c r="L62" s="131">
        <f t="shared" ca="1" si="21"/>
        <v>1</v>
      </c>
      <c r="M62" s="131">
        <f t="shared" ca="1" si="20"/>
        <v>1</v>
      </c>
      <c r="N62" s="131">
        <f t="shared" ca="1" si="9"/>
        <v>1</v>
      </c>
      <c r="O62" s="131">
        <f t="shared" ca="1" si="10"/>
        <v>1</v>
      </c>
      <c r="P62" s="132"/>
      <c r="Q62" s="133">
        <f t="shared" ca="1" si="22"/>
        <v>17973.224183151273</v>
      </c>
      <c r="R62" s="133">
        <f t="shared" ca="1" si="22"/>
        <v>12988.915147524052</v>
      </c>
      <c r="S62" s="133">
        <f t="shared" ca="1" si="22"/>
        <v>5264.8268128416157</v>
      </c>
      <c r="T62" s="133">
        <f t="shared" ca="1" si="22"/>
        <v>5150.7274942868207</v>
      </c>
      <c r="U62" s="133">
        <f t="shared" ca="1" si="22"/>
        <v>20910.607651714934</v>
      </c>
      <c r="V62" s="133">
        <f t="shared" ca="1" si="22"/>
        <v>21571.770157896339</v>
      </c>
      <c r="W62" s="133">
        <f t="shared" ca="1" si="22"/>
        <v>8702.0189158333123</v>
      </c>
      <c r="X62" s="133">
        <f t="shared" ca="1" si="22"/>
        <v>11069.337613663962</v>
      </c>
      <c r="Y62" s="133">
        <f t="shared" ca="1" si="22"/>
        <v>4089.3692940978904</v>
      </c>
      <c r="Z62" s="133">
        <f t="shared" ca="1" si="22"/>
        <v>4022.8320430577428</v>
      </c>
      <c r="AA62" s="134">
        <f t="shared" ca="1" si="12"/>
        <v>111743.62931406795</v>
      </c>
      <c r="AB62" s="135"/>
      <c r="AC62" s="141"/>
      <c r="AD62" s="141"/>
      <c r="AE62" s="141"/>
      <c r="AF62" s="141"/>
      <c r="AG62" s="141"/>
      <c r="AH62" s="141"/>
      <c r="AI62" s="141"/>
      <c r="AJ62" s="141"/>
      <c r="AK62" s="141"/>
      <c r="AL62" s="141"/>
      <c r="AM62" s="141"/>
      <c r="AN62" s="141"/>
      <c r="AO62" s="141"/>
    </row>
    <row r="63" spans="1:41" ht="13.2">
      <c r="A63" s="126">
        <v>62</v>
      </c>
      <c r="B63" s="127">
        <v>40000</v>
      </c>
      <c r="C63" s="128"/>
      <c r="D63" s="129">
        <f t="shared" ca="1" si="0"/>
        <v>0.61056268160959959</v>
      </c>
      <c r="E63" s="130">
        <f t="shared" ca="1" si="13"/>
        <v>5</v>
      </c>
      <c r="F63" s="131">
        <f t="shared" ca="1" si="1"/>
        <v>1</v>
      </c>
      <c r="G63" s="131">
        <f t="shared" ca="1" si="2"/>
        <v>1</v>
      </c>
      <c r="H63" s="131">
        <f t="shared" ca="1" si="3"/>
        <v>1</v>
      </c>
      <c r="I63" s="131">
        <f t="shared" ca="1" si="4"/>
        <v>1</v>
      </c>
      <c r="J63" s="131">
        <f t="shared" ca="1" si="5"/>
        <v>1</v>
      </c>
      <c r="K63" s="131">
        <f t="shared" ca="1" si="6"/>
        <v>0</v>
      </c>
      <c r="L63" s="131">
        <f t="shared" ca="1" si="21"/>
        <v>0</v>
      </c>
      <c r="M63" s="131">
        <f t="shared" ca="1" si="20"/>
        <v>0</v>
      </c>
      <c r="N63" s="131">
        <f t="shared" ca="1" si="9"/>
        <v>0</v>
      </c>
      <c r="O63" s="131">
        <f t="shared" ca="1" si="10"/>
        <v>0</v>
      </c>
      <c r="P63" s="132"/>
      <c r="Q63" s="133">
        <f t="shared" ca="1" si="22"/>
        <v>9941.3726920942463</v>
      </c>
      <c r="R63" s="133">
        <f t="shared" ca="1" si="22"/>
        <v>15481.949246359809</v>
      </c>
      <c r="S63" s="133">
        <f t="shared" ca="1" si="22"/>
        <v>4081.1373563046054</v>
      </c>
      <c r="T63" s="133">
        <f t="shared" ca="1" si="22"/>
        <v>53452.377839386441</v>
      </c>
      <c r="U63" s="133">
        <f t="shared" ca="1" si="22"/>
        <v>31507.073678354038</v>
      </c>
      <c r="V63" s="133">
        <f t="shared" ca="1" si="22"/>
        <v>0</v>
      </c>
      <c r="W63" s="133">
        <f t="shared" ca="1" si="22"/>
        <v>0</v>
      </c>
      <c r="X63" s="133">
        <f t="shared" ca="1" si="22"/>
        <v>0</v>
      </c>
      <c r="Y63" s="133">
        <f t="shared" ca="1" si="22"/>
        <v>0</v>
      </c>
      <c r="Z63" s="133">
        <f t="shared" ca="1" si="22"/>
        <v>0</v>
      </c>
      <c r="AA63" s="134">
        <f t="shared" ca="1" si="12"/>
        <v>114463.91081249915</v>
      </c>
      <c r="AB63" s="135"/>
      <c r="AC63" s="141"/>
      <c r="AD63" s="141"/>
      <c r="AE63" s="141"/>
      <c r="AF63" s="141"/>
      <c r="AG63" s="141"/>
      <c r="AH63" s="141"/>
      <c r="AI63" s="141"/>
      <c r="AJ63" s="141"/>
      <c r="AK63" s="141"/>
      <c r="AL63" s="141"/>
      <c r="AM63" s="141"/>
      <c r="AN63" s="141"/>
      <c r="AO63" s="141"/>
    </row>
    <row r="64" spans="1:41" ht="13.2">
      <c r="A64" s="126">
        <v>63</v>
      </c>
      <c r="B64" s="127">
        <v>40000</v>
      </c>
      <c r="C64" s="128"/>
      <c r="D64" s="129">
        <f t="shared" ca="1" si="0"/>
        <v>0.5035184719112682</v>
      </c>
      <c r="E64" s="130">
        <f t="shared" ca="1" si="13"/>
        <v>4</v>
      </c>
      <c r="F64" s="131">
        <f t="shared" ca="1" si="1"/>
        <v>1</v>
      </c>
      <c r="G64" s="131">
        <f t="shared" ca="1" si="2"/>
        <v>1</v>
      </c>
      <c r="H64" s="131">
        <f t="shared" ca="1" si="3"/>
        <v>1</v>
      </c>
      <c r="I64" s="131">
        <f t="shared" ca="1" si="4"/>
        <v>1</v>
      </c>
      <c r="J64" s="131">
        <f t="shared" ca="1" si="5"/>
        <v>0</v>
      </c>
      <c r="K64" s="131">
        <f t="shared" ca="1" si="6"/>
        <v>0</v>
      </c>
      <c r="L64" s="131">
        <f t="shared" ca="1" si="21"/>
        <v>0</v>
      </c>
      <c r="M64" s="131">
        <f t="shared" ca="1" si="20"/>
        <v>0</v>
      </c>
      <c r="N64" s="131">
        <f t="shared" ca="1" si="9"/>
        <v>0</v>
      </c>
      <c r="O64" s="131">
        <f t="shared" ca="1" si="10"/>
        <v>0</v>
      </c>
      <c r="P64" s="132"/>
      <c r="Q64" s="133">
        <f t="shared" ca="1" si="22"/>
        <v>22188.989246569625</v>
      </c>
      <c r="R64" s="133">
        <f t="shared" ca="1" si="22"/>
        <v>6896.0947175655365</v>
      </c>
      <c r="S64" s="133">
        <f t="shared" ca="1" si="22"/>
        <v>16218.858795260856</v>
      </c>
      <c r="T64" s="133">
        <f t="shared" ca="1" si="22"/>
        <v>7127.145005936236</v>
      </c>
      <c r="U64" s="133">
        <f t="shared" ca="1" si="22"/>
        <v>0</v>
      </c>
      <c r="V64" s="133">
        <f t="shared" ca="1" si="22"/>
        <v>0</v>
      </c>
      <c r="W64" s="133">
        <f t="shared" ca="1" si="22"/>
        <v>0</v>
      </c>
      <c r="X64" s="133">
        <f t="shared" ca="1" si="22"/>
        <v>0</v>
      </c>
      <c r="Y64" s="133">
        <f t="shared" ca="1" si="22"/>
        <v>0</v>
      </c>
      <c r="Z64" s="133">
        <f t="shared" ca="1" si="22"/>
        <v>0</v>
      </c>
      <c r="AA64" s="134">
        <f t="shared" ca="1" si="12"/>
        <v>52431.087765332253</v>
      </c>
      <c r="AB64" s="135"/>
      <c r="AC64" s="141"/>
      <c r="AD64" s="141"/>
      <c r="AE64" s="141"/>
      <c r="AF64" s="141"/>
      <c r="AG64" s="141"/>
      <c r="AH64" s="141"/>
      <c r="AI64" s="141"/>
      <c r="AJ64" s="141"/>
      <c r="AK64" s="141"/>
      <c r="AL64" s="141"/>
      <c r="AM64" s="141"/>
      <c r="AN64" s="141"/>
      <c r="AO64" s="141"/>
    </row>
    <row r="65" spans="1:41" ht="13.2">
      <c r="A65" s="126">
        <v>64</v>
      </c>
      <c r="B65" s="127">
        <v>40000</v>
      </c>
      <c r="C65" s="128"/>
      <c r="D65" s="129">
        <f t="shared" ca="1" si="0"/>
        <v>0.33364535907081161</v>
      </c>
      <c r="E65" s="130">
        <f t="shared" ca="1" si="13"/>
        <v>3</v>
      </c>
      <c r="F65" s="131">
        <f t="shared" ca="1" si="1"/>
        <v>1</v>
      </c>
      <c r="G65" s="131">
        <f t="shared" ca="1" si="2"/>
        <v>1</v>
      </c>
      <c r="H65" s="131">
        <f t="shared" ca="1" si="3"/>
        <v>1</v>
      </c>
      <c r="I65" s="131">
        <f t="shared" ca="1" si="4"/>
        <v>0</v>
      </c>
      <c r="J65" s="131">
        <f t="shared" ca="1" si="5"/>
        <v>0</v>
      </c>
      <c r="K65" s="131">
        <f t="shared" ca="1" si="6"/>
        <v>0</v>
      </c>
      <c r="L65" s="131">
        <f t="shared" ca="1" si="21"/>
        <v>0</v>
      </c>
      <c r="M65" s="131">
        <f t="shared" ca="1" si="20"/>
        <v>0</v>
      </c>
      <c r="N65" s="131">
        <f t="shared" ca="1" si="9"/>
        <v>0</v>
      </c>
      <c r="O65" s="131">
        <f t="shared" ca="1" si="10"/>
        <v>0</v>
      </c>
      <c r="P65" s="132"/>
      <c r="Q65" s="133">
        <f t="shared" ca="1" si="22"/>
        <v>26474.87329254872</v>
      </c>
      <c r="R65" s="133">
        <f t="shared" ca="1" si="22"/>
        <v>28237.011091536137</v>
      </c>
      <c r="S65" s="133">
        <f t="shared" ca="1" si="22"/>
        <v>6904.7646101574992</v>
      </c>
      <c r="T65" s="133">
        <f t="shared" ca="1" si="22"/>
        <v>0</v>
      </c>
      <c r="U65" s="133">
        <f t="shared" ca="1" si="22"/>
        <v>0</v>
      </c>
      <c r="V65" s="133">
        <f t="shared" ca="1" si="22"/>
        <v>0</v>
      </c>
      <c r="W65" s="133">
        <f t="shared" ca="1" si="22"/>
        <v>0</v>
      </c>
      <c r="X65" s="133">
        <f t="shared" ca="1" si="22"/>
        <v>0</v>
      </c>
      <c r="Y65" s="133">
        <f t="shared" ca="1" si="22"/>
        <v>0</v>
      </c>
      <c r="Z65" s="133">
        <f t="shared" ca="1" si="22"/>
        <v>0</v>
      </c>
      <c r="AA65" s="134">
        <f t="shared" ca="1" si="12"/>
        <v>61616.648994242358</v>
      </c>
      <c r="AB65" s="135"/>
      <c r="AC65" s="141"/>
      <c r="AD65" s="141"/>
      <c r="AE65" s="141"/>
      <c r="AF65" s="141"/>
      <c r="AG65" s="141"/>
      <c r="AH65" s="141"/>
      <c r="AI65" s="141"/>
      <c r="AJ65" s="141"/>
      <c r="AK65" s="141"/>
      <c r="AL65" s="141"/>
      <c r="AM65" s="141"/>
      <c r="AN65" s="141"/>
      <c r="AO65" s="141"/>
    </row>
    <row r="66" spans="1:41" ht="13.2">
      <c r="A66" s="126">
        <v>65</v>
      </c>
      <c r="B66" s="127">
        <v>40000</v>
      </c>
      <c r="C66" s="128"/>
      <c r="D66" s="129">
        <f t="shared" ref="D66:D129" ca="1" si="23">RAND()</f>
        <v>0.43692692088474805</v>
      </c>
      <c r="E66" s="130">
        <f t="shared" ca="1" si="13"/>
        <v>4</v>
      </c>
      <c r="F66" s="131">
        <f t="shared" ref="F66:F129" ca="1" si="24">IF(E66&gt;=1,1,0)</f>
        <v>1</v>
      </c>
      <c r="G66" s="131">
        <f t="shared" ref="G66:G129" ca="1" si="25">IF(E66&gt;=2,1,0)</f>
        <v>1</v>
      </c>
      <c r="H66" s="131">
        <f t="shared" ref="H66:H129" ca="1" si="26">IF(E66&gt;=3,1,0)</f>
        <v>1</v>
      </c>
      <c r="I66" s="131">
        <f t="shared" ref="I66:I129" ca="1" si="27">IF(E66&gt;=4,1,0)</f>
        <v>1</v>
      </c>
      <c r="J66" s="131">
        <f t="shared" ref="J66:J129" ca="1" si="28">IF(E66&gt;=5,1,0)</f>
        <v>0</v>
      </c>
      <c r="K66" s="131">
        <f t="shared" ref="K66:K129" ca="1" si="29">IF(E66&gt;=6,1,0)</f>
        <v>0</v>
      </c>
      <c r="L66" s="131">
        <f t="shared" ca="1" si="21"/>
        <v>0</v>
      </c>
      <c r="M66" s="131">
        <f t="shared" ca="1" si="20"/>
        <v>0</v>
      </c>
      <c r="N66" s="131">
        <f t="shared" ref="N66:N129" ca="1" si="30">IF(E66&gt;=9,1,0)</f>
        <v>0</v>
      </c>
      <c r="O66" s="131">
        <f t="shared" ref="O66:O129" ca="1" si="31">IF(E66&gt;=10,1,0)</f>
        <v>0</v>
      </c>
      <c r="P66" s="132"/>
      <c r="Q66" s="133">
        <f t="shared" ca="1" si="22"/>
        <v>3432.2584541175288</v>
      </c>
      <c r="R66" s="133">
        <f t="shared" ca="1" si="22"/>
        <v>1425.4810646086053</v>
      </c>
      <c r="S66" s="133">
        <f t="shared" ca="1" si="22"/>
        <v>7564.5318900608645</v>
      </c>
      <c r="T66" s="133">
        <f t="shared" ca="1" si="22"/>
        <v>24677.076339260944</v>
      </c>
      <c r="U66" s="133">
        <f t="shared" ca="1" si="22"/>
        <v>0</v>
      </c>
      <c r="V66" s="133">
        <f t="shared" ca="1" si="22"/>
        <v>0</v>
      </c>
      <c r="W66" s="133">
        <f t="shared" ca="1" si="22"/>
        <v>0</v>
      </c>
      <c r="X66" s="133">
        <f t="shared" ca="1" si="22"/>
        <v>0</v>
      </c>
      <c r="Y66" s="133">
        <f t="shared" ca="1" si="22"/>
        <v>0</v>
      </c>
      <c r="Z66" s="133">
        <f t="shared" ca="1" si="22"/>
        <v>0</v>
      </c>
      <c r="AA66" s="134">
        <f t="shared" ref="AA66:AA129" ca="1" si="32">SUM(Q66:Z66)</f>
        <v>37099.347748047941</v>
      </c>
      <c r="AB66" s="135"/>
      <c r="AC66" s="141"/>
      <c r="AD66" s="141"/>
      <c r="AE66" s="141"/>
      <c r="AF66" s="141"/>
      <c r="AG66" s="141"/>
      <c r="AH66" s="141"/>
      <c r="AI66" s="141"/>
      <c r="AJ66" s="141"/>
      <c r="AK66" s="141"/>
      <c r="AL66" s="141"/>
      <c r="AM66" s="141"/>
      <c r="AN66" s="141"/>
      <c r="AO66" s="141"/>
    </row>
    <row r="67" spans="1:41" ht="13.2">
      <c r="A67" s="126">
        <v>66</v>
      </c>
      <c r="B67" s="127">
        <v>40000</v>
      </c>
      <c r="C67" s="128"/>
      <c r="D67" s="129">
        <f t="shared" ca="1" si="23"/>
        <v>0.66597676508881809</v>
      </c>
      <c r="E67" s="130">
        <f t="shared" ref="E67:E130" ca="1" si="33">VLOOKUP(D67,$AH$2:$AL$12, 5, TRUE)</f>
        <v>5</v>
      </c>
      <c r="F67" s="131">
        <f t="shared" ca="1" si="24"/>
        <v>1</v>
      </c>
      <c r="G67" s="131">
        <f t="shared" ca="1" si="25"/>
        <v>1</v>
      </c>
      <c r="H67" s="131">
        <f t="shared" ca="1" si="26"/>
        <v>1</v>
      </c>
      <c r="I67" s="131">
        <f t="shared" ca="1" si="27"/>
        <v>1</v>
      </c>
      <c r="J67" s="131">
        <f t="shared" ca="1" si="28"/>
        <v>1</v>
      </c>
      <c r="K67" s="131">
        <f t="shared" ca="1" si="29"/>
        <v>0</v>
      </c>
      <c r="L67" s="131">
        <f t="shared" ca="1" si="21"/>
        <v>0</v>
      </c>
      <c r="M67" s="131">
        <f t="shared" ca="1" si="20"/>
        <v>0</v>
      </c>
      <c r="N67" s="131">
        <f t="shared" ca="1" si="30"/>
        <v>0</v>
      </c>
      <c r="O67" s="131">
        <f t="shared" ca="1" si="31"/>
        <v>0</v>
      </c>
      <c r="P67" s="132"/>
      <c r="Q67" s="133">
        <f t="shared" ca="1" si="22"/>
        <v>16272.689428733813</v>
      </c>
      <c r="R67" s="133">
        <f t="shared" ca="1" si="22"/>
        <v>679.21366148970344</v>
      </c>
      <c r="S67" s="133">
        <f t="shared" ca="1" si="22"/>
        <v>8568.1733165151491</v>
      </c>
      <c r="T67" s="133">
        <f t="shared" ca="1" si="22"/>
        <v>1401.2916959238441</v>
      </c>
      <c r="U67" s="133">
        <f t="shared" ca="1" si="22"/>
        <v>38687.173743716798</v>
      </c>
      <c r="V67" s="133">
        <f t="shared" ca="1" si="22"/>
        <v>0</v>
      </c>
      <c r="W67" s="133">
        <f t="shared" ca="1" si="22"/>
        <v>0</v>
      </c>
      <c r="X67" s="133">
        <f t="shared" ca="1" si="22"/>
        <v>0</v>
      </c>
      <c r="Y67" s="133">
        <f t="shared" ca="1" si="22"/>
        <v>0</v>
      </c>
      <c r="Z67" s="133">
        <f t="shared" ca="1" si="22"/>
        <v>0</v>
      </c>
      <c r="AA67" s="134">
        <f t="shared" ca="1" si="32"/>
        <v>65608.541846379303</v>
      </c>
      <c r="AB67" s="135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</row>
    <row r="68" spans="1:41" ht="13.2">
      <c r="A68" s="126">
        <v>67</v>
      </c>
      <c r="B68" s="127">
        <v>40000</v>
      </c>
      <c r="C68" s="128"/>
      <c r="D68" s="129">
        <f t="shared" ca="1" si="23"/>
        <v>0.92496482330257834</v>
      </c>
      <c r="E68" s="130">
        <f t="shared" ca="1" si="33"/>
        <v>9</v>
      </c>
      <c r="F68" s="131">
        <f t="shared" ca="1" si="24"/>
        <v>1</v>
      </c>
      <c r="G68" s="131">
        <f t="shared" ca="1" si="25"/>
        <v>1</v>
      </c>
      <c r="H68" s="131">
        <f t="shared" ca="1" si="26"/>
        <v>1</v>
      </c>
      <c r="I68" s="131">
        <f t="shared" ca="1" si="27"/>
        <v>1</v>
      </c>
      <c r="J68" s="131">
        <f t="shared" ca="1" si="28"/>
        <v>1</v>
      </c>
      <c r="K68" s="131">
        <f t="shared" ca="1" si="29"/>
        <v>1</v>
      </c>
      <c r="L68" s="131">
        <f t="shared" ca="1" si="21"/>
        <v>1</v>
      </c>
      <c r="M68" s="131">
        <f t="shared" ca="1" si="20"/>
        <v>1</v>
      </c>
      <c r="N68" s="131">
        <f t="shared" ca="1" si="30"/>
        <v>1</v>
      </c>
      <c r="O68" s="131">
        <f t="shared" ca="1" si="31"/>
        <v>0</v>
      </c>
      <c r="P68" s="132"/>
      <c r="Q68" s="133">
        <f t="shared" ca="1" si="22"/>
        <v>6914.9583979383024</v>
      </c>
      <c r="R68" s="133">
        <f t="shared" ca="1" si="22"/>
        <v>89150.290124695661</v>
      </c>
      <c r="S68" s="133">
        <f t="shared" ca="1" si="22"/>
        <v>54304.020731451907</v>
      </c>
      <c r="T68" s="133">
        <f t="shared" ca="1" si="22"/>
        <v>12709.634354117323</v>
      </c>
      <c r="U68" s="133">
        <f t="shared" ca="1" si="22"/>
        <v>923.71577394786959</v>
      </c>
      <c r="V68" s="133">
        <f t="shared" ca="1" si="22"/>
        <v>23786.742830195763</v>
      </c>
      <c r="W68" s="133">
        <f t="shared" ca="1" si="22"/>
        <v>14901.789483666678</v>
      </c>
      <c r="X68" s="133">
        <f t="shared" ca="1" si="22"/>
        <v>14997.716954076717</v>
      </c>
      <c r="Y68" s="133">
        <f t="shared" ca="1" si="22"/>
        <v>1398.0084760217401</v>
      </c>
      <c r="Z68" s="133">
        <f t="shared" ca="1" si="22"/>
        <v>0</v>
      </c>
      <c r="AA68" s="134">
        <f t="shared" ca="1" si="32"/>
        <v>219086.87712611194</v>
      </c>
      <c r="AB68" s="135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</row>
    <row r="69" spans="1:41" ht="13.2">
      <c r="A69" s="126">
        <v>68</v>
      </c>
      <c r="B69" s="127">
        <v>40000</v>
      </c>
      <c r="C69" s="128"/>
      <c r="D69" s="129">
        <f t="shared" ca="1" si="23"/>
        <v>0.12509078261845485</v>
      </c>
      <c r="E69" s="130">
        <f t="shared" ca="1" si="33"/>
        <v>1</v>
      </c>
      <c r="F69" s="131">
        <f t="shared" ca="1" si="24"/>
        <v>1</v>
      </c>
      <c r="G69" s="131">
        <f t="shared" ca="1" si="25"/>
        <v>0</v>
      </c>
      <c r="H69" s="131">
        <f t="shared" ca="1" si="26"/>
        <v>0</v>
      </c>
      <c r="I69" s="131">
        <f t="shared" ca="1" si="27"/>
        <v>0</v>
      </c>
      <c r="J69" s="131">
        <f t="shared" ca="1" si="28"/>
        <v>0</v>
      </c>
      <c r="K69" s="131">
        <f t="shared" ca="1" si="29"/>
        <v>0</v>
      </c>
      <c r="L69" s="131">
        <f t="shared" ca="1" si="21"/>
        <v>0</v>
      </c>
      <c r="M69" s="131">
        <f t="shared" ca="1" si="20"/>
        <v>0</v>
      </c>
      <c r="N69" s="131">
        <f t="shared" ca="1" si="30"/>
        <v>0</v>
      </c>
      <c r="O69" s="131">
        <f t="shared" ca="1" si="31"/>
        <v>0</v>
      </c>
      <c r="P69" s="132"/>
      <c r="Q69" s="133">
        <f t="shared" ca="1" si="22"/>
        <v>5185.5683341482918</v>
      </c>
      <c r="R69" s="133">
        <f t="shared" ca="1" si="22"/>
        <v>0</v>
      </c>
      <c r="S69" s="133">
        <f t="shared" ca="1" si="22"/>
        <v>0</v>
      </c>
      <c r="T69" s="133">
        <f t="shared" ca="1" si="22"/>
        <v>0</v>
      </c>
      <c r="U69" s="133">
        <f t="shared" ca="1" si="22"/>
        <v>0</v>
      </c>
      <c r="V69" s="133">
        <f t="shared" ca="1" si="22"/>
        <v>0</v>
      </c>
      <c r="W69" s="133">
        <f t="shared" ca="1" si="22"/>
        <v>0</v>
      </c>
      <c r="X69" s="133">
        <f t="shared" ca="1" si="22"/>
        <v>0</v>
      </c>
      <c r="Y69" s="133">
        <f t="shared" ca="1" si="22"/>
        <v>0</v>
      </c>
      <c r="Z69" s="133">
        <f t="shared" ca="1" si="22"/>
        <v>0</v>
      </c>
      <c r="AA69" s="134">
        <f t="shared" ca="1" si="32"/>
        <v>5185.5683341482918</v>
      </c>
      <c r="AB69" s="135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  <c r="AO69" s="141"/>
    </row>
    <row r="70" spans="1:41" ht="13.2">
      <c r="A70" s="126">
        <v>69</v>
      </c>
      <c r="B70" s="127">
        <v>40000</v>
      </c>
      <c r="C70" s="128"/>
      <c r="D70" s="129">
        <f t="shared" ca="1" si="23"/>
        <v>0.30676347090026879</v>
      </c>
      <c r="E70" s="130">
        <f t="shared" ca="1" si="33"/>
        <v>3</v>
      </c>
      <c r="F70" s="131">
        <f t="shared" ca="1" si="24"/>
        <v>1</v>
      </c>
      <c r="G70" s="131">
        <f t="shared" ca="1" si="25"/>
        <v>1</v>
      </c>
      <c r="H70" s="131">
        <f t="shared" ca="1" si="26"/>
        <v>1</v>
      </c>
      <c r="I70" s="131">
        <f t="shared" ca="1" si="27"/>
        <v>0</v>
      </c>
      <c r="J70" s="131">
        <f t="shared" ca="1" si="28"/>
        <v>0</v>
      </c>
      <c r="K70" s="131">
        <f t="shared" ca="1" si="29"/>
        <v>0</v>
      </c>
      <c r="L70" s="131">
        <f t="shared" ca="1" si="21"/>
        <v>0</v>
      </c>
      <c r="M70" s="131">
        <f t="shared" ca="1" si="20"/>
        <v>0</v>
      </c>
      <c r="N70" s="131">
        <f t="shared" ca="1" si="30"/>
        <v>0</v>
      </c>
      <c r="O70" s="131">
        <f t="shared" ca="1" si="31"/>
        <v>0</v>
      </c>
      <c r="P70" s="132"/>
      <c r="Q70" s="133">
        <f t="shared" ca="1" si="22"/>
        <v>3974.8498893984174</v>
      </c>
      <c r="R70" s="133">
        <f t="shared" ca="1" si="22"/>
        <v>76809.988704490155</v>
      </c>
      <c r="S70" s="133">
        <f t="shared" ca="1" si="22"/>
        <v>18379.704208457337</v>
      </c>
      <c r="T70" s="133">
        <f t="shared" ca="1" si="22"/>
        <v>0</v>
      </c>
      <c r="U70" s="133">
        <f t="shared" ca="1" si="22"/>
        <v>0</v>
      </c>
      <c r="V70" s="133">
        <f t="shared" ca="1" si="22"/>
        <v>0</v>
      </c>
      <c r="W70" s="133">
        <f t="shared" ca="1" si="22"/>
        <v>0</v>
      </c>
      <c r="X70" s="133">
        <f t="shared" ca="1" si="22"/>
        <v>0</v>
      </c>
      <c r="Y70" s="133">
        <f t="shared" ca="1" si="22"/>
        <v>0</v>
      </c>
      <c r="Z70" s="133">
        <f t="shared" ca="1" si="22"/>
        <v>0</v>
      </c>
      <c r="AA70" s="134">
        <f t="shared" ca="1" si="32"/>
        <v>99164.54280234591</v>
      </c>
      <c r="AB70" s="135"/>
      <c r="AC70" s="141"/>
      <c r="AD70" s="141"/>
      <c r="AE70" s="141"/>
      <c r="AF70" s="141"/>
      <c r="AG70" s="141"/>
      <c r="AH70" s="141"/>
      <c r="AI70" s="141"/>
      <c r="AJ70" s="141"/>
      <c r="AK70" s="141"/>
      <c r="AL70" s="141"/>
      <c r="AM70" s="141"/>
      <c r="AN70" s="141"/>
      <c r="AO70" s="141"/>
    </row>
    <row r="71" spans="1:41" ht="13.2">
      <c r="A71" s="126">
        <v>70</v>
      </c>
      <c r="B71" s="127">
        <v>40000</v>
      </c>
      <c r="C71" s="128"/>
      <c r="D71" s="129">
        <f t="shared" ca="1" si="23"/>
        <v>0.28681642008812835</v>
      </c>
      <c r="E71" s="130">
        <f t="shared" ca="1" si="33"/>
        <v>3</v>
      </c>
      <c r="F71" s="131">
        <f t="shared" ca="1" si="24"/>
        <v>1</v>
      </c>
      <c r="G71" s="131">
        <f t="shared" ca="1" si="25"/>
        <v>1</v>
      </c>
      <c r="H71" s="131">
        <f t="shared" ca="1" si="26"/>
        <v>1</v>
      </c>
      <c r="I71" s="131">
        <f t="shared" ca="1" si="27"/>
        <v>0</v>
      </c>
      <c r="J71" s="131">
        <f t="shared" ca="1" si="28"/>
        <v>0</v>
      </c>
      <c r="K71" s="131">
        <f t="shared" ca="1" si="29"/>
        <v>0</v>
      </c>
      <c r="L71" s="131">
        <f t="shared" ca="1" si="21"/>
        <v>0</v>
      </c>
      <c r="M71" s="131">
        <f t="shared" ca="1" si="20"/>
        <v>0</v>
      </c>
      <c r="N71" s="131">
        <f t="shared" ca="1" si="30"/>
        <v>0</v>
      </c>
      <c r="O71" s="131">
        <f t="shared" ca="1" si="31"/>
        <v>0</v>
      </c>
      <c r="P71" s="132"/>
      <c r="Q71" s="133">
        <f t="shared" ca="1" si="22"/>
        <v>52996.181305363745</v>
      </c>
      <c r="R71" s="133">
        <f t="shared" ca="1" si="22"/>
        <v>9027.6172732089126</v>
      </c>
      <c r="S71" s="133">
        <f t="shared" ca="1" si="22"/>
        <v>18712.214682960435</v>
      </c>
      <c r="T71" s="133">
        <f t="shared" ca="1" si="22"/>
        <v>0</v>
      </c>
      <c r="U71" s="133">
        <f t="shared" ca="1" si="22"/>
        <v>0</v>
      </c>
      <c r="V71" s="133">
        <f t="shared" ca="1" si="22"/>
        <v>0</v>
      </c>
      <c r="W71" s="133">
        <f t="shared" ca="1" si="22"/>
        <v>0</v>
      </c>
      <c r="X71" s="133">
        <f t="shared" ca="1" si="22"/>
        <v>0</v>
      </c>
      <c r="Y71" s="133">
        <f t="shared" ca="1" si="22"/>
        <v>0</v>
      </c>
      <c r="Z71" s="133">
        <f t="shared" ca="1" si="22"/>
        <v>0</v>
      </c>
      <c r="AA71" s="134">
        <f t="shared" ca="1" si="32"/>
        <v>80736.013261533095</v>
      </c>
      <c r="AB71" s="135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</row>
    <row r="72" spans="1:41" ht="13.2">
      <c r="A72" s="126">
        <v>71</v>
      </c>
      <c r="B72" s="127">
        <v>40000</v>
      </c>
      <c r="C72" s="128"/>
      <c r="D72" s="129">
        <f t="shared" ca="1" si="23"/>
        <v>0.22990148145673805</v>
      </c>
      <c r="E72" s="130">
        <f t="shared" ca="1" si="33"/>
        <v>2</v>
      </c>
      <c r="F72" s="131">
        <f t="shared" ca="1" si="24"/>
        <v>1</v>
      </c>
      <c r="G72" s="131">
        <f t="shared" ca="1" si="25"/>
        <v>1</v>
      </c>
      <c r="H72" s="131">
        <f t="shared" ca="1" si="26"/>
        <v>0</v>
      </c>
      <c r="I72" s="131">
        <f t="shared" ca="1" si="27"/>
        <v>0</v>
      </c>
      <c r="J72" s="131">
        <f t="shared" ca="1" si="28"/>
        <v>0</v>
      </c>
      <c r="K72" s="131">
        <f t="shared" ca="1" si="29"/>
        <v>0</v>
      </c>
      <c r="L72" s="131">
        <f t="shared" ca="1" si="21"/>
        <v>0</v>
      </c>
      <c r="M72" s="131">
        <f t="shared" ca="1" si="20"/>
        <v>0</v>
      </c>
      <c r="N72" s="131">
        <f t="shared" ca="1" si="30"/>
        <v>0</v>
      </c>
      <c r="O72" s="131">
        <f t="shared" ca="1" si="31"/>
        <v>0</v>
      </c>
      <c r="P72" s="132"/>
      <c r="Q72" s="133">
        <f t="shared" ca="1" si="22"/>
        <v>13670.307811511424</v>
      </c>
      <c r="R72" s="133">
        <f t="shared" ca="1" si="22"/>
        <v>2401.9505063660708</v>
      </c>
      <c r="S72" s="133">
        <f t="shared" ca="1" si="22"/>
        <v>0</v>
      </c>
      <c r="T72" s="133">
        <f t="shared" ca="1" si="22"/>
        <v>0</v>
      </c>
      <c r="U72" s="133">
        <f t="shared" ca="1" si="22"/>
        <v>0</v>
      </c>
      <c r="V72" s="133">
        <f t="shared" ca="1" si="22"/>
        <v>0</v>
      </c>
      <c r="W72" s="133">
        <f t="shared" ca="1" si="22"/>
        <v>0</v>
      </c>
      <c r="X72" s="133">
        <f t="shared" ca="1" si="22"/>
        <v>0</v>
      </c>
      <c r="Y72" s="133">
        <f t="shared" ca="1" si="22"/>
        <v>0</v>
      </c>
      <c r="Z72" s="133">
        <f t="shared" ca="1" si="22"/>
        <v>0</v>
      </c>
      <c r="AA72" s="134">
        <f t="shared" ca="1" si="32"/>
        <v>16072.258317877495</v>
      </c>
      <c r="AB72" s="135"/>
      <c r="AC72" s="121" t="s">
        <v>10</v>
      </c>
      <c r="AD72" s="141"/>
      <c r="AE72" s="141"/>
      <c r="AF72" s="141"/>
      <c r="AG72" s="141"/>
      <c r="AH72" s="141"/>
      <c r="AI72" s="141"/>
      <c r="AJ72" s="141"/>
      <c r="AK72" s="141"/>
      <c r="AL72" s="141"/>
      <c r="AM72" s="141"/>
      <c r="AN72" s="141"/>
      <c r="AO72" s="141"/>
    </row>
    <row r="73" spans="1:41" ht="13.2">
      <c r="A73" s="126">
        <v>72</v>
      </c>
      <c r="B73" s="127">
        <v>40000</v>
      </c>
      <c r="C73" s="128"/>
      <c r="D73" s="129">
        <f t="shared" ca="1" si="23"/>
        <v>0.96265323396496205</v>
      </c>
      <c r="E73" s="130">
        <f t="shared" ca="1" si="33"/>
        <v>9</v>
      </c>
      <c r="F73" s="131">
        <f t="shared" ca="1" si="24"/>
        <v>1</v>
      </c>
      <c r="G73" s="131">
        <f t="shared" ca="1" si="25"/>
        <v>1</v>
      </c>
      <c r="H73" s="131">
        <f t="shared" ca="1" si="26"/>
        <v>1</v>
      </c>
      <c r="I73" s="131">
        <f t="shared" ca="1" si="27"/>
        <v>1</v>
      </c>
      <c r="J73" s="131">
        <f t="shared" ca="1" si="28"/>
        <v>1</v>
      </c>
      <c r="K73" s="131">
        <f t="shared" ca="1" si="29"/>
        <v>1</v>
      </c>
      <c r="L73" s="131">
        <f t="shared" ca="1" si="21"/>
        <v>1</v>
      </c>
      <c r="M73" s="131">
        <f t="shared" ca="1" si="20"/>
        <v>1</v>
      </c>
      <c r="N73" s="131">
        <f t="shared" ca="1" si="30"/>
        <v>1</v>
      </c>
      <c r="O73" s="131">
        <f t="shared" ca="1" si="31"/>
        <v>0</v>
      </c>
      <c r="P73" s="132"/>
      <c r="Q73" s="133">
        <f t="shared" ca="1" si="22"/>
        <v>14420.230932863105</v>
      </c>
      <c r="R73" s="133">
        <f t="shared" ca="1" si="22"/>
        <v>15235.705364540563</v>
      </c>
      <c r="S73" s="133">
        <f t="shared" ca="1" si="22"/>
        <v>10996.026072636634</v>
      </c>
      <c r="T73" s="133">
        <f t="shared" ca="1" si="22"/>
        <v>2805.5102387213547</v>
      </c>
      <c r="U73" s="133">
        <f t="shared" ca="1" si="22"/>
        <v>692.29900785611505</v>
      </c>
      <c r="V73" s="133">
        <f t="shared" ca="1" si="22"/>
        <v>56740.581647195133</v>
      </c>
      <c r="W73" s="133">
        <f t="shared" ca="1" si="22"/>
        <v>4925.8141027749971</v>
      </c>
      <c r="X73" s="133">
        <f t="shared" ca="1" si="22"/>
        <v>1464.5693275217534</v>
      </c>
      <c r="Y73" s="133">
        <f t="shared" ca="1" si="22"/>
        <v>20545.167656406629</v>
      </c>
      <c r="Z73" s="133">
        <f t="shared" ca="1" si="22"/>
        <v>0</v>
      </c>
      <c r="AA73" s="134">
        <f t="shared" ca="1" si="32"/>
        <v>127825.90435051627</v>
      </c>
      <c r="AB73" s="135"/>
      <c r="AC73" s="121" t="s">
        <v>10</v>
      </c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  <c r="AO73" s="141"/>
    </row>
    <row r="74" spans="1:41" ht="13.2">
      <c r="A74" s="126">
        <v>73</v>
      </c>
      <c r="B74" s="127">
        <v>40000</v>
      </c>
      <c r="C74" s="128"/>
      <c r="D74" s="129">
        <f t="shared" ca="1" si="23"/>
        <v>0.11565323710694053</v>
      </c>
      <c r="E74" s="130">
        <f t="shared" ca="1" si="33"/>
        <v>1</v>
      </c>
      <c r="F74" s="131">
        <f t="shared" ca="1" si="24"/>
        <v>1</v>
      </c>
      <c r="G74" s="131">
        <f t="shared" ca="1" si="25"/>
        <v>0</v>
      </c>
      <c r="H74" s="131">
        <f t="shared" ca="1" si="26"/>
        <v>0</v>
      </c>
      <c r="I74" s="131">
        <f t="shared" ca="1" si="27"/>
        <v>0</v>
      </c>
      <c r="J74" s="131">
        <f t="shared" ca="1" si="28"/>
        <v>0</v>
      </c>
      <c r="K74" s="131">
        <f t="shared" ca="1" si="29"/>
        <v>0</v>
      </c>
      <c r="L74" s="131">
        <f t="shared" ca="1" si="21"/>
        <v>0</v>
      </c>
      <c r="M74" s="131">
        <f t="shared" ca="1" si="20"/>
        <v>0</v>
      </c>
      <c r="N74" s="131">
        <f t="shared" ca="1" si="30"/>
        <v>0</v>
      </c>
      <c r="O74" s="131">
        <f t="shared" ca="1" si="31"/>
        <v>0</v>
      </c>
      <c r="P74" s="132"/>
      <c r="Q74" s="133">
        <f t="shared" ca="1" si="22"/>
        <v>31445.973856070588</v>
      </c>
      <c r="R74" s="133">
        <f t="shared" ca="1" si="22"/>
        <v>0</v>
      </c>
      <c r="S74" s="133">
        <f t="shared" ca="1" si="22"/>
        <v>0</v>
      </c>
      <c r="T74" s="133">
        <f t="shared" ca="1" si="22"/>
        <v>0</v>
      </c>
      <c r="U74" s="133">
        <f t="shared" ca="1" si="22"/>
        <v>0</v>
      </c>
      <c r="V74" s="133">
        <f t="shared" ca="1" si="22"/>
        <v>0</v>
      </c>
      <c r="W74" s="133">
        <f t="shared" ca="1" si="22"/>
        <v>0</v>
      </c>
      <c r="X74" s="133">
        <f t="shared" ca="1" si="22"/>
        <v>0</v>
      </c>
      <c r="Y74" s="133">
        <f t="shared" ca="1" si="22"/>
        <v>0</v>
      </c>
      <c r="Z74" s="133">
        <f t="shared" ca="1" si="22"/>
        <v>0</v>
      </c>
      <c r="AA74" s="134">
        <f t="shared" ca="1" si="32"/>
        <v>31445.973856070588</v>
      </c>
      <c r="AB74" s="135"/>
      <c r="AC74" s="121" t="s">
        <v>10</v>
      </c>
      <c r="AD74" s="141"/>
      <c r="AE74" s="141"/>
      <c r="AF74" s="141"/>
      <c r="AG74" s="141"/>
      <c r="AH74" s="141"/>
      <c r="AI74" s="141"/>
      <c r="AJ74" s="141"/>
      <c r="AK74" s="141"/>
      <c r="AL74" s="141"/>
      <c r="AM74" s="141"/>
      <c r="AN74" s="141"/>
      <c r="AO74" s="141"/>
    </row>
    <row r="75" spans="1:41" ht="13.2">
      <c r="A75" s="126">
        <v>74</v>
      </c>
      <c r="B75" s="127">
        <v>40000</v>
      </c>
      <c r="C75" s="128"/>
      <c r="D75" s="129">
        <f t="shared" ca="1" si="23"/>
        <v>0.12900281165994543</v>
      </c>
      <c r="E75" s="130">
        <f t="shared" ca="1" si="33"/>
        <v>1</v>
      </c>
      <c r="F75" s="131">
        <f t="shared" ca="1" si="24"/>
        <v>1</v>
      </c>
      <c r="G75" s="131">
        <f t="shared" ca="1" si="25"/>
        <v>0</v>
      </c>
      <c r="H75" s="131">
        <f t="shared" ca="1" si="26"/>
        <v>0</v>
      </c>
      <c r="I75" s="131">
        <f t="shared" ca="1" si="27"/>
        <v>0</v>
      </c>
      <c r="J75" s="131">
        <f t="shared" ca="1" si="28"/>
        <v>0</v>
      </c>
      <c r="K75" s="131">
        <f t="shared" ca="1" si="29"/>
        <v>0</v>
      </c>
      <c r="L75" s="131">
        <f t="shared" ca="1" si="21"/>
        <v>0</v>
      </c>
      <c r="M75" s="131">
        <f t="shared" ca="1" si="20"/>
        <v>0</v>
      </c>
      <c r="N75" s="131">
        <f t="shared" ca="1" si="30"/>
        <v>0</v>
      </c>
      <c r="O75" s="131">
        <f t="shared" ca="1" si="31"/>
        <v>0</v>
      </c>
      <c r="P75" s="132"/>
      <c r="Q75" s="133">
        <f t="shared" ca="1" si="22"/>
        <v>10150.206752185159</v>
      </c>
      <c r="R75" s="133">
        <f t="shared" ca="1" si="22"/>
        <v>0</v>
      </c>
      <c r="S75" s="133">
        <f t="shared" ca="1" si="22"/>
        <v>0</v>
      </c>
      <c r="T75" s="133">
        <f t="shared" ca="1" si="22"/>
        <v>0</v>
      </c>
      <c r="U75" s="133">
        <f t="shared" ca="1" si="22"/>
        <v>0</v>
      </c>
      <c r="V75" s="133">
        <f t="shared" ca="1" si="22"/>
        <v>0</v>
      </c>
      <c r="W75" s="133">
        <f t="shared" ca="1" si="22"/>
        <v>0</v>
      </c>
      <c r="X75" s="133">
        <f t="shared" ca="1" si="22"/>
        <v>0</v>
      </c>
      <c r="Y75" s="133">
        <f t="shared" ca="1" si="22"/>
        <v>0</v>
      </c>
      <c r="Z75" s="133">
        <f t="shared" ca="1" si="22"/>
        <v>0</v>
      </c>
      <c r="AA75" s="134">
        <f t="shared" ca="1" si="32"/>
        <v>10150.206752185159</v>
      </c>
      <c r="AB75" s="135"/>
      <c r="AC75" s="121" t="s">
        <v>10</v>
      </c>
      <c r="AD75" s="141"/>
      <c r="AE75" s="141"/>
      <c r="AF75" s="141"/>
      <c r="AG75" s="141"/>
      <c r="AH75" s="141"/>
      <c r="AI75" s="141"/>
      <c r="AJ75" s="141"/>
      <c r="AK75" s="141"/>
      <c r="AL75" s="141"/>
      <c r="AM75" s="141"/>
      <c r="AN75" s="141"/>
      <c r="AO75" s="141"/>
    </row>
    <row r="76" spans="1:41" ht="13.2">
      <c r="A76" s="126">
        <v>75</v>
      </c>
      <c r="B76" s="127">
        <v>40000</v>
      </c>
      <c r="C76" s="128"/>
      <c r="D76" s="129">
        <f t="shared" ca="1" si="23"/>
        <v>0.25216671390671197</v>
      </c>
      <c r="E76" s="130">
        <f t="shared" ca="1" si="33"/>
        <v>2</v>
      </c>
      <c r="F76" s="131">
        <f t="shared" ca="1" si="24"/>
        <v>1</v>
      </c>
      <c r="G76" s="131">
        <f t="shared" ca="1" si="25"/>
        <v>1</v>
      </c>
      <c r="H76" s="131">
        <f t="shared" ca="1" si="26"/>
        <v>0</v>
      </c>
      <c r="I76" s="131">
        <f t="shared" ca="1" si="27"/>
        <v>0</v>
      </c>
      <c r="J76" s="131">
        <f t="shared" ca="1" si="28"/>
        <v>0</v>
      </c>
      <c r="K76" s="131">
        <f t="shared" ca="1" si="29"/>
        <v>0</v>
      </c>
      <c r="L76" s="131">
        <f t="shared" ca="1" si="21"/>
        <v>0</v>
      </c>
      <c r="M76" s="131">
        <f t="shared" ca="1" si="20"/>
        <v>0</v>
      </c>
      <c r="N76" s="131">
        <f t="shared" ca="1" si="30"/>
        <v>0</v>
      </c>
      <c r="O76" s="131">
        <f t="shared" ca="1" si="31"/>
        <v>0</v>
      </c>
      <c r="P76" s="132"/>
      <c r="Q76" s="133">
        <f t="shared" ca="1" si="22"/>
        <v>2307.8132124485714</v>
      </c>
      <c r="R76" s="133">
        <f t="shared" ca="1" si="22"/>
        <v>30481.517663925522</v>
      </c>
      <c r="S76" s="133">
        <f t="shared" ca="1" si="22"/>
        <v>0</v>
      </c>
      <c r="T76" s="133">
        <f t="shared" ca="1" si="22"/>
        <v>0</v>
      </c>
      <c r="U76" s="133">
        <f t="shared" ca="1" si="22"/>
        <v>0</v>
      </c>
      <c r="V76" s="133">
        <f t="shared" ca="1" si="22"/>
        <v>0</v>
      </c>
      <c r="W76" s="133">
        <f t="shared" ca="1" si="22"/>
        <v>0</v>
      </c>
      <c r="X76" s="133">
        <f t="shared" ca="1" si="22"/>
        <v>0</v>
      </c>
      <c r="Y76" s="133">
        <f t="shared" ca="1" si="22"/>
        <v>0</v>
      </c>
      <c r="Z76" s="133">
        <f t="shared" ca="1" si="22"/>
        <v>0</v>
      </c>
      <c r="AA76" s="134">
        <f t="shared" ca="1" si="32"/>
        <v>32789.330876374093</v>
      </c>
      <c r="AB76" s="135"/>
      <c r="AC76" s="121" t="s">
        <v>10</v>
      </c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</row>
    <row r="77" spans="1:41" ht="13.2">
      <c r="A77" s="126">
        <v>76</v>
      </c>
      <c r="B77" s="127">
        <v>40000</v>
      </c>
      <c r="C77" s="128"/>
      <c r="D77" s="129">
        <f t="shared" ca="1" si="23"/>
        <v>0.52379182232410937</v>
      </c>
      <c r="E77" s="130">
        <f t="shared" ca="1" si="33"/>
        <v>4</v>
      </c>
      <c r="F77" s="131">
        <f t="shared" ca="1" si="24"/>
        <v>1</v>
      </c>
      <c r="G77" s="131">
        <f t="shared" ca="1" si="25"/>
        <v>1</v>
      </c>
      <c r="H77" s="131">
        <f t="shared" ca="1" si="26"/>
        <v>1</v>
      </c>
      <c r="I77" s="131">
        <f t="shared" ca="1" si="27"/>
        <v>1</v>
      </c>
      <c r="J77" s="131">
        <f t="shared" ca="1" si="28"/>
        <v>0</v>
      </c>
      <c r="K77" s="131">
        <f t="shared" ca="1" si="29"/>
        <v>0</v>
      </c>
      <c r="L77" s="131">
        <f t="shared" ca="1" si="21"/>
        <v>0</v>
      </c>
      <c r="M77" s="131">
        <f t="shared" ca="1" si="20"/>
        <v>0</v>
      </c>
      <c r="N77" s="131">
        <f t="shared" ca="1" si="30"/>
        <v>0</v>
      </c>
      <c r="O77" s="131">
        <f t="shared" ca="1" si="31"/>
        <v>0</v>
      </c>
      <c r="P77" s="132"/>
      <c r="Q77" s="133">
        <f t="shared" ca="1" si="22"/>
        <v>26575.290646397661</v>
      </c>
      <c r="R77" s="133">
        <f t="shared" ca="1" si="22"/>
        <v>14088.449002239859</v>
      </c>
      <c r="S77" s="133">
        <f t="shared" ca="1" si="22"/>
        <v>186.8326535252271</v>
      </c>
      <c r="T77" s="133">
        <f t="shared" ca="1" si="22"/>
        <v>29664.543879465527</v>
      </c>
      <c r="U77" s="133">
        <f t="shared" ca="1" si="22"/>
        <v>0</v>
      </c>
      <c r="V77" s="133">
        <f t="shared" ca="1" si="22"/>
        <v>0</v>
      </c>
      <c r="W77" s="133">
        <f t="shared" ca="1" si="22"/>
        <v>0</v>
      </c>
      <c r="X77" s="133">
        <f t="shared" ca="1" si="22"/>
        <v>0</v>
      </c>
      <c r="Y77" s="133">
        <f t="shared" ca="1" si="22"/>
        <v>0</v>
      </c>
      <c r="Z77" s="133">
        <f t="shared" ca="1" si="22"/>
        <v>0</v>
      </c>
      <c r="AA77" s="134">
        <f t="shared" ca="1" si="32"/>
        <v>70515.116181628284</v>
      </c>
      <c r="AB77" s="135"/>
      <c r="AC77" s="121" t="s">
        <v>10</v>
      </c>
      <c r="AD77" s="141"/>
      <c r="AE77" s="141"/>
      <c r="AF77" s="141"/>
      <c r="AG77" s="141"/>
      <c r="AH77" s="141"/>
      <c r="AI77" s="141"/>
      <c r="AJ77" s="141"/>
      <c r="AK77" s="141"/>
      <c r="AL77" s="141"/>
      <c r="AM77" s="141"/>
      <c r="AN77" s="141"/>
      <c r="AO77" s="141"/>
    </row>
    <row r="78" spans="1:41" ht="13.2">
      <c r="A78" s="126">
        <v>77</v>
      </c>
      <c r="B78" s="127">
        <v>40000</v>
      </c>
      <c r="C78" s="128"/>
      <c r="D78" s="129">
        <f t="shared" ca="1" si="23"/>
        <v>0.76062367825121757</v>
      </c>
      <c r="E78" s="130">
        <f t="shared" ca="1" si="33"/>
        <v>6</v>
      </c>
      <c r="F78" s="131">
        <f t="shared" ca="1" si="24"/>
        <v>1</v>
      </c>
      <c r="G78" s="131">
        <f t="shared" ca="1" si="25"/>
        <v>1</v>
      </c>
      <c r="H78" s="131">
        <f t="shared" ca="1" si="26"/>
        <v>1</v>
      </c>
      <c r="I78" s="131">
        <f t="shared" ca="1" si="27"/>
        <v>1</v>
      </c>
      <c r="J78" s="131">
        <f t="shared" ca="1" si="28"/>
        <v>1</v>
      </c>
      <c r="K78" s="131">
        <f t="shared" ca="1" si="29"/>
        <v>1</v>
      </c>
      <c r="L78" s="131">
        <f t="shared" ca="1" si="21"/>
        <v>0</v>
      </c>
      <c r="M78" s="131">
        <f t="shared" ca="1" si="20"/>
        <v>0</v>
      </c>
      <c r="N78" s="131">
        <f t="shared" ca="1" si="30"/>
        <v>0</v>
      </c>
      <c r="O78" s="131">
        <f t="shared" ca="1" si="31"/>
        <v>0</v>
      </c>
      <c r="P78" s="132"/>
      <c r="Q78" s="133">
        <f t="shared" ca="1" si="22"/>
        <v>33408.847995118987</v>
      </c>
      <c r="R78" s="133">
        <f t="shared" ca="1" si="22"/>
        <v>23018.074515599536</v>
      </c>
      <c r="S78" s="133">
        <f t="shared" ca="1" si="22"/>
        <v>45697.092907202838</v>
      </c>
      <c r="T78" s="133">
        <f t="shared" ca="1" si="22"/>
        <v>1122.5521473177926</v>
      </c>
      <c r="U78" s="133">
        <f t="shared" ca="1" si="22"/>
        <v>25813.627832047758</v>
      </c>
      <c r="V78" s="133">
        <f t="shared" ca="1" si="22"/>
        <v>26325.194575347945</v>
      </c>
      <c r="W78" s="133">
        <f t="shared" ca="1" si="22"/>
        <v>0</v>
      </c>
      <c r="X78" s="133">
        <f t="shared" ca="1" si="22"/>
        <v>0</v>
      </c>
      <c r="Y78" s="133">
        <f t="shared" ca="1" si="22"/>
        <v>0</v>
      </c>
      <c r="Z78" s="133">
        <f t="shared" ca="1" si="22"/>
        <v>0</v>
      </c>
      <c r="AA78" s="134">
        <f t="shared" ca="1" si="32"/>
        <v>155385.38997263485</v>
      </c>
      <c r="AB78" s="135"/>
      <c r="AC78" s="141"/>
      <c r="AD78" s="141"/>
      <c r="AE78" s="141"/>
      <c r="AF78" s="141"/>
      <c r="AG78" s="141"/>
      <c r="AH78" s="141"/>
      <c r="AI78" s="141"/>
      <c r="AJ78" s="141"/>
      <c r="AK78" s="141"/>
      <c r="AL78" s="141"/>
      <c r="AM78" s="141"/>
      <c r="AN78" s="141"/>
      <c r="AO78" s="141"/>
    </row>
    <row r="79" spans="1:41" ht="13.2">
      <c r="A79" s="126">
        <v>78</v>
      </c>
      <c r="B79" s="127">
        <v>40000</v>
      </c>
      <c r="C79" s="128"/>
      <c r="D79" s="129">
        <f t="shared" ca="1" si="23"/>
        <v>0.24061790427115504</v>
      </c>
      <c r="E79" s="130">
        <f t="shared" ca="1" si="33"/>
        <v>2</v>
      </c>
      <c r="F79" s="131">
        <f t="shared" ca="1" si="24"/>
        <v>1</v>
      </c>
      <c r="G79" s="131">
        <f t="shared" ca="1" si="25"/>
        <v>1</v>
      </c>
      <c r="H79" s="131">
        <f t="shared" ca="1" si="26"/>
        <v>0</v>
      </c>
      <c r="I79" s="131">
        <f t="shared" ca="1" si="27"/>
        <v>0</v>
      </c>
      <c r="J79" s="131">
        <f t="shared" ca="1" si="28"/>
        <v>0</v>
      </c>
      <c r="K79" s="131">
        <f t="shared" ca="1" si="29"/>
        <v>0</v>
      </c>
      <c r="L79" s="131">
        <f t="shared" ca="1" si="21"/>
        <v>0</v>
      </c>
      <c r="M79" s="131">
        <f t="shared" ca="1" si="20"/>
        <v>0</v>
      </c>
      <c r="N79" s="131">
        <f t="shared" ca="1" si="30"/>
        <v>0</v>
      </c>
      <c r="O79" s="131">
        <f t="shared" ca="1" si="31"/>
        <v>0</v>
      </c>
      <c r="P79" s="132"/>
      <c r="Q79" s="133">
        <f t="shared" ca="1" si="22"/>
        <v>11743.266295130903</v>
      </c>
      <c r="R79" s="133">
        <f t="shared" ca="1" si="22"/>
        <v>61597.817929981931</v>
      </c>
      <c r="S79" s="133">
        <f t="shared" ca="1" si="22"/>
        <v>0</v>
      </c>
      <c r="T79" s="133">
        <f t="shared" ca="1" si="22"/>
        <v>0</v>
      </c>
      <c r="U79" s="133">
        <f t="shared" ca="1" si="22"/>
        <v>0</v>
      </c>
      <c r="V79" s="133">
        <f t="shared" ca="1" si="22"/>
        <v>0</v>
      </c>
      <c r="W79" s="133">
        <f t="shared" ca="1" si="22"/>
        <v>0</v>
      </c>
      <c r="X79" s="133">
        <f t="shared" ca="1" si="22"/>
        <v>0</v>
      </c>
      <c r="Y79" s="133">
        <f t="shared" ca="1" si="22"/>
        <v>0</v>
      </c>
      <c r="Z79" s="133">
        <f t="shared" ca="1" si="22"/>
        <v>0</v>
      </c>
      <c r="AA79" s="134">
        <f t="shared" ca="1" si="32"/>
        <v>73341.084225112834</v>
      </c>
      <c r="AB79" s="135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</row>
    <row r="80" spans="1:41" ht="13.2">
      <c r="A80" s="126">
        <v>79</v>
      </c>
      <c r="B80" s="127">
        <v>40000</v>
      </c>
      <c r="C80" s="128"/>
      <c r="D80" s="129">
        <f t="shared" ca="1" si="23"/>
        <v>0.19597922248748711</v>
      </c>
      <c r="E80" s="130">
        <f t="shared" ca="1" si="33"/>
        <v>2</v>
      </c>
      <c r="F80" s="131">
        <f t="shared" ca="1" si="24"/>
        <v>1</v>
      </c>
      <c r="G80" s="131">
        <f t="shared" ca="1" si="25"/>
        <v>1</v>
      </c>
      <c r="H80" s="131">
        <f t="shared" ca="1" si="26"/>
        <v>0</v>
      </c>
      <c r="I80" s="131">
        <f t="shared" ca="1" si="27"/>
        <v>0</v>
      </c>
      <c r="J80" s="131">
        <f t="shared" ca="1" si="28"/>
        <v>0</v>
      </c>
      <c r="K80" s="131">
        <f t="shared" ca="1" si="29"/>
        <v>0</v>
      </c>
      <c r="L80" s="131">
        <f t="shared" ca="1" si="21"/>
        <v>0</v>
      </c>
      <c r="M80" s="131">
        <f t="shared" ca="1" si="20"/>
        <v>0</v>
      </c>
      <c r="N80" s="131">
        <f t="shared" ca="1" si="30"/>
        <v>0</v>
      </c>
      <c r="O80" s="131">
        <f t="shared" ca="1" si="31"/>
        <v>0</v>
      </c>
      <c r="P80" s="132"/>
      <c r="Q80" s="133">
        <f t="shared" ca="1" si="22"/>
        <v>55785.942492042697</v>
      </c>
      <c r="R80" s="133">
        <f t="shared" ca="1" si="22"/>
        <v>119615.65515074306</v>
      </c>
      <c r="S80" s="133">
        <f t="shared" ca="1" si="22"/>
        <v>0</v>
      </c>
      <c r="T80" s="133">
        <f t="shared" ca="1" si="22"/>
        <v>0</v>
      </c>
      <c r="U80" s="133">
        <f t="shared" ca="1" si="22"/>
        <v>0</v>
      </c>
      <c r="V80" s="133">
        <f t="shared" ca="1" si="22"/>
        <v>0</v>
      </c>
      <c r="W80" s="133">
        <f t="shared" ca="1" si="22"/>
        <v>0</v>
      </c>
      <c r="X80" s="133">
        <f t="shared" ca="1" si="22"/>
        <v>0</v>
      </c>
      <c r="Y80" s="133">
        <f t="shared" ca="1" si="22"/>
        <v>0</v>
      </c>
      <c r="Z80" s="133">
        <f t="shared" ca="1" si="22"/>
        <v>0</v>
      </c>
      <c r="AA80" s="134">
        <f t="shared" ca="1" si="32"/>
        <v>175401.59764278575</v>
      </c>
      <c r="AB80" s="135"/>
      <c r="AC80" s="141"/>
      <c r="AD80" s="141"/>
      <c r="AE80" s="141"/>
      <c r="AF80" s="141"/>
      <c r="AG80" s="141"/>
      <c r="AH80" s="141"/>
      <c r="AI80" s="141"/>
      <c r="AJ80" s="141"/>
      <c r="AK80" s="141"/>
      <c r="AL80" s="141"/>
      <c r="AM80" s="141"/>
      <c r="AN80" s="141"/>
      <c r="AO80" s="141"/>
    </row>
    <row r="81" spans="1:41" ht="13.2">
      <c r="A81" s="126">
        <v>80</v>
      </c>
      <c r="B81" s="127">
        <v>40000</v>
      </c>
      <c r="C81" s="128"/>
      <c r="D81" s="129">
        <f t="shared" ca="1" si="23"/>
        <v>0.45256252321790202</v>
      </c>
      <c r="E81" s="130">
        <f t="shared" ca="1" si="33"/>
        <v>4</v>
      </c>
      <c r="F81" s="131">
        <f t="shared" ca="1" si="24"/>
        <v>1</v>
      </c>
      <c r="G81" s="131">
        <f t="shared" ca="1" si="25"/>
        <v>1</v>
      </c>
      <c r="H81" s="131">
        <f t="shared" ca="1" si="26"/>
        <v>1</v>
      </c>
      <c r="I81" s="131">
        <f t="shared" ca="1" si="27"/>
        <v>1</v>
      </c>
      <c r="J81" s="131">
        <f t="shared" ca="1" si="28"/>
        <v>0</v>
      </c>
      <c r="K81" s="131">
        <f t="shared" ca="1" si="29"/>
        <v>0</v>
      </c>
      <c r="L81" s="131">
        <f t="shared" ca="1" si="21"/>
        <v>0</v>
      </c>
      <c r="M81" s="131">
        <f t="shared" ca="1" si="20"/>
        <v>0</v>
      </c>
      <c r="N81" s="131">
        <f t="shared" ca="1" si="30"/>
        <v>0</v>
      </c>
      <c r="O81" s="131">
        <f t="shared" ca="1" si="31"/>
        <v>0</v>
      </c>
      <c r="P81" s="132"/>
      <c r="Q81" s="133">
        <f t="shared" ca="1" si="22"/>
        <v>14135.840429479518</v>
      </c>
      <c r="R81" s="133">
        <f t="shared" ca="1" si="22"/>
        <v>14509.078143301755</v>
      </c>
      <c r="S81" s="133">
        <f t="shared" ca="1" si="22"/>
        <v>45540.434018425949</v>
      </c>
      <c r="T81" s="133">
        <f t="shared" ca="1" si="22"/>
        <v>10916.997678162983</v>
      </c>
      <c r="U81" s="133">
        <f t="shared" ca="1" si="22"/>
        <v>0</v>
      </c>
      <c r="V81" s="133">
        <f t="shared" ca="1" si="22"/>
        <v>0</v>
      </c>
      <c r="W81" s="133">
        <f t="shared" ca="1" si="22"/>
        <v>0</v>
      </c>
      <c r="X81" s="133">
        <f t="shared" ca="1" si="22"/>
        <v>0</v>
      </c>
      <c r="Y81" s="133">
        <f t="shared" ca="1" si="22"/>
        <v>0</v>
      </c>
      <c r="Z81" s="133">
        <f t="shared" ca="1" si="22"/>
        <v>0</v>
      </c>
      <c r="AA81" s="134">
        <f t="shared" ca="1" si="32"/>
        <v>85102.350269370203</v>
      </c>
      <c r="AB81" s="135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  <c r="AO81" s="141"/>
    </row>
    <row r="82" spans="1:41" ht="13.2">
      <c r="A82" s="126">
        <v>81</v>
      </c>
      <c r="B82" s="127">
        <v>40000</v>
      </c>
      <c r="C82" s="128"/>
      <c r="D82" s="129">
        <f t="shared" ca="1" si="23"/>
        <v>0.60251317243590297</v>
      </c>
      <c r="E82" s="130">
        <f t="shared" ca="1" si="33"/>
        <v>5</v>
      </c>
      <c r="F82" s="131">
        <f t="shared" ca="1" si="24"/>
        <v>1</v>
      </c>
      <c r="G82" s="131">
        <f t="shared" ca="1" si="25"/>
        <v>1</v>
      </c>
      <c r="H82" s="131">
        <f t="shared" ca="1" si="26"/>
        <v>1</v>
      </c>
      <c r="I82" s="131">
        <f t="shared" ca="1" si="27"/>
        <v>1</v>
      </c>
      <c r="J82" s="131">
        <f t="shared" ca="1" si="28"/>
        <v>1</v>
      </c>
      <c r="K82" s="131">
        <f t="shared" ca="1" si="29"/>
        <v>0</v>
      </c>
      <c r="L82" s="131">
        <f t="shared" ca="1" si="21"/>
        <v>0</v>
      </c>
      <c r="M82" s="131">
        <f t="shared" ca="1" si="20"/>
        <v>0</v>
      </c>
      <c r="N82" s="131">
        <f t="shared" ca="1" si="30"/>
        <v>0</v>
      </c>
      <c r="O82" s="131">
        <f t="shared" ca="1" si="31"/>
        <v>0</v>
      </c>
      <c r="P82" s="132"/>
      <c r="Q82" s="133">
        <f t="shared" ca="1" si="22"/>
        <v>11204.04924844754</v>
      </c>
      <c r="R82" s="133">
        <f t="shared" ca="1" si="22"/>
        <v>34984.759609207547</v>
      </c>
      <c r="S82" s="133">
        <f t="shared" ca="1" si="22"/>
        <v>45367.127708170075</v>
      </c>
      <c r="T82" s="133">
        <f t="shared" ca="1" si="22"/>
        <v>5547.5185403429186</v>
      </c>
      <c r="U82" s="133">
        <f t="shared" ca="1" si="22"/>
        <v>10423.030624604315</v>
      </c>
      <c r="V82" s="133">
        <f t="shared" ca="1" si="22"/>
        <v>0</v>
      </c>
      <c r="W82" s="133">
        <f t="shared" ca="1" si="22"/>
        <v>0</v>
      </c>
      <c r="X82" s="133">
        <f t="shared" ca="1" si="22"/>
        <v>0</v>
      </c>
      <c r="Y82" s="133">
        <f t="shared" ca="1" si="22"/>
        <v>0</v>
      </c>
      <c r="Z82" s="133">
        <f t="shared" ca="1" si="22"/>
        <v>0</v>
      </c>
      <c r="AA82" s="134">
        <f t="shared" ca="1" si="32"/>
        <v>107526.4857307724</v>
      </c>
      <c r="AB82" s="135"/>
      <c r="AC82" s="141"/>
      <c r="AD82" s="141"/>
      <c r="AE82" s="141"/>
      <c r="AF82" s="141"/>
      <c r="AG82" s="141"/>
      <c r="AH82" s="141"/>
      <c r="AI82" s="141"/>
      <c r="AJ82" s="141"/>
      <c r="AK82" s="141"/>
      <c r="AL82" s="141"/>
      <c r="AM82" s="141"/>
      <c r="AN82" s="141"/>
      <c r="AO82" s="141"/>
    </row>
    <row r="83" spans="1:41" ht="13.2">
      <c r="A83" s="126">
        <v>82</v>
      </c>
      <c r="B83" s="127">
        <v>40000</v>
      </c>
      <c r="C83" s="128"/>
      <c r="D83" s="129">
        <f t="shared" ca="1" si="23"/>
        <v>2.1828611991372648E-2</v>
      </c>
      <c r="E83" s="130">
        <f t="shared" ca="1" si="33"/>
        <v>0</v>
      </c>
      <c r="F83" s="131">
        <f t="shared" ca="1" si="24"/>
        <v>0</v>
      </c>
      <c r="G83" s="131">
        <f t="shared" ca="1" si="25"/>
        <v>0</v>
      </c>
      <c r="H83" s="131">
        <f t="shared" ca="1" si="26"/>
        <v>0</v>
      </c>
      <c r="I83" s="131">
        <f t="shared" ca="1" si="27"/>
        <v>0</v>
      </c>
      <c r="J83" s="131">
        <f t="shared" ca="1" si="28"/>
        <v>0</v>
      </c>
      <c r="K83" s="131">
        <f t="shared" ca="1" si="29"/>
        <v>0</v>
      </c>
      <c r="L83" s="131">
        <f t="shared" ca="1" si="21"/>
        <v>0</v>
      </c>
      <c r="M83" s="131">
        <f t="shared" ca="1" si="20"/>
        <v>0</v>
      </c>
      <c r="N83" s="131">
        <f t="shared" ca="1" si="30"/>
        <v>0</v>
      </c>
      <c r="O83" s="131">
        <f t="shared" ca="1" si="31"/>
        <v>0</v>
      </c>
      <c r="P83" s="132"/>
      <c r="Q83" s="133">
        <f t="shared" ca="1" si="22"/>
        <v>0</v>
      </c>
      <c r="R83" s="133">
        <f t="shared" ca="1" si="22"/>
        <v>0</v>
      </c>
      <c r="S83" s="133">
        <f t="shared" ca="1" si="22"/>
        <v>0</v>
      </c>
      <c r="T83" s="133">
        <f t="shared" ca="1" si="22"/>
        <v>0</v>
      </c>
      <c r="U83" s="133">
        <f t="shared" ca="1" si="22"/>
        <v>0</v>
      </c>
      <c r="V83" s="133">
        <f t="shared" ca="1" si="22"/>
        <v>0</v>
      </c>
      <c r="W83" s="133">
        <f t="shared" ca="1" si="22"/>
        <v>0</v>
      </c>
      <c r="X83" s="133">
        <f t="shared" ca="1" si="22"/>
        <v>0</v>
      </c>
      <c r="Y83" s="133">
        <f t="shared" ca="1" si="22"/>
        <v>0</v>
      </c>
      <c r="Z83" s="133">
        <f t="shared" ca="1" si="22"/>
        <v>0</v>
      </c>
      <c r="AA83" s="134">
        <f t="shared" ca="1" si="32"/>
        <v>0</v>
      </c>
      <c r="AB83" s="135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</row>
    <row r="84" spans="1:41" ht="13.2">
      <c r="A84" s="126">
        <v>83</v>
      </c>
      <c r="B84" s="127">
        <v>40000</v>
      </c>
      <c r="C84" s="128"/>
      <c r="D84" s="129">
        <f t="shared" ca="1" si="23"/>
        <v>0.25511591305894366</v>
      </c>
      <c r="E84" s="130">
        <f t="shared" ca="1" si="33"/>
        <v>2</v>
      </c>
      <c r="F84" s="131">
        <f t="shared" ca="1" si="24"/>
        <v>1</v>
      </c>
      <c r="G84" s="131">
        <f t="shared" ca="1" si="25"/>
        <v>1</v>
      </c>
      <c r="H84" s="131">
        <f t="shared" ca="1" si="26"/>
        <v>0</v>
      </c>
      <c r="I84" s="131">
        <f t="shared" ca="1" si="27"/>
        <v>0</v>
      </c>
      <c r="J84" s="131">
        <f t="shared" ca="1" si="28"/>
        <v>0</v>
      </c>
      <c r="K84" s="131">
        <f t="shared" ca="1" si="29"/>
        <v>0</v>
      </c>
      <c r="L84" s="131">
        <f t="shared" ca="1" si="21"/>
        <v>0</v>
      </c>
      <c r="M84" s="131">
        <f t="shared" ca="1" si="20"/>
        <v>0</v>
      </c>
      <c r="N84" s="131">
        <f t="shared" ca="1" si="30"/>
        <v>0</v>
      </c>
      <c r="O84" s="131">
        <f t="shared" ca="1" si="31"/>
        <v>0</v>
      </c>
      <c r="P84" s="132"/>
      <c r="Q84" s="133">
        <f t="shared" ca="1" si="22"/>
        <v>11347.313760179763</v>
      </c>
      <c r="R84" s="133">
        <f t="shared" ca="1" si="22"/>
        <v>28263.219704877862</v>
      </c>
      <c r="S84" s="133">
        <f t="shared" ca="1" si="22"/>
        <v>0</v>
      </c>
      <c r="T84" s="133">
        <f t="shared" ca="1" si="22"/>
        <v>0</v>
      </c>
      <c r="U84" s="133">
        <f t="shared" ca="1" si="22"/>
        <v>0</v>
      </c>
      <c r="V84" s="133">
        <f t="shared" ca="1" si="22"/>
        <v>0</v>
      </c>
      <c r="W84" s="133">
        <f t="shared" ca="1" si="22"/>
        <v>0</v>
      </c>
      <c r="X84" s="133">
        <f t="shared" ca="1" si="22"/>
        <v>0</v>
      </c>
      <c r="Y84" s="133">
        <f t="shared" ca="1" si="22"/>
        <v>0</v>
      </c>
      <c r="Z84" s="133">
        <f t="shared" ca="1" si="22"/>
        <v>0</v>
      </c>
      <c r="AA84" s="134">
        <f t="shared" ca="1" si="32"/>
        <v>39610.533465057626</v>
      </c>
      <c r="AB84" s="135"/>
      <c r="AC84" s="141"/>
      <c r="AD84" s="141"/>
      <c r="AE84" s="141"/>
      <c r="AF84" s="141"/>
      <c r="AG84" s="141"/>
      <c r="AH84" s="141"/>
      <c r="AI84" s="141"/>
      <c r="AJ84" s="141"/>
      <c r="AK84" s="141"/>
      <c r="AL84" s="141"/>
      <c r="AM84" s="141"/>
      <c r="AN84" s="141"/>
      <c r="AO84" s="141"/>
    </row>
    <row r="85" spans="1:41" ht="13.2">
      <c r="A85" s="126">
        <v>84</v>
      </c>
      <c r="B85" s="127">
        <v>40000</v>
      </c>
      <c r="C85" s="128"/>
      <c r="D85" s="129">
        <f t="shared" ca="1" si="23"/>
        <v>0.98771808123287219</v>
      </c>
      <c r="E85" s="130">
        <f t="shared" ca="1" si="33"/>
        <v>10</v>
      </c>
      <c r="F85" s="131">
        <f t="shared" ca="1" si="24"/>
        <v>1</v>
      </c>
      <c r="G85" s="131">
        <f t="shared" ca="1" si="25"/>
        <v>1</v>
      </c>
      <c r="H85" s="131">
        <f t="shared" ca="1" si="26"/>
        <v>1</v>
      </c>
      <c r="I85" s="131">
        <f t="shared" ca="1" si="27"/>
        <v>1</v>
      </c>
      <c r="J85" s="131">
        <f t="shared" ca="1" si="28"/>
        <v>1</v>
      </c>
      <c r="K85" s="131">
        <f t="shared" ca="1" si="29"/>
        <v>1</v>
      </c>
      <c r="L85" s="131">
        <f t="shared" ca="1" si="21"/>
        <v>1</v>
      </c>
      <c r="M85" s="131">
        <f t="shared" ca="1" si="20"/>
        <v>1</v>
      </c>
      <c r="N85" s="131">
        <f t="shared" ca="1" si="30"/>
        <v>1</v>
      </c>
      <c r="O85" s="131">
        <f t="shared" ca="1" si="31"/>
        <v>1</v>
      </c>
      <c r="P85" s="132"/>
      <c r="Q85" s="133">
        <f t="shared" ca="1" si="22"/>
        <v>27607.98606132418</v>
      </c>
      <c r="R85" s="133">
        <f t="shared" ca="1" si="22"/>
        <v>7359.6668143244769</v>
      </c>
      <c r="S85" s="133">
        <f t="shared" ca="1" si="22"/>
        <v>2177.9099701625082</v>
      </c>
      <c r="T85" s="133">
        <f t="shared" ca="1" si="22"/>
        <v>8241.2376165912356</v>
      </c>
      <c r="U85" s="133">
        <f t="shared" ca="1" si="22"/>
        <v>3718.7663333673563</v>
      </c>
      <c r="V85" s="133">
        <f t="shared" ref="V85:Z116" ca="1" si="34">_xlfn.CHISQ.INV(RAND(),2)*$AO$4 *K85</f>
        <v>12181.981142875822</v>
      </c>
      <c r="W85" s="133">
        <f t="shared" ca="1" si="34"/>
        <v>2776.2703084445693</v>
      </c>
      <c r="X85" s="133">
        <f t="shared" ca="1" si="34"/>
        <v>18881.507458173815</v>
      </c>
      <c r="Y85" s="133">
        <f t="shared" ca="1" si="34"/>
        <v>15474.329830068064</v>
      </c>
      <c r="Z85" s="133">
        <f t="shared" ca="1" si="34"/>
        <v>5609.3792508209517</v>
      </c>
      <c r="AA85" s="134">
        <f t="shared" ca="1" si="32"/>
        <v>104029.03478615297</v>
      </c>
      <c r="AB85" s="135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</row>
    <row r="86" spans="1:41" ht="13.2">
      <c r="A86" s="126">
        <v>85</v>
      </c>
      <c r="B86" s="127">
        <v>40000</v>
      </c>
      <c r="C86" s="128"/>
      <c r="D86" s="129">
        <f t="shared" ca="1" si="23"/>
        <v>0.46781035251004666</v>
      </c>
      <c r="E86" s="130">
        <f t="shared" ca="1" si="33"/>
        <v>4</v>
      </c>
      <c r="F86" s="131">
        <f t="shared" ca="1" si="24"/>
        <v>1</v>
      </c>
      <c r="G86" s="131">
        <f t="shared" ca="1" si="25"/>
        <v>1</v>
      </c>
      <c r="H86" s="131">
        <f t="shared" ca="1" si="26"/>
        <v>1</v>
      </c>
      <c r="I86" s="131">
        <f t="shared" ca="1" si="27"/>
        <v>1</v>
      </c>
      <c r="J86" s="131">
        <f t="shared" ca="1" si="28"/>
        <v>0</v>
      </c>
      <c r="K86" s="131">
        <f t="shared" ca="1" si="29"/>
        <v>0</v>
      </c>
      <c r="L86" s="131">
        <f t="shared" ca="1" si="21"/>
        <v>0</v>
      </c>
      <c r="M86" s="131">
        <f t="shared" ca="1" si="20"/>
        <v>0</v>
      </c>
      <c r="N86" s="131">
        <f t="shared" ca="1" si="30"/>
        <v>0</v>
      </c>
      <c r="O86" s="131">
        <f t="shared" ca="1" si="31"/>
        <v>0</v>
      </c>
      <c r="P86" s="132"/>
      <c r="Q86" s="133">
        <f t="shared" ref="Q86:Z117" ca="1" si="35">_xlfn.CHISQ.INV(RAND(),2)*$AO$4 *F86</f>
        <v>3423.2739951325466</v>
      </c>
      <c r="R86" s="133">
        <f t="shared" ca="1" si="35"/>
        <v>17325.179783264997</v>
      </c>
      <c r="S86" s="133">
        <f t="shared" ca="1" si="35"/>
        <v>28388.183676516081</v>
      </c>
      <c r="T86" s="133">
        <f t="shared" ca="1" si="35"/>
        <v>59427.709815850365</v>
      </c>
      <c r="U86" s="133">
        <f t="shared" ca="1" si="35"/>
        <v>0</v>
      </c>
      <c r="V86" s="133">
        <f t="shared" ca="1" si="34"/>
        <v>0</v>
      </c>
      <c r="W86" s="133">
        <f t="shared" ca="1" si="34"/>
        <v>0</v>
      </c>
      <c r="X86" s="133">
        <f t="shared" ca="1" si="34"/>
        <v>0</v>
      </c>
      <c r="Y86" s="133">
        <f t="shared" ca="1" si="34"/>
        <v>0</v>
      </c>
      <c r="Z86" s="133">
        <f t="shared" ca="1" si="34"/>
        <v>0</v>
      </c>
      <c r="AA86" s="134">
        <f t="shared" ca="1" si="32"/>
        <v>108564.34727076399</v>
      </c>
      <c r="AB86" s="135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  <c r="AO86" s="141"/>
    </row>
    <row r="87" spans="1:41" ht="13.2">
      <c r="A87" s="126">
        <v>86</v>
      </c>
      <c r="B87" s="127">
        <v>40000</v>
      </c>
      <c r="C87" s="128"/>
      <c r="D87" s="129">
        <f t="shared" ca="1" si="23"/>
        <v>0.92727564476517499</v>
      </c>
      <c r="E87" s="130">
        <f t="shared" ca="1" si="33"/>
        <v>9</v>
      </c>
      <c r="F87" s="131">
        <f t="shared" ca="1" si="24"/>
        <v>1</v>
      </c>
      <c r="G87" s="131">
        <f t="shared" ca="1" si="25"/>
        <v>1</v>
      </c>
      <c r="H87" s="131">
        <f t="shared" ca="1" si="26"/>
        <v>1</v>
      </c>
      <c r="I87" s="131">
        <f t="shared" ca="1" si="27"/>
        <v>1</v>
      </c>
      <c r="J87" s="131">
        <f t="shared" ca="1" si="28"/>
        <v>1</v>
      </c>
      <c r="K87" s="131">
        <f t="shared" ca="1" si="29"/>
        <v>1</v>
      </c>
      <c r="L87" s="131">
        <f t="shared" ca="1" si="21"/>
        <v>1</v>
      </c>
      <c r="M87" s="131">
        <f t="shared" ca="1" si="20"/>
        <v>1</v>
      </c>
      <c r="N87" s="131">
        <f t="shared" ca="1" si="30"/>
        <v>1</v>
      </c>
      <c r="O87" s="131">
        <f t="shared" ca="1" si="31"/>
        <v>0</v>
      </c>
      <c r="P87" s="132"/>
      <c r="Q87" s="133">
        <f t="shared" ca="1" si="35"/>
        <v>14567.160383325017</v>
      </c>
      <c r="R87" s="133">
        <f t="shared" ca="1" si="35"/>
        <v>26857.067812231504</v>
      </c>
      <c r="S87" s="133">
        <f t="shared" ca="1" si="35"/>
        <v>25868.449750578904</v>
      </c>
      <c r="T87" s="133">
        <f t="shared" ca="1" si="35"/>
        <v>47329.252353360338</v>
      </c>
      <c r="U87" s="133">
        <f t="shared" ca="1" si="35"/>
        <v>24484.229649920173</v>
      </c>
      <c r="V87" s="133">
        <f t="shared" ca="1" si="34"/>
        <v>5017.7413337585594</v>
      </c>
      <c r="W87" s="133">
        <f t="shared" ca="1" si="34"/>
        <v>6027.5757744431194</v>
      </c>
      <c r="X87" s="133">
        <f t="shared" ca="1" si="34"/>
        <v>6231.3333985360241</v>
      </c>
      <c r="Y87" s="133">
        <f t="shared" ca="1" si="34"/>
        <v>4826.9615610392766</v>
      </c>
      <c r="Z87" s="133">
        <f t="shared" ca="1" si="34"/>
        <v>0</v>
      </c>
      <c r="AA87" s="134">
        <f t="shared" ca="1" si="32"/>
        <v>161209.77201719291</v>
      </c>
      <c r="AB87" s="135"/>
      <c r="AC87" s="141"/>
      <c r="AD87" s="141"/>
      <c r="AE87" s="141"/>
      <c r="AF87" s="141"/>
      <c r="AG87" s="141"/>
      <c r="AH87" s="141"/>
      <c r="AI87" s="141"/>
      <c r="AJ87" s="141"/>
      <c r="AK87" s="141"/>
      <c r="AL87" s="141"/>
      <c r="AM87" s="141"/>
      <c r="AN87" s="141"/>
      <c r="AO87" s="141"/>
    </row>
    <row r="88" spans="1:41" ht="13.2">
      <c r="A88" s="126">
        <v>87</v>
      </c>
      <c r="B88" s="127">
        <v>40000</v>
      </c>
      <c r="C88" s="128"/>
      <c r="D88" s="129">
        <f t="shared" ca="1" si="23"/>
        <v>0.47850512075796958</v>
      </c>
      <c r="E88" s="130">
        <f t="shared" ca="1" si="33"/>
        <v>4</v>
      </c>
      <c r="F88" s="131">
        <f t="shared" ca="1" si="24"/>
        <v>1</v>
      </c>
      <c r="G88" s="131">
        <f t="shared" ca="1" si="25"/>
        <v>1</v>
      </c>
      <c r="H88" s="131">
        <f t="shared" ca="1" si="26"/>
        <v>1</v>
      </c>
      <c r="I88" s="131">
        <f t="shared" ca="1" si="27"/>
        <v>1</v>
      </c>
      <c r="J88" s="131">
        <f t="shared" ca="1" si="28"/>
        <v>0</v>
      </c>
      <c r="K88" s="131">
        <f t="shared" ca="1" si="29"/>
        <v>0</v>
      </c>
      <c r="L88" s="131">
        <f t="shared" ca="1" si="21"/>
        <v>0</v>
      </c>
      <c r="M88" s="131">
        <f t="shared" ca="1" si="20"/>
        <v>0</v>
      </c>
      <c r="N88" s="131">
        <f t="shared" ca="1" si="30"/>
        <v>0</v>
      </c>
      <c r="O88" s="131">
        <f t="shared" ca="1" si="31"/>
        <v>0</v>
      </c>
      <c r="P88" s="132"/>
      <c r="Q88" s="133">
        <f t="shared" ca="1" si="35"/>
        <v>133423.94843253851</v>
      </c>
      <c r="R88" s="133">
        <f t="shared" ca="1" si="35"/>
        <v>5392.8794612537167</v>
      </c>
      <c r="S88" s="133">
        <f t="shared" ca="1" si="35"/>
        <v>8008.8617222827488</v>
      </c>
      <c r="T88" s="133">
        <f t="shared" ca="1" si="35"/>
        <v>29597.269544064337</v>
      </c>
      <c r="U88" s="133">
        <f t="shared" ca="1" si="35"/>
        <v>0</v>
      </c>
      <c r="V88" s="133">
        <f t="shared" ca="1" si="34"/>
        <v>0</v>
      </c>
      <c r="W88" s="133">
        <f t="shared" ca="1" si="34"/>
        <v>0</v>
      </c>
      <c r="X88" s="133">
        <f t="shared" ca="1" si="34"/>
        <v>0</v>
      </c>
      <c r="Y88" s="133">
        <f t="shared" ca="1" si="34"/>
        <v>0</v>
      </c>
      <c r="Z88" s="133">
        <f t="shared" ca="1" si="34"/>
        <v>0</v>
      </c>
      <c r="AA88" s="134">
        <f t="shared" ca="1" si="32"/>
        <v>176422.95916013932</v>
      </c>
      <c r="AB88" s="135"/>
      <c r="AC88" s="141"/>
      <c r="AD88" s="141"/>
      <c r="AE88" s="141"/>
      <c r="AF88" s="141"/>
      <c r="AG88" s="141"/>
      <c r="AH88" s="141"/>
      <c r="AI88" s="141"/>
      <c r="AJ88" s="141"/>
      <c r="AK88" s="141"/>
      <c r="AL88" s="141"/>
      <c r="AM88" s="141"/>
      <c r="AN88" s="141"/>
      <c r="AO88" s="141"/>
    </row>
    <row r="89" spans="1:41" ht="13.2">
      <c r="A89" s="126">
        <v>88</v>
      </c>
      <c r="B89" s="127">
        <v>40000</v>
      </c>
      <c r="C89" s="128"/>
      <c r="D89" s="129">
        <f t="shared" ca="1" si="23"/>
        <v>0.58987492390773577</v>
      </c>
      <c r="E89" s="130">
        <f t="shared" ca="1" si="33"/>
        <v>5</v>
      </c>
      <c r="F89" s="131">
        <f t="shared" ca="1" si="24"/>
        <v>1</v>
      </c>
      <c r="G89" s="131">
        <f t="shared" ca="1" si="25"/>
        <v>1</v>
      </c>
      <c r="H89" s="131">
        <f t="shared" ca="1" si="26"/>
        <v>1</v>
      </c>
      <c r="I89" s="131">
        <f t="shared" ca="1" si="27"/>
        <v>1</v>
      </c>
      <c r="J89" s="131">
        <f t="shared" ca="1" si="28"/>
        <v>1</v>
      </c>
      <c r="K89" s="131">
        <f t="shared" ca="1" si="29"/>
        <v>0</v>
      </c>
      <c r="L89" s="131">
        <f t="shared" ca="1" si="21"/>
        <v>0</v>
      </c>
      <c r="M89" s="131">
        <f t="shared" ca="1" si="20"/>
        <v>0</v>
      </c>
      <c r="N89" s="131">
        <f t="shared" ca="1" si="30"/>
        <v>0</v>
      </c>
      <c r="O89" s="131">
        <f t="shared" ca="1" si="31"/>
        <v>0</v>
      </c>
      <c r="P89" s="132"/>
      <c r="Q89" s="133">
        <f t="shared" ca="1" si="35"/>
        <v>28196.9412220347</v>
      </c>
      <c r="R89" s="133">
        <f t="shared" ca="1" si="35"/>
        <v>6940.6679484865526</v>
      </c>
      <c r="S89" s="133">
        <f t="shared" ca="1" si="35"/>
        <v>18310.970446987852</v>
      </c>
      <c r="T89" s="133">
        <f t="shared" ca="1" si="35"/>
        <v>8321.3332522300989</v>
      </c>
      <c r="U89" s="133">
        <f t="shared" ca="1" si="35"/>
        <v>967.33866372280932</v>
      </c>
      <c r="V89" s="133">
        <f t="shared" ca="1" si="34"/>
        <v>0</v>
      </c>
      <c r="W89" s="133">
        <f t="shared" ca="1" si="34"/>
        <v>0</v>
      </c>
      <c r="X89" s="133">
        <f t="shared" ca="1" si="34"/>
        <v>0</v>
      </c>
      <c r="Y89" s="133">
        <f t="shared" ca="1" si="34"/>
        <v>0</v>
      </c>
      <c r="Z89" s="133">
        <f t="shared" ca="1" si="34"/>
        <v>0</v>
      </c>
      <c r="AA89" s="134">
        <f t="shared" ca="1" si="32"/>
        <v>62737.251533462018</v>
      </c>
      <c r="AB89" s="135"/>
      <c r="AC89" s="141"/>
      <c r="AD89" s="141"/>
      <c r="AE89" s="141"/>
      <c r="AF89" s="141"/>
      <c r="AG89" s="141"/>
      <c r="AH89" s="141"/>
      <c r="AI89" s="141"/>
      <c r="AJ89" s="141"/>
      <c r="AK89" s="141"/>
      <c r="AL89" s="141"/>
      <c r="AM89" s="141"/>
      <c r="AN89" s="141"/>
      <c r="AO89" s="141"/>
    </row>
    <row r="90" spans="1:41" ht="13.2">
      <c r="A90" s="126">
        <v>89</v>
      </c>
      <c r="B90" s="127">
        <v>40000</v>
      </c>
      <c r="C90" s="128"/>
      <c r="D90" s="129">
        <f t="shared" ca="1" si="23"/>
        <v>0.44018117159787973</v>
      </c>
      <c r="E90" s="130">
        <f t="shared" ca="1" si="33"/>
        <v>4</v>
      </c>
      <c r="F90" s="131">
        <f t="shared" ca="1" si="24"/>
        <v>1</v>
      </c>
      <c r="G90" s="131">
        <f t="shared" ca="1" si="25"/>
        <v>1</v>
      </c>
      <c r="H90" s="131">
        <f t="shared" ca="1" si="26"/>
        <v>1</v>
      </c>
      <c r="I90" s="131">
        <f t="shared" ca="1" si="27"/>
        <v>1</v>
      </c>
      <c r="J90" s="131">
        <f t="shared" ca="1" si="28"/>
        <v>0</v>
      </c>
      <c r="K90" s="131">
        <f t="shared" ca="1" si="29"/>
        <v>0</v>
      </c>
      <c r="L90" s="131">
        <f t="shared" ca="1" si="21"/>
        <v>0</v>
      </c>
      <c r="M90" s="131">
        <f t="shared" ca="1" si="20"/>
        <v>0</v>
      </c>
      <c r="N90" s="131">
        <f t="shared" ca="1" si="30"/>
        <v>0</v>
      </c>
      <c r="O90" s="131">
        <f t="shared" ca="1" si="31"/>
        <v>0</v>
      </c>
      <c r="P90" s="132"/>
      <c r="Q90" s="133">
        <f t="shared" ca="1" si="35"/>
        <v>810.96516132471857</v>
      </c>
      <c r="R90" s="133">
        <f t="shared" ca="1" si="35"/>
        <v>5102.2623104645691</v>
      </c>
      <c r="S90" s="133">
        <f t="shared" ca="1" si="35"/>
        <v>2502.6778328924943</v>
      </c>
      <c r="T90" s="133">
        <f t="shared" ca="1" si="35"/>
        <v>28144.171858145772</v>
      </c>
      <c r="U90" s="133">
        <f t="shared" ca="1" si="35"/>
        <v>0</v>
      </c>
      <c r="V90" s="133">
        <f t="shared" ca="1" si="34"/>
        <v>0</v>
      </c>
      <c r="W90" s="133">
        <f t="shared" ca="1" si="34"/>
        <v>0</v>
      </c>
      <c r="X90" s="133">
        <f t="shared" ca="1" si="34"/>
        <v>0</v>
      </c>
      <c r="Y90" s="133">
        <f t="shared" ca="1" si="34"/>
        <v>0</v>
      </c>
      <c r="Z90" s="133">
        <f t="shared" ca="1" si="34"/>
        <v>0</v>
      </c>
      <c r="AA90" s="134">
        <f t="shared" ca="1" si="32"/>
        <v>36560.077162827554</v>
      </c>
      <c r="AB90" s="135"/>
      <c r="AC90" s="141"/>
      <c r="AD90" s="141"/>
      <c r="AE90" s="141"/>
      <c r="AF90" s="141"/>
      <c r="AG90" s="141"/>
      <c r="AH90" s="141"/>
      <c r="AI90" s="141"/>
      <c r="AJ90" s="141"/>
      <c r="AK90" s="141"/>
      <c r="AL90" s="141"/>
      <c r="AM90" s="141"/>
      <c r="AN90" s="141"/>
      <c r="AO90" s="141"/>
    </row>
    <row r="91" spans="1:41" ht="13.2">
      <c r="A91" s="126">
        <v>90</v>
      </c>
      <c r="B91" s="127">
        <v>40000</v>
      </c>
      <c r="C91" s="128"/>
      <c r="D91" s="129">
        <f t="shared" ca="1" si="23"/>
        <v>0.92937620280869493</v>
      </c>
      <c r="E91" s="130">
        <f t="shared" ca="1" si="33"/>
        <v>9</v>
      </c>
      <c r="F91" s="131">
        <f t="shared" ca="1" si="24"/>
        <v>1</v>
      </c>
      <c r="G91" s="131">
        <f t="shared" ca="1" si="25"/>
        <v>1</v>
      </c>
      <c r="H91" s="131">
        <f t="shared" ca="1" si="26"/>
        <v>1</v>
      </c>
      <c r="I91" s="131">
        <f t="shared" ca="1" si="27"/>
        <v>1</v>
      </c>
      <c r="J91" s="131">
        <f t="shared" ca="1" si="28"/>
        <v>1</v>
      </c>
      <c r="K91" s="131">
        <f t="shared" ca="1" si="29"/>
        <v>1</v>
      </c>
      <c r="L91" s="131">
        <f t="shared" ca="1" si="21"/>
        <v>1</v>
      </c>
      <c r="M91" s="131">
        <f t="shared" ca="1" si="20"/>
        <v>1</v>
      </c>
      <c r="N91" s="131">
        <f t="shared" ca="1" si="30"/>
        <v>1</v>
      </c>
      <c r="O91" s="131">
        <f t="shared" ca="1" si="31"/>
        <v>0</v>
      </c>
      <c r="P91" s="132"/>
      <c r="Q91" s="133">
        <f t="shared" ca="1" si="35"/>
        <v>2713.6055719013657</v>
      </c>
      <c r="R91" s="133">
        <f t="shared" ca="1" si="35"/>
        <v>10166.934404865648</v>
      </c>
      <c r="S91" s="133">
        <f t="shared" ca="1" si="35"/>
        <v>1436.2899474284977</v>
      </c>
      <c r="T91" s="133">
        <f t="shared" ca="1" si="35"/>
        <v>9114.9130800959356</v>
      </c>
      <c r="U91" s="133">
        <f t="shared" ca="1" si="35"/>
        <v>10339.679628267668</v>
      </c>
      <c r="V91" s="133">
        <f t="shared" ca="1" si="34"/>
        <v>22665.789782624535</v>
      </c>
      <c r="W91" s="133">
        <f t="shared" ca="1" si="34"/>
        <v>4036.2724781732873</v>
      </c>
      <c r="X91" s="133">
        <f t="shared" ca="1" si="34"/>
        <v>25204.458974576046</v>
      </c>
      <c r="Y91" s="133">
        <f t="shared" ca="1" si="34"/>
        <v>944.72828204170264</v>
      </c>
      <c r="Z91" s="133">
        <f t="shared" ca="1" si="34"/>
        <v>0</v>
      </c>
      <c r="AA91" s="134">
        <f t="shared" ca="1" si="32"/>
        <v>86622.672149974678</v>
      </c>
      <c r="AB91" s="135"/>
      <c r="AC91" s="141"/>
      <c r="AD91" s="141"/>
      <c r="AE91" s="141"/>
      <c r="AF91" s="141"/>
      <c r="AG91" s="141"/>
      <c r="AH91" s="141"/>
      <c r="AI91" s="141"/>
      <c r="AJ91" s="141"/>
      <c r="AK91" s="141"/>
      <c r="AL91" s="141"/>
      <c r="AM91" s="141"/>
      <c r="AN91" s="141"/>
      <c r="AO91" s="141"/>
    </row>
    <row r="92" spans="1:41" ht="13.2">
      <c r="A92" s="126">
        <v>91</v>
      </c>
      <c r="B92" s="127">
        <v>40000</v>
      </c>
      <c r="C92" s="128"/>
      <c r="D92" s="129">
        <f t="shared" ca="1" si="23"/>
        <v>0.73996575172601631</v>
      </c>
      <c r="E92" s="130">
        <f t="shared" ca="1" si="33"/>
        <v>6</v>
      </c>
      <c r="F92" s="131">
        <f t="shared" ca="1" si="24"/>
        <v>1</v>
      </c>
      <c r="G92" s="131">
        <f t="shared" ca="1" si="25"/>
        <v>1</v>
      </c>
      <c r="H92" s="131">
        <f t="shared" ca="1" si="26"/>
        <v>1</v>
      </c>
      <c r="I92" s="131">
        <f t="shared" ca="1" si="27"/>
        <v>1</v>
      </c>
      <c r="J92" s="131">
        <f t="shared" ca="1" si="28"/>
        <v>1</v>
      </c>
      <c r="K92" s="131">
        <f t="shared" ca="1" si="29"/>
        <v>1</v>
      </c>
      <c r="L92" s="131">
        <f t="shared" ca="1" si="21"/>
        <v>0</v>
      </c>
      <c r="M92" s="131">
        <f t="shared" ca="1" si="20"/>
        <v>0</v>
      </c>
      <c r="N92" s="131">
        <f t="shared" ca="1" si="30"/>
        <v>0</v>
      </c>
      <c r="O92" s="131">
        <f t="shared" ca="1" si="31"/>
        <v>0</v>
      </c>
      <c r="P92" s="132"/>
      <c r="Q92" s="133">
        <f t="shared" ca="1" si="35"/>
        <v>46736.025031298443</v>
      </c>
      <c r="R92" s="133">
        <f t="shared" ca="1" si="35"/>
        <v>7513.9709706862022</v>
      </c>
      <c r="S92" s="133">
        <f t="shared" ca="1" si="35"/>
        <v>68929.97461775376</v>
      </c>
      <c r="T92" s="133">
        <f t="shared" ca="1" si="35"/>
        <v>18694.838832224406</v>
      </c>
      <c r="U92" s="133">
        <f t="shared" ca="1" si="35"/>
        <v>4220.0378074747587</v>
      </c>
      <c r="V92" s="133">
        <f t="shared" ca="1" si="34"/>
        <v>45872.505882543112</v>
      </c>
      <c r="W92" s="133">
        <f t="shared" ca="1" si="34"/>
        <v>0</v>
      </c>
      <c r="X92" s="133">
        <f t="shared" ca="1" si="34"/>
        <v>0</v>
      </c>
      <c r="Y92" s="133">
        <f t="shared" ca="1" si="34"/>
        <v>0</v>
      </c>
      <c r="Z92" s="133">
        <f t="shared" ca="1" si="34"/>
        <v>0</v>
      </c>
      <c r="AA92" s="134">
        <f t="shared" ca="1" si="32"/>
        <v>191967.35314198068</v>
      </c>
      <c r="AB92" s="135"/>
      <c r="AC92" s="141"/>
      <c r="AD92" s="141"/>
      <c r="AE92" s="141"/>
      <c r="AF92" s="141"/>
      <c r="AG92" s="141"/>
      <c r="AH92" s="141"/>
      <c r="AI92" s="141"/>
      <c r="AJ92" s="141"/>
      <c r="AK92" s="141"/>
      <c r="AL92" s="141"/>
      <c r="AM92" s="141"/>
      <c r="AN92" s="141"/>
      <c r="AO92" s="141"/>
    </row>
    <row r="93" spans="1:41" ht="13.2">
      <c r="A93" s="126">
        <v>92</v>
      </c>
      <c r="B93" s="127">
        <v>40000</v>
      </c>
      <c r="C93" s="128"/>
      <c r="D93" s="129">
        <f t="shared" ca="1" si="23"/>
        <v>0.84501308474884451</v>
      </c>
      <c r="E93" s="130">
        <f t="shared" ca="1" si="33"/>
        <v>7</v>
      </c>
      <c r="F93" s="131">
        <f t="shared" ca="1" si="24"/>
        <v>1</v>
      </c>
      <c r="G93" s="131">
        <f t="shared" ca="1" si="25"/>
        <v>1</v>
      </c>
      <c r="H93" s="131">
        <f t="shared" ca="1" si="26"/>
        <v>1</v>
      </c>
      <c r="I93" s="131">
        <f t="shared" ca="1" si="27"/>
        <v>1</v>
      </c>
      <c r="J93" s="131">
        <f t="shared" ca="1" si="28"/>
        <v>1</v>
      </c>
      <c r="K93" s="131">
        <f t="shared" ca="1" si="29"/>
        <v>1</v>
      </c>
      <c r="L93" s="131">
        <f t="shared" ca="1" si="21"/>
        <v>1</v>
      </c>
      <c r="M93" s="131">
        <f t="shared" ca="1" si="20"/>
        <v>0</v>
      </c>
      <c r="N93" s="131">
        <f t="shared" ca="1" si="30"/>
        <v>0</v>
      </c>
      <c r="O93" s="131">
        <f t="shared" ca="1" si="31"/>
        <v>0</v>
      </c>
      <c r="P93" s="132"/>
      <c r="Q93" s="133">
        <f t="shared" ca="1" si="35"/>
        <v>8495.8042072261924</v>
      </c>
      <c r="R93" s="133">
        <f t="shared" ca="1" si="35"/>
        <v>14013.62026851804</v>
      </c>
      <c r="S93" s="133">
        <f t="shared" ca="1" si="35"/>
        <v>7201.8900612688676</v>
      </c>
      <c r="T93" s="133">
        <f t="shared" ca="1" si="35"/>
        <v>454.49318520337766</v>
      </c>
      <c r="U93" s="133">
        <f t="shared" ca="1" si="35"/>
        <v>22187.001404279155</v>
      </c>
      <c r="V93" s="133">
        <f t="shared" ca="1" si="34"/>
        <v>658.83990436863849</v>
      </c>
      <c r="W93" s="133">
        <f t="shared" ca="1" si="34"/>
        <v>2758.5986443637184</v>
      </c>
      <c r="X93" s="133">
        <f t="shared" ca="1" si="34"/>
        <v>0</v>
      </c>
      <c r="Y93" s="133">
        <f t="shared" ca="1" si="34"/>
        <v>0</v>
      </c>
      <c r="Z93" s="133">
        <f t="shared" ca="1" si="34"/>
        <v>0</v>
      </c>
      <c r="AA93" s="134">
        <f t="shared" ca="1" si="32"/>
        <v>55770.247675227984</v>
      </c>
      <c r="AB93" s="135"/>
      <c r="AC93" s="141"/>
      <c r="AD93" s="141"/>
      <c r="AE93" s="141"/>
      <c r="AF93" s="141"/>
      <c r="AG93" s="141"/>
      <c r="AH93" s="141"/>
      <c r="AI93" s="141"/>
      <c r="AJ93" s="141"/>
      <c r="AK93" s="141"/>
      <c r="AL93" s="141"/>
      <c r="AM93" s="141"/>
      <c r="AN93" s="141"/>
      <c r="AO93" s="141"/>
    </row>
    <row r="94" spans="1:41" ht="13.2">
      <c r="A94" s="126">
        <v>93</v>
      </c>
      <c r="B94" s="127">
        <v>40000</v>
      </c>
      <c r="C94" s="128"/>
      <c r="D94" s="129">
        <f t="shared" ca="1" si="23"/>
        <v>7.2630854781172149E-2</v>
      </c>
      <c r="E94" s="130">
        <f t="shared" ca="1" si="33"/>
        <v>1</v>
      </c>
      <c r="F94" s="131">
        <f t="shared" ca="1" si="24"/>
        <v>1</v>
      </c>
      <c r="G94" s="131">
        <f t="shared" ca="1" si="25"/>
        <v>0</v>
      </c>
      <c r="H94" s="131">
        <f t="shared" ca="1" si="26"/>
        <v>0</v>
      </c>
      <c r="I94" s="131">
        <f t="shared" ca="1" si="27"/>
        <v>0</v>
      </c>
      <c r="J94" s="131">
        <f t="shared" ca="1" si="28"/>
        <v>0</v>
      </c>
      <c r="K94" s="131">
        <f t="shared" ca="1" si="29"/>
        <v>0</v>
      </c>
      <c r="L94" s="131">
        <f t="shared" ca="1" si="21"/>
        <v>0</v>
      </c>
      <c r="M94" s="131">
        <f t="shared" ca="1" si="20"/>
        <v>0</v>
      </c>
      <c r="N94" s="131">
        <f t="shared" ca="1" si="30"/>
        <v>0</v>
      </c>
      <c r="O94" s="131">
        <f t="shared" ca="1" si="31"/>
        <v>0</v>
      </c>
      <c r="P94" s="132"/>
      <c r="Q94" s="133">
        <f t="shared" ca="1" si="35"/>
        <v>5120.9501451022606</v>
      </c>
      <c r="R94" s="133">
        <f t="shared" ca="1" si="35"/>
        <v>0</v>
      </c>
      <c r="S94" s="133">
        <f t="shared" ca="1" si="35"/>
        <v>0</v>
      </c>
      <c r="T94" s="133">
        <f t="shared" ca="1" si="35"/>
        <v>0</v>
      </c>
      <c r="U94" s="133">
        <f t="shared" ca="1" si="35"/>
        <v>0</v>
      </c>
      <c r="V94" s="133">
        <f t="shared" ca="1" si="34"/>
        <v>0</v>
      </c>
      <c r="W94" s="133">
        <f t="shared" ca="1" si="34"/>
        <v>0</v>
      </c>
      <c r="X94" s="133">
        <f t="shared" ca="1" si="34"/>
        <v>0</v>
      </c>
      <c r="Y94" s="133">
        <f t="shared" ca="1" si="34"/>
        <v>0</v>
      </c>
      <c r="Z94" s="133">
        <f t="shared" ca="1" si="34"/>
        <v>0</v>
      </c>
      <c r="AA94" s="134">
        <f t="shared" ca="1" si="32"/>
        <v>5120.9501451022606</v>
      </c>
      <c r="AB94" s="135"/>
      <c r="AC94" s="141"/>
      <c r="AD94" s="141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  <c r="AO94" s="141"/>
    </row>
    <row r="95" spans="1:41" ht="13.2">
      <c r="A95" s="126">
        <v>94</v>
      </c>
      <c r="B95" s="127">
        <v>40000</v>
      </c>
      <c r="C95" s="128"/>
      <c r="D95" s="129">
        <f t="shared" ca="1" si="23"/>
        <v>0.43931634693804344</v>
      </c>
      <c r="E95" s="130">
        <f t="shared" ca="1" si="33"/>
        <v>4</v>
      </c>
      <c r="F95" s="131">
        <f t="shared" ca="1" si="24"/>
        <v>1</v>
      </c>
      <c r="G95" s="131">
        <f t="shared" ca="1" si="25"/>
        <v>1</v>
      </c>
      <c r="H95" s="131">
        <f t="shared" ca="1" si="26"/>
        <v>1</v>
      </c>
      <c r="I95" s="131">
        <f t="shared" ca="1" si="27"/>
        <v>1</v>
      </c>
      <c r="J95" s="131">
        <f t="shared" ca="1" si="28"/>
        <v>0</v>
      </c>
      <c r="K95" s="131">
        <f t="shared" ca="1" si="29"/>
        <v>0</v>
      </c>
      <c r="L95" s="131">
        <f t="shared" ca="1" si="21"/>
        <v>0</v>
      </c>
      <c r="M95" s="131">
        <f t="shared" ca="1" si="20"/>
        <v>0</v>
      </c>
      <c r="N95" s="131">
        <f t="shared" ca="1" si="30"/>
        <v>0</v>
      </c>
      <c r="O95" s="131">
        <f t="shared" ca="1" si="31"/>
        <v>0</v>
      </c>
      <c r="P95" s="132"/>
      <c r="Q95" s="133">
        <f t="shared" ca="1" si="35"/>
        <v>9973.6056072317133</v>
      </c>
      <c r="R95" s="133">
        <f t="shared" ca="1" si="35"/>
        <v>17009.276347929677</v>
      </c>
      <c r="S95" s="133">
        <f t="shared" ca="1" si="35"/>
        <v>3637.3669810349043</v>
      </c>
      <c r="T95" s="133">
        <f t="shared" ca="1" si="35"/>
        <v>28149.089251395053</v>
      </c>
      <c r="U95" s="133">
        <f t="shared" ca="1" si="35"/>
        <v>0</v>
      </c>
      <c r="V95" s="133">
        <f t="shared" ca="1" si="34"/>
        <v>0</v>
      </c>
      <c r="W95" s="133">
        <f t="shared" ca="1" si="34"/>
        <v>0</v>
      </c>
      <c r="X95" s="133">
        <f t="shared" ca="1" si="34"/>
        <v>0</v>
      </c>
      <c r="Y95" s="133">
        <f t="shared" ca="1" si="34"/>
        <v>0</v>
      </c>
      <c r="Z95" s="133">
        <f t="shared" ca="1" si="34"/>
        <v>0</v>
      </c>
      <c r="AA95" s="134">
        <f t="shared" ca="1" si="32"/>
        <v>58769.338187591347</v>
      </c>
      <c r="AB95" s="135"/>
      <c r="AC95" s="141"/>
      <c r="AD95" s="141"/>
      <c r="AE95" s="141"/>
      <c r="AF95" s="141"/>
      <c r="AG95" s="141"/>
      <c r="AH95" s="141"/>
      <c r="AI95" s="141"/>
      <c r="AJ95" s="141"/>
      <c r="AK95" s="141"/>
      <c r="AL95" s="141"/>
      <c r="AM95" s="141"/>
      <c r="AN95" s="141"/>
      <c r="AO95" s="141"/>
    </row>
    <row r="96" spans="1:41" ht="13.2">
      <c r="A96" s="126">
        <v>95</v>
      </c>
      <c r="B96" s="127">
        <v>40000</v>
      </c>
      <c r="C96" s="128"/>
      <c r="D96" s="129">
        <f t="shared" ca="1" si="23"/>
        <v>0.9618043690413508</v>
      </c>
      <c r="E96" s="130">
        <f t="shared" ca="1" si="33"/>
        <v>9</v>
      </c>
      <c r="F96" s="131">
        <f t="shared" ca="1" si="24"/>
        <v>1</v>
      </c>
      <c r="G96" s="131">
        <f t="shared" ca="1" si="25"/>
        <v>1</v>
      </c>
      <c r="H96" s="131">
        <f t="shared" ca="1" si="26"/>
        <v>1</v>
      </c>
      <c r="I96" s="131">
        <f t="shared" ca="1" si="27"/>
        <v>1</v>
      </c>
      <c r="J96" s="131">
        <f t="shared" ca="1" si="28"/>
        <v>1</v>
      </c>
      <c r="K96" s="131">
        <f t="shared" ca="1" si="29"/>
        <v>1</v>
      </c>
      <c r="L96" s="131">
        <f t="shared" ca="1" si="21"/>
        <v>1</v>
      </c>
      <c r="M96" s="131">
        <f t="shared" ca="1" si="20"/>
        <v>1</v>
      </c>
      <c r="N96" s="131">
        <f t="shared" ca="1" si="30"/>
        <v>1</v>
      </c>
      <c r="O96" s="131">
        <f t="shared" ca="1" si="31"/>
        <v>0</v>
      </c>
      <c r="P96" s="132"/>
      <c r="Q96" s="133">
        <f t="shared" ca="1" si="35"/>
        <v>6848.9218232434341</v>
      </c>
      <c r="R96" s="133">
        <f t="shared" ca="1" si="35"/>
        <v>24612.672843479282</v>
      </c>
      <c r="S96" s="133">
        <f t="shared" ca="1" si="35"/>
        <v>8334.9983632783897</v>
      </c>
      <c r="T96" s="133">
        <f t="shared" ca="1" si="35"/>
        <v>31269.363220900086</v>
      </c>
      <c r="U96" s="133">
        <f t="shared" ca="1" si="35"/>
        <v>59843.671658161977</v>
      </c>
      <c r="V96" s="133">
        <f t="shared" ca="1" si="34"/>
        <v>14647.299123761082</v>
      </c>
      <c r="W96" s="133">
        <f t="shared" ca="1" si="34"/>
        <v>53400.29426543002</v>
      </c>
      <c r="X96" s="133">
        <f t="shared" ca="1" si="34"/>
        <v>18571.072358670208</v>
      </c>
      <c r="Y96" s="133">
        <f t="shared" ca="1" si="34"/>
        <v>15866.569947492035</v>
      </c>
      <c r="Z96" s="133">
        <f t="shared" ca="1" si="34"/>
        <v>0</v>
      </c>
      <c r="AA96" s="134">
        <f t="shared" ca="1" si="32"/>
        <v>233394.86360441649</v>
      </c>
      <c r="AB96" s="135"/>
      <c r="AC96" s="141"/>
      <c r="AD96" s="141"/>
      <c r="AE96" s="141"/>
      <c r="AF96" s="141"/>
      <c r="AG96" s="141"/>
      <c r="AH96" s="141"/>
      <c r="AI96" s="141"/>
      <c r="AJ96" s="141"/>
      <c r="AK96" s="141"/>
      <c r="AL96" s="141"/>
      <c r="AM96" s="141"/>
      <c r="AN96" s="141"/>
      <c r="AO96" s="141"/>
    </row>
    <row r="97" spans="1:41" ht="13.2">
      <c r="A97" s="126">
        <v>96</v>
      </c>
      <c r="B97" s="127">
        <v>40000</v>
      </c>
      <c r="C97" s="128"/>
      <c r="D97" s="129">
        <f t="shared" ca="1" si="23"/>
        <v>0.43860409764856223</v>
      </c>
      <c r="E97" s="130">
        <f t="shared" ca="1" si="33"/>
        <v>4</v>
      </c>
      <c r="F97" s="131">
        <f t="shared" ca="1" si="24"/>
        <v>1</v>
      </c>
      <c r="G97" s="131">
        <f t="shared" ca="1" si="25"/>
        <v>1</v>
      </c>
      <c r="H97" s="131">
        <f t="shared" ca="1" si="26"/>
        <v>1</v>
      </c>
      <c r="I97" s="131">
        <f t="shared" ca="1" si="27"/>
        <v>1</v>
      </c>
      <c r="J97" s="131">
        <f t="shared" ca="1" si="28"/>
        <v>0</v>
      </c>
      <c r="K97" s="131">
        <f t="shared" ca="1" si="29"/>
        <v>0</v>
      </c>
      <c r="L97" s="131">
        <f t="shared" ca="1" si="21"/>
        <v>0</v>
      </c>
      <c r="M97" s="131">
        <f t="shared" ca="1" si="20"/>
        <v>0</v>
      </c>
      <c r="N97" s="131">
        <f t="shared" ca="1" si="30"/>
        <v>0</v>
      </c>
      <c r="O97" s="131">
        <f t="shared" ca="1" si="31"/>
        <v>0</v>
      </c>
      <c r="P97" s="132"/>
      <c r="Q97" s="133">
        <f t="shared" ca="1" si="35"/>
        <v>4784.7738091814008</v>
      </c>
      <c r="R97" s="133">
        <f t="shared" ca="1" si="35"/>
        <v>313.32240364882045</v>
      </c>
      <c r="S97" s="133">
        <f t="shared" ca="1" si="35"/>
        <v>4009.8945727937362</v>
      </c>
      <c r="T97" s="133">
        <f t="shared" ca="1" si="35"/>
        <v>11400.166308269125</v>
      </c>
      <c r="U97" s="133">
        <f t="shared" ca="1" si="35"/>
        <v>0</v>
      </c>
      <c r="V97" s="133">
        <f t="shared" ca="1" si="34"/>
        <v>0</v>
      </c>
      <c r="W97" s="133">
        <f t="shared" ca="1" si="34"/>
        <v>0</v>
      </c>
      <c r="X97" s="133">
        <f t="shared" ca="1" si="34"/>
        <v>0</v>
      </c>
      <c r="Y97" s="133">
        <f t="shared" ca="1" si="34"/>
        <v>0</v>
      </c>
      <c r="Z97" s="133">
        <f t="shared" ca="1" si="34"/>
        <v>0</v>
      </c>
      <c r="AA97" s="134">
        <f t="shared" ca="1" si="32"/>
        <v>20508.157093893082</v>
      </c>
      <c r="AB97" s="135"/>
      <c r="AC97" s="141"/>
      <c r="AD97" s="141"/>
      <c r="AE97" s="141"/>
      <c r="AF97" s="141"/>
      <c r="AG97" s="141"/>
      <c r="AH97" s="141"/>
      <c r="AI97" s="141"/>
      <c r="AJ97" s="141"/>
      <c r="AK97" s="141"/>
      <c r="AL97" s="141"/>
      <c r="AM97" s="141"/>
      <c r="AN97" s="141"/>
      <c r="AO97" s="141"/>
    </row>
    <row r="98" spans="1:41" ht="13.2">
      <c r="A98" s="126">
        <v>97</v>
      </c>
      <c r="B98" s="127">
        <v>40000</v>
      </c>
      <c r="C98" s="128"/>
      <c r="D98" s="129">
        <f t="shared" ca="1" si="23"/>
        <v>0.68351322136078152</v>
      </c>
      <c r="E98" s="130">
        <f t="shared" ca="1" si="33"/>
        <v>6</v>
      </c>
      <c r="F98" s="131">
        <f t="shared" ca="1" si="24"/>
        <v>1</v>
      </c>
      <c r="G98" s="131">
        <f t="shared" ca="1" si="25"/>
        <v>1</v>
      </c>
      <c r="H98" s="131">
        <f t="shared" ca="1" si="26"/>
        <v>1</v>
      </c>
      <c r="I98" s="131">
        <f t="shared" ca="1" si="27"/>
        <v>1</v>
      </c>
      <c r="J98" s="131">
        <f t="shared" ca="1" si="28"/>
        <v>1</v>
      </c>
      <c r="K98" s="131">
        <f t="shared" ca="1" si="29"/>
        <v>1</v>
      </c>
      <c r="L98" s="131">
        <f t="shared" ca="1" si="21"/>
        <v>0</v>
      </c>
      <c r="M98" s="131">
        <f t="shared" ca="1" si="20"/>
        <v>0</v>
      </c>
      <c r="N98" s="131">
        <f t="shared" ca="1" si="30"/>
        <v>0</v>
      </c>
      <c r="O98" s="131">
        <f t="shared" ca="1" si="31"/>
        <v>0</v>
      </c>
      <c r="P98" s="132"/>
      <c r="Q98" s="133">
        <f t="shared" ca="1" si="35"/>
        <v>10434.526792000968</v>
      </c>
      <c r="R98" s="133">
        <f t="shared" ca="1" si="35"/>
        <v>15598.572172684566</v>
      </c>
      <c r="S98" s="133">
        <f t="shared" ca="1" si="35"/>
        <v>9472.0735659840211</v>
      </c>
      <c r="T98" s="133">
        <f t="shared" ca="1" si="35"/>
        <v>36895.036901527958</v>
      </c>
      <c r="U98" s="133">
        <f t="shared" ca="1" si="35"/>
        <v>142313.42724920349</v>
      </c>
      <c r="V98" s="133">
        <f t="shared" ca="1" si="34"/>
        <v>19039.969823282852</v>
      </c>
      <c r="W98" s="133">
        <f t="shared" ca="1" si="34"/>
        <v>0</v>
      </c>
      <c r="X98" s="133">
        <f t="shared" ca="1" si="34"/>
        <v>0</v>
      </c>
      <c r="Y98" s="133">
        <f t="shared" ca="1" si="34"/>
        <v>0</v>
      </c>
      <c r="Z98" s="133">
        <f t="shared" ca="1" si="34"/>
        <v>0</v>
      </c>
      <c r="AA98" s="134">
        <f t="shared" ca="1" si="32"/>
        <v>233753.60650468385</v>
      </c>
      <c r="AB98" s="135"/>
      <c r="AC98" s="141"/>
      <c r="AD98" s="141"/>
      <c r="AE98" s="141"/>
      <c r="AF98" s="141"/>
      <c r="AG98" s="141"/>
      <c r="AH98" s="141"/>
      <c r="AI98" s="141"/>
      <c r="AJ98" s="141"/>
      <c r="AK98" s="141"/>
      <c r="AL98" s="141"/>
      <c r="AM98" s="141"/>
      <c r="AN98" s="141"/>
      <c r="AO98" s="141"/>
    </row>
    <row r="99" spans="1:41" ht="13.2">
      <c r="A99" s="126">
        <v>98</v>
      </c>
      <c r="B99" s="127">
        <v>40000</v>
      </c>
      <c r="C99" s="128"/>
      <c r="D99" s="129">
        <f t="shared" ca="1" si="23"/>
        <v>0.41187454173242588</v>
      </c>
      <c r="E99" s="130">
        <f t="shared" ca="1" si="33"/>
        <v>4</v>
      </c>
      <c r="F99" s="131">
        <f t="shared" ca="1" si="24"/>
        <v>1</v>
      </c>
      <c r="G99" s="131">
        <f t="shared" ca="1" si="25"/>
        <v>1</v>
      </c>
      <c r="H99" s="131">
        <f t="shared" ca="1" si="26"/>
        <v>1</v>
      </c>
      <c r="I99" s="131">
        <f t="shared" ca="1" si="27"/>
        <v>1</v>
      </c>
      <c r="J99" s="131">
        <f t="shared" ca="1" si="28"/>
        <v>0</v>
      </c>
      <c r="K99" s="131">
        <f t="shared" ca="1" si="29"/>
        <v>0</v>
      </c>
      <c r="L99" s="131">
        <f t="shared" ca="1" si="21"/>
        <v>0</v>
      </c>
      <c r="M99" s="131">
        <f t="shared" ref="M99:M141" ca="1" si="36">IF(E99&gt;=8,1,0)</f>
        <v>0</v>
      </c>
      <c r="N99" s="131">
        <f t="shared" ca="1" si="30"/>
        <v>0</v>
      </c>
      <c r="O99" s="131">
        <f t="shared" ca="1" si="31"/>
        <v>0</v>
      </c>
      <c r="P99" s="132"/>
      <c r="Q99" s="133">
        <f t="shared" ca="1" si="35"/>
        <v>7520.0764382902853</v>
      </c>
      <c r="R99" s="133">
        <f t="shared" ca="1" si="35"/>
        <v>7983.6525582883642</v>
      </c>
      <c r="S99" s="133">
        <f t="shared" ca="1" si="35"/>
        <v>12494.801903133561</v>
      </c>
      <c r="T99" s="133">
        <f t="shared" ca="1" si="35"/>
        <v>9323.6949706624055</v>
      </c>
      <c r="U99" s="133">
        <f t="shared" ca="1" si="35"/>
        <v>0</v>
      </c>
      <c r="V99" s="133">
        <f t="shared" ca="1" si="34"/>
        <v>0</v>
      </c>
      <c r="W99" s="133">
        <f t="shared" ca="1" si="34"/>
        <v>0</v>
      </c>
      <c r="X99" s="133">
        <f t="shared" ca="1" si="34"/>
        <v>0</v>
      </c>
      <c r="Y99" s="133">
        <f t="shared" ca="1" si="34"/>
        <v>0</v>
      </c>
      <c r="Z99" s="133">
        <f t="shared" ca="1" si="34"/>
        <v>0</v>
      </c>
      <c r="AA99" s="134">
        <f t="shared" ca="1" si="32"/>
        <v>37322.225870374619</v>
      </c>
      <c r="AB99" s="135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</row>
    <row r="100" spans="1:41" ht="13.2">
      <c r="A100" s="126">
        <v>99</v>
      </c>
      <c r="B100" s="127">
        <v>40000</v>
      </c>
      <c r="C100" s="128"/>
      <c r="D100" s="129">
        <f t="shared" ca="1" si="23"/>
        <v>0.72872636793316836</v>
      </c>
      <c r="E100" s="130">
        <f t="shared" ca="1" si="33"/>
        <v>6</v>
      </c>
      <c r="F100" s="131">
        <f t="shared" ca="1" si="24"/>
        <v>1</v>
      </c>
      <c r="G100" s="131">
        <f t="shared" ca="1" si="25"/>
        <v>1</v>
      </c>
      <c r="H100" s="131">
        <f t="shared" ca="1" si="26"/>
        <v>1</v>
      </c>
      <c r="I100" s="131">
        <f t="shared" ca="1" si="27"/>
        <v>1</v>
      </c>
      <c r="J100" s="131">
        <f t="shared" ca="1" si="28"/>
        <v>1</v>
      </c>
      <c r="K100" s="131">
        <f t="shared" ca="1" si="29"/>
        <v>1</v>
      </c>
      <c r="L100" s="131">
        <f t="shared" ca="1" si="21"/>
        <v>0</v>
      </c>
      <c r="M100" s="131">
        <f t="shared" ca="1" si="36"/>
        <v>0</v>
      </c>
      <c r="N100" s="131">
        <f t="shared" ca="1" si="30"/>
        <v>0</v>
      </c>
      <c r="O100" s="131">
        <f t="shared" ca="1" si="31"/>
        <v>0</v>
      </c>
      <c r="P100" s="132"/>
      <c r="Q100" s="133">
        <f t="shared" ca="1" si="35"/>
        <v>24139.272052104763</v>
      </c>
      <c r="R100" s="133">
        <f t="shared" ca="1" si="35"/>
        <v>36690.64856284843</v>
      </c>
      <c r="S100" s="133">
        <f t="shared" ca="1" si="35"/>
        <v>17592.347571065464</v>
      </c>
      <c r="T100" s="133">
        <f t="shared" ca="1" si="35"/>
        <v>43645.547558130616</v>
      </c>
      <c r="U100" s="133">
        <f t="shared" ca="1" si="35"/>
        <v>29172.196299752759</v>
      </c>
      <c r="V100" s="133">
        <f t="shared" ca="1" si="34"/>
        <v>8956.3959805978047</v>
      </c>
      <c r="W100" s="133">
        <f t="shared" ca="1" si="34"/>
        <v>0</v>
      </c>
      <c r="X100" s="133">
        <f t="shared" ca="1" si="34"/>
        <v>0</v>
      </c>
      <c r="Y100" s="133">
        <f t="shared" ca="1" si="34"/>
        <v>0</v>
      </c>
      <c r="Z100" s="133">
        <f t="shared" ca="1" si="34"/>
        <v>0</v>
      </c>
      <c r="AA100" s="134">
        <f t="shared" ca="1" si="32"/>
        <v>160196.4080244998</v>
      </c>
      <c r="AB100" s="135"/>
      <c r="AC100" s="141"/>
      <c r="AD100" s="141"/>
      <c r="AE100" s="141"/>
      <c r="AF100" s="141"/>
      <c r="AG100" s="141"/>
      <c r="AH100" s="141"/>
      <c r="AI100" s="141"/>
      <c r="AJ100" s="141"/>
      <c r="AK100" s="141"/>
      <c r="AL100" s="141"/>
      <c r="AM100" s="141"/>
      <c r="AN100" s="141"/>
      <c r="AO100" s="141"/>
    </row>
    <row r="101" spans="1:41" ht="13.2">
      <c r="A101" s="126">
        <v>100</v>
      </c>
      <c r="B101" s="127">
        <v>40000</v>
      </c>
      <c r="C101" s="128"/>
      <c r="D101" s="129">
        <f t="shared" ca="1" si="23"/>
        <v>0.4220467822503926</v>
      </c>
      <c r="E101" s="130">
        <f t="shared" ca="1" si="33"/>
        <v>4</v>
      </c>
      <c r="F101" s="131">
        <f t="shared" ca="1" si="24"/>
        <v>1</v>
      </c>
      <c r="G101" s="131">
        <f t="shared" ca="1" si="25"/>
        <v>1</v>
      </c>
      <c r="H101" s="131">
        <f t="shared" ca="1" si="26"/>
        <v>1</v>
      </c>
      <c r="I101" s="131">
        <f t="shared" ca="1" si="27"/>
        <v>1</v>
      </c>
      <c r="J101" s="131">
        <f t="shared" ca="1" si="28"/>
        <v>0</v>
      </c>
      <c r="K101" s="131">
        <f t="shared" ca="1" si="29"/>
        <v>0</v>
      </c>
      <c r="L101" s="131">
        <f t="shared" ca="1" si="21"/>
        <v>0</v>
      </c>
      <c r="M101" s="131">
        <f t="shared" ca="1" si="36"/>
        <v>0</v>
      </c>
      <c r="N101" s="131">
        <f t="shared" ca="1" si="30"/>
        <v>0</v>
      </c>
      <c r="O101" s="131">
        <f t="shared" ca="1" si="31"/>
        <v>0</v>
      </c>
      <c r="P101" s="132"/>
      <c r="Q101" s="133">
        <f t="shared" ca="1" si="35"/>
        <v>3998.4606530249571</v>
      </c>
      <c r="R101" s="133">
        <f t="shared" ca="1" si="35"/>
        <v>37740.682847914162</v>
      </c>
      <c r="S101" s="133">
        <f t="shared" ca="1" si="35"/>
        <v>971.22555212544603</v>
      </c>
      <c r="T101" s="133">
        <f t="shared" ca="1" si="35"/>
        <v>5817.9343920790907</v>
      </c>
      <c r="U101" s="133">
        <f t="shared" ca="1" si="35"/>
        <v>0</v>
      </c>
      <c r="V101" s="133">
        <f t="shared" ca="1" si="34"/>
        <v>0</v>
      </c>
      <c r="W101" s="133">
        <f t="shared" ca="1" si="34"/>
        <v>0</v>
      </c>
      <c r="X101" s="133">
        <f t="shared" ca="1" si="34"/>
        <v>0</v>
      </c>
      <c r="Y101" s="133">
        <f t="shared" ca="1" si="34"/>
        <v>0</v>
      </c>
      <c r="Z101" s="133">
        <f t="shared" ca="1" si="34"/>
        <v>0</v>
      </c>
      <c r="AA101" s="134">
        <f t="shared" ca="1" si="32"/>
        <v>48528.303445143662</v>
      </c>
      <c r="AB101" s="135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</row>
    <row r="102" spans="1:41" ht="13.2">
      <c r="A102" s="126">
        <v>101</v>
      </c>
      <c r="B102" s="127">
        <v>40000</v>
      </c>
      <c r="C102" s="128"/>
      <c r="D102" s="129">
        <f t="shared" ca="1" si="23"/>
        <v>0.16325796606735032</v>
      </c>
      <c r="E102" s="130">
        <f t="shared" ca="1" si="33"/>
        <v>2</v>
      </c>
      <c r="F102" s="131">
        <f t="shared" ca="1" si="24"/>
        <v>1</v>
      </c>
      <c r="G102" s="131">
        <f t="shared" ca="1" si="25"/>
        <v>1</v>
      </c>
      <c r="H102" s="131">
        <f t="shared" ca="1" si="26"/>
        <v>0</v>
      </c>
      <c r="I102" s="131">
        <f t="shared" ca="1" si="27"/>
        <v>0</v>
      </c>
      <c r="J102" s="131">
        <f t="shared" ca="1" si="28"/>
        <v>0</v>
      </c>
      <c r="K102" s="131">
        <f t="shared" ca="1" si="29"/>
        <v>0</v>
      </c>
      <c r="L102" s="131">
        <f t="shared" ca="1" si="21"/>
        <v>0</v>
      </c>
      <c r="M102" s="131">
        <f t="shared" ca="1" si="36"/>
        <v>0</v>
      </c>
      <c r="N102" s="131">
        <f t="shared" ca="1" si="30"/>
        <v>0</v>
      </c>
      <c r="O102" s="131">
        <f t="shared" ca="1" si="31"/>
        <v>0</v>
      </c>
      <c r="P102" s="132"/>
      <c r="Q102" s="133">
        <f t="shared" ca="1" si="35"/>
        <v>29760.366358238927</v>
      </c>
      <c r="R102" s="133">
        <f t="shared" ca="1" si="35"/>
        <v>6917.7780772037304</v>
      </c>
      <c r="S102" s="133">
        <f t="shared" ca="1" si="35"/>
        <v>0</v>
      </c>
      <c r="T102" s="133">
        <f t="shared" ca="1" si="35"/>
        <v>0</v>
      </c>
      <c r="U102" s="133">
        <f t="shared" ca="1" si="35"/>
        <v>0</v>
      </c>
      <c r="V102" s="133">
        <f t="shared" ca="1" si="34"/>
        <v>0</v>
      </c>
      <c r="W102" s="133">
        <f t="shared" ca="1" si="34"/>
        <v>0</v>
      </c>
      <c r="X102" s="133">
        <f t="shared" ca="1" si="34"/>
        <v>0</v>
      </c>
      <c r="Y102" s="133">
        <f t="shared" ca="1" si="34"/>
        <v>0</v>
      </c>
      <c r="Z102" s="133">
        <f t="shared" ca="1" si="34"/>
        <v>0</v>
      </c>
      <c r="AA102" s="134">
        <f t="shared" ca="1" si="32"/>
        <v>36678.144435442657</v>
      </c>
      <c r="AB102" s="135"/>
      <c r="AC102" s="141"/>
      <c r="AD102" s="141"/>
      <c r="AE102" s="141"/>
      <c r="AF102" s="141"/>
      <c r="AG102" s="141"/>
      <c r="AH102" s="141"/>
      <c r="AI102" s="141"/>
      <c r="AJ102" s="141"/>
      <c r="AK102" s="141"/>
      <c r="AL102" s="141"/>
      <c r="AM102" s="141"/>
      <c r="AN102" s="141"/>
      <c r="AO102" s="141"/>
    </row>
    <row r="103" spans="1:41" ht="13.2">
      <c r="A103" s="126">
        <v>102</v>
      </c>
      <c r="B103" s="127">
        <v>40000</v>
      </c>
      <c r="C103" s="128"/>
      <c r="D103" s="129">
        <f t="shared" ca="1" si="23"/>
        <v>0.11078223584887681</v>
      </c>
      <c r="E103" s="130">
        <f t="shared" ca="1" si="33"/>
        <v>1</v>
      </c>
      <c r="F103" s="131">
        <f t="shared" ca="1" si="24"/>
        <v>1</v>
      </c>
      <c r="G103" s="131">
        <f t="shared" ca="1" si="25"/>
        <v>0</v>
      </c>
      <c r="H103" s="131">
        <f t="shared" ca="1" si="26"/>
        <v>0</v>
      </c>
      <c r="I103" s="131">
        <f t="shared" ca="1" si="27"/>
        <v>0</v>
      </c>
      <c r="J103" s="131">
        <f t="shared" ca="1" si="28"/>
        <v>0</v>
      </c>
      <c r="K103" s="131">
        <f t="shared" ca="1" si="29"/>
        <v>0</v>
      </c>
      <c r="L103" s="131">
        <f t="shared" ca="1" si="21"/>
        <v>0</v>
      </c>
      <c r="M103" s="131">
        <f t="shared" ca="1" si="36"/>
        <v>0</v>
      </c>
      <c r="N103" s="131">
        <f t="shared" ca="1" si="30"/>
        <v>0</v>
      </c>
      <c r="O103" s="131">
        <f t="shared" ca="1" si="31"/>
        <v>0</v>
      </c>
      <c r="P103" s="132"/>
      <c r="Q103" s="133">
        <f t="shared" ca="1" si="35"/>
        <v>3448.4292285374736</v>
      </c>
      <c r="R103" s="133">
        <f t="shared" ca="1" si="35"/>
        <v>0</v>
      </c>
      <c r="S103" s="133">
        <f t="shared" ca="1" si="35"/>
        <v>0</v>
      </c>
      <c r="T103" s="133">
        <f t="shared" ca="1" si="35"/>
        <v>0</v>
      </c>
      <c r="U103" s="133">
        <f t="shared" ca="1" si="35"/>
        <v>0</v>
      </c>
      <c r="V103" s="133">
        <f t="shared" ca="1" si="34"/>
        <v>0</v>
      </c>
      <c r="W103" s="133">
        <f t="shared" ca="1" si="34"/>
        <v>0</v>
      </c>
      <c r="X103" s="133">
        <f t="shared" ca="1" si="34"/>
        <v>0</v>
      </c>
      <c r="Y103" s="133">
        <f t="shared" ca="1" si="34"/>
        <v>0</v>
      </c>
      <c r="Z103" s="133">
        <f t="shared" ca="1" si="34"/>
        <v>0</v>
      </c>
      <c r="AA103" s="134">
        <f t="shared" ca="1" si="32"/>
        <v>3448.4292285374736</v>
      </c>
      <c r="AB103" s="135"/>
      <c r="AC103" s="141"/>
      <c r="AD103" s="141"/>
      <c r="AE103" s="141"/>
      <c r="AF103" s="141"/>
      <c r="AG103" s="141"/>
      <c r="AH103" s="141"/>
      <c r="AI103" s="141"/>
      <c r="AJ103" s="141"/>
      <c r="AK103" s="141"/>
      <c r="AL103" s="141"/>
      <c r="AM103" s="141"/>
      <c r="AN103" s="141"/>
      <c r="AO103" s="141"/>
    </row>
    <row r="104" spans="1:41" ht="13.2">
      <c r="A104" s="126">
        <v>103</v>
      </c>
      <c r="B104" s="127">
        <v>40000</v>
      </c>
      <c r="C104" s="128"/>
      <c r="D104" s="129">
        <f t="shared" ca="1" si="23"/>
        <v>0.71456049892828744</v>
      </c>
      <c r="E104" s="130">
        <f t="shared" ca="1" si="33"/>
        <v>6</v>
      </c>
      <c r="F104" s="131">
        <f t="shared" ca="1" si="24"/>
        <v>1</v>
      </c>
      <c r="G104" s="131">
        <f t="shared" ca="1" si="25"/>
        <v>1</v>
      </c>
      <c r="H104" s="131">
        <f t="shared" ca="1" si="26"/>
        <v>1</v>
      </c>
      <c r="I104" s="131">
        <f t="shared" ca="1" si="27"/>
        <v>1</v>
      </c>
      <c r="J104" s="131">
        <f t="shared" ca="1" si="28"/>
        <v>1</v>
      </c>
      <c r="K104" s="131">
        <f t="shared" ca="1" si="29"/>
        <v>1</v>
      </c>
      <c r="L104" s="131">
        <f t="shared" ref="L104:L141" ca="1" si="37">IF(E104&gt;=7,1,0)</f>
        <v>0</v>
      </c>
      <c r="M104" s="131">
        <f t="shared" ca="1" si="36"/>
        <v>0</v>
      </c>
      <c r="N104" s="131">
        <f t="shared" ca="1" si="30"/>
        <v>0</v>
      </c>
      <c r="O104" s="131">
        <f t="shared" ca="1" si="31"/>
        <v>0</v>
      </c>
      <c r="P104" s="132"/>
      <c r="Q104" s="133">
        <f t="shared" ca="1" si="35"/>
        <v>1718.0187586410159</v>
      </c>
      <c r="R104" s="133">
        <f t="shared" ca="1" si="35"/>
        <v>12442.184819688187</v>
      </c>
      <c r="S104" s="133">
        <f t="shared" ca="1" si="35"/>
        <v>2295.3247592668818</v>
      </c>
      <c r="T104" s="133">
        <f t="shared" ca="1" si="35"/>
        <v>699.4951935429616</v>
      </c>
      <c r="U104" s="133">
        <f t="shared" ca="1" si="35"/>
        <v>397.96999077966007</v>
      </c>
      <c r="V104" s="133">
        <f t="shared" ca="1" si="34"/>
        <v>31818.780464185711</v>
      </c>
      <c r="W104" s="133">
        <f t="shared" ca="1" si="34"/>
        <v>0</v>
      </c>
      <c r="X104" s="133">
        <f t="shared" ca="1" si="34"/>
        <v>0</v>
      </c>
      <c r="Y104" s="133">
        <f t="shared" ca="1" si="34"/>
        <v>0</v>
      </c>
      <c r="Z104" s="133">
        <f t="shared" ca="1" si="34"/>
        <v>0</v>
      </c>
      <c r="AA104" s="134">
        <f t="shared" ca="1" si="32"/>
        <v>49371.773986104417</v>
      </c>
      <c r="AB104" s="135"/>
      <c r="AC104" s="141"/>
      <c r="AD104" s="141"/>
      <c r="AE104" s="141"/>
      <c r="AF104" s="141"/>
      <c r="AG104" s="141"/>
      <c r="AH104" s="141"/>
      <c r="AI104" s="141"/>
      <c r="AJ104" s="141"/>
      <c r="AK104" s="141"/>
      <c r="AL104" s="141"/>
      <c r="AM104" s="141"/>
      <c r="AN104" s="141"/>
      <c r="AO104" s="141"/>
    </row>
    <row r="105" spans="1:41" ht="13.2">
      <c r="A105" s="126">
        <v>104</v>
      </c>
      <c r="B105" s="127">
        <v>40000</v>
      </c>
      <c r="C105" s="128"/>
      <c r="D105" s="129">
        <f t="shared" ca="1" si="23"/>
        <v>0.54158552885339073</v>
      </c>
      <c r="E105" s="130">
        <f t="shared" ca="1" si="33"/>
        <v>4</v>
      </c>
      <c r="F105" s="131">
        <f t="shared" ca="1" si="24"/>
        <v>1</v>
      </c>
      <c r="G105" s="131">
        <f t="shared" ca="1" si="25"/>
        <v>1</v>
      </c>
      <c r="H105" s="131">
        <f t="shared" ca="1" si="26"/>
        <v>1</v>
      </c>
      <c r="I105" s="131">
        <f t="shared" ca="1" si="27"/>
        <v>1</v>
      </c>
      <c r="J105" s="131">
        <f t="shared" ca="1" si="28"/>
        <v>0</v>
      </c>
      <c r="K105" s="131">
        <f t="shared" ca="1" si="29"/>
        <v>0</v>
      </c>
      <c r="L105" s="131">
        <f t="shared" ca="1" si="37"/>
        <v>0</v>
      </c>
      <c r="M105" s="131">
        <f t="shared" ca="1" si="36"/>
        <v>0</v>
      </c>
      <c r="N105" s="131">
        <f t="shared" ca="1" si="30"/>
        <v>0</v>
      </c>
      <c r="O105" s="131">
        <f t="shared" ca="1" si="31"/>
        <v>0</v>
      </c>
      <c r="P105" s="132"/>
      <c r="Q105" s="133">
        <f t="shared" ca="1" si="35"/>
        <v>17269.84464683128</v>
      </c>
      <c r="R105" s="133">
        <f t="shared" ca="1" si="35"/>
        <v>7399.4978149125482</v>
      </c>
      <c r="S105" s="133">
        <f t="shared" ca="1" si="35"/>
        <v>83138.507492921388</v>
      </c>
      <c r="T105" s="133">
        <f t="shared" ca="1" si="35"/>
        <v>70119.313788067957</v>
      </c>
      <c r="U105" s="133">
        <f t="shared" ca="1" si="35"/>
        <v>0</v>
      </c>
      <c r="V105" s="133">
        <f t="shared" ca="1" si="34"/>
        <v>0</v>
      </c>
      <c r="W105" s="133">
        <f t="shared" ca="1" si="34"/>
        <v>0</v>
      </c>
      <c r="X105" s="133">
        <f t="shared" ca="1" si="34"/>
        <v>0</v>
      </c>
      <c r="Y105" s="133">
        <f t="shared" ca="1" si="34"/>
        <v>0</v>
      </c>
      <c r="Z105" s="133">
        <f t="shared" ca="1" si="34"/>
        <v>0</v>
      </c>
      <c r="AA105" s="134">
        <f t="shared" ca="1" si="32"/>
        <v>177927.16374273319</v>
      </c>
      <c r="AB105" s="135"/>
      <c r="AC105" s="141"/>
      <c r="AD105" s="141"/>
      <c r="AE105" s="141"/>
      <c r="AF105" s="141"/>
      <c r="AG105" s="141"/>
      <c r="AH105" s="141"/>
      <c r="AI105" s="141"/>
      <c r="AJ105" s="141"/>
      <c r="AK105" s="141"/>
      <c r="AL105" s="141"/>
      <c r="AM105" s="141"/>
      <c r="AN105" s="141"/>
      <c r="AO105" s="141"/>
    </row>
    <row r="106" spans="1:41" ht="13.2">
      <c r="A106" s="126">
        <v>105</v>
      </c>
      <c r="B106" s="127">
        <v>40000</v>
      </c>
      <c r="C106" s="128"/>
      <c r="D106" s="129">
        <f t="shared" ca="1" si="23"/>
        <v>0.64419549753622585</v>
      </c>
      <c r="E106" s="130">
        <f t="shared" ca="1" si="33"/>
        <v>5</v>
      </c>
      <c r="F106" s="131">
        <f t="shared" ca="1" si="24"/>
        <v>1</v>
      </c>
      <c r="G106" s="131">
        <f t="shared" ca="1" si="25"/>
        <v>1</v>
      </c>
      <c r="H106" s="131">
        <f t="shared" ca="1" si="26"/>
        <v>1</v>
      </c>
      <c r="I106" s="131">
        <f t="shared" ca="1" si="27"/>
        <v>1</v>
      </c>
      <c r="J106" s="131">
        <f t="shared" ca="1" si="28"/>
        <v>1</v>
      </c>
      <c r="K106" s="131">
        <f t="shared" ca="1" si="29"/>
        <v>0</v>
      </c>
      <c r="L106" s="131">
        <f t="shared" ca="1" si="37"/>
        <v>0</v>
      </c>
      <c r="M106" s="131">
        <f t="shared" ca="1" si="36"/>
        <v>0</v>
      </c>
      <c r="N106" s="131">
        <f t="shared" ca="1" si="30"/>
        <v>0</v>
      </c>
      <c r="O106" s="131">
        <f t="shared" ca="1" si="31"/>
        <v>0</v>
      </c>
      <c r="P106" s="132"/>
      <c r="Q106" s="133">
        <f t="shared" ca="1" si="35"/>
        <v>21842.030055107814</v>
      </c>
      <c r="R106" s="133">
        <f t="shared" ca="1" si="35"/>
        <v>725.72786343175767</v>
      </c>
      <c r="S106" s="133">
        <f t="shared" ca="1" si="35"/>
        <v>19544.72131558149</v>
      </c>
      <c r="T106" s="133">
        <f t="shared" ca="1" si="35"/>
        <v>26986.614246166719</v>
      </c>
      <c r="U106" s="133">
        <f t="shared" ca="1" si="35"/>
        <v>74457.289368363417</v>
      </c>
      <c r="V106" s="133">
        <f t="shared" ca="1" si="34"/>
        <v>0</v>
      </c>
      <c r="W106" s="133">
        <f t="shared" ca="1" si="34"/>
        <v>0</v>
      </c>
      <c r="X106" s="133">
        <f t="shared" ca="1" si="34"/>
        <v>0</v>
      </c>
      <c r="Y106" s="133">
        <f t="shared" ca="1" si="34"/>
        <v>0</v>
      </c>
      <c r="Z106" s="133">
        <f t="shared" ca="1" si="34"/>
        <v>0</v>
      </c>
      <c r="AA106" s="134">
        <f t="shared" ca="1" si="32"/>
        <v>143556.38284865121</v>
      </c>
      <c r="AB106" s="135"/>
      <c r="AC106" s="141"/>
      <c r="AD106" s="141"/>
      <c r="AE106" s="141"/>
      <c r="AF106" s="141"/>
      <c r="AG106" s="141"/>
      <c r="AH106" s="141"/>
      <c r="AI106" s="141"/>
      <c r="AJ106" s="141"/>
      <c r="AK106" s="141"/>
      <c r="AL106" s="141"/>
      <c r="AM106" s="141"/>
      <c r="AN106" s="141"/>
      <c r="AO106" s="141"/>
    </row>
    <row r="107" spans="1:41" ht="13.2">
      <c r="A107" s="126">
        <v>106</v>
      </c>
      <c r="B107" s="127">
        <v>40000</v>
      </c>
      <c r="C107" s="128"/>
      <c r="D107" s="129">
        <f t="shared" ca="1" si="23"/>
        <v>0.44333532052807789</v>
      </c>
      <c r="E107" s="130">
        <f t="shared" ca="1" si="33"/>
        <v>4</v>
      </c>
      <c r="F107" s="131">
        <f t="shared" ca="1" si="24"/>
        <v>1</v>
      </c>
      <c r="G107" s="131">
        <f t="shared" ca="1" si="25"/>
        <v>1</v>
      </c>
      <c r="H107" s="131">
        <f t="shared" ca="1" si="26"/>
        <v>1</v>
      </c>
      <c r="I107" s="131">
        <f t="shared" ca="1" si="27"/>
        <v>1</v>
      </c>
      <c r="J107" s="131">
        <f t="shared" ca="1" si="28"/>
        <v>0</v>
      </c>
      <c r="K107" s="131">
        <f t="shared" ca="1" si="29"/>
        <v>0</v>
      </c>
      <c r="L107" s="131">
        <f t="shared" ca="1" si="37"/>
        <v>0</v>
      </c>
      <c r="M107" s="131">
        <f t="shared" ca="1" si="36"/>
        <v>0</v>
      </c>
      <c r="N107" s="131">
        <f t="shared" ca="1" si="30"/>
        <v>0</v>
      </c>
      <c r="O107" s="131">
        <f t="shared" ca="1" si="31"/>
        <v>0</v>
      </c>
      <c r="P107" s="132"/>
      <c r="Q107" s="133">
        <f t="shared" ca="1" si="35"/>
        <v>17703.143318303253</v>
      </c>
      <c r="R107" s="133">
        <f t="shared" ca="1" si="35"/>
        <v>7487.0997920733262</v>
      </c>
      <c r="S107" s="133">
        <f t="shared" ca="1" si="35"/>
        <v>37107.468725969491</v>
      </c>
      <c r="T107" s="133">
        <f t="shared" ca="1" si="35"/>
        <v>59852.759431858613</v>
      </c>
      <c r="U107" s="133">
        <f t="shared" ca="1" si="35"/>
        <v>0</v>
      </c>
      <c r="V107" s="133">
        <f t="shared" ca="1" si="34"/>
        <v>0</v>
      </c>
      <c r="W107" s="133">
        <f t="shared" ca="1" si="34"/>
        <v>0</v>
      </c>
      <c r="X107" s="133">
        <f t="shared" ca="1" si="34"/>
        <v>0</v>
      </c>
      <c r="Y107" s="133">
        <f t="shared" ca="1" si="34"/>
        <v>0</v>
      </c>
      <c r="Z107" s="133">
        <f t="shared" ca="1" si="34"/>
        <v>0</v>
      </c>
      <c r="AA107" s="134">
        <f t="shared" ca="1" si="32"/>
        <v>122150.47126820468</v>
      </c>
      <c r="AB107" s="135"/>
      <c r="AC107" s="141"/>
      <c r="AD107" s="141"/>
      <c r="AE107" s="141"/>
      <c r="AF107" s="141"/>
      <c r="AG107" s="141"/>
      <c r="AH107" s="141"/>
      <c r="AI107" s="141"/>
      <c r="AJ107" s="141"/>
      <c r="AK107" s="141"/>
      <c r="AL107" s="141"/>
      <c r="AM107" s="141"/>
      <c r="AN107" s="141"/>
      <c r="AO107" s="141"/>
    </row>
    <row r="108" spans="1:41" ht="13.2">
      <c r="A108" s="126">
        <v>107</v>
      </c>
      <c r="B108" s="127">
        <v>40000</v>
      </c>
      <c r="C108" s="128"/>
      <c r="D108" s="129">
        <f t="shared" ca="1" si="23"/>
        <v>0.36716187171110493</v>
      </c>
      <c r="E108" s="130">
        <f t="shared" ca="1" si="33"/>
        <v>3</v>
      </c>
      <c r="F108" s="131">
        <f t="shared" ca="1" si="24"/>
        <v>1</v>
      </c>
      <c r="G108" s="131">
        <f t="shared" ca="1" si="25"/>
        <v>1</v>
      </c>
      <c r="H108" s="131">
        <f t="shared" ca="1" si="26"/>
        <v>1</v>
      </c>
      <c r="I108" s="131">
        <f t="shared" ca="1" si="27"/>
        <v>0</v>
      </c>
      <c r="J108" s="131">
        <f t="shared" ca="1" si="28"/>
        <v>0</v>
      </c>
      <c r="K108" s="131">
        <f t="shared" ca="1" si="29"/>
        <v>0</v>
      </c>
      <c r="L108" s="131">
        <f t="shared" ca="1" si="37"/>
        <v>0</v>
      </c>
      <c r="M108" s="131">
        <f t="shared" ca="1" si="36"/>
        <v>0</v>
      </c>
      <c r="N108" s="131">
        <f t="shared" ca="1" si="30"/>
        <v>0</v>
      </c>
      <c r="O108" s="131">
        <f t="shared" ca="1" si="31"/>
        <v>0</v>
      </c>
      <c r="P108" s="132"/>
      <c r="Q108" s="133">
        <f t="shared" ca="1" si="35"/>
        <v>29050.682173419467</v>
      </c>
      <c r="R108" s="133">
        <f t="shared" ca="1" si="35"/>
        <v>16439.658508207354</v>
      </c>
      <c r="S108" s="133">
        <f t="shared" ca="1" si="35"/>
        <v>22853.330380612853</v>
      </c>
      <c r="T108" s="133">
        <f t="shared" ca="1" si="35"/>
        <v>0</v>
      </c>
      <c r="U108" s="133">
        <f t="shared" ca="1" si="35"/>
        <v>0</v>
      </c>
      <c r="V108" s="133">
        <f t="shared" ca="1" si="34"/>
        <v>0</v>
      </c>
      <c r="W108" s="133">
        <f t="shared" ca="1" si="34"/>
        <v>0</v>
      </c>
      <c r="X108" s="133">
        <f t="shared" ca="1" si="34"/>
        <v>0</v>
      </c>
      <c r="Y108" s="133">
        <f t="shared" ca="1" si="34"/>
        <v>0</v>
      </c>
      <c r="Z108" s="133">
        <f t="shared" ca="1" si="34"/>
        <v>0</v>
      </c>
      <c r="AA108" s="134">
        <f t="shared" ca="1" si="32"/>
        <v>68343.671062239679</v>
      </c>
      <c r="AB108" s="135"/>
      <c r="AC108" s="141"/>
      <c r="AD108" s="141"/>
      <c r="AE108" s="141"/>
      <c r="AF108" s="141"/>
      <c r="AG108" s="141"/>
      <c r="AH108" s="141"/>
      <c r="AI108" s="141"/>
      <c r="AJ108" s="141"/>
      <c r="AK108" s="141"/>
      <c r="AL108" s="141"/>
      <c r="AM108" s="141"/>
      <c r="AN108" s="141"/>
      <c r="AO108" s="141"/>
    </row>
    <row r="109" spans="1:41" ht="13.2">
      <c r="A109" s="126">
        <v>108</v>
      </c>
      <c r="B109" s="127">
        <v>40000</v>
      </c>
      <c r="C109" s="128"/>
      <c r="D109" s="129">
        <f t="shared" ca="1" si="23"/>
        <v>0.83083096590621086</v>
      </c>
      <c r="E109" s="130">
        <f t="shared" ca="1" si="33"/>
        <v>7</v>
      </c>
      <c r="F109" s="131">
        <f t="shared" ca="1" si="24"/>
        <v>1</v>
      </c>
      <c r="G109" s="131">
        <f t="shared" ca="1" si="25"/>
        <v>1</v>
      </c>
      <c r="H109" s="131">
        <f t="shared" ca="1" si="26"/>
        <v>1</v>
      </c>
      <c r="I109" s="131">
        <f t="shared" ca="1" si="27"/>
        <v>1</v>
      </c>
      <c r="J109" s="131">
        <f t="shared" ca="1" si="28"/>
        <v>1</v>
      </c>
      <c r="K109" s="131">
        <f t="shared" ca="1" si="29"/>
        <v>1</v>
      </c>
      <c r="L109" s="131">
        <f t="shared" ca="1" si="37"/>
        <v>1</v>
      </c>
      <c r="M109" s="131">
        <f t="shared" ca="1" si="36"/>
        <v>0</v>
      </c>
      <c r="N109" s="131">
        <f t="shared" ca="1" si="30"/>
        <v>0</v>
      </c>
      <c r="O109" s="131">
        <f t="shared" ca="1" si="31"/>
        <v>0</v>
      </c>
      <c r="P109" s="132"/>
      <c r="Q109" s="133">
        <f t="shared" ca="1" si="35"/>
        <v>10765.367827741746</v>
      </c>
      <c r="R109" s="133">
        <f t="shared" ca="1" si="35"/>
        <v>76973.123479461836</v>
      </c>
      <c r="S109" s="133">
        <f t="shared" ca="1" si="35"/>
        <v>12482.793292347636</v>
      </c>
      <c r="T109" s="133">
        <f t="shared" ca="1" si="35"/>
        <v>310.57776297876006</v>
      </c>
      <c r="U109" s="133">
        <f t="shared" ca="1" si="35"/>
        <v>15284.141595449813</v>
      </c>
      <c r="V109" s="133">
        <f t="shared" ca="1" si="34"/>
        <v>8747.6727260145599</v>
      </c>
      <c r="W109" s="133">
        <f t="shared" ca="1" si="34"/>
        <v>5062.468866451105</v>
      </c>
      <c r="X109" s="133">
        <f t="shared" ca="1" si="34"/>
        <v>0</v>
      </c>
      <c r="Y109" s="133">
        <f t="shared" ca="1" si="34"/>
        <v>0</v>
      </c>
      <c r="Z109" s="133">
        <f t="shared" ca="1" si="34"/>
        <v>0</v>
      </c>
      <c r="AA109" s="134">
        <f t="shared" ca="1" si="32"/>
        <v>129626.14555044545</v>
      </c>
      <c r="AB109" s="135"/>
      <c r="AC109" s="141"/>
      <c r="AD109" s="141"/>
      <c r="AE109" s="141"/>
      <c r="AF109" s="141"/>
      <c r="AG109" s="141"/>
      <c r="AH109" s="141"/>
      <c r="AI109" s="141"/>
      <c r="AJ109" s="141"/>
      <c r="AK109" s="141"/>
      <c r="AL109" s="141"/>
      <c r="AM109" s="141"/>
      <c r="AN109" s="141"/>
      <c r="AO109" s="141"/>
    </row>
    <row r="110" spans="1:41" ht="13.2">
      <c r="A110" s="126">
        <v>109</v>
      </c>
      <c r="B110" s="127">
        <v>40000</v>
      </c>
      <c r="C110" s="128"/>
      <c r="D110" s="129">
        <f t="shared" ca="1" si="23"/>
        <v>0.46037360958386253</v>
      </c>
      <c r="E110" s="130">
        <f t="shared" ca="1" si="33"/>
        <v>4</v>
      </c>
      <c r="F110" s="131">
        <f t="shared" ca="1" si="24"/>
        <v>1</v>
      </c>
      <c r="G110" s="131">
        <f t="shared" ca="1" si="25"/>
        <v>1</v>
      </c>
      <c r="H110" s="131">
        <f t="shared" ca="1" si="26"/>
        <v>1</v>
      </c>
      <c r="I110" s="131">
        <f t="shared" ca="1" si="27"/>
        <v>1</v>
      </c>
      <c r="J110" s="131">
        <f t="shared" ca="1" si="28"/>
        <v>0</v>
      </c>
      <c r="K110" s="131">
        <f t="shared" ca="1" si="29"/>
        <v>0</v>
      </c>
      <c r="L110" s="131">
        <f t="shared" ca="1" si="37"/>
        <v>0</v>
      </c>
      <c r="M110" s="131">
        <f t="shared" ca="1" si="36"/>
        <v>0</v>
      </c>
      <c r="N110" s="131">
        <f t="shared" ca="1" si="30"/>
        <v>0</v>
      </c>
      <c r="O110" s="131">
        <f t="shared" ca="1" si="31"/>
        <v>0</v>
      </c>
      <c r="P110" s="132"/>
      <c r="Q110" s="133">
        <f t="shared" ca="1" si="35"/>
        <v>16382.237505513207</v>
      </c>
      <c r="R110" s="133">
        <f t="shared" ca="1" si="35"/>
        <v>15358.727987582721</v>
      </c>
      <c r="S110" s="133">
        <f t="shared" ca="1" si="35"/>
        <v>6887.3205835897234</v>
      </c>
      <c r="T110" s="133">
        <f t="shared" ca="1" si="35"/>
        <v>12697.556465712029</v>
      </c>
      <c r="U110" s="133">
        <f t="shared" ca="1" si="35"/>
        <v>0</v>
      </c>
      <c r="V110" s="133">
        <f t="shared" ca="1" si="34"/>
        <v>0</v>
      </c>
      <c r="W110" s="133">
        <f t="shared" ca="1" si="34"/>
        <v>0</v>
      </c>
      <c r="X110" s="133">
        <f t="shared" ca="1" si="34"/>
        <v>0</v>
      </c>
      <c r="Y110" s="133">
        <f t="shared" ca="1" si="34"/>
        <v>0</v>
      </c>
      <c r="Z110" s="133">
        <f t="shared" ca="1" si="34"/>
        <v>0</v>
      </c>
      <c r="AA110" s="134">
        <f t="shared" ca="1" si="32"/>
        <v>51325.842542397681</v>
      </c>
      <c r="AB110" s="135"/>
      <c r="AC110" s="141"/>
      <c r="AD110" s="141"/>
      <c r="AE110" s="141"/>
      <c r="AF110" s="141"/>
      <c r="AG110" s="141"/>
      <c r="AH110" s="141"/>
      <c r="AI110" s="141"/>
      <c r="AJ110" s="141"/>
      <c r="AK110" s="141"/>
      <c r="AL110" s="141"/>
      <c r="AM110" s="141"/>
      <c r="AN110" s="141"/>
      <c r="AO110" s="141"/>
    </row>
    <row r="111" spans="1:41" ht="13.2">
      <c r="A111" s="126">
        <v>110</v>
      </c>
      <c r="B111" s="127">
        <v>40000</v>
      </c>
      <c r="C111" s="128"/>
      <c r="D111" s="129">
        <f t="shared" ca="1" si="23"/>
        <v>0.65759945863357971</v>
      </c>
      <c r="E111" s="130">
        <f t="shared" ca="1" si="33"/>
        <v>5</v>
      </c>
      <c r="F111" s="131">
        <f t="shared" ca="1" si="24"/>
        <v>1</v>
      </c>
      <c r="G111" s="131">
        <f t="shared" ca="1" si="25"/>
        <v>1</v>
      </c>
      <c r="H111" s="131">
        <f t="shared" ca="1" si="26"/>
        <v>1</v>
      </c>
      <c r="I111" s="131">
        <f t="shared" ca="1" si="27"/>
        <v>1</v>
      </c>
      <c r="J111" s="131">
        <f t="shared" ca="1" si="28"/>
        <v>1</v>
      </c>
      <c r="K111" s="131">
        <f t="shared" ca="1" si="29"/>
        <v>0</v>
      </c>
      <c r="L111" s="131">
        <f t="shared" ca="1" si="37"/>
        <v>0</v>
      </c>
      <c r="M111" s="131">
        <f t="shared" ca="1" si="36"/>
        <v>0</v>
      </c>
      <c r="N111" s="131">
        <f t="shared" ca="1" si="30"/>
        <v>0</v>
      </c>
      <c r="O111" s="131">
        <f t="shared" ca="1" si="31"/>
        <v>0</v>
      </c>
      <c r="P111" s="132"/>
      <c r="Q111" s="133">
        <f t="shared" ca="1" si="35"/>
        <v>26874.2456308211</v>
      </c>
      <c r="R111" s="133">
        <f t="shared" ca="1" si="35"/>
        <v>2905.571564969312</v>
      </c>
      <c r="S111" s="133">
        <f t="shared" ca="1" si="35"/>
        <v>13219.799014360457</v>
      </c>
      <c r="T111" s="133">
        <f t="shared" ca="1" si="35"/>
        <v>6537.3842789896607</v>
      </c>
      <c r="U111" s="133">
        <f t="shared" ca="1" si="35"/>
        <v>55381.864656615522</v>
      </c>
      <c r="V111" s="133">
        <f t="shared" ca="1" si="34"/>
        <v>0</v>
      </c>
      <c r="W111" s="133">
        <f t="shared" ca="1" si="34"/>
        <v>0</v>
      </c>
      <c r="X111" s="133">
        <f t="shared" ca="1" si="34"/>
        <v>0</v>
      </c>
      <c r="Y111" s="133">
        <f t="shared" ca="1" si="34"/>
        <v>0</v>
      </c>
      <c r="Z111" s="133">
        <f t="shared" ca="1" si="34"/>
        <v>0</v>
      </c>
      <c r="AA111" s="134">
        <f t="shared" ca="1" si="32"/>
        <v>104918.86514575605</v>
      </c>
      <c r="AB111" s="135"/>
      <c r="AC111" s="141"/>
      <c r="AD111" s="141"/>
      <c r="AE111" s="141"/>
      <c r="AF111" s="141"/>
      <c r="AG111" s="141"/>
      <c r="AH111" s="141"/>
      <c r="AI111" s="141"/>
      <c r="AJ111" s="141"/>
      <c r="AK111" s="141"/>
      <c r="AL111" s="141"/>
      <c r="AM111" s="141"/>
      <c r="AN111" s="141"/>
      <c r="AO111" s="141"/>
    </row>
    <row r="112" spans="1:41" ht="13.2">
      <c r="A112" s="126">
        <v>111</v>
      </c>
      <c r="B112" s="127">
        <v>40000</v>
      </c>
      <c r="C112" s="128"/>
      <c r="D112" s="129">
        <f t="shared" ca="1" si="23"/>
        <v>0.73365228960089268</v>
      </c>
      <c r="E112" s="130">
        <f t="shared" ca="1" si="33"/>
        <v>6</v>
      </c>
      <c r="F112" s="131">
        <f t="shared" ca="1" si="24"/>
        <v>1</v>
      </c>
      <c r="G112" s="131">
        <f t="shared" ca="1" si="25"/>
        <v>1</v>
      </c>
      <c r="H112" s="131">
        <f t="shared" ca="1" si="26"/>
        <v>1</v>
      </c>
      <c r="I112" s="131">
        <f t="shared" ca="1" si="27"/>
        <v>1</v>
      </c>
      <c r="J112" s="131">
        <f t="shared" ca="1" si="28"/>
        <v>1</v>
      </c>
      <c r="K112" s="131">
        <f t="shared" ca="1" si="29"/>
        <v>1</v>
      </c>
      <c r="L112" s="131">
        <f t="shared" ca="1" si="37"/>
        <v>0</v>
      </c>
      <c r="M112" s="131">
        <f t="shared" ca="1" si="36"/>
        <v>0</v>
      </c>
      <c r="N112" s="131">
        <f t="shared" ca="1" si="30"/>
        <v>0</v>
      </c>
      <c r="O112" s="131">
        <f t="shared" ca="1" si="31"/>
        <v>0</v>
      </c>
      <c r="P112" s="132"/>
      <c r="Q112" s="133">
        <f t="shared" ca="1" si="35"/>
        <v>784.7184399829099</v>
      </c>
      <c r="R112" s="133">
        <f t="shared" ca="1" si="35"/>
        <v>17262.945002015382</v>
      </c>
      <c r="S112" s="133">
        <f t="shared" ca="1" si="35"/>
        <v>3928.9761593486119</v>
      </c>
      <c r="T112" s="133">
        <f t="shared" ca="1" si="35"/>
        <v>2167.6902716187187</v>
      </c>
      <c r="U112" s="133">
        <f t="shared" ca="1" si="35"/>
        <v>25041.88034212757</v>
      </c>
      <c r="V112" s="133">
        <f t="shared" ca="1" si="34"/>
        <v>12112.68774970535</v>
      </c>
      <c r="W112" s="133">
        <f t="shared" ca="1" si="34"/>
        <v>0</v>
      </c>
      <c r="X112" s="133">
        <f t="shared" ca="1" si="34"/>
        <v>0</v>
      </c>
      <c r="Y112" s="133">
        <f t="shared" ca="1" si="34"/>
        <v>0</v>
      </c>
      <c r="Z112" s="133">
        <f t="shared" ca="1" si="34"/>
        <v>0</v>
      </c>
      <c r="AA112" s="134">
        <f t="shared" ca="1" si="32"/>
        <v>61298.89796479854</v>
      </c>
      <c r="AB112" s="135"/>
      <c r="AC112" s="141"/>
      <c r="AD112" s="141"/>
      <c r="AE112" s="141"/>
      <c r="AF112" s="141"/>
      <c r="AG112" s="141"/>
      <c r="AH112" s="141"/>
      <c r="AI112" s="141"/>
      <c r="AJ112" s="141"/>
      <c r="AK112" s="141"/>
      <c r="AL112" s="141"/>
      <c r="AM112" s="141"/>
      <c r="AN112" s="141"/>
      <c r="AO112" s="141"/>
    </row>
    <row r="113" spans="1:41" ht="13.2">
      <c r="A113" s="126">
        <v>112</v>
      </c>
      <c r="B113" s="127">
        <v>40000</v>
      </c>
      <c r="C113" s="128"/>
      <c r="D113" s="129">
        <f t="shared" ca="1" si="23"/>
        <v>1.3000867886180267E-2</v>
      </c>
      <c r="E113" s="130">
        <f t="shared" ca="1" si="33"/>
        <v>0</v>
      </c>
      <c r="F113" s="131">
        <f t="shared" ca="1" si="24"/>
        <v>0</v>
      </c>
      <c r="G113" s="131">
        <f t="shared" ca="1" si="25"/>
        <v>0</v>
      </c>
      <c r="H113" s="131">
        <f t="shared" ca="1" si="26"/>
        <v>0</v>
      </c>
      <c r="I113" s="131">
        <f t="shared" ca="1" si="27"/>
        <v>0</v>
      </c>
      <c r="J113" s="131">
        <f t="shared" ca="1" si="28"/>
        <v>0</v>
      </c>
      <c r="K113" s="131">
        <f t="shared" ca="1" si="29"/>
        <v>0</v>
      </c>
      <c r="L113" s="131">
        <f t="shared" ca="1" si="37"/>
        <v>0</v>
      </c>
      <c r="M113" s="131">
        <f t="shared" ca="1" si="36"/>
        <v>0</v>
      </c>
      <c r="N113" s="131">
        <f t="shared" ca="1" si="30"/>
        <v>0</v>
      </c>
      <c r="O113" s="131">
        <f t="shared" ca="1" si="31"/>
        <v>0</v>
      </c>
      <c r="P113" s="132"/>
      <c r="Q113" s="133">
        <f t="shared" ca="1" si="35"/>
        <v>0</v>
      </c>
      <c r="R113" s="133">
        <f t="shared" ca="1" si="35"/>
        <v>0</v>
      </c>
      <c r="S113" s="133">
        <f t="shared" ca="1" si="35"/>
        <v>0</v>
      </c>
      <c r="T113" s="133">
        <f t="shared" ca="1" si="35"/>
        <v>0</v>
      </c>
      <c r="U113" s="133">
        <f t="shared" ca="1" si="35"/>
        <v>0</v>
      </c>
      <c r="V113" s="133">
        <f t="shared" ca="1" si="34"/>
        <v>0</v>
      </c>
      <c r="W113" s="133">
        <f t="shared" ca="1" si="34"/>
        <v>0</v>
      </c>
      <c r="X113" s="133">
        <f t="shared" ca="1" si="34"/>
        <v>0</v>
      </c>
      <c r="Y113" s="133">
        <f t="shared" ca="1" si="34"/>
        <v>0</v>
      </c>
      <c r="Z113" s="133">
        <f t="shared" ca="1" si="34"/>
        <v>0</v>
      </c>
      <c r="AA113" s="134">
        <f t="shared" ca="1" si="32"/>
        <v>0</v>
      </c>
      <c r="AB113" s="135"/>
      <c r="AC113" s="141"/>
      <c r="AD113" s="141"/>
      <c r="AE113" s="141"/>
      <c r="AF113" s="141"/>
      <c r="AG113" s="141"/>
      <c r="AH113" s="141"/>
      <c r="AI113" s="141"/>
      <c r="AJ113" s="141"/>
      <c r="AK113" s="141"/>
      <c r="AL113" s="141"/>
      <c r="AM113" s="141"/>
      <c r="AN113" s="141"/>
      <c r="AO113" s="141"/>
    </row>
    <row r="114" spans="1:41" ht="13.2">
      <c r="A114" s="126">
        <v>113</v>
      </c>
      <c r="B114" s="127">
        <v>40000</v>
      </c>
      <c r="C114" s="128"/>
      <c r="D114" s="129">
        <f t="shared" ca="1" si="23"/>
        <v>0.65193251696840848</v>
      </c>
      <c r="E114" s="130">
        <f t="shared" ca="1" si="33"/>
        <v>5</v>
      </c>
      <c r="F114" s="131">
        <f t="shared" ca="1" si="24"/>
        <v>1</v>
      </c>
      <c r="G114" s="131">
        <f t="shared" ca="1" si="25"/>
        <v>1</v>
      </c>
      <c r="H114" s="131">
        <f t="shared" ca="1" si="26"/>
        <v>1</v>
      </c>
      <c r="I114" s="131">
        <f t="shared" ca="1" si="27"/>
        <v>1</v>
      </c>
      <c r="J114" s="131">
        <f t="shared" ca="1" si="28"/>
        <v>1</v>
      </c>
      <c r="K114" s="131">
        <f t="shared" ca="1" si="29"/>
        <v>0</v>
      </c>
      <c r="L114" s="131">
        <f t="shared" ca="1" si="37"/>
        <v>0</v>
      </c>
      <c r="M114" s="131">
        <f t="shared" ca="1" si="36"/>
        <v>0</v>
      </c>
      <c r="N114" s="131">
        <f t="shared" ca="1" si="30"/>
        <v>0</v>
      </c>
      <c r="O114" s="131">
        <f t="shared" ca="1" si="31"/>
        <v>0</v>
      </c>
      <c r="P114" s="132"/>
      <c r="Q114" s="133">
        <f t="shared" ca="1" si="35"/>
        <v>16548.275655569902</v>
      </c>
      <c r="R114" s="133">
        <f t="shared" ca="1" si="35"/>
        <v>3259.3701370121644</v>
      </c>
      <c r="S114" s="133">
        <f t="shared" ca="1" si="35"/>
        <v>4474.3757298916735</v>
      </c>
      <c r="T114" s="133">
        <f t="shared" ca="1" si="35"/>
        <v>58153.719251088492</v>
      </c>
      <c r="U114" s="133">
        <f t="shared" ca="1" si="35"/>
        <v>51532.556012482521</v>
      </c>
      <c r="V114" s="133">
        <f t="shared" ca="1" si="34"/>
        <v>0</v>
      </c>
      <c r="W114" s="133">
        <f t="shared" ca="1" si="34"/>
        <v>0</v>
      </c>
      <c r="X114" s="133">
        <f t="shared" ca="1" si="34"/>
        <v>0</v>
      </c>
      <c r="Y114" s="133">
        <f t="shared" ca="1" si="34"/>
        <v>0</v>
      </c>
      <c r="Z114" s="133">
        <f t="shared" ca="1" si="34"/>
        <v>0</v>
      </c>
      <c r="AA114" s="134">
        <f t="shared" ca="1" si="32"/>
        <v>133968.29678604475</v>
      </c>
      <c r="AB114" s="135"/>
      <c r="AC114" s="141"/>
      <c r="AD114" s="141"/>
      <c r="AE114" s="141"/>
      <c r="AF114" s="141"/>
      <c r="AG114" s="141"/>
      <c r="AH114" s="141"/>
      <c r="AI114" s="141"/>
      <c r="AJ114" s="141"/>
      <c r="AK114" s="141"/>
      <c r="AL114" s="141"/>
      <c r="AM114" s="141"/>
      <c r="AN114" s="141"/>
      <c r="AO114" s="141"/>
    </row>
    <row r="115" spans="1:41" ht="13.2">
      <c r="A115" s="126">
        <v>114</v>
      </c>
      <c r="B115" s="127">
        <v>40000</v>
      </c>
      <c r="C115" s="128"/>
      <c r="D115" s="129">
        <f t="shared" ca="1" si="23"/>
        <v>0.46927016506389074</v>
      </c>
      <c r="E115" s="130">
        <f t="shared" ca="1" si="33"/>
        <v>4</v>
      </c>
      <c r="F115" s="131">
        <f t="shared" ca="1" si="24"/>
        <v>1</v>
      </c>
      <c r="G115" s="131">
        <f t="shared" ca="1" si="25"/>
        <v>1</v>
      </c>
      <c r="H115" s="131">
        <f t="shared" ca="1" si="26"/>
        <v>1</v>
      </c>
      <c r="I115" s="131">
        <f t="shared" ca="1" si="27"/>
        <v>1</v>
      </c>
      <c r="J115" s="131">
        <f t="shared" ca="1" si="28"/>
        <v>0</v>
      </c>
      <c r="K115" s="131">
        <f t="shared" ca="1" si="29"/>
        <v>0</v>
      </c>
      <c r="L115" s="131">
        <f t="shared" ca="1" si="37"/>
        <v>0</v>
      </c>
      <c r="M115" s="131">
        <f t="shared" ca="1" si="36"/>
        <v>0</v>
      </c>
      <c r="N115" s="131">
        <f t="shared" ca="1" si="30"/>
        <v>0</v>
      </c>
      <c r="O115" s="131">
        <f t="shared" ca="1" si="31"/>
        <v>0</v>
      </c>
      <c r="P115" s="132"/>
      <c r="Q115" s="133">
        <f t="shared" ca="1" si="35"/>
        <v>4499.5190047259557</v>
      </c>
      <c r="R115" s="133">
        <f t="shared" ca="1" si="35"/>
        <v>8207.4022077472455</v>
      </c>
      <c r="S115" s="133">
        <f t="shared" ca="1" si="35"/>
        <v>67497.611947876518</v>
      </c>
      <c r="T115" s="133">
        <f t="shared" ca="1" si="35"/>
        <v>19020.629737538762</v>
      </c>
      <c r="U115" s="133">
        <f t="shared" ca="1" si="35"/>
        <v>0</v>
      </c>
      <c r="V115" s="133">
        <f t="shared" ca="1" si="34"/>
        <v>0</v>
      </c>
      <c r="W115" s="133">
        <f t="shared" ca="1" si="34"/>
        <v>0</v>
      </c>
      <c r="X115" s="133">
        <f t="shared" ca="1" si="34"/>
        <v>0</v>
      </c>
      <c r="Y115" s="133">
        <f t="shared" ca="1" si="34"/>
        <v>0</v>
      </c>
      <c r="Z115" s="133">
        <f t="shared" ca="1" si="34"/>
        <v>0</v>
      </c>
      <c r="AA115" s="134">
        <f t="shared" ca="1" si="32"/>
        <v>99225.162897888484</v>
      </c>
      <c r="AB115" s="135"/>
      <c r="AC115" s="141"/>
      <c r="AD115" s="141"/>
      <c r="AE115" s="141"/>
      <c r="AF115" s="141"/>
      <c r="AG115" s="141"/>
      <c r="AH115" s="141"/>
      <c r="AI115" s="141"/>
      <c r="AJ115" s="141"/>
      <c r="AK115" s="141"/>
      <c r="AL115" s="141"/>
      <c r="AM115" s="141"/>
      <c r="AN115" s="141"/>
      <c r="AO115" s="141"/>
    </row>
    <row r="116" spans="1:41" ht="13.2">
      <c r="A116" s="126">
        <v>115</v>
      </c>
      <c r="B116" s="127">
        <v>40000</v>
      </c>
      <c r="C116" s="128"/>
      <c r="D116" s="129">
        <f t="shared" ca="1" si="23"/>
        <v>0.71834624369521061</v>
      </c>
      <c r="E116" s="130">
        <f t="shared" ca="1" si="33"/>
        <v>6</v>
      </c>
      <c r="F116" s="131">
        <f t="shared" ca="1" si="24"/>
        <v>1</v>
      </c>
      <c r="G116" s="131">
        <f t="shared" ca="1" si="25"/>
        <v>1</v>
      </c>
      <c r="H116" s="131">
        <f t="shared" ca="1" si="26"/>
        <v>1</v>
      </c>
      <c r="I116" s="131">
        <f t="shared" ca="1" si="27"/>
        <v>1</v>
      </c>
      <c r="J116" s="131">
        <f t="shared" ca="1" si="28"/>
        <v>1</v>
      </c>
      <c r="K116" s="131">
        <f t="shared" ca="1" si="29"/>
        <v>1</v>
      </c>
      <c r="L116" s="131">
        <f t="shared" ca="1" si="37"/>
        <v>0</v>
      </c>
      <c r="M116" s="131">
        <f t="shared" ca="1" si="36"/>
        <v>0</v>
      </c>
      <c r="N116" s="131">
        <f t="shared" ca="1" si="30"/>
        <v>0</v>
      </c>
      <c r="O116" s="131">
        <f t="shared" ca="1" si="31"/>
        <v>0</v>
      </c>
      <c r="P116" s="132"/>
      <c r="Q116" s="133">
        <f t="shared" ca="1" si="35"/>
        <v>4589.9019240684993</v>
      </c>
      <c r="R116" s="133">
        <f t="shared" ca="1" si="35"/>
        <v>26571.926790041842</v>
      </c>
      <c r="S116" s="133">
        <f t="shared" ca="1" si="35"/>
        <v>49558.201944435466</v>
      </c>
      <c r="T116" s="133">
        <f t="shared" ca="1" si="35"/>
        <v>31095.266455297962</v>
      </c>
      <c r="U116" s="133">
        <f t="shared" ca="1" si="35"/>
        <v>23855.751557904867</v>
      </c>
      <c r="V116" s="133">
        <f t="shared" ca="1" si="34"/>
        <v>43830.648679419326</v>
      </c>
      <c r="W116" s="133">
        <f t="shared" ca="1" si="34"/>
        <v>0</v>
      </c>
      <c r="X116" s="133">
        <f t="shared" ca="1" si="34"/>
        <v>0</v>
      </c>
      <c r="Y116" s="133">
        <f t="shared" ca="1" si="34"/>
        <v>0</v>
      </c>
      <c r="Z116" s="133">
        <f t="shared" ca="1" si="34"/>
        <v>0</v>
      </c>
      <c r="AA116" s="134">
        <f t="shared" ca="1" si="32"/>
        <v>179501.697351168</v>
      </c>
      <c r="AB116" s="135"/>
      <c r="AC116" s="141"/>
      <c r="AD116" s="141"/>
      <c r="AE116" s="141"/>
      <c r="AF116" s="141"/>
      <c r="AG116" s="141"/>
      <c r="AH116" s="141"/>
      <c r="AI116" s="141"/>
      <c r="AJ116" s="141"/>
      <c r="AK116" s="141"/>
      <c r="AL116" s="141"/>
      <c r="AM116" s="141"/>
      <c r="AN116" s="141"/>
      <c r="AO116" s="141"/>
    </row>
    <row r="117" spans="1:41" ht="13.2">
      <c r="A117" s="126">
        <v>116</v>
      </c>
      <c r="B117" s="127">
        <v>40000</v>
      </c>
      <c r="C117" s="128"/>
      <c r="D117" s="129">
        <f t="shared" ca="1" si="23"/>
        <v>0.78098969725908141</v>
      </c>
      <c r="E117" s="130">
        <f t="shared" ca="1" si="33"/>
        <v>6</v>
      </c>
      <c r="F117" s="131">
        <f t="shared" ca="1" si="24"/>
        <v>1</v>
      </c>
      <c r="G117" s="131">
        <f t="shared" ca="1" si="25"/>
        <v>1</v>
      </c>
      <c r="H117" s="131">
        <f t="shared" ca="1" si="26"/>
        <v>1</v>
      </c>
      <c r="I117" s="131">
        <f t="shared" ca="1" si="27"/>
        <v>1</v>
      </c>
      <c r="J117" s="131">
        <f t="shared" ca="1" si="28"/>
        <v>1</v>
      </c>
      <c r="K117" s="131">
        <f t="shared" ca="1" si="29"/>
        <v>1</v>
      </c>
      <c r="L117" s="131">
        <f t="shared" ca="1" si="37"/>
        <v>0</v>
      </c>
      <c r="M117" s="131">
        <f t="shared" ca="1" si="36"/>
        <v>0</v>
      </c>
      <c r="N117" s="131">
        <f t="shared" ca="1" si="30"/>
        <v>0</v>
      </c>
      <c r="O117" s="131">
        <f t="shared" ca="1" si="31"/>
        <v>0</v>
      </c>
      <c r="P117" s="132"/>
      <c r="Q117" s="133">
        <f t="shared" ca="1" si="35"/>
        <v>33721.470076851103</v>
      </c>
      <c r="R117" s="133">
        <f t="shared" ca="1" si="35"/>
        <v>775.73175296083639</v>
      </c>
      <c r="S117" s="133">
        <f t="shared" ca="1" si="35"/>
        <v>7805.5129709819557</v>
      </c>
      <c r="T117" s="133">
        <f t="shared" ca="1" si="35"/>
        <v>8078.6757793931429</v>
      </c>
      <c r="U117" s="133">
        <f t="shared" ca="1" si="35"/>
        <v>12341.56373841274</v>
      </c>
      <c r="V117" s="133">
        <f t="shared" ca="1" si="35"/>
        <v>3901.6574405099218</v>
      </c>
      <c r="W117" s="133">
        <f t="shared" ca="1" si="35"/>
        <v>0</v>
      </c>
      <c r="X117" s="133">
        <f t="shared" ca="1" si="35"/>
        <v>0</v>
      </c>
      <c r="Y117" s="133">
        <f t="shared" ca="1" si="35"/>
        <v>0</v>
      </c>
      <c r="Z117" s="133">
        <f t="shared" ca="1" si="35"/>
        <v>0</v>
      </c>
      <c r="AA117" s="134">
        <f t="shared" ca="1" si="32"/>
        <v>66624.611759109699</v>
      </c>
      <c r="AB117" s="135"/>
      <c r="AC117" s="141"/>
      <c r="AD117" s="141"/>
      <c r="AE117" s="141"/>
      <c r="AF117" s="141"/>
      <c r="AG117" s="141"/>
      <c r="AH117" s="141"/>
      <c r="AI117" s="141"/>
      <c r="AJ117" s="141"/>
      <c r="AK117" s="141"/>
      <c r="AL117" s="141"/>
      <c r="AM117" s="141"/>
      <c r="AN117" s="141"/>
      <c r="AO117" s="141"/>
    </row>
    <row r="118" spans="1:41" ht="13.2">
      <c r="A118" s="126">
        <v>117</v>
      </c>
      <c r="B118" s="127">
        <v>40000</v>
      </c>
      <c r="C118" s="128"/>
      <c r="D118" s="129">
        <f t="shared" ca="1" si="23"/>
        <v>0.17652888581280757</v>
      </c>
      <c r="E118" s="130">
        <f t="shared" ca="1" si="33"/>
        <v>2</v>
      </c>
      <c r="F118" s="131">
        <f t="shared" ca="1" si="24"/>
        <v>1</v>
      </c>
      <c r="G118" s="131">
        <f t="shared" ca="1" si="25"/>
        <v>1</v>
      </c>
      <c r="H118" s="131">
        <f t="shared" ca="1" si="26"/>
        <v>0</v>
      </c>
      <c r="I118" s="131">
        <f t="shared" ca="1" si="27"/>
        <v>0</v>
      </c>
      <c r="J118" s="131">
        <f t="shared" ca="1" si="28"/>
        <v>0</v>
      </c>
      <c r="K118" s="131">
        <f t="shared" ca="1" si="29"/>
        <v>0</v>
      </c>
      <c r="L118" s="131">
        <f t="shared" ca="1" si="37"/>
        <v>0</v>
      </c>
      <c r="M118" s="131">
        <f t="shared" ca="1" si="36"/>
        <v>0</v>
      </c>
      <c r="N118" s="131">
        <f t="shared" ca="1" si="30"/>
        <v>0</v>
      </c>
      <c r="O118" s="131">
        <f t="shared" ca="1" si="31"/>
        <v>0</v>
      </c>
      <c r="P118" s="132"/>
      <c r="Q118" s="133">
        <f t="shared" ref="Q118:Z141" ca="1" si="38">_xlfn.CHISQ.INV(RAND(),2)*$AO$4 *F118</f>
        <v>22417.757735633499</v>
      </c>
      <c r="R118" s="133">
        <f t="shared" ca="1" si="38"/>
        <v>6251.9620580449</v>
      </c>
      <c r="S118" s="133">
        <f t="shared" ca="1" si="38"/>
        <v>0</v>
      </c>
      <c r="T118" s="133">
        <f t="shared" ca="1" si="38"/>
        <v>0</v>
      </c>
      <c r="U118" s="133">
        <f t="shared" ca="1" si="38"/>
        <v>0</v>
      </c>
      <c r="V118" s="133">
        <f t="shared" ca="1" si="38"/>
        <v>0</v>
      </c>
      <c r="W118" s="133">
        <f t="shared" ca="1" si="38"/>
        <v>0</v>
      </c>
      <c r="X118" s="133">
        <f t="shared" ca="1" si="38"/>
        <v>0</v>
      </c>
      <c r="Y118" s="133">
        <f t="shared" ca="1" si="38"/>
        <v>0</v>
      </c>
      <c r="Z118" s="133">
        <f t="shared" ca="1" si="38"/>
        <v>0</v>
      </c>
      <c r="AA118" s="134">
        <f t="shared" ca="1" si="32"/>
        <v>28669.7197936784</v>
      </c>
      <c r="AB118" s="135"/>
      <c r="AC118" s="141"/>
      <c r="AD118" s="141"/>
      <c r="AE118" s="141"/>
      <c r="AF118" s="141"/>
      <c r="AG118" s="141"/>
      <c r="AH118" s="141"/>
      <c r="AI118" s="141"/>
      <c r="AJ118" s="141"/>
      <c r="AK118" s="141"/>
      <c r="AL118" s="141"/>
      <c r="AM118" s="141"/>
      <c r="AN118" s="141"/>
      <c r="AO118" s="141"/>
    </row>
    <row r="119" spans="1:41" ht="13.2">
      <c r="A119" s="126">
        <v>118</v>
      </c>
      <c r="B119" s="127">
        <v>40000</v>
      </c>
      <c r="C119" s="128"/>
      <c r="D119" s="129">
        <f t="shared" ca="1" si="23"/>
        <v>0.73043251615453231</v>
      </c>
      <c r="E119" s="130">
        <f t="shared" ca="1" si="33"/>
        <v>6</v>
      </c>
      <c r="F119" s="131">
        <f t="shared" ca="1" si="24"/>
        <v>1</v>
      </c>
      <c r="G119" s="131">
        <f t="shared" ca="1" si="25"/>
        <v>1</v>
      </c>
      <c r="H119" s="131">
        <f t="shared" ca="1" si="26"/>
        <v>1</v>
      </c>
      <c r="I119" s="131">
        <f t="shared" ca="1" si="27"/>
        <v>1</v>
      </c>
      <c r="J119" s="131">
        <f t="shared" ca="1" si="28"/>
        <v>1</v>
      </c>
      <c r="K119" s="131">
        <f t="shared" ca="1" si="29"/>
        <v>1</v>
      </c>
      <c r="L119" s="131">
        <f t="shared" ca="1" si="37"/>
        <v>0</v>
      </c>
      <c r="M119" s="131">
        <f t="shared" ca="1" si="36"/>
        <v>0</v>
      </c>
      <c r="N119" s="131">
        <f t="shared" ca="1" si="30"/>
        <v>0</v>
      </c>
      <c r="O119" s="131">
        <f t="shared" ca="1" si="31"/>
        <v>0</v>
      </c>
      <c r="P119" s="132"/>
      <c r="Q119" s="133">
        <f t="shared" ca="1" si="38"/>
        <v>11124.815624377912</v>
      </c>
      <c r="R119" s="133">
        <f t="shared" ca="1" si="38"/>
        <v>6745.2038846315691</v>
      </c>
      <c r="S119" s="133">
        <f t="shared" ca="1" si="38"/>
        <v>3506.2417775183803</v>
      </c>
      <c r="T119" s="133">
        <f t="shared" ca="1" si="38"/>
        <v>75379.030876967779</v>
      </c>
      <c r="U119" s="133">
        <f t="shared" ca="1" si="38"/>
        <v>17315.827730360517</v>
      </c>
      <c r="V119" s="133">
        <f t="shared" ca="1" si="38"/>
        <v>18253.405797581836</v>
      </c>
      <c r="W119" s="133">
        <f t="shared" ca="1" si="38"/>
        <v>0</v>
      </c>
      <c r="X119" s="133">
        <f t="shared" ca="1" si="38"/>
        <v>0</v>
      </c>
      <c r="Y119" s="133">
        <f t="shared" ca="1" si="38"/>
        <v>0</v>
      </c>
      <c r="Z119" s="133">
        <f t="shared" ca="1" si="38"/>
        <v>0</v>
      </c>
      <c r="AA119" s="134">
        <f t="shared" ca="1" si="32"/>
        <v>132324.525691438</v>
      </c>
      <c r="AB119" s="135"/>
      <c r="AC119" s="141"/>
      <c r="AD119" s="141"/>
      <c r="AE119" s="141"/>
      <c r="AF119" s="141"/>
      <c r="AG119" s="141"/>
      <c r="AH119" s="141"/>
      <c r="AI119" s="141"/>
      <c r="AJ119" s="141"/>
      <c r="AK119" s="141"/>
      <c r="AL119" s="141"/>
      <c r="AM119" s="141"/>
      <c r="AN119" s="141"/>
      <c r="AO119" s="141"/>
    </row>
    <row r="120" spans="1:41" ht="13.2">
      <c r="A120" s="126">
        <v>119</v>
      </c>
      <c r="B120" s="127">
        <v>40000</v>
      </c>
      <c r="C120" s="128"/>
      <c r="D120" s="129">
        <f t="shared" ca="1" si="23"/>
        <v>0.8905806067165517</v>
      </c>
      <c r="E120" s="130">
        <f t="shared" ca="1" si="33"/>
        <v>8</v>
      </c>
      <c r="F120" s="131">
        <f t="shared" ca="1" si="24"/>
        <v>1</v>
      </c>
      <c r="G120" s="131">
        <f t="shared" ca="1" si="25"/>
        <v>1</v>
      </c>
      <c r="H120" s="131">
        <f t="shared" ca="1" si="26"/>
        <v>1</v>
      </c>
      <c r="I120" s="131">
        <f t="shared" ca="1" si="27"/>
        <v>1</v>
      </c>
      <c r="J120" s="131">
        <f t="shared" ca="1" si="28"/>
        <v>1</v>
      </c>
      <c r="K120" s="131">
        <f t="shared" ca="1" si="29"/>
        <v>1</v>
      </c>
      <c r="L120" s="131">
        <f t="shared" ca="1" si="37"/>
        <v>1</v>
      </c>
      <c r="M120" s="131">
        <f t="shared" ca="1" si="36"/>
        <v>1</v>
      </c>
      <c r="N120" s="131">
        <f t="shared" ca="1" si="30"/>
        <v>0</v>
      </c>
      <c r="O120" s="131">
        <f t="shared" ca="1" si="31"/>
        <v>0</v>
      </c>
      <c r="P120" s="132"/>
      <c r="Q120" s="133">
        <f t="shared" ca="1" si="38"/>
        <v>3465.3464592235728</v>
      </c>
      <c r="R120" s="133">
        <f t="shared" ca="1" si="38"/>
        <v>14652.763099304382</v>
      </c>
      <c r="S120" s="133">
        <f t="shared" ca="1" si="38"/>
        <v>6108.8563880582515</v>
      </c>
      <c r="T120" s="133">
        <f t="shared" ca="1" si="38"/>
        <v>2316.1778496943562</v>
      </c>
      <c r="U120" s="133">
        <f t="shared" ca="1" si="38"/>
        <v>5231.0172469482777</v>
      </c>
      <c r="V120" s="133">
        <f t="shared" ca="1" si="38"/>
        <v>8859.5337856088918</v>
      </c>
      <c r="W120" s="133">
        <f t="shared" ca="1" si="38"/>
        <v>3597.3630965849961</v>
      </c>
      <c r="X120" s="133">
        <f t="shared" ca="1" si="38"/>
        <v>74363.871893068586</v>
      </c>
      <c r="Y120" s="133">
        <f t="shared" ca="1" si="38"/>
        <v>0</v>
      </c>
      <c r="Z120" s="133">
        <f t="shared" ca="1" si="38"/>
        <v>0</v>
      </c>
      <c r="AA120" s="134">
        <f t="shared" ca="1" si="32"/>
        <v>118594.92981849131</v>
      </c>
      <c r="AB120" s="135"/>
      <c r="AC120" s="141"/>
      <c r="AD120" s="141"/>
      <c r="AE120" s="141"/>
      <c r="AF120" s="141"/>
      <c r="AG120" s="141"/>
      <c r="AH120" s="141"/>
      <c r="AI120" s="141"/>
      <c r="AJ120" s="141"/>
      <c r="AK120" s="141"/>
      <c r="AL120" s="141"/>
      <c r="AM120" s="141"/>
      <c r="AN120" s="141"/>
      <c r="AO120" s="141"/>
    </row>
    <row r="121" spans="1:41" ht="13.2">
      <c r="A121" s="126">
        <v>120</v>
      </c>
      <c r="B121" s="127">
        <v>40000</v>
      </c>
      <c r="C121" s="128"/>
      <c r="D121" s="129">
        <f t="shared" ca="1" si="23"/>
        <v>0.39475751901881662</v>
      </c>
      <c r="E121" s="130">
        <f t="shared" ca="1" si="33"/>
        <v>3</v>
      </c>
      <c r="F121" s="131">
        <f t="shared" ca="1" si="24"/>
        <v>1</v>
      </c>
      <c r="G121" s="131">
        <f t="shared" ca="1" si="25"/>
        <v>1</v>
      </c>
      <c r="H121" s="131">
        <f t="shared" ca="1" si="26"/>
        <v>1</v>
      </c>
      <c r="I121" s="131">
        <f t="shared" ca="1" si="27"/>
        <v>0</v>
      </c>
      <c r="J121" s="131">
        <f t="shared" ca="1" si="28"/>
        <v>0</v>
      </c>
      <c r="K121" s="131">
        <f t="shared" ca="1" si="29"/>
        <v>0</v>
      </c>
      <c r="L121" s="131">
        <f t="shared" ca="1" si="37"/>
        <v>0</v>
      </c>
      <c r="M121" s="131">
        <f t="shared" ca="1" si="36"/>
        <v>0</v>
      </c>
      <c r="N121" s="131">
        <f t="shared" ca="1" si="30"/>
        <v>0</v>
      </c>
      <c r="O121" s="131">
        <f t="shared" ca="1" si="31"/>
        <v>0</v>
      </c>
      <c r="P121" s="132"/>
      <c r="Q121" s="133">
        <f t="shared" ca="1" si="38"/>
        <v>10875.646837782188</v>
      </c>
      <c r="R121" s="133">
        <f t="shared" ca="1" si="38"/>
        <v>25988.149545181448</v>
      </c>
      <c r="S121" s="133">
        <f t="shared" ca="1" si="38"/>
        <v>18475.654703555989</v>
      </c>
      <c r="T121" s="133">
        <f t="shared" ca="1" si="38"/>
        <v>0</v>
      </c>
      <c r="U121" s="133">
        <f t="shared" ca="1" si="38"/>
        <v>0</v>
      </c>
      <c r="V121" s="133">
        <f t="shared" ca="1" si="38"/>
        <v>0</v>
      </c>
      <c r="W121" s="133">
        <f t="shared" ca="1" si="38"/>
        <v>0</v>
      </c>
      <c r="X121" s="133">
        <f t="shared" ca="1" si="38"/>
        <v>0</v>
      </c>
      <c r="Y121" s="133">
        <f t="shared" ca="1" si="38"/>
        <v>0</v>
      </c>
      <c r="Z121" s="133">
        <f t="shared" ca="1" si="38"/>
        <v>0</v>
      </c>
      <c r="AA121" s="134">
        <f t="shared" ca="1" si="32"/>
        <v>55339.451086519621</v>
      </c>
      <c r="AB121" s="135"/>
      <c r="AC121" s="141"/>
      <c r="AD121" s="141"/>
      <c r="AE121" s="141"/>
      <c r="AF121" s="141"/>
      <c r="AG121" s="141"/>
      <c r="AH121" s="141"/>
      <c r="AI121" s="141"/>
      <c r="AJ121" s="141"/>
      <c r="AK121" s="141"/>
      <c r="AL121" s="141"/>
      <c r="AM121" s="141"/>
      <c r="AN121" s="141"/>
      <c r="AO121" s="141"/>
    </row>
    <row r="122" spans="1:41" ht="13.2">
      <c r="A122" s="126">
        <v>121</v>
      </c>
      <c r="B122" s="127">
        <v>40000</v>
      </c>
      <c r="C122" s="128"/>
      <c r="D122" s="129">
        <f t="shared" ca="1" si="23"/>
        <v>0.94255653747025436</v>
      </c>
      <c r="E122" s="130">
        <f t="shared" ca="1" si="33"/>
        <v>9</v>
      </c>
      <c r="F122" s="131">
        <f t="shared" ca="1" si="24"/>
        <v>1</v>
      </c>
      <c r="G122" s="131">
        <f t="shared" ca="1" si="25"/>
        <v>1</v>
      </c>
      <c r="H122" s="131">
        <f t="shared" ca="1" si="26"/>
        <v>1</v>
      </c>
      <c r="I122" s="131">
        <f t="shared" ca="1" si="27"/>
        <v>1</v>
      </c>
      <c r="J122" s="131">
        <f t="shared" ca="1" si="28"/>
        <v>1</v>
      </c>
      <c r="K122" s="131">
        <f t="shared" ca="1" si="29"/>
        <v>1</v>
      </c>
      <c r="L122" s="131">
        <f t="shared" ca="1" si="37"/>
        <v>1</v>
      </c>
      <c r="M122" s="131">
        <f t="shared" ca="1" si="36"/>
        <v>1</v>
      </c>
      <c r="N122" s="131">
        <f t="shared" ca="1" si="30"/>
        <v>1</v>
      </c>
      <c r="O122" s="131">
        <f t="shared" ca="1" si="31"/>
        <v>0</v>
      </c>
      <c r="P122" s="132"/>
      <c r="Q122" s="133">
        <f t="shared" ca="1" si="38"/>
        <v>9928.9059262950159</v>
      </c>
      <c r="R122" s="133">
        <f t="shared" ca="1" si="38"/>
        <v>5101.279056557205</v>
      </c>
      <c r="S122" s="133">
        <f t="shared" ca="1" si="38"/>
        <v>7468.4703061690097</v>
      </c>
      <c r="T122" s="133">
        <f t="shared" ca="1" si="38"/>
        <v>9717.913884363159</v>
      </c>
      <c r="U122" s="133">
        <f t="shared" ca="1" si="38"/>
        <v>57688.834020435432</v>
      </c>
      <c r="V122" s="133">
        <f t="shared" ca="1" si="38"/>
        <v>11330.617538119017</v>
      </c>
      <c r="W122" s="133">
        <f t="shared" ca="1" si="38"/>
        <v>3837.7666158362376</v>
      </c>
      <c r="X122" s="133">
        <f t="shared" ca="1" si="38"/>
        <v>17612.618392956891</v>
      </c>
      <c r="Y122" s="133">
        <f t="shared" ca="1" si="38"/>
        <v>78960.845947569847</v>
      </c>
      <c r="Z122" s="133">
        <f t="shared" ca="1" si="38"/>
        <v>0</v>
      </c>
      <c r="AA122" s="134">
        <f t="shared" ca="1" si="32"/>
        <v>201647.2516883018</v>
      </c>
      <c r="AB122" s="135"/>
      <c r="AC122" s="141"/>
      <c r="AD122" s="141"/>
      <c r="AE122" s="141"/>
      <c r="AF122" s="141"/>
      <c r="AG122" s="141"/>
      <c r="AH122" s="141"/>
      <c r="AI122" s="141"/>
      <c r="AJ122" s="141"/>
      <c r="AK122" s="141"/>
      <c r="AL122" s="141"/>
      <c r="AM122" s="141"/>
      <c r="AN122" s="141"/>
      <c r="AO122" s="141"/>
    </row>
    <row r="123" spans="1:41" ht="13.2">
      <c r="A123" s="126">
        <v>122</v>
      </c>
      <c r="B123" s="127">
        <v>40000</v>
      </c>
      <c r="C123" s="128"/>
      <c r="D123" s="129">
        <f t="shared" ca="1" si="23"/>
        <v>0.44958805197916452</v>
      </c>
      <c r="E123" s="130">
        <f t="shared" ca="1" si="33"/>
        <v>4</v>
      </c>
      <c r="F123" s="131">
        <f t="shared" ca="1" si="24"/>
        <v>1</v>
      </c>
      <c r="G123" s="131">
        <f t="shared" ca="1" si="25"/>
        <v>1</v>
      </c>
      <c r="H123" s="131">
        <f t="shared" ca="1" si="26"/>
        <v>1</v>
      </c>
      <c r="I123" s="131">
        <f t="shared" ca="1" si="27"/>
        <v>1</v>
      </c>
      <c r="J123" s="131">
        <f t="shared" ca="1" si="28"/>
        <v>0</v>
      </c>
      <c r="K123" s="131">
        <f t="shared" ca="1" si="29"/>
        <v>0</v>
      </c>
      <c r="L123" s="131">
        <f t="shared" ca="1" si="37"/>
        <v>0</v>
      </c>
      <c r="M123" s="131">
        <f t="shared" ca="1" si="36"/>
        <v>0</v>
      </c>
      <c r="N123" s="131">
        <f t="shared" ca="1" si="30"/>
        <v>0</v>
      </c>
      <c r="O123" s="131">
        <f t="shared" ca="1" si="31"/>
        <v>0</v>
      </c>
      <c r="P123" s="132"/>
      <c r="Q123" s="133">
        <f t="shared" ca="1" si="38"/>
        <v>38347.770643467848</v>
      </c>
      <c r="R123" s="133">
        <f t="shared" ca="1" si="38"/>
        <v>106572.06925667255</v>
      </c>
      <c r="S123" s="133">
        <f t="shared" ca="1" si="38"/>
        <v>17956.346686169272</v>
      </c>
      <c r="T123" s="133">
        <f t="shared" ca="1" si="38"/>
        <v>10968.150421599354</v>
      </c>
      <c r="U123" s="133">
        <f t="shared" ca="1" si="38"/>
        <v>0</v>
      </c>
      <c r="V123" s="133">
        <f t="shared" ca="1" si="38"/>
        <v>0</v>
      </c>
      <c r="W123" s="133">
        <f t="shared" ca="1" si="38"/>
        <v>0</v>
      </c>
      <c r="X123" s="133">
        <f t="shared" ca="1" si="38"/>
        <v>0</v>
      </c>
      <c r="Y123" s="133">
        <f t="shared" ca="1" si="38"/>
        <v>0</v>
      </c>
      <c r="Z123" s="133">
        <f t="shared" ca="1" si="38"/>
        <v>0</v>
      </c>
      <c r="AA123" s="134">
        <f t="shared" ca="1" si="32"/>
        <v>173844.33700790902</v>
      </c>
      <c r="AB123" s="135"/>
      <c r="AC123" s="141"/>
      <c r="AD123" s="141"/>
      <c r="AE123" s="141"/>
      <c r="AF123" s="141"/>
      <c r="AG123" s="141"/>
      <c r="AH123" s="141"/>
      <c r="AI123" s="141"/>
      <c r="AJ123" s="141"/>
      <c r="AK123" s="141"/>
      <c r="AL123" s="141"/>
      <c r="AM123" s="141"/>
      <c r="AN123" s="141"/>
      <c r="AO123" s="141"/>
    </row>
    <row r="124" spans="1:41" ht="13.2">
      <c r="A124" s="126">
        <v>123</v>
      </c>
      <c r="B124" s="127">
        <v>40000</v>
      </c>
      <c r="C124" s="128"/>
      <c r="D124" s="129">
        <f t="shared" ca="1" si="23"/>
        <v>0.55049509913691497</v>
      </c>
      <c r="E124" s="130">
        <f t="shared" ca="1" si="33"/>
        <v>5</v>
      </c>
      <c r="F124" s="131">
        <f t="shared" ca="1" si="24"/>
        <v>1</v>
      </c>
      <c r="G124" s="131">
        <f t="shared" ca="1" si="25"/>
        <v>1</v>
      </c>
      <c r="H124" s="131">
        <f t="shared" ca="1" si="26"/>
        <v>1</v>
      </c>
      <c r="I124" s="131">
        <f t="shared" ca="1" si="27"/>
        <v>1</v>
      </c>
      <c r="J124" s="131">
        <f t="shared" ca="1" si="28"/>
        <v>1</v>
      </c>
      <c r="K124" s="131">
        <f t="shared" ca="1" si="29"/>
        <v>0</v>
      </c>
      <c r="L124" s="131">
        <f t="shared" ca="1" si="37"/>
        <v>0</v>
      </c>
      <c r="M124" s="131">
        <f t="shared" ca="1" si="36"/>
        <v>0</v>
      </c>
      <c r="N124" s="131">
        <f t="shared" ca="1" si="30"/>
        <v>0</v>
      </c>
      <c r="O124" s="131">
        <f t="shared" ca="1" si="31"/>
        <v>0</v>
      </c>
      <c r="P124" s="132"/>
      <c r="Q124" s="133">
        <f t="shared" ca="1" si="38"/>
        <v>3269.0367000550573</v>
      </c>
      <c r="R124" s="133">
        <f t="shared" ca="1" si="38"/>
        <v>655.21027343205833</v>
      </c>
      <c r="S124" s="133">
        <f t="shared" ca="1" si="38"/>
        <v>11811.772218848613</v>
      </c>
      <c r="T124" s="133">
        <f t="shared" ca="1" si="38"/>
        <v>6652.7555431904993</v>
      </c>
      <c r="U124" s="133">
        <f t="shared" ca="1" si="38"/>
        <v>25743.165208764622</v>
      </c>
      <c r="V124" s="133">
        <f t="shared" ca="1" si="38"/>
        <v>0</v>
      </c>
      <c r="W124" s="133">
        <f t="shared" ca="1" si="38"/>
        <v>0</v>
      </c>
      <c r="X124" s="133">
        <f t="shared" ca="1" si="38"/>
        <v>0</v>
      </c>
      <c r="Y124" s="133">
        <f t="shared" ca="1" si="38"/>
        <v>0</v>
      </c>
      <c r="Z124" s="133">
        <f t="shared" ca="1" si="38"/>
        <v>0</v>
      </c>
      <c r="AA124" s="134">
        <f t="shared" ca="1" si="32"/>
        <v>48131.939944290847</v>
      </c>
      <c r="AB124" s="135"/>
      <c r="AC124" s="141"/>
      <c r="AD124" s="141"/>
      <c r="AE124" s="141"/>
      <c r="AF124" s="141"/>
      <c r="AG124" s="141"/>
      <c r="AH124" s="141"/>
      <c r="AI124" s="141"/>
      <c r="AJ124" s="141"/>
      <c r="AK124" s="141"/>
      <c r="AL124" s="141"/>
      <c r="AM124" s="141"/>
      <c r="AN124" s="141"/>
      <c r="AO124" s="141"/>
    </row>
    <row r="125" spans="1:41" ht="13.2">
      <c r="A125" s="126">
        <v>124</v>
      </c>
      <c r="B125" s="127">
        <v>40000</v>
      </c>
      <c r="C125" s="128"/>
      <c r="D125" s="129">
        <f t="shared" ca="1" si="23"/>
        <v>0.34694019777804697</v>
      </c>
      <c r="E125" s="130">
        <f t="shared" ca="1" si="33"/>
        <v>3</v>
      </c>
      <c r="F125" s="131">
        <f t="shared" ca="1" si="24"/>
        <v>1</v>
      </c>
      <c r="G125" s="131">
        <f t="shared" ca="1" si="25"/>
        <v>1</v>
      </c>
      <c r="H125" s="131">
        <f t="shared" ca="1" si="26"/>
        <v>1</v>
      </c>
      <c r="I125" s="131">
        <f t="shared" ca="1" si="27"/>
        <v>0</v>
      </c>
      <c r="J125" s="131">
        <f t="shared" ca="1" si="28"/>
        <v>0</v>
      </c>
      <c r="K125" s="131">
        <f t="shared" ca="1" si="29"/>
        <v>0</v>
      </c>
      <c r="L125" s="131">
        <f t="shared" ca="1" si="37"/>
        <v>0</v>
      </c>
      <c r="M125" s="131">
        <f t="shared" ca="1" si="36"/>
        <v>0</v>
      </c>
      <c r="N125" s="131">
        <f t="shared" ca="1" si="30"/>
        <v>0</v>
      </c>
      <c r="O125" s="131">
        <f t="shared" ca="1" si="31"/>
        <v>0</v>
      </c>
      <c r="P125" s="132"/>
      <c r="Q125" s="133">
        <f t="shared" ca="1" si="38"/>
        <v>7595.8970953393746</v>
      </c>
      <c r="R125" s="133">
        <f t="shared" ca="1" si="38"/>
        <v>18912.196033239958</v>
      </c>
      <c r="S125" s="133">
        <f t="shared" ca="1" si="38"/>
        <v>1185.2848422463912</v>
      </c>
      <c r="T125" s="133">
        <f t="shared" ca="1" si="38"/>
        <v>0</v>
      </c>
      <c r="U125" s="133">
        <f t="shared" ca="1" si="38"/>
        <v>0</v>
      </c>
      <c r="V125" s="133">
        <f t="shared" ca="1" si="38"/>
        <v>0</v>
      </c>
      <c r="W125" s="133">
        <f t="shared" ca="1" si="38"/>
        <v>0</v>
      </c>
      <c r="X125" s="133">
        <f t="shared" ca="1" si="38"/>
        <v>0</v>
      </c>
      <c r="Y125" s="133">
        <f t="shared" ca="1" si="38"/>
        <v>0</v>
      </c>
      <c r="Z125" s="133">
        <f t="shared" ca="1" si="38"/>
        <v>0</v>
      </c>
      <c r="AA125" s="134">
        <f t="shared" ca="1" si="32"/>
        <v>27693.377970825724</v>
      </c>
      <c r="AB125" s="135"/>
      <c r="AC125" s="141"/>
      <c r="AD125" s="141"/>
      <c r="AE125" s="141"/>
      <c r="AF125" s="141"/>
      <c r="AG125" s="141"/>
      <c r="AH125" s="141"/>
      <c r="AI125" s="141"/>
      <c r="AJ125" s="141"/>
      <c r="AK125" s="141"/>
      <c r="AL125" s="141"/>
      <c r="AM125" s="141"/>
      <c r="AN125" s="141"/>
      <c r="AO125" s="141"/>
    </row>
    <row r="126" spans="1:41" ht="13.2">
      <c r="A126" s="126">
        <v>125</v>
      </c>
      <c r="B126" s="127">
        <v>40000</v>
      </c>
      <c r="C126" s="128"/>
      <c r="D126" s="129">
        <f t="shared" ca="1" si="23"/>
        <v>0.88563805086882486</v>
      </c>
      <c r="E126" s="130">
        <f t="shared" ca="1" si="33"/>
        <v>8</v>
      </c>
      <c r="F126" s="131">
        <f t="shared" ca="1" si="24"/>
        <v>1</v>
      </c>
      <c r="G126" s="131">
        <f t="shared" ca="1" si="25"/>
        <v>1</v>
      </c>
      <c r="H126" s="131">
        <f t="shared" ca="1" si="26"/>
        <v>1</v>
      </c>
      <c r="I126" s="131">
        <f t="shared" ca="1" si="27"/>
        <v>1</v>
      </c>
      <c r="J126" s="131">
        <f t="shared" ca="1" si="28"/>
        <v>1</v>
      </c>
      <c r="K126" s="131">
        <f t="shared" ca="1" si="29"/>
        <v>1</v>
      </c>
      <c r="L126" s="131">
        <f t="shared" ca="1" si="37"/>
        <v>1</v>
      </c>
      <c r="M126" s="131">
        <f t="shared" ca="1" si="36"/>
        <v>1</v>
      </c>
      <c r="N126" s="131">
        <f t="shared" ca="1" si="30"/>
        <v>0</v>
      </c>
      <c r="O126" s="131">
        <f t="shared" ca="1" si="31"/>
        <v>0</v>
      </c>
      <c r="P126" s="132"/>
      <c r="Q126" s="133">
        <f t="shared" ca="1" si="38"/>
        <v>66549.305813091545</v>
      </c>
      <c r="R126" s="133">
        <f t="shared" ca="1" si="38"/>
        <v>2319.8034761174672</v>
      </c>
      <c r="S126" s="133">
        <f t="shared" ca="1" si="38"/>
        <v>15849.278561773579</v>
      </c>
      <c r="T126" s="133">
        <f t="shared" ca="1" si="38"/>
        <v>2699.0579452319853</v>
      </c>
      <c r="U126" s="133">
        <f t="shared" ca="1" si="38"/>
        <v>350.88370031629199</v>
      </c>
      <c r="V126" s="133">
        <f t="shared" ca="1" si="38"/>
        <v>7649.1870240227036</v>
      </c>
      <c r="W126" s="133">
        <f t="shared" ca="1" si="38"/>
        <v>1644.8159699698583</v>
      </c>
      <c r="X126" s="133">
        <f t="shared" ca="1" si="38"/>
        <v>53171.679905416058</v>
      </c>
      <c r="Y126" s="133">
        <f t="shared" ca="1" si="38"/>
        <v>0</v>
      </c>
      <c r="Z126" s="133">
        <f t="shared" ca="1" si="38"/>
        <v>0</v>
      </c>
      <c r="AA126" s="134">
        <f t="shared" ca="1" si="32"/>
        <v>150234.01239593947</v>
      </c>
      <c r="AB126" s="135"/>
      <c r="AC126" s="141"/>
      <c r="AD126" s="141"/>
      <c r="AE126" s="141"/>
      <c r="AF126" s="141"/>
      <c r="AG126" s="141"/>
      <c r="AH126" s="141"/>
      <c r="AI126" s="141"/>
      <c r="AJ126" s="141"/>
      <c r="AK126" s="141"/>
      <c r="AL126" s="141"/>
      <c r="AM126" s="141"/>
      <c r="AN126" s="141"/>
      <c r="AO126" s="141"/>
    </row>
    <row r="127" spans="1:41" ht="13.2">
      <c r="A127" s="126">
        <v>126</v>
      </c>
      <c r="B127" s="127">
        <v>40000</v>
      </c>
      <c r="C127" s="128"/>
      <c r="D127" s="129">
        <f t="shared" ca="1" si="23"/>
        <v>0.11044977325384331</v>
      </c>
      <c r="E127" s="130">
        <f t="shared" ca="1" si="33"/>
        <v>1</v>
      </c>
      <c r="F127" s="131">
        <f t="shared" ca="1" si="24"/>
        <v>1</v>
      </c>
      <c r="G127" s="131">
        <f t="shared" ca="1" si="25"/>
        <v>0</v>
      </c>
      <c r="H127" s="131">
        <f t="shared" ca="1" si="26"/>
        <v>0</v>
      </c>
      <c r="I127" s="131">
        <f t="shared" ca="1" si="27"/>
        <v>0</v>
      </c>
      <c r="J127" s="131">
        <f t="shared" ca="1" si="28"/>
        <v>0</v>
      </c>
      <c r="K127" s="131">
        <f t="shared" ca="1" si="29"/>
        <v>0</v>
      </c>
      <c r="L127" s="131">
        <f t="shared" ca="1" si="37"/>
        <v>0</v>
      </c>
      <c r="M127" s="131">
        <f t="shared" ca="1" si="36"/>
        <v>0</v>
      </c>
      <c r="N127" s="131">
        <f t="shared" ca="1" si="30"/>
        <v>0</v>
      </c>
      <c r="O127" s="131">
        <f t="shared" ca="1" si="31"/>
        <v>0</v>
      </c>
      <c r="P127" s="132"/>
      <c r="Q127" s="133">
        <f t="shared" ca="1" si="38"/>
        <v>8420.3368475468906</v>
      </c>
      <c r="R127" s="133">
        <f t="shared" ca="1" si="38"/>
        <v>0</v>
      </c>
      <c r="S127" s="133">
        <f t="shared" ca="1" si="38"/>
        <v>0</v>
      </c>
      <c r="T127" s="133">
        <f t="shared" ca="1" si="38"/>
        <v>0</v>
      </c>
      <c r="U127" s="133">
        <f t="shared" ca="1" si="38"/>
        <v>0</v>
      </c>
      <c r="V127" s="133">
        <f t="shared" ca="1" si="38"/>
        <v>0</v>
      </c>
      <c r="W127" s="133">
        <f t="shared" ca="1" si="38"/>
        <v>0</v>
      </c>
      <c r="X127" s="133">
        <f t="shared" ca="1" si="38"/>
        <v>0</v>
      </c>
      <c r="Y127" s="133">
        <f t="shared" ca="1" si="38"/>
        <v>0</v>
      </c>
      <c r="Z127" s="133">
        <f t="shared" ca="1" si="38"/>
        <v>0</v>
      </c>
      <c r="AA127" s="134">
        <f t="shared" ca="1" si="32"/>
        <v>8420.3368475468906</v>
      </c>
      <c r="AB127" s="135"/>
      <c r="AC127" s="141"/>
      <c r="AD127" s="141"/>
      <c r="AE127" s="141"/>
      <c r="AF127" s="141"/>
      <c r="AG127" s="141"/>
      <c r="AH127" s="141"/>
      <c r="AI127" s="141"/>
      <c r="AJ127" s="141"/>
      <c r="AK127" s="141"/>
      <c r="AL127" s="141"/>
      <c r="AM127" s="141"/>
      <c r="AN127" s="141"/>
      <c r="AO127" s="141"/>
    </row>
    <row r="128" spans="1:41" ht="13.2">
      <c r="A128" s="126">
        <v>127</v>
      </c>
      <c r="B128" s="127">
        <v>40000</v>
      </c>
      <c r="C128" s="128"/>
      <c r="D128" s="129">
        <f t="shared" ca="1" si="23"/>
        <v>0.62626453160391848</v>
      </c>
      <c r="E128" s="130">
        <f t="shared" ca="1" si="33"/>
        <v>5</v>
      </c>
      <c r="F128" s="131">
        <f t="shared" ca="1" si="24"/>
        <v>1</v>
      </c>
      <c r="G128" s="131">
        <f t="shared" ca="1" si="25"/>
        <v>1</v>
      </c>
      <c r="H128" s="131">
        <f t="shared" ca="1" si="26"/>
        <v>1</v>
      </c>
      <c r="I128" s="131">
        <f t="shared" ca="1" si="27"/>
        <v>1</v>
      </c>
      <c r="J128" s="131">
        <f t="shared" ca="1" si="28"/>
        <v>1</v>
      </c>
      <c r="K128" s="131">
        <f t="shared" ca="1" si="29"/>
        <v>0</v>
      </c>
      <c r="L128" s="131">
        <f t="shared" ca="1" si="37"/>
        <v>0</v>
      </c>
      <c r="M128" s="131">
        <f t="shared" ca="1" si="36"/>
        <v>0</v>
      </c>
      <c r="N128" s="131">
        <f t="shared" ca="1" si="30"/>
        <v>0</v>
      </c>
      <c r="O128" s="131">
        <f t="shared" ca="1" si="31"/>
        <v>0</v>
      </c>
      <c r="P128" s="132"/>
      <c r="Q128" s="133">
        <f t="shared" ca="1" si="38"/>
        <v>3383.8682428749257</v>
      </c>
      <c r="R128" s="133">
        <f t="shared" ca="1" si="38"/>
        <v>17124.084760624126</v>
      </c>
      <c r="S128" s="133">
        <f t="shared" ca="1" si="38"/>
        <v>9627.3411078066601</v>
      </c>
      <c r="T128" s="133">
        <f t="shared" ca="1" si="38"/>
        <v>43806.562329711895</v>
      </c>
      <c r="U128" s="133">
        <f t="shared" ca="1" si="38"/>
        <v>5197.9401070165877</v>
      </c>
      <c r="V128" s="133">
        <f t="shared" ca="1" si="38"/>
        <v>0</v>
      </c>
      <c r="W128" s="133">
        <f t="shared" ca="1" si="38"/>
        <v>0</v>
      </c>
      <c r="X128" s="133">
        <f t="shared" ca="1" si="38"/>
        <v>0</v>
      </c>
      <c r="Y128" s="133">
        <f t="shared" ca="1" si="38"/>
        <v>0</v>
      </c>
      <c r="Z128" s="133">
        <f t="shared" ca="1" si="38"/>
        <v>0</v>
      </c>
      <c r="AA128" s="134">
        <f t="shared" ca="1" si="32"/>
        <v>79139.796548034195</v>
      </c>
      <c r="AB128" s="135"/>
      <c r="AC128" s="141"/>
      <c r="AD128" s="141"/>
      <c r="AE128" s="141"/>
      <c r="AF128" s="141"/>
      <c r="AG128" s="141"/>
      <c r="AH128" s="141"/>
      <c r="AI128" s="141"/>
      <c r="AJ128" s="141"/>
      <c r="AK128" s="141"/>
      <c r="AL128" s="141"/>
      <c r="AM128" s="141"/>
      <c r="AN128" s="141"/>
      <c r="AO128" s="141"/>
    </row>
    <row r="129" spans="1:41" ht="13.2">
      <c r="A129" s="126">
        <v>128</v>
      </c>
      <c r="B129" s="127">
        <v>40000</v>
      </c>
      <c r="C129" s="128"/>
      <c r="D129" s="129">
        <f t="shared" ca="1" si="23"/>
        <v>0.62687261586187226</v>
      </c>
      <c r="E129" s="130">
        <f t="shared" ca="1" si="33"/>
        <v>5</v>
      </c>
      <c r="F129" s="131">
        <f t="shared" ca="1" si="24"/>
        <v>1</v>
      </c>
      <c r="G129" s="131">
        <f t="shared" ca="1" si="25"/>
        <v>1</v>
      </c>
      <c r="H129" s="131">
        <f t="shared" ca="1" si="26"/>
        <v>1</v>
      </c>
      <c r="I129" s="131">
        <f t="shared" ca="1" si="27"/>
        <v>1</v>
      </c>
      <c r="J129" s="131">
        <f t="shared" ca="1" si="28"/>
        <v>1</v>
      </c>
      <c r="K129" s="131">
        <f t="shared" ca="1" si="29"/>
        <v>0</v>
      </c>
      <c r="L129" s="131">
        <f t="shared" ca="1" si="37"/>
        <v>0</v>
      </c>
      <c r="M129" s="131">
        <f t="shared" ca="1" si="36"/>
        <v>0</v>
      </c>
      <c r="N129" s="131">
        <f t="shared" ca="1" si="30"/>
        <v>0</v>
      </c>
      <c r="O129" s="131">
        <f t="shared" ca="1" si="31"/>
        <v>0</v>
      </c>
      <c r="P129" s="132"/>
      <c r="Q129" s="133">
        <f t="shared" ca="1" si="38"/>
        <v>22575.190290772713</v>
      </c>
      <c r="R129" s="133">
        <f t="shared" ca="1" si="38"/>
        <v>63127.458931137029</v>
      </c>
      <c r="S129" s="133">
        <f t="shared" ca="1" si="38"/>
        <v>11198.456922476355</v>
      </c>
      <c r="T129" s="133">
        <f t="shared" ca="1" si="38"/>
        <v>29053.129096675355</v>
      </c>
      <c r="U129" s="133">
        <f t="shared" ca="1" si="38"/>
        <v>5081.3317975743166</v>
      </c>
      <c r="V129" s="133">
        <f t="shared" ca="1" si="38"/>
        <v>0</v>
      </c>
      <c r="W129" s="133">
        <f t="shared" ca="1" si="38"/>
        <v>0</v>
      </c>
      <c r="X129" s="133">
        <f t="shared" ca="1" si="38"/>
        <v>0</v>
      </c>
      <c r="Y129" s="133">
        <f t="shared" ca="1" si="38"/>
        <v>0</v>
      </c>
      <c r="Z129" s="133">
        <f t="shared" ca="1" si="38"/>
        <v>0</v>
      </c>
      <c r="AA129" s="134">
        <f t="shared" ca="1" si="32"/>
        <v>131035.56703863577</v>
      </c>
      <c r="AB129" s="135"/>
      <c r="AC129" s="141"/>
      <c r="AD129" s="141"/>
      <c r="AE129" s="141"/>
      <c r="AF129" s="141"/>
      <c r="AG129" s="141"/>
      <c r="AH129" s="141"/>
      <c r="AI129" s="141"/>
      <c r="AJ129" s="141"/>
      <c r="AK129" s="141"/>
      <c r="AL129" s="141"/>
      <c r="AM129" s="141"/>
      <c r="AN129" s="141"/>
      <c r="AO129" s="141"/>
    </row>
    <row r="130" spans="1:41" ht="13.2">
      <c r="A130" s="126">
        <v>129</v>
      </c>
      <c r="B130" s="127">
        <v>40000</v>
      </c>
      <c r="C130" s="128"/>
      <c r="D130" s="129">
        <f t="shared" ref="D130:D141" ca="1" si="39">RAND()</f>
        <v>1.4532320766088569E-3</v>
      </c>
      <c r="E130" s="130">
        <f t="shared" ca="1" si="33"/>
        <v>0</v>
      </c>
      <c r="F130" s="131">
        <f t="shared" ref="F130:F141" ca="1" si="40">IF(E130&gt;=1,1,0)</f>
        <v>0</v>
      </c>
      <c r="G130" s="131">
        <f t="shared" ref="G130:G141" ca="1" si="41">IF(E130&gt;=2,1,0)</f>
        <v>0</v>
      </c>
      <c r="H130" s="131">
        <f t="shared" ref="H130:H141" ca="1" si="42">IF(E130&gt;=3,1,0)</f>
        <v>0</v>
      </c>
      <c r="I130" s="131">
        <f t="shared" ref="I130:I141" ca="1" si="43">IF(E130&gt;=4,1,0)</f>
        <v>0</v>
      </c>
      <c r="J130" s="131">
        <f t="shared" ref="J130:J141" ca="1" si="44">IF(E130&gt;=5,1,0)</f>
        <v>0</v>
      </c>
      <c r="K130" s="131">
        <f t="shared" ref="K130:K141" ca="1" si="45">IF(E130&gt;=6,1,0)</f>
        <v>0</v>
      </c>
      <c r="L130" s="131">
        <f t="shared" ca="1" si="37"/>
        <v>0</v>
      </c>
      <c r="M130" s="131">
        <f t="shared" ca="1" si="36"/>
        <v>0</v>
      </c>
      <c r="N130" s="131">
        <f t="shared" ref="N130:N141" ca="1" si="46">IF(E130&gt;=9,1,0)</f>
        <v>0</v>
      </c>
      <c r="O130" s="131">
        <f t="shared" ref="O130:O141" ca="1" si="47">IF(E130&gt;=10,1,0)</f>
        <v>0</v>
      </c>
      <c r="P130" s="132"/>
      <c r="Q130" s="133">
        <f t="shared" ca="1" si="38"/>
        <v>0</v>
      </c>
      <c r="R130" s="133">
        <f t="shared" ca="1" si="38"/>
        <v>0</v>
      </c>
      <c r="S130" s="133">
        <f t="shared" ca="1" si="38"/>
        <v>0</v>
      </c>
      <c r="T130" s="133">
        <f t="shared" ca="1" si="38"/>
        <v>0</v>
      </c>
      <c r="U130" s="133">
        <f t="shared" ca="1" si="38"/>
        <v>0</v>
      </c>
      <c r="V130" s="133">
        <f t="shared" ca="1" si="38"/>
        <v>0</v>
      </c>
      <c r="W130" s="133">
        <f t="shared" ca="1" si="38"/>
        <v>0</v>
      </c>
      <c r="X130" s="133">
        <f t="shared" ca="1" si="38"/>
        <v>0</v>
      </c>
      <c r="Y130" s="133">
        <f t="shared" ca="1" si="38"/>
        <v>0</v>
      </c>
      <c r="Z130" s="133">
        <f t="shared" ca="1" si="38"/>
        <v>0</v>
      </c>
      <c r="AA130" s="134">
        <f t="shared" ref="AA130:AA141" ca="1" si="48">SUM(Q130:Z130)</f>
        <v>0</v>
      </c>
      <c r="AB130" s="135"/>
      <c r="AC130" s="141"/>
      <c r="AD130" s="141"/>
      <c r="AE130" s="141"/>
      <c r="AF130" s="141"/>
      <c r="AG130" s="141"/>
      <c r="AH130" s="141"/>
      <c r="AI130" s="141"/>
      <c r="AJ130" s="141"/>
      <c r="AK130" s="141"/>
      <c r="AL130" s="141"/>
      <c r="AM130" s="141"/>
      <c r="AN130" s="141"/>
      <c r="AO130" s="141"/>
    </row>
    <row r="131" spans="1:41" ht="13.2">
      <c r="A131" s="126">
        <v>130</v>
      </c>
      <c r="B131" s="127">
        <v>40000</v>
      </c>
      <c r="C131" s="128"/>
      <c r="D131" s="129">
        <f t="shared" ca="1" si="39"/>
        <v>8.6902152633579699E-2</v>
      </c>
      <c r="E131" s="130">
        <f t="shared" ref="E131:E141" ca="1" si="49">VLOOKUP(D131,$AH$2:$AL$12, 5, TRUE)</f>
        <v>1</v>
      </c>
      <c r="F131" s="131">
        <f t="shared" ca="1" si="40"/>
        <v>1</v>
      </c>
      <c r="G131" s="131">
        <f t="shared" ca="1" si="41"/>
        <v>0</v>
      </c>
      <c r="H131" s="131">
        <f t="shared" ca="1" si="42"/>
        <v>0</v>
      </c>
      <c r="I131" s="131">
        <f t="shared" ca="1" si="43"/>
        <v>0</v>
      </c>
      <c r="J131" s="131">
        <f t="shared" ca="1" si="44"/>
        <v>0</v>
      </c>
      <c r="K131" s="131">
        <f t="shared" ca="1" si="45"/>
        <v>0</v>
      </c>
      <c r="L131" s="131">
        <f t="shared" ca="1" si="37"/>
        <v>0</v>
      </c>
      <c r="M131" s="131">
        <f t="shared" ca="1" si="36"/>
        <v>0</v>
      </c>
      <c r="N131" s="131">
        <f t="shared" ca="1" si="46"/>
        <v>0</v>
      </c>
      <c r="O131" s="131">
        <f t="shared" ca="1" si="47"/>
        <v>0</v>
      </c>
      <c r="P131" s="132"/>
      <c r="Q131" s="133">
        <f t="shared" ca="1" si="38"/>
        <v>5012.9569199957768</v>
      </c>
      <c r="R131" s="133">
        <f t="shared" ca="1" si="38"/>
        <v>0</v>
      </c>
      <c r="S131" s="133">
        <f t="shared" ca="1" si="38"/>
        <v>0</v>
      </c>
      <c r="T131" s="133">
        <f t="shared" ca="1" si="38"/>
        <v>0</v>
      </c>
      <c r="U131" s="133">
        <f t="shared" ca="1" si="38"/>
        <v>0</v>
      </c>
      <c r="V131" s="133">
        <f t="shared" ca="1" si="38"/>
        <v>0</v>
      </c>
      <c r="W131" s="133">
        <f t="shared" ca="1" si="38"/>
        <v>0</v>
      </c>
      <c r="X131" s="133">
        <f t="shared" ca="1" si="38"/>
        <v>0</v>
      </c>
      <c r="Y131" s="133">
        <f t="shared" ca="1" si="38"/>
        <v>0</v>
      </c>
      <c r="Z131" s="133">
        <f t="shared" ca="1" si="38"/>
        <v>0</v>
      </c>
      <c r="AA131" s="134">
        <f t="shared" ca="1" si="48"/>
        <v>5012.9569199957768</v>
      </c>
      <c r="AB131" s="135"/>
      <c r="AC131" s="141"/>
      <c r="AD131" s="141"/>
      <c r="AE131" s="141"/>
      <c r="AF131" s="141"/>
      <c r="AG131" s="141"/>
      <c r="AH131" s="141"/>
      <c r="AI131" s="141"/>
      <c r="AJ131" s="141"/>
      <c r="AK131" s="141"/>
      <c r="AL131" s="141"/>
      <c r="AM131" s="141"/>
      <c r="AN131" s="141"/>
      <c r="AO131" s="141"/>
    </row>
    <row r="132" spans="1:41" ht="13.2">
      <c r="A132" s="126">
        <v>131</v>
      </c>
      <c r="B132" s="127">
        <v>40000</v>
      </c>
      <c r="C132" s="128"/>
      <c r="D132" s="129">
        <f t="shared" ca="1" si="39"/>
        <v>0.20772811127369872</v>
      </c>
      <c r="E132" s="130">
        <f t="shared" ca="1" si="49"/>
        <v>2</v>
      </c>
      <c r="F132" s="131">
        <f t="shared" ca="1" si="40"/>
        <v>1</v>
      </c>
      <c r="G132" s="131">
        <f t="shared" ca="1" si="41"/>
        <v>1</v>
      </c>
      <c r="H132" s="131">
        <f t="shared" ca="1" si="42"/>
        <v>0</v>
      </c>
      <c r="I132" s="131">
        <f t="shared" ca="1" si="43"/>
        <v>0</v>
      </c>
      <c r="J132" s="131">
        <f t="shared" ca="1" si="44"/>
        <v>0</v>
      </c>
      <c r="K132" s="131">
        <f t="shared" ca="1" si="45"/>
        <v>0</v>
      </c>
      <c r="L132" s="131">
        <f t="shared" ca="1" si="37"/>
        <v>0</v>
      </c>
      <c r="M132" s="131">
        <f t="shared" ca="1" si="36"/>
        <v>0</v>
      </c>
      <c r="N132" s="131">
        <f t="shared" ca="1" si="46"/>
        <v>0</v>
      </c>
      <c r="O132" s="131">
        <f t="shared" ca="1" si="47"/>
        <v>0</v>
      </c>
      <c r="P132" s="132"/>
      <c r="Q132" s="133">
        <f t="shared" ca="1" si="38"/>
        <v>15598.377424726206</v>
      </c>
      <c r="R132" s="133">
        <f t="shared" ca="1" si="38"/>
        <v>1961.0214471870781</v>
      </c>
      <c r="S132" s="133">
        <f t="shared" ca="1" si="38"/>
        <v>0</v>
      </c>
      <c r="T132" s="133">
        <f t="shared" ca="1" si="38"/>
        <v>0</v>
      </c>
      <c r="U132" s="133">
        <f t="shared" ca="1" si="38"/>
        <v>0</v>
      </c>
      <c r="V132" s="133">
        <f t="shared" ca="1" si="38"/>
        <v>0</v>
      </c>
      <c r="W132" s="133">
        <f t="shared" ca="1" si="38"/>
        <v>0</v>
      </c>
      <c r="X132" s="133">
        <f t="shared" ca="1" si="38"/>
        <v>0</v>
      </c>
      <c r="Y132" s="133">
        <f t="shared" ca="1" si="38"/>
        <v>0</v>
      </c>
      <c r="Z132" s="133">
        <f t="shared" ca="1" si="38"/>
        <v>0</v>
      </c>
      <c r="AA132" s="134">
        <f t="shared" ca="1" si="48"/>
        <v>17559.398871913283</v>
      </c>
      <c r="AB132" s="135"/>
      <c r="AC132" s="141"/>
      <c r="AD132" s="141"/>
      <c r="AE132" s="141"/>
      <c r="AF132" s="141"/>
      <c r="AG132" s="141"/>
      <c r="AH132" s="141"/>
      <c r="AI132" s="141"/>
      <c r="AJ132" s="141"/>
      <c r="AK132" s="141"/>
      <c r="AL132" s="141"/>
      <c r="AM132" s="141"/>
      <c r="AN132" s="141"/>
      <c r="AO132" s="141"/>
    </row>
    <row r="133" spans="1:41" ht="13.2">
      <c r="A133" s="126">
        <v>132</v>
      </c>
      <c r="B133" s="127">
        <v>40000</v>
      </c>
      <c r="C133" s="128"/>
      <c r="D133" s="129">
        <f t="shared" ca="1" si="39"/>
        <v>0.6027840941330882</v>
      </c>
      <c r="E133" s="130">
        <f t="shared" ca="1" si="49"/>
        <v>5</v>
      </c>
      <c r="F133" s="131">
        <f t="shared" ca="1" si="40"/>
        <v>1</v>
      </c>
      <c r="G133" s="131">
        <f t="shared" ca="1" si="41"/>
        <v>1</v>
      </c>
      <c r="H133" s="131">
        <f t="shared" ca="1" si="42"/>
        <v>1</v>
      </c>
      <c r="I133" s="131">
        <f t="shared" ca="1" si="43"/>
        <v>1</v>
      </c>
      <c r="J133" s="131">
        <f t="shared" ca="1" si="44"/>
        <v>1</v>
      </c>
      <c r="K133" s="131">
        <f t="shared" ca="1" si="45"/>
        <v>0</v>
      </c>
      <c r="L133" s="131">
        <f t="shared" ca="1" si="37"/>
        <v>0</v>
      </c>
      <c r="M133" s="131">
        <f t="shared" ca="1" si="36"/>
        <v>0</v>
      </c>
      <c r="N133" s="131">
        <f t="shared" ca="1" si="46"/>
        <v>0</v>
      </c>
      <c r="O133" s="131">
        <f t="shared" ca="1" si="47"/>
        <v>0</v>
      </c>
      <c r="P133" s="132"/>
      <c r="Q133" s="133">
        <f t="shared" ca="1" si="38"/>
        <v>4964.7046984554227</v>
      </c>
      <c r="R133" s="133">
        <f t="shared" ca="1" si="38"/>
        <v>9661.1758959416075</v>
      </c>
      <c r="S133" s="133">
        <f t="shared" ca="1" si="38"/>
        <v>12290.738132890305</v>
      </c>
      <c r="T133" s="133">
        <f t="shared" ca="1" si="38"/>
        <v>487.04498193194212</v>
      </c>
      <c r="U133" s="133">
        <f t="shared" ca="1" si="38"/>
        <v>1969.1929239180718</v>
      </c>
      <c r="V133" s="133">
        <f t="shared" ca="1" si="38"/>
        <v>0</v>
      </c>
      <c r="W133" s="133">
        <f t="shared" ca="1" si="38"/>
        <v>0</v>
      </c>
      <c r="X133" s="133">
        <f t="shared" ca="1" si="38"/>
        <v>0</v>
      </c>
      <c r="Y133" s="133">
        <f t="shared" ca="1" si="38"/>
        <v>0</v>
      </c>
      <c r="Z133" s="133">
        <f t="shared" ca="1" si="38"/>
        <v>0</v>
      </c>
      <c r="AA133" s="134">
        <f t="shared" ca="1" si="48"/>
        <v>29372.856633137351</v>
      </c>
      <c r="AB133" s="135"/>
      <c r="AC133" s="141"/>
      <c r="AD133" s="141"/>
      <c r="AE133" s="141"/>
      <c r="AF133" s="141"/>
      <c r="AG133" s="141"/>
      <c r="AH133" s="141"/>
      <c r="AI133" s="141"/>
      <c r="AJ133" s="141"/>
      <c r="AK133" s="141"/>
      <c r="AL133" s="141"/>
      <c r="AM133" s="141"/>
      <c r="AN133" s="141"/>
      <c r="AO133" s="141"/>
    </row>
    <row r="134" spans="1:41" ht="13.2">
      <c r="A134" s="126">
        <v>133</v>
      </c>
      <c r="B134" s="127">
        <v>40000</v>
      </c>
      <c r="C134" s="128"/>
      <c r="D134" s="129">
        <f t="shared" ca="1" si="39"/>
        <v>0.90284776210415474</v>
      </c>
      <c r="E134" s="130">
        <f t="shared" ca="1" si="49"/>
        <v>8</v>
      </c>
      <c r="F134" s="131">
        <f t="shared" ca="1" si="40"/>
        <v>1</v>
      </c>
      <c r="G134" s="131">
        <f t="shared" ca="1" si="41"/>
        <v>1</v>
      </c>
      <c r="H134" s="131">
        <f t="shared" ca="1" si="42"/>
        <v>1</v>
      </c>
      <c r="I134" s="131">
        <f t="shared" ca="1" si="43"/>
        <v>1</v>
      </c>
      <c r="J134" s="131">
        <f t="shared" ca="1" si="44"/>
        <v>1</v>
      </c>
      <c r="K134" s="131">
        <f t="shared" ca="1" si="45"/>
        <v>1</v>
      </c>
      <c r="L134" s="131">
        <f t="shared" ca="1" si="37"/>
        <v>1</v>
      </c>
      <c r="M134" s="131">
        <f t="shared" ca="1" si="36"/>
        <v>1</v>
      </c>
      <c r="N134" s="131">
        <f t="shared" ca="1" si="46"/>
        <v>0</v>
      </c>
      <c r="O134" s="131">
        <f t="shared" ca="1" si="47"/>
        <v>0</v>
      </c>
      <c r="P134" s="132"/>
      <c r="Q134" s="133">
        <f t="shared" ca="1" si="38"/>
        <v>44371.181399106557</v>
      </c>
      <c r="R134" s="133">
        <f t="shared" ca="1" si="38"/>
        <v>17171.285837224845</v>
      </c>
      <c r="S134" s="133">
        <f t="shared" ca="1" si="38"/>
        <v>27590.144918994825</v>
      </c>
      <c r="T134" s="133">
        <f t="shared" ca="1" si="38"/>
        <v>4683.1310080885478</v>
      </c>
      <c r="U134" s="133">
        <f t="shared" ca="1" si="38"/>
        <v>34290.511462660506</v>
      </c>
      <c r="V134" s="133">
        <f t="shared" ca="1" si="38"/>
        <v>3490.3033500815782</v>
      </c>
      <c r="W134" s="133">
        <f t="shared" ca="1" si="38"/>
        <v>4067.6252926811821</v>
      </c>
      <c r="X134" s="133">
        <f t="shared" ca="1" si="38"/>
        <v>77391.595007456126</v>
      </c>
      <c r="Y134" s="133">
        <f t="shared" ca="1" si="38"/>
        <v>0</v>
      </c>
      <c r="Z134" s="133">
        <f t="shared" ca="1" si="38"/>
        <v>0</v>
      </c>
      <c r="AA134" s="134">
        <f t="shared" ca="1" si="48"/>
        <v>213055.77827629418</v>
      </c>
      <c r="AB134" s="135"/>
      <c r="AC134" s="141"/>
      <c r="AD134" s="141"/>
      <c r="AE134" s="141"/>
      <c r="AF134" s="141"/>
      <c r="AG134" s="141"/>
      <c r="AH134" s="141"/>
      <c r="AI134" s="141"/>
      <c r="AJ134" s="141"/>
      <c r="AK134" s="141"/>
      <c r="AL134" s="141"/>
      <c r="AM134" s="141"/>
      <c r="AN134" s="141"/>
      <c r="AO134" s="141"/>
    </row>
    <row r="135" spans="1:41" ht="13.2">
      <c r="A135" s="126">
        <v>134</v>
      </c>
      <c r="B135" s="127">
        <v>40000</v>
      </c>
      <c r="C135" s="128"/>
      <c r="D135" s="129">
        <f t="shared" ca="1" si="39"/>
        <v>0.53981063941381002</v>
      </c>
      <c r="E135" s="130">
        <f t="shared" ca="1" si="49"/>
        <v>4</v>
      </c>
      <c r="F135" s="131">
        <f t="shared" ca="1" si="40"/>
        <v>1</v>
      </c>
      <c r="G135" s="131">
        <f t="shared" ca="1" si="41"/>
        <v>1</v>
      </c>
      <c r="H135" s="131">
        <f t="shared" ca="1" si="42"/>
        <v>1</v>
      </c>
      <c r="I135" s="131">
        <f t="shared" ca="1" si="43"/>
        <v>1</v>
      </c>
      <c r="J135" s="131">
        <f t="shared" ca="1" si="44"/>
        <v>0</v>
      </c>
      <c r="K135" s="131">
        <f t="shared" ca="1" si="45"/>
        <v>0</v>
      </c>
      <c r="L135" s="131">
        <f t="shared" ca="1" si="37"/>
        <v>0</v>
      </c>
      <c r="M135" s="131">
        <f t="shared" ca="1" si="36"/>
        <v>0</v>
      </c>
      <c r="N135" s="131">
        <f t="shared" ca="1" si="46"/>
        <v>0</v>
      </c>
      <c r="O135" s="131">
        <f t="shared" ca="1" si="47"/>
        <v>0</v>
      </c>
      <c r="P135" s="132"/>
      <c r="Q135" s="133">
        <f t="shared" ca="1" si="38"/>
        <v>31122.440844020188</v>
      </c>
      <c r="R135" s="133">
        <f t="shared" ca="1" si="38"/>
        <v>21.531536411216255</v>
      </c>
      <c r="S135" s="133">
        <f t="shared" ca="1" si="38"/>
        <v>6862.4161069881029</v>
      </c>
      <c r="T135" s="133">
        <f t="shared" ca="1" si="38"/>
        <v>15416.360036080901</v>
      </c>
      <c r="U135" s="133">
        <f t="shared" ca="1" si="38"/>
        <v>0</v>
      </c>
      <c r="V135" s="133">
        <f t="shared" ca="1" si="38"/>
        <v>0</v>
      </c>
      <c r="W135" s="133">
        <f t="shared" ca="1" si="38"/>
        <v>0</v>
      </c>
      <c r="X135" s="133">
        <f t="shared" ca="1" si="38"/>
        <v>0</v>
      </c>
      <c r="Y135" s="133">
        <f t="shared" ca="1" si="38"/>
        <v>0</v>
      </c>
      <c r="Z135" s="133">
        <f t="shared" ca="1" si="38"/>
        <v>0</v>
      </c>
      <c r="AA135" s="134">
        <f t="shared" ca="1" si="48"/>
        <v>53422.748523500406</v>
      </c>
      <c r="AB135" s="135"/>
      <c r="AC135" s="141"/>
      <c r="AD135" s="141"/>
      <c r="AE135" s="141"/>
      <c r="AF135" s="141"/>
      <c r="AG135" s="141"/>
      <c r="AH135" s="141"/>
      <c r="AI135" s="141"/>
      <c r="AJ135" s="141"/>
      <c r="AK135" s="141"/>
      <c r="AL135" s="141"/>
      <c r="AM135" s="141"/>
      <c r="AN135" s="141"/>
      <c r="AO135" s="141"/>
    </row>
    <row r="136" spans="1:41" ht="13.2">
      <c r="A136" s="126">
        <v>135</v>
      </c>
      <c r="B136" s="127">
        <v>40000</v>
      </c>
      <c r="C136" s="128"/>
      <c r="D136" s="129">
        <f t="shared" ca="1" si="39"/>
        <v>0.83615255823073209</v>
      </c>
      <c r="E136" s="130">
        <f t="shared" ca="1" si="49"/>
        <v>7</v>
      </c>
      <c r="F136" s="131">
        <f t="shared" ca="1" si="40"/>
        <v>1</v>
      </c>
      <c r="G136" s="131">
        <f t="shared" ca="1" si="41"/>
        <v>1</v>
      </c>
      <c r="H136" s="131">
        <f t="shared" ca="1" si="42"/>
        <v>1</v>
      </c>
      <c r="I136" s="131">
        <f t="shared" ca="1" si="43"/>
        <v>1</v>
      </c>
      <c r="J136" s="131">
        <f t="shared" ca="1" si="44"/>
        <v>1</v>
      </c>
      <c r="K136" s="131">
        <f t="shared" ca="1" si="45"/>
        <v>1</v>
      </c>
      <c r="L136" s="131">
        <f t="shared" ca="1" si="37"/>
        <v>1</v>
      </c>
      <c r="M136" s="131">
        <f t="shared" ca="1" si="36"/>
        <v>0</v>
      </c>
      <c r="N136" s="131">
        <f t="shared" ca="1" si="46"/>
        <v>0</v>
      </c>
      <c r="O136" s="131">
        <f t="shared" ca="1" si="47"/>
        <v>0</v>
      </c>
      <c r="P136" s="132"/>
      <c r="Q136" s="133">
        <f t="shared" ca="1" si="38"/>
        <v>14368.953251322859</v>
      </c>
      <c r="R136" s="133">
        <f t="shared" ca="1" si="38"/>
        <v>8567.0265499912293</v>
      </c>
      <c r="S136" s="133">
        <f t="shared" ca="1" si="38"/>
        <v>33004.289642885495</v>
      </c>
      <c r="T136" s="133">
        <f t="shared" ca="1" si="38"/>
        <v>2327.5352631897226</v>
      </c>
      <c r="U136" s="133">
        <f t="shared" ca="1" si="38"/>
        <v>12826.296010738841</v>
      </c>
      <c r="V136" s="133">
        <f t="shared" ca="1" si="38"/>
        <v>2522.8976048608765</v>
      </c>
      <c r="W136" s="133">
        <f t="shared" ca="1" si="38"/>
        <v>1285.0732172851856</v>
      </c>
      <c r="X136" s="133">
        <f t="shared" ca="1" si="38"/>
        <v>0</v>
      </c>
      <c r="Y136" s="133">
        <f t="shared" ca="1" si="38"/>
        <v>0</v>
      </c>
      <c r="Z136" s="133">
        <f t="shared" ca="1" si="38"/>
        <v>0</v>
      </c>
      <c r="AA136" s="134">
        <f t="shared" ca="1" si="48"/>
        <v>74902.071540274206</v>
      </c>
      <c r="AB136" s="135"/>
      <c r="AC136" s="141"/>
      <c r="AD136" s="141"/>
      <c r="AE136" s="141"/>
      <c r="AF136" s="141"/>
      <c r="AG136" s="141"/>
      <c r="AH136" s="141"/>
      <c r="AI136" s="141"/>
      <c r="AJ136" s="141"/>
      <c r="AK136" s="141"/>
      <c r="AL136" s="141"/>
      <c r="AM136" s="141"/>
      <c r="AN136" s="141"/>
      <c r="AO136" s="141"/>
    </row>
    <row r="137" spans="1:41" ht="13.2">
      <c r="A137" s="126">
        <v>136</v>
      </c>
      <c r="B137" s="127">
        <v>40000</v>
      </c>
      <c r="C137" s="128"/>
      <c r="D137" s="129">
        <f t="shared" ca="1" si="39"/>
        <v>0.22603641556733878</v>
      </c>
      <c r="E137" s="130">
        <f t="shared" ca="1" si="49"/>
        <v>2</v>
      </c>
      <c r="F137" s="131">
        <f t="shared" ca="1" si="40"/>
        <v>1</v>
      </c>
      <c r="G137" s="131">
        <f t="shared" ca="1" si="41"/>
        <v>1</v>
      </c>
      <c r="H137" s="131">
        <f t="shared" ca="1" si="42"/>
        <v>0</v>
      </c>
      <c r="I137" s="131">
        <f t="shared" ca="1" si="43"/>
        <v>0</v>
      </c>
      <c r="J137" s="131">
        <f t="shared" ca="1" si="44"/>
        <v>0</v>
      </c>
      <c r="K137" s="131">
        <f t="shared" ca="1" si="45"/>
        <v>0</v>
      </c>
      <c r="L137" s="131">
        <f t="shared" ca="1" si="37"/>
        <v>0</v>
      </c>
      <c r="M137" s="131">
        <f t="shared" ca="1" si="36"/>
        <v>0</v>
      </c>
      <c r="N137" s="131">
        <f t="shared" ca="1" si="46"/>
        <v>0</v>
      </c>
      <c r="O137" s="131">
        <f t="shared" ca="1" si="47"/>
        <v>0</v>
      </c>
      <c r="P137" s="132"/>
      <c r="Q137" s="133">
        <f t="shared" ca="1" si="38"/>
        <v>27000.291621752978</v>
      </c>
      <c r="R137" s="133">
        <f t="shared" ca="1" si="38"/>
        <v>30382.72412771808</v>
      </c>
      <c r="S137" s="133">
        <f t="shared" ca="1" si="38"/>
        <v>0</v>
      </c>
      <c r="T137" s="133">
        <f t="shared" ca="1" si="38"/>
        <v>0</v>
      </c>
      <c r="U137" s="133">
        <f t="shared" ca="1" si="38"/>
        <v>0</v>
      </c>
      <c r="V137" s="133">
        <f t="shared" ca="1" si="38"/>
        <v>0</v>
      </c>
      <c r="W137" s="133">
        <f t="shared" ca="1" si="38"/>
        <v>0</v>
      </c>
      <c r="X137" s="133">
        <f t="shared" ca="1" si="38"/>
        <v>0</v>
      </c>
      <c r="Y137" s="133">
        <f t="shared" ca="1" si="38"/>
        <v>0</v>
      </c>
      <c r="Z137" s="133">
        <f t="shared" ca="1" si="38"/>
        <v>0</v>
      </c>
      <c r="AA137" s="134">
        <f t="shared" ca="1" si="48"/>
        <v>57383.015749471058</v>
      </c>
      <c r="AB137" s="135"/>
      <c r="AC137" s="141"/>
      <c r="AD137" s="141"/>
      <c r="AE137" s="141"/>
      <c r="AF137" s="141"/>
      <c r="AG137" s="141"/>
      <c r="AH137" s="141"/>
      <c r="AI137" s="141"/>
      <c r="AJ137" s="141"/>
      <c r="AK137" s="141"/>
      <c r="AL137" s="141"/>
      <c r="AM137" s="141"/>
      <c r="AN137" s="141"/>
      <c r="AO137" s="141"/>
    </row>
    <row r="138" spans="1:41" ht="13.2">
      <c r="A138" s="126">
        <v>137</v>
      </c>
      <c r="B138" s="127">
        <v>40000</v>
      </c>
      <c r="C138" s="128"/>
      <c r="D138" s="129">
        <f t="shared" ca="1" si="39"/>
        <v>0.89347442936158072</v>
      </c>
      <c r="E138" s="130">
        <f t="shared" ca="1" si="49"/>
        <v>8</v>
      </c>
      <c r="F138" s="131">
        <f t="shared" ca="1" si="40"/>
        <v>1</v>
      </c>
      <c r="G138" s="131">
        <f t="shared" ca="1" si="41"/>
        <v>1</v>
      </c>
      <c r="H138" s="131">
        <f t="shared" ca="1" si="42"/>
        <v>1</v>
      </c>
      <c r="I138" s="131">
        <f t="shared" ca="1" si="43"/>
        <v>1</v>
      </c>
      <c r="J138" s="131">
        <f t="shared" ca="1" si="44"/>
        <v>1</v>
      </c>
      <c r="K138" s="131">
        <f t="shared" ca="1" si="45"/>
        <v>1</v>
      </c>
      <c r="L138" s="131">
        <f t="shared" ca="1" si="37"/>
        <v>1</v>
      </c>
      <c r="M138" s="131">
        <f t="shared" ca="1" si="36"/>
        <v>1</v>
      </c>
      <c r="N138" s="131">
        <f t="shared" ca="1" si="46"/>
        <v>0</v>
      </c>
      <c r="O138" s="131">
        <f t="shared" ca="1" si="47"/>
        <v>0</v>
      </c>
      <c r="P138" s="132"/>
      <c r="Q138" s="133">
        <f t="shared" ca="1" si="38"/>
        <v>20234.401970311399</v>
      </c>
      <c r="R138" s="133">
        <f t="shared" ca="1" si="38"/>
        <v>4380.8250769530086</v>
      </c>
      <c r="S138" s="133">
        <f t="shared" ca="1" si="38"/>
        <v>77567.758880789115</v>
      </c>
      <c r="T138" s="133">
        <f t="shared" ca="1" si="38"/>
        <v>13624.570809532497</v>
      </c>
      <c r="U138" s="133">
        <f t="shared" ca="1" si="38"/>
        <v>5753.3574774938434</v>
      </c>
      <c r="V138" s="133">
        <f t="shared" ca="1" si="38"/>
        <v>547.1448638705682</v>
      </c>
      <c r="W138" s="133">
        <f t="shared" ca="1" si="38"/>
        <v>81504.211049777557</v>
      </c>
      <c r="X138" s="133">
        <f t="shared" ca="1" si="38"/>
        <v>30455.490217672286</v>
      </c>
      <c r="Y138" s="133">
        <f t="shared" ca="1" si="38"/>
        <v>0</v>
      </c>
      <c r="Z138" s="133">
        <f t="shared" ca="1" si="38"/>
        <v>0</v>
      </c>
      <c r="AA138" s="134">
        <f t="shared" ca="1" si="48"/>
        <v>234067.76034640029</v>
      </c>
      <c r="AB138" s="135"/>
      <c r="AC138" s="141"/>
      <c r="AD138" s="141"/>
      <c r="AE138" s="141"/>
      <c r="AF138" s="141"/>
      <c r="AG138" s="141"/>
      <c r="AH138" s="141"/>
      <c r="AI138" s="141"/>
      <c r="AJ138" s="141"/>
      <c r="AK138" s="141"/>
      <c r="AL138" s="141"/>
      <c r="AM138" s="141"/>
      <c r="AN138" s="141"/>
      <c r="AO138" s="141"/>
    </row>
    <row r="139" spans="1:41" ht="13.2">
      <c r="A139" s="126">
        <v>138</v>
      </c>
      <c r="B139" s="127">
        <v>40000</v>
      </c>
      <c r="C139" s="128"/>
      <c r="D139" s="129">
        <f t="shared" ca="1" si="39"/>
        <v>0.89999541514197712</v>
      </c>
      <c r="E139" s="130">
        <f t="shared" ca="1" si="49"/>
        <v>8</v>
      </c>
      <c r="F139" s="131">
        <f t="shared" ca="1" si="40"/>
        <v>1</v>
      </c>
      <c r="G139" s="131">
        <f t="shared" ca="1" si="41"/>
        <v>1</v>
      </c>
      <c r="H139" s="131">
        <f t="shared" ca="1" si="42"/>
        <v>1</v>
      </c>
      <c r="I139" s="131">
        <f t="shared" ca="1" si="43"/>
        <v>1</v>
      </c>
      <c r="J139" s="131">
        <f t="shared" ca="1" si="44"/>
        <v>1</v>
      </c>
      <c r="K139" s="131">
        <f t="shared" ca="1" si="45"/>
        <v>1</v>
      </c>
      <c r="L139" s="131">
        <f t="shared" ca="1" si="37"/>
        <v>1</v>
      </c>
      <c r="M139" s="131">
        <f t="shared" ca="1" si="36"/>
        <v>1</v>
      </c>
      <c r="N139" s="131">
        <f t="shared" ca="1" si="46"/>
        <v>0</v>
      </c>
      <c r="O139" s="131">
        <f t="shared" ca="1" si="47"/>
        <v>0</v>
      </c>
      <c r="P139" s="132"/>
      <c r="Q139" s="133">
        <f t="shared" ca="1" si="38"/>
        <v>2312.803089130301</v>
      </c>
      <c r="R139" s="133">
        <f t="shared" ca="1" si="38"/>
        <v>10053.888745751025</v>
      </c>
      <c r="S139" s="133">
        <f t="shared" ca="1" si="38"/>
        <v>8261.3251569994518</v>
      </c>
      <c r="T139" s="133">
        <f t="shared" ca="1" si="38"/>
        <v>20421.763550429412</v>
      </c>
      <c r="U139" s="133">
        <f t="shared" ca="1" si="38"/>
        <v>5426.61330113862</v>
      </c>
      <c r="V139" s="133">
        <f t="shared" ca="1" si="38"/>
        <v>30886.034175089</v>
      </c>
      <c r="W139" s="133">
        <f t="shared" ca="1" si="38"/>
        <v>32932.002313141711</v>
      </c>
      <c r="X139" s="133">
        <f t="shared" ca="1" si="38"/>
        <v>5517.6435125720809</v>
      </c>
      <c r="Y139" s="133">
        <f t="shared" ca="1" si="38"/>
        <v>0</v>
      </c>
      <c r="Z139" s="133">
        <f t="shared" ca="1" si="38"/>
        <v>0</v>
      </c>
      <c r="AA139" s="134">
        <f t="shared" ca="1" si="48"/>
        <v>115812.0738442516</v>
      </c>
      <c r="AB139" s="135"/>
      <c r="AC139" s="141"/>
      <c r="AD139" s="141"/>
      <c r="AE139" s="141"/>
      <c r="AF139" s="141"/>
      <c r="AG139" s="141"/>
      <c r="AH139" s="141"/>
      <c r="AI139" s="141"/>
      <c r="AJ139" s="141"/>
      <c r="AK139" s="141"/>
      <c r="AL139" s="141"/>
      <c r="AM139" s="141"/>
      <c r="AN139" s="141"/>
      <c r="AO139" s="141"/>
    </row>
    <row r="140" spans="1:41" ht="13.2">
      <c r="A140" s="126">
        <v>139</v>
      </c>
      <c r="B140" s="127">
        <v>40000</v>
      </c>
      <c r="C140" s="128"/>
      <c r="D140" s="129">
        <f t="shared" ca="1" si="39"/>
        <v>0.70347511448430999</v>
      </c>
      <c r="E140" s="130">
        <f t="shared" ca="1" si="49"/>
        <v>6</v>
      </c>
      <c r="F140" s="131">
        <f t="shared" ca="1" si="40"/>
        <v>1</v>
      </c>
      <c r="G140" s="131">
        <f t="shared" ca="1" si="41"/>
        <v>1</v>
      </c>
      <c r="H140" s="131">
        <f t="shared" ca="1" si="42"/>
        <v>1</v>
      </c>
      <c r="I140" s="131">
        <f t="shared" ca="1" si="43"/>
        <v>1</v>
      </c>
      <c r="J140" s="131">
        <f t="shared" ca="1" si="44"/>
        <v>1</v>
      </c>
      <c r="K140" s="131">
        <f t="shared" ca="1" si="45"/>
        <v>1</v>
      </c>
      <c r="L140" s="131">
        <f t="shared" ca="1" si="37"/>
        <v>0</v>
      </c>
      <c r="M140" s="131">
        <f t="shared" ca="1" si="36"/>
        <v>0</v>
      </c>
      <c r="N140" s="131">
        <f t="shared" ca="1" si="46"/>
        <v>0</v>
      </c>
      <c r="O140" s="131">
        <f t="shared" ca="1" si="47"/>
        <v>0</v>
      </c>
      <c r="P140" s="132"/>
      <c r="Q140" s="133">
        <f t="shared" ca="1" si="38"/>
        <v>26453.163677381894</v>
      </c>
      <c r="R140" s="133">
        <f t="shared" ca="1" si="38"/>
        <v>17983.27022860607</v>
      </c>
      <c r="S140" s="133">
        <f t="shared" ca="1" si="38"/>
        <v>18957.353757710967</v>
      </c>
      <c r="T140" s="133">
        <f t="shared" ca="1" si="38"/>
        <v>12012.956563562886</v>
      </c>
      <c r="U140" s="133">
        <f t="shared" ca="1" si="38"/>
        <v>7554.9469119658161</v>
      </c>
      <c r="V140" s="133">
        <f t="shared" ca="1" si="38"/>
        <v>17449.612402290841</v>
      </c>
      <c r="W140" s="133">
        <f t="shared" ca="1" si="38"/>
        <v>0</v>
      </c>
      <c r="X140" s="133">
        <f t="shared" ca="1" si="38"/>
        <v>0</v>
      </c>
      <c r="Y140" s="133">
        <f t="shared" ca="1" si="38"/>
        <v>0</v>
      </c>
      <c r="Z140" s="133">
        <f t="shared" ca="1" si="38"/>
        <v>0</v>
      </c>
      <c r="AA140" s="134">
        <f t="shared" ca="1" si="48"/>
        <v>100411.30354151849</v>
      </c>
      <c r="AB140" s="135"/>
      <c r="AC140" s="141"/>
      <c r="AD140" s="141"/>
      <c r="AE140" s="141"/>
      <c r="AF140" s="141"/>
      <c r="AG140" s="141"/>
      <c r="AH140" s="141"/>
      <c r="AI140" s="141"/>
      <c r="AJ140" s="141"/>
      <c r="AK140" s="141"/>
      <c r="AL140" s="141"/>
      <c r="AM140" s="141"/>
      <c r="AN140" s="141"/>
      <c r="AO140" s="141"/>
    </row>
    <row r="141" spans="1:41" ht="13.2">
      <c r="A141" s="126">
        <v>140</v>
      </c>
      <c r="B141" s="127">
        <v>40000</v>
      </c>
      <c r="C141" s="128"/>
      <c r="D141" s="129">
        <f t="shared" ca="1" si="39"/>
        <v>0.35619304292927312</v>
      </c>
      <c r="E141" s="130">
        <f t="shared" ca="1" si="49"/>
        <v>3</v>
      </c>
      <c r="F141" s="131">
        <f t="shared" ca="1" si="40"/>
        <v>1</v>
      </c>
      <c r="G141" s="131">
        <f t="shared" ca="1" si="41"/>
        <v>1</v>
      </c>
      <c r="H141" s="131">
        <f t="shared" ca="1" si="42"/>
        <v>1</v>
      </c>
      <c r="I141" s="131">
        <f t="shared" ca="1" si="43"/>
        <v>0</v>
      </c>
      <c r="J141" s="131">
        <f t="shared" ca="1" si="44"/>
        <v>0</v>
      </c>
      <c r="K141" s="131">
        <f t="shared" ca="1" si="45"/>
        <v>0</v>
      </c>
      <c r="L141" s="131">
        <f t="shared" ca="1" si="37"/>
        <v>0</v>
      </c>
      <c r="M141" s="131">
        <f t="shared" ca="1" si="36"/>
        <v>0</v>
      </c>
      <c r="N141" s="131">
        <f t="shared" ca="1" si="46"/>
        <v>0</v>
      </c>
      <c r="O141" s="131">
        <f t="shared" ca="1" si="47"/>
        <v>0</v>
      </c>
      <c r="P141" s="132"/>
      <c r="Q141" s="133">
        <f t="shared" ca="1" si="38"/>
        <v>39201.781878054018</v>
      </c>
      <c r="R141" s="133">
        <f t="shared" ca="1" si="38"/>
        <v>8551.7111552579008</v>
      </c>
      <c r="S141" s="133">
        <f t="shared" ca="1" si="38"/>
        <v>13215.741024984982</v>
      </c>
      <c r="T141" s="133">
        <f t="shared" ca="1" si="38"/>
        <v>0</v>
      </c>
      <c r="U141" s="133">
        <f t="shared" ca="1" si="38"/>
        <v>0</v>
      </c>
      <c r="V141" s="133">
        <f t="shared" ca="1" si="38"/>
        <v>0</v>
      </c>
      <c r="W141" s="133">
        <f t="shared" ca="1" si="38"/>
        <v>0</v>
      </c>
      <c r="X141" s="133">
        <f t="shared" ca="1" si="38"/>
        <v>0</v>
      </c>
      <c r="Y141" s="133">
        <f t="shared" ca="1" si="38"/>
        <v>0</v>
      </c>
      <c r="Z141" s="133">
        <f t="shared" ca="1" si="38"/>
        <v>0</v>
      </c>
      <c r="AA141" s="134">
        <f t="shared" ca="1" si="48"/>
        <v>60969.234058296905</v>
      </c>
      <c r="AB141" s="135"/>
      <c r="AC141" s="141"/>
      <c r="AD141" s="141"/>
      <c r="AE141" s="141"/>
      <c r="AF141" s="141"/>
      <c r="AG141" s="141"/>
      <c r="AH141" s="141"/>
      <c r="AI141" s="141"/>
      <c r="AJ141" s="141"/>
      <c r="AK141" s="141"/>
      <c r="AL141" s="141"/>
      <c r="AM141" s="141"/>
      <c r="AN141" s="141"/>
      <c r="AO141" s="141"/>
    </row>
  </sheetData>
  <conditionalFormatting sqref="F2:P14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Z14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212EE70A1B6D44C821EC82D3F1B3010" ma:contentTypeVersion="10" ma:contentTypeDescription="Utwórz nowy dokument." ma:contentTypeScope="" ma:versionID="7a861814c81eb88f0287ab6149e0b4f0">
  <xsd:schema xmlns:xsd="http://www.w3.org/2001/XMLSchema" xmlns:xs="http://www.w3.org/2001/XMLSchema" xmlns:p="http://schemas.microsoft.com/office/2006/metadata/properties" xmlns:ns3="350dd394-6f0d-4eee-8198-1dd585f2e005" targetNamespace="http://schemas.microsoft.com/office/2006/metadata/properties" ma:root="true" ma:fieldsID="d1d167ab669a3684406ad2f123647bcc" ns3:_="">
    <xsd:import namespace="350dd394-6f0d-4eee-8198-1dd585f2e00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DateTaken" minOccurs="0"/>
                <xsd:element ref="ns3:_activity" minOccurs="0"/>
                <xsd:element ref="ns3:MediaServiceSearchPropertie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0dd394-6f0d-4eee-8198-1dd585f2e0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50dd394-6f0d-4eee-8198-1dd585f2e005" xsi:nil="true"/>
  </documentManagement>
</p:properties>
</file>

<file path=customXml/itemProps1.xml><?xml version="1.0" encoding="utf-8"?>
<ds:datastoreItem xmlns:ds="http://schemas.openxmlformats.org/officeDocument/2006/customXml" ds:itemID="{91B71D8D-7C67-4117-ABCA-44A1A70E79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50dd394-6f0d-4eee-8198-1dd585f2e0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D1ABEF7-735E-418E-96F7-00887503093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072F849-DD5A-4061-980D-E46AF2DEA87B}">
  <ds:schemaRefs>
    <ds:schemaRef ds:uri="http://purl.org/dc/elements/1.1/"/>
    <ds:schemaRef ds:uri="http://schemas.microsoft.com/office/2006/documentManagement/types"/>
    <ds:schemaRef ds:uri="http://www.w3.org/XML/1998/namespace"/>
    <ds:schemaRef ds:uri="350dd394-6f0d-4eee-8198-1dd585f2e005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164e1b0e-c8e5-41a9-9bbb-6f7ed40eef04}" enabled="0" method="" siteId="{164e1b0e-c8e5-41a9-9bbb-6f7ed40eef04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Podsumowanie</vt:lpstr>
      <vt:lpstr>Przychody z biletów</vt:lpstr>
      <vt:lpstr>Tornado</vt:lpstr>
      <vt:lpstr>Koszty pracowników</vt:lpstr>
      <vt:lpstr>Koszty paliwa</vt:lpstr>
      <vt:lpstr>Koszty napraw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Jozek Nanowski</dc:creator>
  <cp:keywords/>
  <dc:description/>
  <cp:lastModifiedBy>Józef Nanowski</cp:lastModifiedBy>
  <cp:revision/>
  <dcterms:created xsi:type="dcterms:W3CDTF">2026-01-08T12:57:01Z</dcterms:created>
  <dcterms:modified xsi:type="dcterms:W3CDTF">2026-01-11T13:45:57Z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0x010100C212EE70A1B6D44C821EC82D3F1B3010</vt:lpwstr>
  </property>
</Properties>
</file>