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jozek\Desktop\SWAK\"/>
    </mc:Choice>
  </mc:AlternateContent>
  <xr:revisionPtr revIDLastSave="0" documentId="13_ncr:1_{BD72D515-C559-44D5-B85A-3660AC9803B0}" xr6:coauthVersionLast="47" xr6:coauthVersionMax="47" xr10:uidLastSave="{00000000-0000-0000-0000-000000000000}"/>
  <bookViews>
    <workbookView xWindow="-108" yWindow="-108" windowWidth="30936" windowHeight="16776" firstSheet="8" activeTab="14" xr2:uid="{00000000-000D-0000-FFFF-FFFF00000000}"/>
  </bookViews>
  <sheets>
    <sheet name="Koszty napraw" sheetId="50" r:id="rId1"/>
    <sheet name="Podsumowanie" sheetId="1" r:id="rId2"/>
    <sheet name="Analiza dwuczynnikowa final" sheetId="49" r:id="rId3"/>
    <sheet name="Model 150%" sheetId="44" r:id="rId4"/>
    <sheet name="Model 140%" sheetId="43" r:id="rId5"/>
    <sheet name="Model 130%" sheetId="40" r:id="rId6"/>
    <sheet name="Model 120%" sheetId="39" r:id="rId7"/>
    <sheet name="Model 110%" sheetId="38" r:id="rId8"/>
    <sheet name="Model 100%" sheetId="37" r:id="rId9"/>
    <sheet name="Model 90%" sheetId="46" r:id="rId10"/>
    <sheet name="Model 80%" sheetId="47" r:id="rId11"/>
    <sheet name="Model 70%" sheetId="48" r:id="rId12"/>
    <sheet name="Przychody z biletów + analiza" sheetId="2" r:id="rId13"/>
    <sheet name="Wyniki regresji" sheetId="52" r:id="rId14"/>
    <sheet name="Scenariusz" sheetId="53" r:id="rId15"/>
    <sheet name="REGRESJA" sheetId="51" r:id="rId16"/>
    <sheet name="Koszty napraw_old" sheetId="3" r:id="rId17"/>
    <sheet name="Koszty pracowników" sheetId="8" r:id="rId18"/>
    <sheet name="Koszty paliwa" sheetId="6" r:id="rId19"/>
  </sheets>
  <definedNames>
    <definedName name="_xleta.SUM" hidden="1" xlm="1">#NAME?</definedName>
    <definedName name="solver_adj" localSheetId="14" hidden="1">Scenariusz!$D$8,Scenariusz!$D$10</definedName>
    <definedName name="solver_cvg" localSheetId="14" hidden="1">0.0001</definedName>
    <definedName name="solver_drv" localSheetId="14" hidden="1">2</definedName>
    <definedName name="solver_eng" localSheetId="14" hidden="1">2</definedName>
    <definedName name="solver_est" localSheetId="14" hidden="1">1</definedName>
    <definedName name="solver_itr" localSheetId="14" hidden="1">2147483647</definedName>
    <definedName name="solver_mip" localSheetId="14" hidden="1">2147483647</definedName>
    <definedName name="solver_mni" localSheetId="14" hidden="1">30</definedName>
    <definedName name="solver_mrt" localSheetId="14" hidden="1">0.075</definedName>
    <definedName name="solver_msl" localSheetId="14" hidden="1">2</definedName>
    <definedName name="solver_neg" localSheetId="14" hidden="1">1</definedName>
    <definedName name="solver_nod" localSheetId="14" hidden="1">2147483647</definedName>
    <definedName name="solver_num" localSheetId="14" hidden="1">1</definedName>
    <definedName name="solver_nwt" localSheetId="14" hidden="1">1</definedName>
    <definedName name="solver_opt" localSheetId="14" hidden="1">Scenariusz!$E$3</definedName>
    <definedName name="solver_pre" localSheetId="14" hidden="1">0.000001</definedName>
    <definedName name="solver_rbv" localSheetId="14" hidden="1">2</definedName>
    <definedName name="solver_rlx" localSheetId="14" hidden="1">2</definedName>
    <definedName name="solver_rsd" localSheetId="14" hidden="1">0</definedName>
    <definedName name="solver_scl" localSheetId="14" hidden="1">2</definedName>
    <definedName name="solver_sho" localSheetId="14" hidden="1">2</definedName>
    <definedName name="solver_ssz" localSheetId="14" hidden="1">100</definedName>
    <definedName name="solver_tim" localSheetId="14" hidden="1">2147483647</definedName>
    <definedName name="solver_tol" localSheetId="14" hidden="1">0.01</definedName>
    <definedName name="solver_typ" localSheetId="14" hidden="1">3</definedName>
    <definedName name="solver_val" localSheetId="14" hidden="1">4328621.98019576</definedName>
    <definedName name="solver_ver" localSheetId="14" hidden="1">3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53" l="1"/>
  <c r="P25" i="6"/>
  <c r="T33" i="6" l="1"/>
  <c r="U33" i="6"/>
  <c r="V33" i="6"/>
  <c r="W33" i="6"/>
  <c r="X33" i="6"/>
  <c r="Y33" i="6"/>
  <c r="Z33" i="6"/>
  <c r="S33" i="6"/>
  <c r="H16" i="8"/>
  <c r="I16" i="8"/>
  <c r="J16" i="8"/>
  <c r="K16" i="8"/>
  <c r="L16" i="8"/>
  <c r="M16" i="8"/>
  <c r="N16" i="8"/>
  <c r="O16" i="8"/>
  <c r="P16" i="8"/>
  <c r="G16" i="8"/>
  <c r="P5" i="8"/>
  <c r="P6" i="8"/>
  <c r="C10" i="8"/>
  <c r="A8" i="6"/>
  <c r="A7" i="6"/>
  <c r="A6" i="6"/>
  <c r="A23" i="6"/>
  <c r="AF70" i="50"/>
  <c r="AG70" i="50"/>
  <c r="AH70" i="50"/>
  <c r="AI70" i="50"/>
  <c r="AJ70" i="50"/>
  <c r="AK70" i="50"/>
  <c r="AL70" i="50"/>
  <c r="AM70" i="50"/>
  <c r="AE70" i="50"/>
  <c r="AC25" i="1" a="1"/>
  <c r="AC25" i="1" s="1"/>
  <c r="Q5" i="8" l="1"/>
  <c r="AJ2" i="50"/>
  <c r="AI2" i="50" s="1"/>
  <c r="AG2" i="50" s="1"/>
  <c r="C14" i="2"/>
  <c r="D2" i="50"/>
  <c r="D3" i="50"/>
  <c r="AO3" i="50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6" i="50"/>
  <c r="D57" i="50"/>
  <c r="D58" i="50"/>
  <c r="D59" i="50"/>
  <c r="D60" i="50"/>
  <c r="D61" i="50"/>
  <c r="D62" i="50"/>
  <c r="D63" i="50"/>
  <c r="D64" i="50"/>
  <c r="D65" i="50"/>
  <c r="D66" i="50"/>
  <c r="D67" i="50"/>
  <c r="D68" i="50"/>
  <c r="D69" i="50"/>
  <c r="D70" i="50"/>
  <c r="D71" i="50"/>
  <c r="D72" i="50"/>
  <c r="D73" i="50"/>
  <c r="D74" i="50"/>
  <c r="D75" i="50"/>
  <c r="D76" i="50"/>
  <c r="D77" i="50"/>
  <c r="D78" i="50"/>
  <c r="D79" i="50"/>
  <c r="D80" i="50"/>
  <c r="D81" i="50"/>
  <c r="D82" i="50"/>
  <c r="D83" i="50"/>
  <c r="D84" i="50"/>
  <c r="D85" i="50"/>
  <c r="D86" i="50"/>
  <c r="D87" i="50"/>
  <c r="D88" i="50"/>
  <c r="D89" i="50"/>
  <c r="D90" i="50"/>
  <c r="D91" i="50"/>
  <c r="D92" i="50"/>
  <c r="D93" i="50"/>
  <c r="D94" i="50"/>
  <c r="D95" i="50"/>
  <c r="D96" i="50"/>
  <c r="D97" i="50"/>
  <c r="D98" i="50"/>
  <c r="D99" i="50"/>
  <c r="D100" i="50"/>
  <c r="D101" i="50"/>
  <c r="D102" i="50"/>
  <c r="D103" i="50"/>
  <c r="D104" i="50"/>
  <c r="D105" i="50"/>
  <c r="D106" i="50"/>
  <c r="D107" i="50"/>
  <c r="D108" i="50"/>
  <c r="D109" i="50"/>
  <c r="D110" i="50"/>
  <c r="D111" i="50"/>
  <c r="D112" i="50"/>
  <c r="D113" i="50"/>
  <c r="D114" i="50"/>
  <c r="D115" i="50"/>
  <c r="D116" i="50"/>
  <c r="D117" i="50"/>
  <c r="D118" i="50"/>
  <c r="D119" i="50"/>
  <c r="D120" i="50"/>
  <c r="D121" i="50"/>
  <c r="D122" i="50"/>
  <c r="D123" i="50"/>
  <c r="D124" i="50"/>
  <c r="D125" i="50"/>
  <c r="D126" i="50"/>
  <c r="D127" i="50"/>
  <c r="D128" i="50"/>
  <c r="D129" i="50"/>
  <c r="D130" i="50"/>
  <c r="D131" i="50"/>
  <c r="D132" i="50"/>
  <c r="D133" i="50"/>
  <c r="D134" i="50"/>
  <c r="D135" i="50"/>
  <c r="D136" i="50"/>
  <c r="D137" i="50"/>
  <c r="D138" i="50"/>
  <c r="D139" i="50"/>
  <c r="D140" i="50"/>
  <c r="D141" i="50"/>
  <c r="AE14" i="3"/>
  <c r="AH3" i="3"/>
  <c r="AG13" i="3"/>
  <c r="AG10" i="3"/>
  <c r="AG11" i="3"/>
  <c r="AG12" i="3"/>
  <c r="AG9" i="3"/>
  <c r="Z25" i="1" a="1"/>
  <c r="Z25" i="1" s="1"/>
  <c r="J3" i="1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R13" i="2"/>
  <c r="D3" i="48"/>
  <c r="E3" i="48"/>
  <c r="F3" i="48"/>
  <c r="G3" i="48"/>
  <c r="H3" i="48"/>
  <c r="I3" i="48"/>
  <c r="C3" i="48"/>
  <c r="C5" i="49"/>
  <c r="C3" i="47"/>
  <c r="D3" i="47"/>
  <c r="E3" i="47"/>
  <c r="F3" i="47"/>
  <c r="G3" i="47"/>
  <c r="H3" i="47"/>
  <c r="I3" i="47"/>
  <c r="D4" i="46"/>
  <c r="E4" i="46"/>
  <c r="F4" i="46"/>
  <c r="G4" i="46"/>
  <c r="H4" i="46"/>
  <c r="I4" i="46"/>
  <c r="C4" i="46"/>
  <c r="D4" i="44"/>
  <c r="E4" i="44"/>
  <c r="F4" i="44"/>
  <c r="G4" i="44"/>
  <c r="H4" i="44"/>
  <c r="I4" i="44"/>
  <c r="C4" i="44"/>
  <c r="D4" i="43"/>
  <c r="E4" i="43"/>
  <c r="F4" i="43"/>
  <c r="G4" i="43"/>
  <c r="H4" i="43"/>
  <c r="I4" i="43"/>
  <c r="C4" i="43"/>
  <c r="P19" i="1"/>
  <c r="Q19" i="1"/>
  <c r="R19" i="1"/>
  <c r="S19" i="1"/>
  <c r="T19" i="1"/>
  <c r="U19" i="1"/>
  <c r="O19" i="1"/>
  <c r="D4" i="40"/>
  <c r="E4" i="40"/>
  <c r="F4" i="40"/>
  <c r="G4" i="40"/>
  <c r="H4" i="40"/>
  <c r="I4" i="40"/>
  <c r="C4" i="40"/>
  <c r="D4" i="39"/>
  <c r="E4" i="39"/>
  <c r="F4" i="39"/>
  <c r="G4" i="39"/>
  <c r="H4" i="39"/>
  <c r="I4" i="39"/>
  <c r="C4" i="39"/>
  <c r="D4" i="38"/>
  <c r="E4" i="38"/>
  <c r="F4" i="38"/>
  <c r="G4" i="38"/>
  <c r="H4" i="38"/>
  <c r="I4" i="38"/>
  <c r="C4" i="38"/>
  <c r="D3" i="37"/>
  <c r="E3" i="37"/>
  <c r="F3" i="37"/>
  <c r="G3" i="37"/>
  <c r="H3" i="37"/>
  <c r="I3" i="37"/>
  <c r="C3" i="37"/>
  <c r="U24" i="1"/>
  <c r="T24" i="1"/>
  <c r="S24" i="1"/>
  <c r="O24" i="1"/>
  <c r="P24" i="1"/>
  <c r="Q24" i="1"/>
  <c r="C13" i="8"/>
  <c r="C12" i="8"/>
  <c r="C11" i="8"/>
  <c r="C9" i="8"/>
  <c r="J15" i="2"/>
  <c r="C3" i="1"/>
  <c r="D3" i="1"/>
  <c r="E3" i="1"/>
  <c r="F3" i="1"/>
  <c r="G3" i="1"/>
  <c r="H3" i="1"/>
  <c r="I3" i="1"/>
  <c r="C4" i="1"/>
  <c r="D4" i="1"/>
  <c r="E4" i="1"/>
  <c r="F4" i="1"/>
  <c r="G4" i="1"/>
  <c r="H4" i="1"/>
  <c r="I4" i="1"/>
  <c r="J4" i="1"/>
  <c r="B4" i="1"/>
  <c r="B3" i="1"/>
  <c r="C2" i="1"/>
  <c r="D2" i="1"/>
  <c r="E2" i="1"/>
  <c r="F2" i="1"/>
  <c r="G2" i="1"/>
  <c r="H2" i="1"/>
  <c r="I2" i="1"/>
  <c r="J2" i="1"/>
  <c r="B2" i="1"/>
  <c r="Q15" i="1"/>
  <c r="Q14" i="1"/>
  <c r="P14" i="1"/>
  <c r="O14" i="1"/>
  <c r="Q9" i="1"/>
  <c r="P9" i="1"/>
  <c r="Q10" i="1"/>
  <c r="Q11" i="1" s="1"/>
  <c r="P10" i="1"/>
  <c r="P11" i="1" s="1"/>
  <c r="O10" i="1"/>
  <c r="O11" i="1" s="1"/>
  <c r="O9" i="1"/>
  <c r="P3" i="8"/>
  <c r="AL3" i="3"/>
  <c r="P4" i="8"/>
  <c r="A22" i="6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E2" i="3" s="1"/>
  <c r="C16" i="2"/>
  <c r="F15" i="2"/>
  <c r="K9" i="2"/>
  <c r="K17" i="2" s="1"/>
  <c r="J9" i="2"/>
  <c r="J17" i="2" s="1"/>
  <c r="I9" i="2"/>
  <c r="I17" i="2" s="1"/>
  <c r="E9" i="2"/>
  <c r="D9" i="2"/>
  <c r="D17" i="2" s="1"/>
  <c r="C9" i="2"/>
  <c r="K8" i="2"/>
  <c r="K16" i="2" s="1"/>
  <c r="J8" i="2"/>
  <c r="J16" i="2" s="1"/>
  <c r="I8" i="2"/>
  <c r="I16" i="2" s="1"/>
  <c r="E8" i="2"/>
  <c r="E16" i="2" s="1"/>
  <c r="D8" i="2"/>
  <c r="C8" i="2"/>
  <c r="L7" i="2"/>
  <c r="L15" i="2" s="1"/>
  <c r="K7" i="2"/>
  <c r="K15" i="2" s="1"/>
  <c r="J7" i="2"/>
  <c r="I7" i="2"/>
  <c r="I15" i="2" s="1"/>
  <c r="F7" i="2"/>
  <c r="E7" i="2"/>
  <c r="E15" i="2" s="1"/>
  <c r="D7" i="2"/>
  <c r="C7" i="2"/>
  <c r="C15" i="2" s="1"/>
  <c r="L6" i="2"/>
  <c r="L14" i="2" s="1"/>
  <c r="K6" i="2"/>
  <c r="K14" i="2" s="1"/>
  <c r="J6" i="2"/>
  <c r="J14" i="2" s="1"/>
  <c r="I6" i="2"/>
  <c r="I14" i="2" s="1"/>
  <c r="F6" i="2"/>
  <c r="F14" i="2" s="1"/>
  <c r="E6" i="2"/>
  <c r="E14" i="2" s="1"/>
  <c r="D6" i="2"/>
  <c r="D14" i="2" s="1"/>
  <c r="C6" i="2"/>
  <c r="Q3" i="8" l="1"/>
  <c r="AH3" i="50"/>
  <c r="AJ3" i="50"/>
  <c r="C22" i="2"/>
  <c r="E23" i="2"/>
  <c r="E13" i="6"/>
  <c r="F23" i="2"/>
  <c r="E14" i="6"/>
  <c r="D28" i="6"/>
  <c r="E29" i="6"/>
  <c r="D12" i="6"/>
  <c r="D22" i="2"/>
  <c r="E22" i="2"/>
  <c r="F22" i="2"/>
  <c r="D25" i="2"/>
  <c r="C23" i="2"/>
  <c r="E25" i="2"/>
  <c r="D23" i="2"/>
  <c r="C25" i="2"/>
  <c r="E24" i="2"/>
  <c r="D24" i="2"/>
  <c r="O13" i="1"/>
  <c r="P12" i="1"/>
  <c r="Q13" i="1"/>
  <c r="Q12" i="1"/>
  <c r="P13" i="1"/>
  <c r="O12" i="1"/>
  <c r="C24" i="2"/>
  <c r="D29" i="6"/>
  <c r="C12" i="6"/>
  <c r="E28" i="6"/>
  <c r="C14" i="6"/>
  <c r="C17" i="2"/>
  <c r="E17" i="2"/>
  <c r="D15" i="2"/>
  <c r="D16" i="2"/>
  <c r="E12" i="6"/>
  <c r="C13" i="6"/>
  <c r="C29" i="6"/>
  <c r="D13" i="6"/>
  <c r="D14" i="6"/>
  <c r="C28" i="6"/>
  <c r="C30" i="2" l="1"/>
  <c r="AI3" i="50"/>
  <c r="AJ4" i="50"/>
  <c r="E15" i="6"/>
  <c r="D30" i="6"/>
  <c r="E30" i="6"/>
  <c r="C31" i="2"/>
  <c r="C15" i="6"/>
  <c r="D15" i="6"/>
  <c r="C30" i="6"/>
  <c r="C34" i="6" l="1"/>
  <c r="D9" i="1" s="1"/>
  <c r="AG3" i="50"/>
  <c r="AH4" i="50"/>
  <c r="AJ5" i="50"/>
  <c r="AI4" i="50"/>
  <c r="B9" i="1"/>
  <c r="C9" i="1" s="1"/>
  <c r="AG4" i="50" l="1"/>
  <c r="AH5" i="50"/>
  <c r="AJ6" i="50"/>
  <c r="AI5" i="50"/>
  <c r="I9" i="1"/>
  <c r="AG5" i="50" l="1"/>
  <c r="AH6" i="50"/>
  <c r="AJ7" i="50"/>
  <c r="AI6" i="50"/>
  <c r="E6" i="3"/>
  <c r="L6" i="3" s="1"/>
  <c r="W6" i="3" s="1"/>
  <c r="E108" i="3"/>
  <c r="O108" i="3" s="1"/>
  <c r="Z108" i="3" s="1"/>
  <c r="E95" i="3"/>
  <c r="M95" i="3" s="1"/>
  <c r="X95" i="3" s="1"/>
  <c r="E49" i="3"/>
  <c r="O49" i="3" s="1"/>
  <c r="Z49" i="3" s="1"/>
  <c r="E24" i="3"/>
  <c r="K24" i="3" s="1"/>
  <c r="V24" i="3" s="1"/>
  <c r="E99" i="3"/>
  <c r="E59" i="3"/>
  <c r="M59" i="3" s="1"/>
  <c r="X59" i="3" s="1"/>
  <c r="E42" i="3"/>
  <c r="K42" i="3" s="1"/>
  <c r="V42" i="3" s="1"/>
  <c r="E36" i="3"/>
  <c r="L36" i="3" s="1"/>
  <c r="W36" i="3" s="1"/>
  <c r="E71" i="3"/>
  <c r="E84" i="3"/>
  <c r="I84" i="3" s="1"/>
  <c r="T84" i="3" s="1"/>
  <c r="E34" i="3"/>
  <c r="N34" i="3" s="1"/>
  <c r="Y34" i="3" s="1"/>
  <c r="E40" i="3"/>
  <c r="M40" i="3" s="1"/>
  <c r="X40" i="3" s="1"/>
  <c r="E53" i="3"/>
  <c r="M53" i="3" s="1"/>
  <c r="X53" i="3" s="1"/>
  <c r="E127" i="3"/>
  <c r="G127" i="3" s="1"/>
  <c r="R127" i="3" s="1"/>
  <c r="E91" i="3"/>
  <c r="M91" i="3" s="1"/>
  <c r="X91" i="3" s="1"/>
  <c r="E82" i="3"/>
  <c r="G82" i="3" s="1"/>
  <c r="R82" i="3" s="1"/>
  <c r="E102" i="3"/>
  <c r="G102" i="3" s="1"/>
  <c r="R102" i="3" s="1"/>
  <c r="E41" i="3"/>
  <c r="K41" i="3" s="1"/>
  <c r="V41" i="3" s="1"/>
  <c r="E128" i="3"/>
  <c r="L128" i="3" s="1"/>
  <c r="W128" i="3" s="1"/>
  <c r="E38" i="3"/>
  <c r="G38" i="3" s="1"/>
  <c r="R38" i="3" s="1"/>
  <c r="E78" i="3"/>
  <c r="K78" i="3" s="1"/>
  <c r="V78" i="3" s="1"/>
  <c r="E13" i="3"/>
  <c r="N13" i="3" s="1"/>
  <c r="Y13" i="3" s="1"/>
  <c r="E134" i="3"/>
  <c r="O134" i="3" s="1"/>
  <c r="Z134" i="3" s="1"/>
  <c r="E28" i="3"/>
  <c r="I28" i="3" s="1"/>
  <c r="T28" i="3" s="1"/>
  <c r="E67" i="3"/>
  <c r="L67" i="3" s="1"/>
  <c r="W67" i="3" s="1"/>
  <c r="E129" i="3"/>
  <c r="H129" i="3" s="1"/>
  <c r="S129" i="3" s="1"/>
  <c r="E10" i="3"/>
  <c r="G10" i="3" s="1"/>
  <c r="R10" i="3" s="1"/>
  <c r="E4" i="3"/>
  <c r="M4" i="3" s="1"/>
  <c r="X4" i="3" s="1"/>
  <c r="E133" i="3"/>
  <c r="I133" i="3" s="1"/>
  <c r="T133" i="3" s="1"/>
  <c r="E136" i="3"/>
  <c r="F136" i="3" s="1"/>
  <c r="Q136" i="3" s="1"/>
  <c r="E48" i="3"/>
  <c r="E26" i="3"/>
  <c r="K26" i="3" s="1"/>
  <c r="V26" i="3" s="1"/>
  <c r="E109" i="3"/>
  <c r="G109" i="3" s="1"/>
  <c r="R109" i="3" s="1"/>
  <c r="E76" i="3"/>
  <c r="F76" i="3" s="1"/>
  <c r="Q76" i="3" s="1"/>
  <c r="E72" i="3"/>
  <c r="F72" i="3" s="1"/>
  <c r="Q72" i="3" s="1"/>
  <c r="E90" i="3"/>
  <c r="H90" i="3" s="1"/>
  <c r="S90" i="3" s="1"/>
  <c r="E118" i="3"/>
  <c r="L118" i="3" s="1"/>
  <c r="W118" i="3" s="1"/>
  <c r="E47" i="3"/>
  <c r="H47" i="3" s="1"/>
  <c r="S47" i="3" s="1"/>
  <c r="E126" i="3"/>
  <c r="H126" i="3" s="1"/>
  <c r="S126" i="3" s="1"/>
  <c r="E54" i="3"/>
  <c r="I54" i="3" s="1"/>
  <c r="T54" i="3" s="1"/>
  <c r="E56" i="3"/>
  <c r="L56" i="3" s="1"/>
  <c r="W56" i="3" s="1"/>
  <c r="E111" i="3"/>
  <c r="E17" i="3"/>
  <c r="L17" i="3" s="1"/>
  <c r="W17" i="3" s="1"/>
  <c r="E5" i="3"/>
  <c r="L5" i="3" s="1"/>
  <c r="W5" i="3" s="1"/>
  <c r="E62" i="3"/>
  <c r="E18" i="3"/>
  <c r="J18" i="3" s="1"/>
  <c r="U18" i="3" s="1"/>
  <c r="E32" i="3"/>
  <c r="L32" i="3" s="1"/>
  <c r="W32" i="3" s="1"/>
  <c r="E122" i="3"/>
  <c r="O122" i="3" s="1"/>
  <c r="Z122" i="3" s="1"/>
  <c r="E25" i="3"/>
  <c r="L25" i="3" s="1"/>
  <c r="W25" i="3" s="1"/>
  <c r="E74" i="3"/>
  <c r="E73" i="3"/>
  <c r="M73" i="3" s="1"/>
  <c r="X73" i="3" s="1"/>
  <c r="E64" i="3"/>
  <c r="H64" i="3" s="1"/>
  <c r="S64" i="3" s="1"/>
  <c r="E113" i="3"/>
  <c r="O113" i="3" s="1"/>
  <c r="Z113" i="3" s="1"/>
  <c r="E23" i="3"/>
  <c r="E119" i="3"/>
  <c r="O119" i="3" s="1"/>
  <c r="Z119" i="3" s="1"/>
  <c r="E11" i="3"/>
  <c r="J11" i="3" s="1"/>
  <c r="U11" i="3" s="1"/>
  <c r="E137" i="3"/>
  <c r="E140" i="3"/>
  <c r="H140" i="3" s="1"/>
  <c r="S140" i="3" s="1"/>
  <c r="E101" i="3"/>
  <c r="I101" i="3" s="1"/>
  <c r="T101" i="3" s="1"/>
  <c r="E139" i="3"/>
  <c r="E52" i="3"/>
  <c r="K52" i="3" s="1"/>
  <c r="V52" i="3" s="1"/>
  <c r="E30" i="3"/>
  <c r="F30" i="3" s="1"/>
  <c r="Q30" i="3" s="1"/>
  <c r="E96" i="3"/>
  <c r="L96" i="3" s="1"/>
  <c r="W96" i="3" s="1"/>
  <c r="E112" i="3"/>
  <c r="L112" i="3" s="1"/>
  <c r="W112" i="3" s="1"/>
  <c r="E135" i="3"/>
  <c r="I135" i="3" s="1"/>
  <c r="T135" i="3" s="1"/>
  <c r="E138" i="3"/>
  <c r="E97" i="3"/>
  <c r="N97" i="3" s="1"/>
  <c r="Y97" i="3" s="1"/>
  <c r="E130" i="3"/>
  <c r="K130" i="3" s="1"/>
  <c r="V130" i="3" s="1"/>
  <c r="E50" i="3"/>
  <c r="F50" i="3" s="1"/>
  <c r="Q50" i="3" s="1"/>
  <c r="E57" i="3"/>
  <c r="F57" i="3" s="1"/>
  <c r="Q57" i="3" s="1"/>
  <c r="E115" i="3"/>
  <c r="M115" i="3" s="1"/>
  <c r="X115" i="3" s="1"/>
  <c r="E60" i="3"/>
  <c r="K60" i="3" s="1"/>
  <c r="V60" i="3" s="1"/>
  <c r="E100" i="3"/>
  <c r="G100" i="3" s="1"/>
  <c r="R100" i="3" s="1"/>
  <c r="E29" i="3"/>
  <c r="G29" i="3" s="1"/>
  <c r="R29" i="3" s="1"/>
  <c r="E58" i="3"/>
  <c r="N58" i="3" s="1"/>
  <c r="Y58" i="3" s="1"/>
  <c r="E123" i="3"/>
  <c r="E16" i="3"/>
  <c r="H16" i="3" s="1"/>
  <c r="S16" i="3" s="1"/>
  <c r="E114" i="3"/>
  <c r="F114" i="3" s="1"/>
  <c r="Q114" i="3" s="1"/>
  <c r="E21" i="3"/>
  <c r="G21" i="3" s="1"/>
  <c r="R21" i="3" s="1"/>
  <c r="E68" i="3"/>
  <c r="F68" i="3" s="1"/>
  <c r="Q68" i="3" s="1"/>
  <c r="E105" i="3"/>
  <c r="I105" i="3" s="1"/>
  <c r="T105" i="3" s="1"/>
  <c r="E98" i="3"/>
  <c r="I98" i="3" s="1"/>
  <c r="T98" i="3" s="1"/>
  <c r="E9" i="3"/>
  <c r="E27" i="3"/>
  <c r="F27" i="3" s="1"/>
  <c r="Q27" i="3" s="1"/>
  <c r="E93" i="3"/>
  <c r="I93" i="3" s="1"/>
  <c r="T93" i="3" s="1"/>
  <c r="E46" i="3"/>
  <c r="F46" i="3" s="1"/>
  <c r="Q46" i="3" s="1"/>
  <c r="E75" i="3"/>
  <c r="E55" i="3"/>
  <c r="J55" i="3" s="1"/>
  <c r="U55" i="3" s="1"/>
  <c r="E12" i="3"/>
  <c r="I12" i="3" s="1"/>
  <c r="T12" i="3" s="1"/>
  <c r="E117" i="3"/>
  <c r="K117" i="3" s="1"/>
  <c r="V117" i="3" s="1"/>
  <c r="E87" i="3"/>
  <c r="E45" i="3"/>
  <c r="K45" i="3" s="1"/>
  <c r="V45" i="3" s="1"/>
  <c r="E8" i="3"/>
  <c r="L8" i="3" s="1"/>
  <c r="W8" i="3" s="1"/>
  <c r="E31" i="3"/>
  <c r="M31" i="3" s="1"/>
  <c r="X31" i="3" s="1"/>
  <c r="E107" i="3"/>
  <c r="E70" i="3"/>
  <c r="H70" i="3" s="1"/>
  <c r="S70" i="3" s="1"/>
  <c r="E22" i="3"/>
  <c r="O22" i="3" s="1"/>
  <c r="Z22" i="3" s="1"/>
  <c r="E132" i="3"/>
  <c r="J132" i="3" s="1"/>
  <c r="U132" i="3" s="1"/>
  <c r="E39" i="3"/>
  <c r="G39" i="3" s="1"/>
  <c r="R39" i="3" s="1"/>
  <c r="E19" i="3"/>
  <c r="M19" i="3" s="1"/>
  <c r="X19" i="3" s="1"/>
  <c r="E43" i="3"/>
  <c r="N43" i="3" s="1"/>
  <c r="Y43" i="3" s="1"/>
  <c r="E103" i="3"/>
  <c r="G103" i="3" s="1"/>
  <c r="R103" i="3" s="1"/>
  <c r="E104" i="3"/>
  <c r="F104" i="3" s="1"/>
  <c r="Q104" i="3" s="1"/>
  <c r="E79" i="3"/>
  <c r="M79" i="3" s="1"/>
  <c r="X79" i="3" s="1"/>
  <c r="E61" i="3"/>
  <c r="I61" i="3" s="1"/>
  <c r="T61" i="3" s="1"/>
  <c r="E141" i="3"/>
  <c r="I141" i="3" s="1"/>
  <c r="T141" i="3" s="1"/>
  <c r="E94" i="3"/>
  <c r="L94" i="3" s="1"/>
  <c r="W94" i="3" s="1"/>
  <c r="E125" i="3"/>
  <c r="E65" i="3"/>
  <c r="E44" i="3"/>
  <c r="E120" i="3"/>
  <c r="J120" i="3" s="1"/>
  <c r="U120" i="3" s="1"/>
  <c r="E124" i="3"/>
  <c r="G124" i="3" s="1"/>
  <c r="R124" i="3" s="1"/>
  <c r="E110" i="3"/>
  <c r="I110" i="3" s="1"/>
  <c r="T110" i="3" s="1"/>
  <c r="E131" i="3"/>
  <c r="O131" i="3" s="1"/>
  <c r="Z131" i="3" s="1"/>
  <c r="E80" i="3"/>
  <c r="K80" i="3" s="1"/>
  <c r="V80" i="3" s="1"/>
  <c r="E116" i="3"/>
  <c r="N116" i="3" s="1"/>
  <c r="Y116" i="3" s="1"/>
  <c r="E37" i="3"/>
  <c r="L37" i="3" s="1"/>
  <c r="W37" i="3" s="1"/>
  <c r="E51" i="3"/>
  <c r="O51" i="3" s="1"/>
  <c r="Z51" i="3" s="1"/>
  <c r="E3" i="3"/>
  <c r="M3" i="3" s="1"/>
  <c r="X3" i="3" s="1"/>
  <c r="E86" i="3"/>
  <c r="L86" i="3" s="1"/>
  <c r="W86" i="3" s="1"/>
  <c r="AG6" i="50" l="1"/>
  <c r="AH7" i="50"/>
  <c r="AJ8" i="50"/>
  <c r="AI7" i="50"/>
  <c r="AH8" i="50" s="1"/>
  <c r="G129" i="3"/>
  <c r="R129" i="3" s="1"/>
  <c r="L59" i="3"/>
  <c r="W59" i="3" s="1"/>
  <c r="J5" i="3"/>
  <c r="U5" i="3" s="1"/>
  <c r="G128" i="3"/>
  <c r="R128" i="3" s="1"/>
  <c r="F24" i="3"/>
  <c r="Q24" i="3" s="1"/>
  <c r="M22" i="3"/>
  <c r="X22" i="3" s="1"/>
  <c r="G141" i="3"/>
  <c r="R141" i="3" s="1"/>
  <c r="G93" i="3"/>
  <c r="R93" i="3" s="1"/>
  <c r="K113" i="3"/>
  <c r="V113" i="3" s="1"/>
  <c r="O116" i="3"/>
  <c r="Z116" i="3" s="1"/>
  <c r="G27" i="3"/>
  <c r="R27" i="3" s="1"/>
  <c r="I104" i="3"/>
  <c r="T104" i="3" s="1"/>
  <c r="H119" i="3"/>
  <c r="S119" i="3" s="1"/>
  <c r="F130" i="3"/>
  <c r="Q130" i="3" s="1"/>
  <c r="N126" i="3"/>
  <c r="Y126" i="3" s="1"/>
  <c r="J103" i="3"/>
  <c r="U103" i="3" s="1"/>
  <c r="L70" i="3"/>
  <c r="W70" i="3" s="1"/>
  <c r="G46" i="3"/>
  <c r="R46" i="3" s="1"/>
  <c r="I16" i="3"/>
  <c r="T16" i="3" s="1"/>
  <c r="G50" i="3"/>
  <c r="R50" i="3" s="1"/>
  <c r="J64" i="3"/>
  <c r="U64" i="3" s="1"/>
  <c r="L51" i="3"/>
  <c r="W51" i="3" s="1"/>
  <c r="M45" i="3"/>
  <c r="X45" i="3" s="1"/>
  <c r="J100" i="3"/>
  <c r="U100" i="3" s="1"/>
  <c r="L10" i="3"/>
  <c r="W10" i="3" s="1"/>
  <c r="K39" i="3"/>
  <c r="V39" i="3" s="1"/>
  <c r="N86" i="3"/>
  <c r="Y86" i="3" s="1"/>
  <c r="K55" i="3"/>
  <c r="V55" i="3" s="1"/>
  <c r="F67" i="3"/>
  <c r="Q67" i="3" s="1"/>
  <c r="O34" i="3"/>
  <c r="Z34" i="3" s="1"/>
  <c r="H58" i="3"/>
  <c r="S58" i="3" s="1"/>
  <c r="H55" i="3"/>
  <c r="S55" i="3" s="1"/>
  <c r="F13" i="3"/>
  <c r="Q13" i="3" s="1"/>
  <c r="J104" i="3"/>
  <c r="U104" i="3" s="1"/>
  <c r="L72" i="3"/>
  <c r="W72" i="3" s="1"/>
  <c r="L12" i="3"/>
  <c r="W12" i="3" s="1"/>
  <c r="M38" i="3"/>
  <c r="X38" i="3" s="1"/>
  <c r="M114" i="3"/>
  <c r="X114" i="3" s="1"/>
  <c r="L126" i="3"/>
  <c r="W126" i="3" s="1"/>
  <c r="G101" i="3"/>
  <c r="R101" i="3" s="1"/>
  <c r="O120" i="3"/>
  <c r="Z120" i="3" s="1"/>
  <c r="H105" i="3"/>
  <c r="S105" i="3" s="1"/>
  <c r="G135" i="3"/>
  <c r="R135" i="3" s="1"/>
  <c r="I86" i="3"/>
  <c r="T86" i="3" s="1"/>
  <c r="W39" i="3"/>
  <c r="I6" i="3"/>
  <c r="T6" i="3" s="1"/>
  <c r="J95" i="3"/>
  <c r="U95" i="3" s="1"/>
  <c r="O59" i="3"/>
  <c r="Z59" i="3" s="1"/>
  <c r="I39" i="3"/>
  <c r="T39" i="3" s="1"/>
  <c r="F18" i="3"/>
  <c r="Q18" i="3" s="1"/>
  <c r="K126" i="3"/>
  <c r="V126" i="3" s="1"/>
  <c r="O24" i="3"/>
  <c r="Z24" i="3" s="1"/>
  <c r="O54" i="3"/>
  <c r="Z54" i="3" s="1"/>
  <c r="G113" i="3"/>
  <c r="R113" i="3" s="1"/>
  <c r="O19" i="3"/>
  <c r="Z19" i="3" s="1"/>
  <c r="F31" i="3"/>
  <c r="Q31" i="3" s="1"/>
  <c r="I11" i="3"/>
  <c r="T11" i="3" s="1"/>
  <c r="H25" i="3"/>
  <c r="S25" i="3" s="1"/>
  <c r="G59" i="3"/>
  <c r="R59" i="3" s="1"/>
  <c r="O76" i="3"/>
  <c r="Z76" i="3" s="1"/>
  <c r="G54" i="3"/>
  <c r="R54" i="3" s="1"/>
  <c r="K73" i="3"/>
  <c r="V73" i="3" s="1"/>
  <c r="H21" i="3"/>
  <c r="S21" i="3" s="1"/>
  <c r="K56" i="3"/>
  <c r="V56" i="3" s="1"/>
  <c r="K108" i="3"/>
  <c r="V108" i="3" s="1"/>
  <c r="M13" i="3"/>
  <c r="X13" i="3" s="1"/>
  <c r="N3" i="3"/>
  <c r="Y3" i="3" s="1"/>
  <c r="K68" i="3"/>
  <c r="V68" i="3" s="1"/>
  <c r="K54" i="3"/>
  <c r="V54" i="3" s="1"/>
  <c r="M76" i="3"/>
  <c r="X76" i="3" s="1"/>
  <c r="G13" i="3"/>
  <c r="R13" i="3" s="1"/>
  <c r="O30" i="3"/>
  <c r="Z30" i="3" s="1"/>
  <c r="M54" i="3"/>
  <c r="X54" i="3" s="1"/>
  <c r="G76" i="3"/>
  <c r="R76" i="3" s="1"/>
  <c r="K13" i="3"/>
  <c r="V13" i="3" s="1"/>
  <c r="I60" i="3"/>
  <c r="T60" i="3" s="1"/>
  <c r="N67" i="3"/>
  <c r="Y67" i="3" s="1"/>
  <c r="F126" i="3"/>
  <c r="Q126" i="3" s="1"/>
  <c r="K112" i="3"/>
  <c r="V112" i="3" s="1"/>
  <c r="I136" i="3"/>
  <c r="T136" i="3" s="1"/>
  <c r="O104" i="3"/>
  <c r="Z104" i="3" s="1"/>
  <c r="M119" i="3"/>
  <c r="X119" i="3" s="1"/>
  <c r="G104" i="3"/>
  <c r="R104" i="3" s="1"/>
  <c r="N4" i="3"/>
  <c r="Y4" i="3" s="1"/>
  <c r="F45" i="3"/>
  <c r="Q45" i="3" s="1"/>
  <c r="H112" i="3"/>
  <c r="S112" i="3" s="1"/>
  <c r="F4" i="3"/>
  <c r="Q4" i="3" s="1"/>
  <c r="N80" i="3"/>
  <c r="Y80" i="3" s="1"/>
  <c r="N45" i="3"/>
  <c r="Y45" i="3" s="1"/>
  <c r="H45" i="3"/>
  <c r="S45" i="3" s="1"/>
  <c r="I45" i="3"/>
  <c r="T45" i="3" s="1"/>
  <c r="G47" i="3"/>
  <c r="R47" i="3" s="1"/>
  <c r="K105" i="3"/>
  <c r="V105" i="3" s="1"/>
  <c r="O45" i="3"/>
  <c r="Z45" i="3" s="1"/>
  <c r="L45" i="3"/>
  <c r="W45" i="3" s="1"/>
  <c r="I70" i="3"/>
  <c r="T70" i="3" s="1"/>
  <c r="H133" i="3"/>
  <c r="S133" i="3" s="1"/>
  <c r="I130" i="3"/>
  <c r="T130" i="3" s="1"/>
  <c r="O12" i="3"/>
  <c r="Z12" i="3" s="1"/>
  <c r="K100" i="3"/>
  <c r="V100" i="3" s="1"/>
  <c r="N16" i="3"/>
  <c r="Y16" i="3" s="1"/>
  <c r="J112" i="3"/>
  <c r="U112" i="3" s="1"/>
  <c r="K79" i="3"/>
  <c r="V79" i="3" s="1"/>
  <c r="M70" i="3"/>
  <c r="X70" i="3" s="1"/>
  <c r="F59" i="3"/>
  <c r="Q59" i="3" s="1"/>
  <c r="H4" i="3"/>
  <c r="S4" i="3" s="1"/>
  <c r="N37" i="3"/>
  <c r="Y37" i="3" s="1"/>
  <c r="I4" i="3"/>
  <c r="T4" i="3" s="1"/>
  <c r="L101" i="3"/>
  <c r="W101" i="3" s="1"/>
  <c r="O13" i="3"/>
  <c r="Z13" i="3" s="1"/>
  <c r="I13" i="3"/>
  <c r="T13" i="3" s="1"/>
  <c r="O112" i="3"/>
  <c r="Z112" i="3" s="1"/>
  <c r="M116" i="3"/>
  <c r="X116" i="3" s="1"/>
  <c r="J47" i="3"/>
  <c r="U47" i="3" s="1"/>
  <c r="N40" i="3"/>
  <c r="Y40" i="3" s="1"/>
  <c r="O27" i="3"/>
  <c r="Z27" i="3" s="1"/>
  <c r="H95" i="3"/>
  <c r="S95" i="3" s="1"/>
  <c r="J86" i="3"/>
  <c r="U86" i="3" s="1"/>
  <c r="G43" i="3"/>
  <c r="R43" i="3" s="1"/>
  <c r="H26" i="3"/>
  <c r="S26" i="3" s="1"/>
  <c r="I24" i="3"/>
  <c r="T24" i="3" s="1"/>
  <c r="O17" i="3"/>
  <c r="Z17" i="3" s="1"/>
  <c r="N31" i="3"/>
  <c r="Y31" i="3" s="1"/>
  <c r="L120" i="3"/>
  <c r="W120" i="3" s="1"/>
  <c r="F133" i="3"/>
  <c r="Q133" i="3" s="1"/>
  <c r="J80" i="3"/>
  <c r="U80" i="3" s="1"/>
  <c r="I3" i="3"/>
  <c r="T3" i="3" s="1"/>
  <c r="F134" i="3"/>
  <c r="Q134" i="3" s="1"/>
  <c r="L141" i="3"/>
  <c r="W141" i="3" s="1"/>
  <c r="G70" i="3"/>
  <c r="R70" i="3" s="1"/>
  <c r="H54" i="3"/>
  <c r="S54" i="3" s="1"/>
  <c r="H104" i="3"/>
  <c r="S104" i="3" s="1"/>
  <c r="J16" i="3"/>
  <c r="U16" i="3" s="1"/>
  <c r="I76" i="3"/>
  <c r="T76" i="3" s="1"/>
  <c r="O136" i="3"/>
  <c r="Z136" i="3" s="1"/>
  <c r="L129" i="3"/>
  <c r="W129" i="3" s="1"/>
  <c r="K93" i="3"/>
  <c r="V93" i="3" s="1"/>
  <c r="J17" i="3"/>
  <c r="U17" i="3" s="1"/>
  <c r="L102" i="3"/>
  <c r="W102" i="3" s="1"/>
  <c r="F135" i="3"/>
  <c r="Q135" i="3" s="1"/>
  <c r="F40" i="3"/>
  <c r="Q40" i="3" s="1"/>
  <c r="I68" i="3"/>
  <c r="T68" i="3" s="1"/>
  <c r="L55" i="3"/>
  <c r="W55" i="3" s="1"/>
  <c r="K129" i="3"/>
  <c r="V129" i="3" s="1"/>
  <c r="F19" i="3"/>
  <c r="Q19" i="3" s="1"/>
  <c r="G120" i="3"/>
  <c r="R120" i="3" s="1"/>
  <c r="N114" i="3"/>
  <c r="Y114" i="3" s="1"/>
  <c r="F105" i="3"/>
  <c r="Q105" i="3" s="1"/>
  <c r="F55" i="3"/>
  <c r="Q55" i="3" s="1"/>
  <c r="M24" i="3"/>
  <c r="X24" i="3" s="1"/>
  <c r="I109" i="3"/>
  <c r="T109" i="3" s="1"/>
  <c r="H43" i="3"/>
  <c r="S43" i="3" s="1"/>
  <c r="F26" i="3"/>
  <c r="Q26" i="3" s="1"/>
  <c r="J13" i="3"/>
  <c r="U13" i="3" s="1"/>
  <c r="M42" i="3"/>
  <c r="X42" i="3" s="1"/>
  <c r="I55" i="3"/>
  <c r="T55" i="3" s="1"/>
  <c r="K120" i="3"/>
  <c r="V120" i="3" s="1"/>
  <c r="G112" i="3"/>
  <c r="R112" i="3" s="1"/>
  <c r="H86" i="3"/>
  <c r="S86" i="3" s="1"/>
  <c r="M112" i="3"/>
  <c r="X112" i="3" s="1"/>
  <c r="J76" i="3"/>
  <c r="U76" i="3" s="1"/>
  <c r="F17" i="3"/>
  <c r="Q17" i="3" s="1"/>
  <c r="I40" i="3"/>
  <c r="T40" i="3" s="1"/>
  <c r="N24" i="3"/>
  <c r="Y24" i="3" s="1"/>
  <c r="G24" i="3"/>
  <c r="R24" i="3" s="1"/>
  <c r="O129" i="3"/>
  <c r="Z129" i="3" s="1"/>
  <c r="O68" i="3"/>
  <c r="Z68" i="3" s="1"/>
  <c r="H73" i="3"/>
  <c r="S73" i="3" s="1"/>
  <c r="N68" i="3"/>
  <c r="Y68" i="3" s="1"/>
  <c r="H40" i="3"/>
  <c r="S40" i="3" s="1"/>
  <c r="M128" i="3"/>
  <c r="X128" i="3" s="1"/>
  <c r="H24" i="3"/>
  <c r="S24" i="3" s="1"/>
  <c r="M135" i="3"/>
  <c r="X135" i="3" s="1"/>
  <c r="I80" i="3"/>
  <c r="T80" i="3" s="1"/>
  <c r="J40" i="3"/>
  <c r="U40" i="3" s="1"/>
  <c r="G105" i="3"/>
  <c r="R105" i="3" s="1"/>
  <c r="L64" i="3"/>
  <c r="W64" i="3" s="1"/>
  <c r="M126" i="3"/>
  <c r="X126" i="3" s="1"/>
  <c r="N41" i="3"/>
  <c r="Y41" i="3" s="1"/>
  <c r="H31" i="3"/>
  <c r="S31" i="3" s="1"/>
  <c r="O80" i="3"/>
  <c r="Z80" i="3" s="1"/>
  <c r="G67" i="3"/>
  <c r="R67" i="3" s="1"/>
  <c r="K136" i="3"/>
  <c r="V136" i="3" s="1"/>
  <c r="M133" i="3"/>
  <c r="X133" i="3" s="1"/>
  <c r="M80" i="3"/>
  <c r="X80" i="3" s="1"/>
  <c r="H60" i="3"/>
  <c r="S60" i="3" s="1"/>
  <c r="M60" i="3"/>
  <c r="X60" i="3" s="1"/>
  <c r="F70" i="3"/>
  <c r="Q70" i="3" s="1"/>
  <c r="H102" i="3"/>
  <c r="S102" i="3" s="1"/>
  <c r="K101" i="3"/>
  <c r="V101" i="3" s="1"/>
  <c r="L73" i="3"/>
  <c r="W73" i="3" s="1"/>
  <c r="L130" i="3"/>
  <c r="W130" i="3" s="1"/>
  <c r="L116" i="3"/>
  <c r="W116" i="3" s="1"/>
  <c r="F112" i="3"/>
  <c r="Q112" i="3" s="1"/>
  <c r="L103" i="3"/>
  <c r="W103" i="3" s="1"/>
  <c r="K103" i="3"/>
  <c r="V103" i="3" s="1"/>
  <c r="O103" i="3"/>
  <c r="Z103" i="3" s="1"/>
  <c r="N8" i="3"/>
  <c r="Y8" i="3" s="1"/>
  <c r="I8" i="3"/>
  <c r="T8" i="3" s="1"/>
  <c r="M8" i="3"/>
  <c r="X8" i="3" s="1"/>
  <c r="L28" i="3"/>
  <c r="W28" i="3" s="1"/>
  <c r="G28" i="3"/>
  <c r="R28" i="3" s="1"/>
  <c r="M28" i="3"/>
  <c r="X28" i="3" s="1"/>
  <c r="H8" i="3"/>
  <c r="S8" i="3" s="1"/>
  <c r="K8" i="3"/>
  <c r="V8" i="3" s="1"/>
  <c r="O96" i="3"/>
  <c r="Z96" i="3" s="1"/>
  <c r="I52" i="3"/>
  <c r="T52" i="3" s="1"/>
  <c r="N52" i="3"/>
  <c r="Y52" i="3" s="1"/>
  <c r="K90" i="3"/>
  <c r="V90" i="3" s="1"/>
  <c r="G90" i="3"/>
  <c r="R90" i="3" s="1"/>
  <c r="L90" i="3"/>
  <c r="W90" i="3" s="1"/>
  <c r="K141" i="3"/>
  <c r="V141" i="3" s="1"/>
  <c r="M141" i="3"/>
  <c r="X141" i="3" s="1"/>
  <c r="N141" i="3"/>
  <c r="Y141" i="3" s="1"/>
  <c r="O11" i="3"/>
  <c r="Z11" i="3" s="1"/>
  <c r="H82" i="3"/>
  <c r="S82" i="3" s="1"/>
  <c r="K82" i="3"/>
  <c r="V82" i="3" s="1"/>
  <c r="L82" i="3"/>
  <c r="W82" i="3" s="1"/>
  <c r="N82" i="3"/>
  <c r="Y82" i="3" s="1"/>
  <c r="O141" i="3"/>
  <c r="Z141" i="3" s="1"/>
  <c r="L100" i="3"/>
  <c r="W100" i="3" s="1"/>
  <c r="I100" i="3"/>
  <c r="T100" i="3" s="1"/>
  <c r="L134" i="3"/>
  <c r="W134" i="3" s="1"/>
  <c r="J134" i="3"/>
  <c r="U134" i="3" s="1"/>
  <c r="H134" i="3"/>
  <c r="S134" i="3" s="1"/>
  <c r="N134" i="3"/>
  <c r="Y134" i="3" s="1"/>
  <c r="N110" i="3"/>
  <c r="Y110" i="3" s="1"/>
  <c r="J82" i="3"/>
  <c r="U82" i="3" s="1"/>
  <c r="O110" i="3"/>
  <c r="Z110" i="3" s="1"/>
  <c r="L133" i="3"/>
  <c r="W133" i="3" s="1"/>
  <c r="O114" i="3"/>
  <c r="Z114" i="3" s="1"/>
  <c r="I114" i="3"/>
  <c r="T114" i="3" s="1"/>
  <c r="J114" i="3"/>
  <c r="U114" i="3" s="1"/>
  <c r="K27" i="3"/>
  <c r="V27" i="3" s="1"/>
  <c r="I32" i="3"/>
  <c r="T32" i="3" s="1"/>
  <c r="N32" i="3"/>
  <c r="Y32" i="3" s="1"/>
  <c r="J129" i="3"/>
  <c r="U129" i="3" s="1"/>
  <c r="H27" i="3"/>
  <c r="S27" i="3" s="1"/>
  <c r="O97" i="3"/>
  <c r="Z97" i="3" s="1"/>
  <c r="J79" i="3"/>
  <c r="U79" i="3" s="1"/>
  <c r="H79" i="3"/>
  <c r="S79" i="3" s="1"/>
  <c r="I79" i="3"/>
  <c r="T79" i="3" s="1"/>
  <c r="M104" i="3"/>
  <c r="X104" i="3" s="1"/>
  <c r="F103" i="3"/>
  <c r="Q103" i="3" s="1"/>
  <c r="O52" i="3"/>
  <c r="Z52" i="3" s="1"/>
  <c r="I27" i="3"/>
  <c r="T27" i="3" s="1"/>
  <c r="F96" i="3"/>
  <c r="Q96" i="3" s="1"/>
  <c r="M129" i="3"/>
  <c r="X129" i="3" s="1"/>
  <c r="I129" i="3"/>
  <c r="T129" i="3" s="1"/>
  <c r="M78" i="3"/>
  <c r="X78" i="3" s="1"/>
  <c r="I78" i="3"/>
  <c r="T78" i="3" s="1"/>
  <c r="M11" i="3"/>
  <c r="X11" i="3" s="1"/>
  <c r="N11" i="3"/>
  <c r="Y11" i="3" s="1"/>
  <c r="F11" i="3"/>
  <c r="Q11" i="3" s="1"/>
  <c r="G11" i="3"/>
  <c r="R11" i="3" s="1"/>
  <c r="K11" i="3"/>
  <c r="V11" i="3" s="1"/>
  <c r="J94" i="3"/>
  <c r="U94" i="3" s="1"/>
  <c r="N94" i="3"/>
  <c r="Y94" i="3" s="1"/>
  <c r="H94" i="3"/>
  <c r="S94" i="3" s="1"/>
  <c r="H78" i="3"/>
  <c r="S78" i="3" s="1"/>
  <c r="L11" i="3"/>
  <c r="W11" i="3" s="1"/>
  <c r="O53" i="3"/>
  <c r="Z53" i="3" s="1"/>
  <c r="H11" i="3"/>
  <c r="S11" i="3" s="1"/>
  <c r="F56" i="3"/>
  <c r="Q56" i="3" s="1"/>
  <c r="G75" i="3"/>
  <c r="R75" i="3" s="1"/>
  <c r="N75" i="3"/>
  <c r="Y75" i="3" s="1"/>
  <c r="J75" i="3"/>
  <c r="U75" i="3" s="1"/>
  <c r="O75" i="3"/>
  <c r="Z75" i="3" s="1"/>
  <c r="I75" i="3"/>
  <c r="T75" i="3" s="1"/>
  <c r="G138" i="3"/>
  <c r="R138" i="3" s="1"/>
  <c r="M138" i="3"/>
  <c r="X138" i="3" s="1"/>
  <c r="M103" i="3"/>
  <c r="X103" i="3" s="1"/>
  <c r="G131" i="3"/>
  <c r="R131" i="3" s="1"/>
  <c r="H131" i="3"/>
  <c r="S131" i="3" s="1"/>
  <c r="K131" i="3"/>
  <c r="V131" i="3" s="1"/>
  <c r="J29" i="3"/>
  <c r="U29" i="3" s="1"/>
  <c r="N29" i="3"/>
  <c r="Y29" i="3" s="1"/>
  <c r="L111" i="3"/>
  <c r="W111" i="3" s="1"/>
  <c r="I111" i="3"/>
  <c r="T111" i="3" s="1"/>
  <c r="O111" i="3"/>
  <c r="Z111" i="3" s="1"/>
  <c r="K111" i="3"/>
  <c r="V111" i="3" s="1"/>
  <c r="N111" i="3"/>
  <c r="Y111" i="3" s="1"/>
  <c r="J138" i="3"/>
  <c r="U138" i="3" s="1"/>
  <c r="F111" i="3"/>
  <c r="Q111" i="3" s="1"/>
  <c r="G3" i="3"/>
  <c r="R3" i="3" s="1"/>
  <c r="F3" i="3"/>
  <c r="Q3" i="3" s="1"/>
  <c r="K3" i="3"/>
  <c r="V3" i="3" s="1"/>
  <c r="L3" i="3"/>
  <c r="W3" i="3" s="1"/>
  <c r="G22" i="3"/>
  <c r="R22" i="3" s="1"/>
  <c r="F78" i="3"/>
  <c r="Q78" i="3" s="1"/>
  <c r="M124" i="3"/>
  <c r="X124" i="3" s="1"/>
  <c r="H124" i="3"/>
  <c r="S124" i="3" s="1"/>
  <c r="O90" i="3"/>
  <c r="Z90" i="3" s="1"/>
  <c r="N136" i="3"/>
  <c r="Y136" i="3" s="1"/>
  <c r="G136" i="3"/>
  <c r="R136" i="3" s="1"/>
  <c r="M136" i="3"/>
  <c r="X136" i="3" s="1"/>
  <c r="L136" i="3"/>
  <c r="W136" i="3" s="1"/>
  <c r="H136" i="3"/>
  <c r="S136" i="3" s="1"/>
  <c r="J8" i="3"/>
  <c r="U8" i="3" s="1"/>
  <c r="H50" i="3"/>
  <c r="S50" i="3" s="1"/>
  <c r="L50" i="3"/>
  <c r="W50" i="3" s="1"/>
  <c r="O50" i="3"/>
  <c r="Z50" i="3" s="1"/>
  <c r="K133" i="3"/>
  <c r="V133" i="3" s="1"/>
  <c r="G133" i="3"/>
  <c r="R133" i="3" s="1"/>
  <c r="N133" i="3"/>
  <c r="Y133" i="3" s="1"/>
  <c r="O133" i="3"/>
  <c r="Z133" i="3" s="1"/>
  <c r="J133" i="3"/>
  <c r="U133" i="3" s="1"/>
  <c r="J36" i="3"/>
  <c r="U36" i="3" s="1"/>
  <c r="K36" i="3"/>
  <c r="V36" i="3" s="1"/>
  <c r="M36" i="3"/>
  <c r="X36" i="3" s="1"/>
  <c r="K102" i="3"/>
  <c r="V102" i="3" s="1"/>
  <c r="J102" i="3"/>
  <c r="U102" i="3" s="1"/>
  <c r="J84" i="3"/>
  <c r="U84" i="3" s="1"/>
  <c r="G84" i="3"/>
  <c r="R84" i="3" s="1"/>
  <c r="I50" i="3"/>
  <c r="T50" i="3" s="1"/>
  <c r="I49" i="3"/>
  <c r="T49" i="3" s="1"/>
  <c r="N27" i="3"/>
  <c r="Y27" i="3" s="1"/>
  <c r="N100" i="3"/>
  <c r="Y100" i="3" s="1"/>
  <c r="N125" i="3"/>
  <c r="Y125" i="3" s="1"/>
  <c r="L125" i="3"/>
  <c r="W125" i="3" s="1"/>
  <c r="H132" i="3"/>
  <c r="S132" i="3" s="1"/>
  <c r="N55" i="3"/>
  <c r="Y55" i="3" s="1"/>
  <c r="O55" i="3"/>
  <c r="Z55" i="3" s="1"/>
  <c r="G55" i="3"/>
  <c r="R55" i="3" s="1"/>
  <c r="K138" i="3"/>
  <c r="V138" i="3" s="1"/>
  <c r="F64" i="3"/>
  <c r="Q64" i="3" s="1"/>
  <c r="K64" i="3"/>
  <c r="V64" i="3" s="1"/>
  <c r="N64" i="3"/>
  <c r="Y64" i="3" s="1"/>
  <c r="G64" i="3"/>
  <c r="R64" i="3" s="1"/>
  <c r="G78" i="3"/>
  <c r="R78" i="3" s="1"/>
  <c r="J53" i="3"/>
  <c r="U53" i="3" s="1"/>
  <c r="N132" i="3"/>
  <c r="Y132" i="3" s="1"/>
  <c r="I42" i="3"/>
  <c r="T42" i="3" s="1"/>
  <c r="J42" i="3"/>
  <c r="U42" i="3" s="1"/>
  <c r="H42" i="3"/>
  <c r="S42" i="3" s="1"/>
  <c r="G52" i="3"/>
  <c r="R52" i="3" s="1"/>
  <c r="I64" i="3"/>
  <c r="T64" i="3" s="1"/>
  <c r="H6" i="3"/>
  <c r="S6" i="3" s="1"/>
  <c r="G6" i="3"/>
  <c r="R6" i="3" s="1"/>
  <c r="F6" i="3"/>
  <c r="Q6" i="3" s="1"/>
  <c r="K104" i="3"/>
  <c r="V104" i="3" s="1"/>
  <c r="L27" i="3"/>
  <c r="W27" i="3" s="1"/>
  <c r="G8" i="3"/>
  <c r="R8" i="3" s="1"/>
  <c r="J116" i="3"/>
  <c r="U116" i="3" s="1"/>
  <c r="G130" i="3"/>
  <c r="R130" i="3" s="1"/>
  <c r="K86" i="3"/>
  <c r="V86" i="3" s="1"/>
  <c r="N105" i="3"/>
  <c r="Y105" i="3" s="1"/>
  <c r="O130" i="3"/>
  <c r="Z130" i="3" s="1"/>
  <c r="O86" i="3"/>
  <c r="Z86" i="3" s="1"/>
  <c r="J68" i="3"/>
  <c r="U68" i="3" s="1"/>
  <c r="H130" i="3"/>
  <c r="S130" i="3" s="1"/>
  <c r="H41" i="3"/>
  <c r="S41" i="3" s="1"/>
  <c r="L40" i="3"/>
  <c r="W40" i="3" s="1"/>
  <c r="J126" i="3"/>
  <c r="U126" i="3" s="1"/>
  <c r="J24" i="3"/>
  <c r="U24" i="3" s="1"/>
  <c r="N54" i="3"/>
  <c r="Y54" i="3" s="1"/>
  <c r="G72" i="3"/>
  <c r="R72" i="3" s="1"/>
  <c r="H68" i="3"/>
  <c r="S68" i="3" s="1"/>
  <c r="I120" i="3"/>
  <c r="T120" i="3" s="1"/>
  <c r="L54" i="3"/>
  <c r="W54" i="3" s="1"/>
  <c r="M16" i="3"/>
  <c r="X16" i="3" s="1"/>
  <c r="H128" i="3"/>
  <c r="S128" i="3" s="1"/>
  <c r="M105" i="3"/>
  <c r="X105" i="3" s="1"/>
  <c r="L24" i="3"/>
  <c r="W24" i="3" s="1"/>
  <c r="L68" i="3"/>
  <c r="W68" i="3" s="1"/>
  <c r="O128" i="3"/>
  <c r="Z128" i="3" s="1"/>
  <c r="G80" i="3"/>
  <c r="R80" i="3" s="1"/>
  <c r="H13" i="3"/>
  <c r="S13" i="3" s="1"/>
  <c r="F16" i="3"/>
  <c r="Q16" i="3" s="1"/>
  <c r="F54" i="3"/>
  <c r="Q54" i="3" s="1"/>
  <c r="L80" i="3"/>
  <c r="W80" i="3" s="1"/>
  <c r="O40" i="3"/>
  <c r="Z40" i="3" s="1"/>
  <c r="J54" i="3"/>
  <c r="U54" i="3" s="1"/>
  <c r="M68" i="3"/>
  <c r="X68" i="3" s="1"/>
  <c r="I126" i="3"/>
  <c r="T126" i="3" s="1"/>
  <c r="H44" i="3"/>
  <c r="S44" i="3" s="1"/>
  <c r="J44" i="3"/>
  <c r="U44" i="3" s="1"/>
  <c r="M44" i="3"/>
  <c r="X44" i="3" s="1"/>
  <c r="N107" i="3"/>
  <c r="Y107" i="3" s="1"/>
  <c r="J107" i="3"/>
  <c r="U107" i="3" s="1"/>
  <c r="H107" i="3"/>
  <c r="S107" i="3" s="1"/>
  <c r="L107" i="3"/>
  <c r="W107" i="3" s="1"/>
  <c r="M107" i="3"/>
  <c r="X107" i="3" s="1"/>
  <c r="G107" i="3"/>
  <c r="R107" i="3" s="1"/>
  <c r="O107" i="3"/>
  <c r="Z107" i="3" s="1"/>
  <c r="M87" i="3"/>
  <c r="X87" i="3" s="1"/>
  <c r="K87" i="3"/>
  <c r="V87" i="3" s="1"/>
  <c r="O87" i="3"/>
  <c r="Z87" i="3" s="1"/>
  <c r="I87" i="3"/>
  <c r="T87" i="3" s="1"/>
  <c r="J87" i="3"/>
  <c r="U87" i="3" s="1"/>
  <c r="G87" i="3"/>
  <c r="R87" i="3" s="1"/>
  <c r="L9" i="3"/>
  <c r="W9" i="3" s="1"/>
  <c r="H9" i="3"/>
  <c r="S9" i="3" s="1"/>
  <c r="L123" i="3"/>
  <c r="W123" i="3" s="1"/>
  <c r="G123" i="3"/>
  <c r="R123" i="3" s="1"/>
  <c r="I123" i="3"/>
  <c r="T123" i="3" s="1"/>
  <c r="O123" i="3"/>
  <c r="Z123" i="3" s="1"/>
  <c r="K123" i="3"/>
  <c r="V123" i="3" s="1"/>
  <c r="L139" i="3"/>
  <c r="W139" i="3" s="1"/>
  <c r="N139" i="3"/>
  <c r="Y139" i="3" s="1"/>
  <c r="O139" i="3"/>
  <c r="Z139" i="3" s="1"/>
  <c r="M137" i="3"/>
  <c r="X137" i="3" s="1"/>
  <c r="N137" i="3"/>
  <c r="Y137" i="3" s="1"/>
  <c r="K137" i="3"/>
  <c r="V137" i="3" s="1"/>
  <c r="M23" i="3"/>
  <c r="X23" i="3" s="1"/>
  <c r="F23" i="3"/>
  <c r="Q23" i="3" s="1"/>
  <c r="G23" i="3"/>
  <c r="R23" i="3" s="1"/>
  <c r="L74" i="3"/>
  <c r="W74" i="3" s="1"/>
  <c r="G74" i="3"/>
  <c r="R74" i="3" s="1"/>
  <c r="J74" i="3"/>
  <c r="U74" i="3" s="1"/>
  <c r="M74" i="3"/>
  <c r="X74" i="3" s="1"/>
  <c r="H74" i="3"/>
  <c r="S74" i="3" s="1"/>
  <c r="J62" i="3"/>
  <c r="U62" i="3" s="1"/>
  <c r="F62" i="3"/>
  <c r="Q62" i="3" s="1"/>
  <c r="M62" i="3"/>
  <c r="X62" i="3" s="1"/>
  <c r="O62" i="3"/>
  <c r="Z62" i="3" s="1"/>
  <c r="H62" i="3"/>
  <c r="S62" i="3" s="1"/>
  <c r="I62" i="3"/>
  <c r="T62" i="3" s="1"/>
  <c r="M48" i="3"/>
  <c r="X48" i="3" s="1"/>
  <c r="H48" i="3"/>
  <c r="S48" i="3" s="1"/>
  <c r="N48" i="3"/>
  <c r="Y48" i="3" s="1"/>
  <c r="L48" i="3"/>
  <c r="W48" i="3" s="1"/>
  <c r="I48" i="3"/>
  <c r="T48" i="3" s="1"/>
  <c r="N9" i="3"/>
  <c r="Y9" i="3" s="1"/>
  <c r="G9" i="3"/>
  <c r="R9" i="3" s="1"/>
  <c r="K107" i="3"/>
  <c r="V107" i="3" s="1"/>
  <c r="F74" i="3"/>
  <c r="Q74" i="3" s="1"/>
  <c r="H46" i="3"/>
  <c r="S46" i="3" s="1"/>
  <c r="N46" i="3"/>
  <c r="Y46" i="3" s="1"/>
  <c r="G115" i="3"/>
  <c r="R115" i="3" s="1"/>
  <c r="J115" i="3"/>
  <c r="U115" i="3" s="1"/>
  <c r="L115" i="3"/>
  <c r="W115" i="3" s="1"/>
  <c r="K122" i="3"/>
  <c r="V122" i="3" s="1"/>
  <c r="H122" i="3"/>
  <c r="S122" i="3" s="1"/>
  <c r="G122" i="3"/>
  <c r="R122" i="3" s="1"/>
  <c r="I118" i="3"/>
  <c r="T118" i="3" s="1"/>
  <c r="N118" i="3"/>
  <c r="Y118" i="3" s="1"/>
  <c r="H118" i="3"/>
  <c r="S118" i="3" s="1"/>
  <c r="K118" i="3"/>
  <c r="V118" i="3" s="1"/>
  <c r="L91" i="3"/>
  <c r="W91" i="3" s="1"/>
  <c r="K91" i="3"/>
  <c r="V91" i="3" s="1"/>
  <c r="G91" i="3"/>
  <c r="R91" i="3" s="1"/>
  <c r="N91" i="3"/>
  <c r="Y91" i="3" s="1"/>
  <c r="L127" i="3"/>
  <c r="W127" i="3" s="1"/>
  <c r="H127" i="3"/>
  <c r="S127" i="3" s="1"/>
  <c r="J127" i="3"/>
  <c r="U127" i="3" s="1"/>
  <c r="M127" i="3"/>
  <c r="X127" i="3" s="1"/>
  <c r="I127" i="3"/>
  <c r="T127" i="3" s="1"/>
  <c r="N127" i="3"/>
  <c r="Y127" i="3" s="1"/>
  <c r="G44" i="3"/>
  <c r="R44" i="3" s="1"/>
  <c r="G34" i="3"/>
  <c r="R34" i="3" s="1"/>
  <c r="K34" i="3"/>
  <c r="V34" i="3" s="1"/>
  <c r="M34" i="3"/>
  <c r="X34" i="3" s="1"/>
  <c r="L34" i="3"/>
  <c r="W34" i="3" s="1"/>
  <c r="I34" i="3"/>
  <c r="T34" i="3" s="1"/>
  <c r="H91" i="3"/>
  <c r="S91" i="3" s="1"/>
  <c r="F127" i="3"/>
  <c r="Q127" i="3" s="1"/>
  <c r="K44" i="3"/>
  <c r="V44" i="3" s="1"/>
  <c r="F122" i="3"/>
  <c r="Q122" i="3" s="1"/>
  <c r="F123" i="3"/>
  <c r="Q123" i="3" s="1"/>
  <c r="K115" i="3"/>
  <c r="V115" i="3" s="1"/>
  <c r="K46" i="3"/>
  <c r="V46" i="3" s="1"/>
  <c r="M65" i="3"/>
  <c r="X65" i="3" s="1"/>
  <c r="I65" i="3"/>
  <c r="T65" i="3" s="1"/>
  <c r="K65" i="3"/>
  <c r="V65" i="3" s="1"/>
  <c r="H65" i="3"/>
  <c r="S65" i="3" s="1"/>
  <c r="N65" i="3"/>
  <c r="Y65" i="3" s="1"/>
  <c r="I132" i="3"/>
  <c r="T132" i="3" s="1"/>
  <c r="K132" i="3"/>
  <c r="V132" i="3" s="1"/>
  <c r="G132" i="3"/>
  <c r="R132" i="3" s="1"/>
  <c r="O132" i="3"/>
  <c r="Z132" i="3" s="1"/>
  <c r="I21" i="3"/>
  <c r="T21" i="3" s="1"/>
  <c r="M21" i="3"/>
  <c r="X21" i="3" s="1"/>
  <c r="J9" i="3"/>
  <c r="U9" i="3" s="1"/>
  <c r="M5" i="3"/>
  <c r="X5" i="3" s="1"/>
  <c r="K5" i="3"/>
  <c r="V5" i="3" s="1"/>
  <c r="O5" i="3"/>
  <c r="Z5" i="3" s="1"/>
  <c r="N5" i="3"/>
  <c r="H5" i="3"/>
  <c r="S5" i="3" s="1"/>
  <c r="N56" i="3"/>
  <c r="Y56" i="3" s="1"/>
  <c r="J56" i="3"/>
  <c r="U56" i="3" s="1"/>
  <c r="G56" i="3"/>
  <c r="R56" i="3" s="1"/>
  <c r="N109" i="3"/>
  <c r="Y109" i="3" s="1"/>
  <c r="H109" i="3"/>
  <c r="S109" i="3" s="1"/>
  <c r="N78" i="3"/>
  <c r="Y78" i="3" s="1"/>
  <c r="L78" i="3"/>
  <c r="W78" i="3" s="1"/>
  <c r="K139" i="3"/>
  <c r="V139" i="3" s="1"/>
  <c r="J34" i="3"/>
  <c r="U34" i="3" s="1"/>
  <c r="F115" i="3"/>
  <c r="Q115" i="3" s="1"/>
  <c r="F99" i="3"/>
  <c r="Q99" i="3" s="1"/>
  <c r="G99" i="3"/>
  <c r="R99" i="3" s="1"/>
  <c r="N99" i="3"/>
  <c r="Y99" i="3" s="1"/>
  <c r="K99" i="3"/>
  <c r="V99" i="3" s="1"/>
  <c r="H99" i="3"/>
  <c r="S99" i="3" s="1"/>
  <c r="I99" i="3"/>
  <c r="T99" i="3" s="1"/>
  <c r="F49" i="3"/>
  <c r="Q49" i="3" s="1"/>
  <c r="K49" i="3"/>
  <c r="V49" i="3" s="1"/>
  <c r="L49" i="3"/>
  <c r="W49" i="3" s="1"/>
  <c r="M49" i="3"/>
  <c r="X49" i="3" s="1"/>
  <c r="G48" i="3"/>
  <c r="R48" i="3" s="1"/>
  <c r="F48" i="3"/>
  <c r="Q48" i="3" s="1"/>
  <c r="K9" i="3"/>
  <c r="V9" i="3" s="1"/>
  <c r="J49" i="3"/>
  <c r="U49" i="3" s="1"/>
  <c r="K23" i="3"/>
  <c r="V23" i="3" s="1"/>
  <c r="I74" i="3"/>
  <c r="T74" i="3" s="1"/>
  <c r="N49" i="3"/>
  <c r="Y49" i="3" s="1"/>
  <c r="I131" i="3"/>
  <c r="T131" i="3" s="1"/>
  <c r="N131" i="3"/>
  <c r="Y131" i="3" s="1"/>
  <c r="M131" i="3"/>
  <c r="X131" i="3" s="1"/>
  <c r="F43" i="3"/>
  <c r="Q43" i="3" s="1"/>
  <c r="K43" i="3"/>
  <c r="V43" i="3" s="1"/>
  <c r="O43" i="3"/>
  <c r="Z43" i="3" s="1"/>
  <c r="L43" i="3"/>
  <c r="W43" i="3" s="1"/>
  <c r="J117" i="3"/>
  <c r="U117" i="3" s="1"/>
  <c r="M117" i="3"/>
  <c r="X117" i="3" s="1"/>
  <c r="F58" i="3"/>
  <c r="Q58" i="3" s="1"/>
  <c r="K58" i="3"/>
  <c r="V58" i="3" s="1"/>
  <c r="M58" i="3"/>
  <c r="X58" i="3" s="1"/>
  <c r="I58" i="3"/>
  <c r="T58" i="3" s="1"/>
  <c r="O58" i="3"/>
  <c r="Z58" i="3" s="1"/>
  <c r="N117" i="3"/>
  <c r="Y117" i="3" s="1"/>
  <c r="N71" i="3"/>
  <c r="Y71" i="3" s="1"/>
  <c r="I71" i="3"/>
  <c r="T71" i="3" s="1"/>
  <c r="H71" i="3"/>
  <c r="S71" i="3" s="1"/>
  <c r="G71" i="3"/>
  <c r="R71" i="3" s="1"/>
  <c r="O71" i="3"/>
  <c r="Z71" i="3" s="1"/>
  <c r="J91" i="3"/>
  <c r="U91" i="3" s="1"/>
  <c r="M71" i="3"/>
  <c r="X71" i="3" s="1"/>
  <c r="K71" i="3"/>
  <c r="V71" i="3" s="1"/>
  <c r="L109" i="3"/>
  <c r="W109" i="3" s="1"/>
  <c r="N21" i="3"/>
  <c r="Y21" i="3" s="1"/>
  <c r="F21" i="3"/>
  <c r="Q21" i="3" s="1"/>
  <c r="O46" i="3"/>
  <c r="Z46" i="3" s="1"/>
  <c r="I46" i="3"/>
  <c r="T46" i="3" s="1"/>
  <c r="M99" i="3"/>
  <c r="X99" i="3" s="1"/>
  <c r="O91" i="3"/>
  <c r="Z91" i="3" s="1"/>
  <c r="J43" i="3"/>
  <c r="U43" i="3" s="1"/>
  <c r="L62" i="3"/>
  <c r="W62" i="3" s="1"/>
  <c r="G61" i="3"/>
  <c r="R61" i="3" s="1"/>
  <c r="O61" i="3"/>
  <c r="Z61" i="3" s="1"/>
  <c r="L61" i="3"/>
  <c r="W61" i="3" s="1"/>
  <c r="H29" i="3"/>
  <c r="S29" i="3" s="1"/>
  <c r="L29" i="3"/>
  <c r="W29" i="3" s="1"/>
  <c r="I29" i="3"/>
  <c r="T29" i="3" s="1"/>
  <c r="F29" i="3"/>
  <c r="Q29" i="3" s="1"/>
  <c r="J96" i="3"/>
  <c r="U96" i="3" s="1"/>
  <c r="G96" i="3"/>
  <c r="R96" i="3" s="1"/>
  <c r="I96" i="3"/>
  <c r="T96" i="3" s="1"/>
  <c r="K96" i="3"/>
  <c r="V96" i="3" s="1"/>
  <c r="H96" i="3"/>
  <c r="S96" i="3" s="1"/>
  <c r="F140" i="3"/>
  <c r="Q140" i="3" s="1"/>
  <c r="I140" i="3"/>
  <c r="T140" i="3" s="1"/>
  <c r="J140" i="3"/>
  <c r="U140" i="3" s="1"/>
  <c r="N25" i="3"/>
  <c r="Y25" i="3" s="1"/>
  <c r="I25" i="3"/>
  <c r="T25" i="3" s="1"/>
  <c r="O25" i="3"/>
  <c r="Z25" i="3" s="1"/>
  <c r="J25" i="3"/>
  <c r="U25" i="3" s="1"/>
  <c r="G25" i="3"/>
  <c r="R25" i="3" s="1"/>
  <c r="M123" i="3"/>
  <c r="X123" i="3" s="1"/>
  <c r="H53" i="3"/>
  <c r="S53" i="3" s="1"/>
  <c r="I53" i="3"/>
  <c r="T53" i="3" s="1"/>
  <c r="J78" i="3"/>
  <c r="U78" i="3" s="1"/>
  <c r="H23" i="3"/>
  <c r="S23" i="3" s="1"/>
  <c r="J99" i="3"/>
  <c r="U99" i="3" s="1"/>
  <c r="I115" i="3"/>
  <c r="T115" i="3" s="1"/>
  <c r="L71" i="3"/>
  <c r="W71" i="3" s="1"/>
  <c r="J122" i="3"/>
  <c r="U122" i="3" s="1"/>
  <c r="G118" i="3"/>
  <c r="R118" i="3" s="1"/>
  <c r="G49" i="3"/>
  <c r="R49" i="3" s="1"/>
  <c r="O9" i="3"/>
  <c r="Z9" i="3" s="1"/>
  <c r="F71" i="3"/>
  <c r="Q71" i="3" s="1"/>
  <c r="N74" i="3"/>
  <c r="Y74" i="3" s="1"/>
  <c r="L140" i="3"/>
  <c r="W140" i="3" s="1"/>
  <c r="F51" i="3"/>
  <c r="Q51" i="3" s="1"/>
  <c r="K51" i="3"/>
  <c r="V51" i="3" s="1"/>
  <c r="M51" i="3"/>
  <c r="X51" i="3" s="1"/>
  <c r="N51" i="3"/>
  <c r="Y51" i="3" s="1"/>
  <c r="I51" i="3"/>
  <c r="T51" i="3" s="1"/>
  <c r="G110" i="3"/>
  <c r="R110" i="3" s="1"/>
  <c r="F110" i="3"/>
  <c r="Q110" i="3" s="1"/>
  <c r="M110" i="3"/>
  <c r="X110" i="3" s="1"/>
  <c r="J110" i="3"/>
  <c r="U110" i="3" s="1"/>
  <c r="L110" i="3"/>
  <c r="W110" i="3" s="1"/>
  <c r="F125" i="3"/>
  <c r="Q125" i="3" s="1"/>
  <c r="J125" i="3"/>
  <c r="U125" i="3" s="1"/>
  <c r="O125" i="3"/>
  <c r="Z125" i="3" s="1"/>
  <c r="M125" i="3"/>
  <c r="X125" i="3" s="1"/>
  <c r="K125" i="3"/>
  <c r="V125" i="3" s="1"/>
  <c r="H125" i="3"/>
  <c r="S125" i="3" s="1"/>
  <c r="F22" i="3"/>
  <c r="Q22" i="3" s="1"/>
  <c r="N22" i="3"/>
  <c r="Y22" i="3" s="1"/>
  <c r="K98" i="3"/>
  <c r="V98" i="3" s="1"/>
  <c r="F98" i="3"/>
  <c r="Q98" i="3" s="1"/>
  <c r="M98" i="3"/>
  <c r="X98" i="3" s="1"/>
  <c r="G98" i="3"/>
  <c r="R98" i="3" s="1"/>
  <c r="L98" i="3"/>
  <c r="W98" i="3" s="1"/>
  <c r="H98" i="3"/>
  <c r="S98" i="3" s="1"/>
  <c r="O98" i="3"/>
  <c r="Z98" i="3" s="1"/>
  <c r="K110" i="3"/>
  <c r="V110" i="3" s="1"/>
  <c r="N57" i="3"/>
  <c r="Y57" i="3" s="1"/>
  <c r="H57" i="3"/>
  <c r="S57" i="3" s="1"/>
  <c r="I57" i="3"/>
  <c r="T57" i="3" s="1"/>
  <c r="J57" i="3"/>
  <c r="U57" i="3" s="1"/>
  <c r="M57" i="3"/>
  <c r="X57" i="3" s="1"/>
  <c r="K57" i="3"/>
  <c r="V57" i="3" s="1"/>
  <c r="H51" i="3"/>
  <c r="S51" i="3" s="1"/>
  <c r="M9" i="3"/>
  <c r="X9" i="3" s="1"/>
  <c r="K109" i="3"/>
  <c r="V109" i="3" s="1"/>
  <c r="O118" i="3"/>
  <c r="Z118" i="3" s="1"/>
  <c r="O137" i="3"/>
  <c r="Z137" i="3" s="1"/>
  <c r="O95" i="3"/>
  <c r="Z95" i="3" s="1"/>
  <c r="L95" i="3"/>
  <c r="W95" i="3" s="1"/>
  <c r="I95" i="3"/>
  <c r="T95" i="3" s="1"/>
  <c r="F95" i="3"/>
  <c r="Q95" i="3" s="1"/>
  <c r="K95" i="3"/>
  <c r="V95" i="3" s="1"/>
  <c r="I91" i="3"/>
  <c r="T91" i="3" s="1"/>
  <c r="I125" i="3"/>
  <c r="T125" i="3" s="1"/>
  <c r="G57" i="3"/>
  <c r="R57" i="3" s="1"/>
  <c r="M56" i="3"/>
  <c r="X56" i="3" s="1"/>
  <c r="J98" i="3"/>
  <c r="U98" i="3" s="1"/>
  <c r="J22" i="3"/>
  <c r="U22" i="3" s="1"/>
  <c r="K53" i="3"/>
  <c r="V53" i="3" s="1"/>
  <c r="H61" i="3"/>
  <c r="S61" i="3" s="1"/>
  <c r="I107" i="3"/>
  <c r="T107" i="3" s="1"/>
  <c r="I122" i="3"/>
  <c r="T122" i="3" s="1"/>
  <c r="J61" i="3"/>
  <c r="U61" i="3" s="1"/>
  <c r="O78" i="3"/>
  <c r="Z78" i="3" s="1"/>
  <c r="M139" i="3"/>
  <c r="X139" i="3" s="1"/>
  <c r="I19" i="3"/>
  <c r="T19" i="3" s="1"/>
  <c r="L19" i="3"/>
  <c r="W19" i="3" s="1"/>
  <c r="G31" i="3"/>
  <c r="R31" i="3" s="1"/>
  <c r="L31" i="3"/>
  <c r="W31" i="3" s="1"/>
  <c r="J31" i="3"/>
  <c r="U31" i="3" s="1"/>
  <c r="K31" i="3"/>
  <c r="V31" i="3" s="1"/>
  <c r="I31" i="3"/>
  <c r="T31" i="3" s="1"/>
  <c r="M12" i="3"/>
  <c r="X12" i="3" s="1"/>
  <c r="N12" i="3"/>
  <c r="Y12" i="3" s="1"/>
  <c r="J12" i="3"/>
  <c r="U12" i="3" s="1"/>
  <c r="K12" i="3"/>
  <c r="V12" i="3" s="1"/>
  <c r="N93" i="3"/>
  <c r="Y93" i="3" s="1"/>
  <c r="J93" i="3"/>
  <c r="U93" i="3" s="1"/>
  <c r="M93" i="3"/>
  <c r="X93" i="3" s="1"/>
  <c r="O93" i="3"/>
  <c r="Z93" i="3" s="1"/>
  <c r="F97" i="3"/>
  <c r="Q97" i="3" s="1"/>
  <c r="K97" i="3"/>
  <c r="V97" i="3" s="1"/>
  <c r="M97" i="3"/>
  <c r="X97" i="3" s="1"/>
  <c r="L97" i="3"/>
  <c r="W97" i="3" s="1"/>
  <c r="G97" i="3"/>
  <c r="R97" i="3" s="1"/>
  <c r="I97" i="3"/>
  <c r="T97" i="3" s="1"/>
  <c r="I117" i="3"/>
  <c r="T117" i="3" s="1"/>
  <c r="I30" i="3"/>
  <c r="T30" i="3" s="1"/>
  <c r="N30" i="3"/>
  <c r="Y30" i="3" s="1"/>
  <c r="L113" i="3"/>
  <c r="W113" i="3" s="1"/>
  <c r="H113" i="3"/>
  <c r="S113" i="3" s="1"/>
  <c r="J113" i="3"/>
  <c r="U113" i="3" s="1"/>
  <c r="N113" i="3"/>
  <c r="Y113" i="3" s="1"/>
  <c r="F113" i="3"/>
  <c r="Q113" i="3" s="1"/>
  <c r="I113" i="3"/>
  <c r="T113" i="3" s="1"/>
  <c r="K18" i="3"/>
  <c r="V18" i="3" s="1"/>
  <c r="N18" i="3"/>
  <c r="Y18" i="3" s="1"/>
  <c r="O18" i="3"/>
  <c r="Z18" i="3" s="1"/>
  <c r="M18" i="3"/>
  <c r="X18" i="3" s="1"/>
  <c r="L18" i="3"/>
  <c r="W18" i="3" s="1"/>
  <c r="F90" i="3"/>
  <c r="Q90" i="3" s="1"/>
  <c r="I90" i="3"/>
  <c r="T90" i="3" s="1"/>
  <c r="N90" i="3"/>
  <c r="Y90" i="3" s="1"/>
  <c r="J90" i="3"/>
  <c r="U90" i="3" s="1"/>
  <c r="J137" i="3"/>
  <c r="U137" i="3" s="1"/>
  <c r="L23" i="3"/>
  <c r="W23" i="3" s="1"/>
  <c r="L21" i="3"/>
  <c r="W21" i="3" s="1"/>
  <c r="G125" i="3"/>
  <c r="R125" i="3" s="1"/>
  <c r="J118" i="3"/>
  <c r="U118" i="3" s="1"/>
  <c r="I22" i="3"/>
  <c r="T22" i="3" s="1"/>
  <c r="O23" i="3"/>
  <c r="Z23" i="3" s="1"/>
  <c r="O117" i="3"/>
  <c r="Z117" i="3" s="1"/>
  <c r="K127" i="3"/>
  <c r="V127" i="3" s="1"/>
  <c r="N44" i="3"/>
  <c r="Y44" i="3" s="1"/>
  <c r="N123" i="3"/>
  <c r="Y123" i="3" s="1"/>
  <c r="J97" i="3"/>
  <c r="U97" i="3" s="1"/>
  <c r="H56" i="3"/>
  <c r="S56" i="3" s="1"/>
  <c r="N6" i="3"/>
  <c r="Y6" i="3" s="1"/>
  <c r="K6" i="3"/>
  <c r="V6" i="3" s="1"/>
  <c r="O6" i="3"/>
  <c r="Z6" i="3" s="1"/>
  <c r="N62" i="3"/>
  <c r="Y62" i="3" s="1"/>
  <c r="H49" i="3"/>
  <c r="S49" i="3" s="1"/>
  <c r="G19" i="3"/>
  <c r="R19" i="3" s="1"/>
  <c r="F139" i="3"/>
  <c r="Q139" i="3" s="1"/>
  <c r="K140" i="3"/>
  <c r="V140" i="3" s="1"/>
  <c r="I56" i="3"/>
  <c r="T56" i="3" s="1"/>
  <c r="I139" i="3"/>
  <c r="T139" i="3" s="1"/>
  <c r="O65" i="3"/>
  <c r="Z65" i="3" s="1"/>
  <c r="M113" i="3"/>
  <c r="X113" i="3" s="1"/>
  <c r="N53" i="3"/>
  <c r="Y53" i="3" s="1"/>
  <c r="M109" i="3"/>
  <c r="X109" i="3" s="1"/>
  <c r="M122" i="3"/>
  <c r="X122" i="3" s="1"/>
  <c r="O127" i="3"/>
  <c r="Z127" i="3" s="1"/>
  <c r="O99" i="3"/>
  <c r="Z99" i="3" s="1"/>
  <c r="N61" i="3"/>
  <c r="Y61" i="3" s="1"/>
  <c r="H22" i="3"/>
  <c r="S22" i="3" s="1"/>
  <c r="F34" i="3"/>
  <c r="Q34" i="3" s="1"/>
  <c r="K37" i="3"/>
  <c r="V37" i="3" s="1"/>
  <c r="F37" i="3"/>
  <c r="Q37" i="3" s="1"/>
  <c r="J37" i="3"/>
  <c r="U37" i="3" s="1"/>
  <c r="G37" i="3"/>
  <c r="R37" i="3" s="1"/>
  <c r="I37" i="3"/>
  <c r="T37" i="3" s="1"/>
  <c r="M37" i="3"/>
  <c r="X37" i="3" s="1"/>
  <c r="F124" i="3"/>
  <c r="Q124" i="3" s="1"/>
  <c r="I124" i="3"/>
  <c r="T124" i="3" s="1"/>
  <c r="N124" i="3"/>
  <c r="Y124" i="3" s="1"/>
  <c r="K124" i="3"/>
  <c r="V124" i="3" s="1"/>
  <c r="L124" i="3"/>
  <c r="W124" i="3" s="1"/>
  <c r="G79" i="3"/>
  <c r="R79" i="3" s="1"/>
  <c r="L79" i="3"/>
  <c r="W79" i="3" s="1"/>
  <c r="N79" i="3"/>
  <c r="Y79" i="3" s="1"/>
  <c r="O79" i="3"/>
  <c r="Z79" i="3" s="1"/>
  <c r="J119" i="3"/>
  <c r="U119" i="3" s="1"/>
  <c r="N119" i="3"/>
  <c r="Y119" i="3" s="1"/>
  <c r="F119" i="3"/>
  <c r="Q119" i="3" s="1"/>
  <c r="G119" i="3"/>
  <c r="R119" i="3" s="1"/>
  <c r="L30" i="3"/>
  <c r="W30" i="3" s="1"/>
  <c r="N10" i="3"/>
  <c r="Y10" i="3" s="1"/>
  <c r="M10" i="3"/>
  <c r="X10" i="3" s="1"/>
  <c r="H10" i="3"/>
  <c r="S10" i="3" s="1"/>
  <c r="J10" i="3"/>
  <c r="U10" i="3" s="1"/>
  <c r="I10" i="3"/>
  <c r="T10" i="3" s="1"/>
  <c r="F10" i="3"/>
  <c r="Q10" i="3" s="1"/>
  <c r="K10" i="3"/>
  <c r="V10" i="3" s="1"/>
  <c r="O38" i="3"/>
  <c r="Z38" i="3" s="1"/>
  <c r="F38" i="3"/>
  <c r="Q38" i="3" s="1"/>
  <c r="J38" i="3"/>
  <c r="U38" i="3" s="1"/>
  <c r="I5" i="3"/>
  <c r="T5" i="3" s="1"/>
  <c r="N140" i="3"/>
  <c r="Y140" i="3" s="1"/>
  <c r="F65" i="3"/>
  <c r="Q65" i="3" s="1"/>
  <c r="K74" i="3"/>
  <c r="V74" i="3" s="1"/>
  <c r="I137" i="3"/>
  <c r="T137" i="3" s="1"/>
  <c r="F117" i="3"/>
  <c r="Q117" i="3" s="1"/>
  <c r="H12" i="3"/>
  <c r="S12" i="3" s="1"/>
  <c r="N96" i="3"/>
  <c r="Y96" i="3" s="1"/>
  <c r="K30" i="3"/>
  <c r="V30" i="3" s="1"/>
  <c r="F93" i="3"/>
  <c r="Q93" i="3" s="1"/>
  <c r="L137" i="3"/>
  <c r="W137" i="3" s="1"/>
  <c r="I119" i="3"/>
  <c r="T119" i="3" s="1"/>
  <c r="H38" i="3"/>
  <c r="S38" i="3" s="1"/>
  <c r="G65" i="3"/>
  <c r="R65" i="3" s="1"/>
  <c r="L46" i="3"/>
  <c r="W46" i="3" s="1"/>
  <c r="H93" i="3"/>
  <c r="S93" i="3" s="1"/>
  <c r="L53" i="3"/>
  <c r="W53" i="3" s="1"/>
  <c r="O10" i="3"/>
  <c r="Z10" i="3" s="1"/>
  <c r="F25" i="3"/>
  <c r="Q25" i="3" s="1"/>
  <c r="F9" i="3"/>
  <c r="Q9" i="3" s="1"/>
  <c r="G30" i="3"/>
  <c r="R30" i="3" s="1"/>
  <c r="N19" i="3"/>
  <c r="Y19" i="3" s="1"/>
  <c r="N95" i="3"/>
  <c r="Y95" i="3" s="1"/>
  <c r="L117" i="3"/>
  <c r="W117" i="3" s="1"/>
  <c r="I18" i="3"/>
  <c r="T18" i="3" s="1"/>
  <c r="O94" i="3"/>
  <c r="Z94" i="3" s="1"/>
  <c r="F94" i="3"/>
  <c r="Q94" i="3" s="1"/>
  <c r="I94" i="3"/>
  <c r="T94" i="3" s="1"/>
  <c r="G94" i="3"/>
  <c r="R94" i="3" s="1"/>
  <c r="M94" i="3"/>
  <c r="X94" i="3" s="1"/>
  <c r="O39" i="3"/>
  <c r="Z39" i="3" s="1"/>
  <c r="N39" i="3"/>
  <c r="Y39" i="3" s="1"/>
  <c r="J39" i="3"/>
  <c r="U39" i="3" s="1"/>
  <c r="F39" i="3"/>
  <c r="Q39" i="3" s="1"/>
  <c r="K70" i="3"/>
  <c r="V70" i="3" s="1"/>
  <c r="N70" i="3"/>
  <c r="Y70" i="3" s="1"/>
  <c r="J70" i="3"/>
  <c r="U70" i="3" s="1"/>
  <c r="O70" i="3"/>
  <c r="Z70" i="3" s="1"/>
  <c r="F8" i="3"/>
  <c r="Q8" i="3" s="1"/>
  <c r="O8" i="3"/>
  <c r="Z8" i="3" s="1"/>
  <c r="K16" i="3"/>
  <c r="V16" i="3" s="1"/>
  <c r="O16" i="3"/>
  <c r="Z16" i="3" s="1"/>
  <c r="G16" i="3"/>
  <c r="R16" i="3" s="1"/>
  <c r="L16" i="3"/>
  <c r="W16" i="3" s="1"/>
  <c r="J65" i="3"/>
  <c r="U65" i="3" s="1"/>
  <c r="H19" i="3"/>
  <c r="S19" i="3" s="1"/>
  <c r="I47" i="3"/>
  <c r="T47" i="3" s="1"/>
  <c r="F47" i="3"/>
  <c r="Q47" i="3" s="1"/>
  <c r="M47" i="3"/>
  <c r="X47" i="3" s="1"/>
  <c r="K47" i="3"/>
  <c r="V47" i="3" s="1"/>
  <c r="L47" i="3"/>
  <c r="W47" i="3" s="1"/>
  <c r="N47" i="3"/>
  <c r="Y47" i="3" s="1"/>
  <c r="L65" i="3"/>
  <c r="W65" i="3" s="1"/>
  <c r="M134" i="3"/>
  <c r="X134" i="3" s="1"/>
  <c r="I134" i="3"/>
  <c r="T134" i="3" s="1"/>
  <c r="G134" i="3"/>
  <c r="R134" i="3" s="1"/>
  <c r="F61" i="3"/>
  <c r="Q61" i="3" s="1"/>
  <c r="H18" i="3"/>
  <c r="S18" i="3" s="1"/>
  <c r="K48" i="3"/>
  <c r="V48" i="3" s="1"/>
  <c r="O31" i="3"/>
  <c r="Z31" i="3" s="1"/>
  <c r="H115" i="3"/>
  <c r="S115" i="3" s="1"/>
  <c r="F132" i="3"/>
  <c r="Q132" i="3" s="1"/>
  <c r="G140" i="3"/>
  <c r="R140" i="3" s="1"/>
  <c r="L132" i="3"/>
  <c r="W132" i="3" s="1"/>
  <c r="K19" i="3"/>
  <c r="V19" i="3" s="1"/>
  <c r="O109" i="3"/>
  <c r="Z109" i="3" s="1"/>
  <c r="N23" i="3"/>
  <c r="Y23" i="3" s="1"/>
  <c r="H87" i="3"/>
  <c r="S87" i="3" s="1"/>
  <c r="I44" i="3"/>
  <c r="T44" i="3" s="1"/>
  <c r="J6" i="3"/>
  <c r="U6" i="3" s="1"/>
  <c r="L38" i="3"/>
  <c r="W38" i="3" s="1"/>
  <c r="F109" i="3"/>
  <c r="Q109" i="3" s="1"/>
  <c r="K94" i="3"/>
  <c r="V94" i="3" s="1"/>
  <c r="L57" i="3"/>
  <c r="W57" i="3" s="1"/>
  <c r="J71" i="3"/>
  <c r="U71" i="3" s="1"/>
  <c r="K61" i="3"/>
  <c r="V61" i="3" s="1"/>
  <c r="F79" i="3"/>
  <c r="Q79" i="3" s="1"/>
  <c r="F91" i="3"/>
  <c r="Q91" i="3" s="1"/>
  <c r="K119" i="3"/>
  <c r="V119" i="3" s="1"/>
  <c r="M6" i="3"/>
  <c r="X6" i="3" s="1"/>
  <c r="M25" i="3"/>
  <c r="X25" i="3" s="1"/>
  <c r="K25" i="3"/>
  <c r="V25" i="3" s="1"/>
  <c r="M140" i="3"/>
  <c r="X140" i="3" s="1"/>
  <c r="J19" i="3"/>
  <c r="U19" i="3" s="1"/>
  <c r="N98" i="3"/>
  <c r="Y98" i="3" s="1"/>
  <c r="I38" i="3"/>
  <c r="T38" i="3" s="1"/>
  <c r="M100" i="3"/>
  <c r="X100" i="3" s="1"/>
  <c r="H100" i="3"/>
  <c r="S100" i="3" s="1"/>
  <c r="O100" i="3"/>
  <c r="Z100" i="3" s="1"/>
  <c r="F100" i="3"/>
  <c r="Q100" i="3" s="1"/>
  <c r="L60" i="3"/>
  <c r="W60" i="3" s="1"/>
  <c r="J60" i="3"/>
  <c r="U60" i="3" s="1"/>
  <c r="G60" i="3"/>
  <c r="R60" i="3" s="1"/>
  <c r="N60" i="3"/>
  <c r="Y60" i="3" s="1"/>
  <c r="O60" i="3"/>
  <c r="Z60" i="3" s="1"/>
  <c r="L138" i="3"/>
  <c r="W138" i="3" s="1"/>
  <c r="H138" i="3"/>
  <c r="S138" i="3" s="1"/>
  <c r="F138" i="3"/>
  <c r="Q138" i="3" s="1"/>
  <c r="O138" i="3"/>
  <c r="Z138" i="3" s="1"/>
  <c r="I138" i="3"/>
  <c r="T138" i="3" s="1"/>
  <c r="N138" i="3"/>
  <c r="Y138" i="3" s="1"/>
  <c r="J135" i="3"/>
  <c r="U135" i="3" s="1"/>
  <c r="H135" i="3"/>
  <c r="S135" i="3" s="1"/>
  <c r="N135" i="3"/>
  <c r="Y135" i="3" s="1"/>
  <c r="O135" i="3"/>
  <c r="Z135" i="3" s="1"/>
  <c r="L135" i="3"/>
  <c r="W135" i="3" s="1"/>
  <c r="K135" i="3"/>
  <c r="V135" i="3" s="1"/>
  <c r="M101" i="3"/>
  <c r="X101" i="3" s="1"/>
  <c r="H101" i="3"/>
  <c r="S101" i="3" s="1"/>
  <c r="N101" i="3"/>
  <c r="Y101" i="3" s="1"/>
  <c r="J101" i="3"/>
  <c r="U101" i="3" s="1"/>
  <c r="F101" i="3"/>
  <c r="Q101" i="3" s="1"/>
  <c r="O101" i="3"/>
  <c r="Z101" i="3" s="1"/>
  <c r="J46" i="3"/>
  <c r="U46" i="3" s="1"/>
  <c r="M64" i="3"/>
  <c r="X64" i="3" s="1"/>
  <c r="O64" i="3"/>
  <c r="Z64" i="3" s="1"/>
  <c r="J21" i="3"/>
  <c r="U21" i="3" s="1"/>
  <c r="G58" i="3"/>
  <c r="R58" i="3" s="1"/>
  <c r="M96" i="3"/>
  <c r="X96" i="3" s="1"/>
  <c r="H30" i="3"/>
  <c r="S30" i="3" s="1"/>
  <c r="L22" i="3"/>
  <c r="W22" i="3" s="1"/>
  <c r="M90" i="3"/>
  <c r="X90" i="3" s="1"/>
  <c r="G18" i="3"/>
  <c r="R18" i="3" s="1"/>
  <c r="O29" i="3"/>
  <c r="Z29" i="3" s="1"/>
  <c r="K134" i="3"/>
  <c r="V134" i="3" s="1"/>
  <c r="F53" i="3"/>
  <c r="Q53" i="3" s="1"/>
  <c r="N38" i="3"/>
  <c r="Y38" i="3" s="1"/>
  <c r="G139" i="3"/>
  <c r="R139" i="3" s="1"/>
  <c r="H37" i="3"/>
  <c r="S37" i="3" s="1"/>
  <c r="N122" i="3"/>
  <c r="Y122" i="3" s="1"/>
  <c r="G68" i="3"/>
  <c r="R68" i="3" s="1"/>
  <c r="N115" i="3"/>
  <c r="Y115" i="3" s="1"/>
  <c r="H39" i="3"/>
  <c r="S39" i="3" s="1"/>
  <c r="J23" i="3"/>
  <c r="U23" i="3" s="1"/>
  <c r="M43" i="3"/>
  <c r="X43" i="3" s="1"/>
  <c r="F12" i="3"/>
  <c r="Q12" i="3" s="1"/>
  <c r="H117" i="3"/>
  <c r="S117" i="3" s="1"/>
  <c r="M39" i="3"/>
  <c r="X39" i="3" s="1"/>
  <c r="J139" i="3"/>
  <c r="U139" i="3" s="1"/>
  <c r="O57" i="3"/>
  <c r="Z57" i="3" s="1"/>
  <c r="G5" i="3"/>
  <c r="R5" i="3" s="1"/>
  <c r="L58" i="3"/>
  <c r="W58" i="3" s="1"/>
  <c r="L122" i="3"/>
  <c r="W122" i="3" s="1"/>
  <c r="F116" i="3"/>
  <c r="Q116" i="3" s="1"/>
  <c r="H116" i="3"/>
  <c r="S116" i="3" s="1"/>
  <c r="G116" i="3"/>
  <c r="R116" i="3" s="1"/>
  <c r="I116" i="3"/>
  <c r="T116" i="3" s="1"/>
  <c r="K116" i="3"/>
  <c r="V116" i="3" s="1"/>
  <c r="H75" i="3"/>
  <c r="S75" i="3" s="1"/>
  <c r="M75" i="3"/>
  <c r="X75" i="3" s="1"/>
  <c r="L75" i="3"/>
  <c r="W75" i="3" s="1"/>
  <c r="K22" i="3"/>
  <c r="V22" i="3" s="1"/>
  <c r="N130" i="3"/>
  <c r="Y130" i="3" s="1"/>
  <c r="M130" i="3"/>
  <c r="X130" i="3" s="1"/>
  <c r="J130" i="3"/>
  <c r="U130" i="3" s="1"/>
  <c r="L93" i="3"/>
  <c r="W93" i="3" s="1"/>
  <c r="O115" i="3"/>
  <c r="Z115" i="3" s="1"/>
  <c r="G26" i="3"/>
  <c r="R26" i="3" s="1"/>
  <c r="O26" i="3"/>
  <c r="Z26" i="3" s="1"/>
  <c r="J26" i="3"/>
  <c r="U26" i="3" s="1"/>
  <c r="L26" i="3"/>
  <c r="W26" i="3" s="1"/>
  <c r="M26" i="3"/>
  <c r="X26" i="3" s="1"/>
  <c r="K67" i="3"/>
  <c r="V67" i="3" s="1"/>
  <c r="J67" i="3"/>
  <c r="U67" i="3" s="1"/>
  <c r="I67" i="3"/>
  <c r="T67" i="3" s="1"/>
  <c r="M67" i="3"/>
  <c r="X67" i="3" s="1"/>
  <c r="O67" i="3"/>
  <c r="Z67" i="3" s="1"/>
  <c r="J124" i="3"/>
  <c r="U124" i="3" s="1"/>
  <c r="N84" i="3"/>
  <c r="Y84" i="3" s="1"/>
  <c r="O84" i="3"/>
  <c r="Z84" i="3" s="1"/>
  <c r="M84" i="3"/>
  <c r="X84" i="3" s="1"/>
  <c r="H84" i="3"/>
  <c r="S84" i="3" s="1"/>
  <c r="F84" i="3"/>
  <c r="Q84" i="3" s="1"/>
  <c r="L84" i="3"/>
  <c r="W84" i="3" s="1"/>
  <c r="M108" i="3"/>
  <c r="X108" i="3" s="1"/>
  <c r="L108" i="3"/>
  <c r="W108" i="3" s="1"/>
  <c r="H108" i="3"/>
  <c r="S108" i="3" s="1"/>
  <c r="I108" i="3"/>
  <c r="T108" i="3" s="1"/>
  <c r="L131" i="3"/>
  <c r="W131" i="3" s="1"/>
  <c r="G62" i="3"/>
  <c r="R62" i="3" s="1"/>
  <c r="I26" i="3"/>
  <c r="T26" i="3" s="1"/>
  <c r="O140" i="3"/>
  <c r="Z140" i="3" s="1"/>
  <c r="J51" i="3"/>
  <c r="U51" i="3" s="1"/>
  <c r="J58" i="3"/>
  <c r="U58" i="3" s="1"/>
  <c r="O37" i="3"/>
  <c r="Z37" i="3" s="1"/>
  <c r="N108" i="3"/>
  <c r="Y108" i="3" s="1"/>
  <c r="G53" i="3"/>
  <c r="R53" i="3" s="1"/>
  <c r="M46" i="3"/>
  <c r="X46" i="3" s="1"/>
  <c r="H139" i="3"/>
  <c r="S139" i="3" s="1"/>
  <c r="F5" i="3"/>
  <c r="Q5" i="3" s="1"/>
  <c r="J131" i="3"/>
  <c r="U131" i="3" s="1"/>
  <c r="M132" i="3"/>
  <c r="X132" i="3" s="1"/>
  <c r="G51" i="3"/>
  <c r="R51" i="3" s="1"/>
  <c r="O47" i="3"/>
  <c r="Z47" i="3" s="1"/>
  <c r="O124" i="3"/>
  <c r="Z124" i="3" s="1"/>
  <c r="K38" i="3"/>
  <c r="V38" i="3" s="1"/>
  <c r="O74" i="3"/>
  <c r="Z74" i="3" s="1"/>
  <c r="M30" i="3"/>
  <c r="X30" i="3" s="1"/>
  <c r="K75" i="3"/>
  <c r="V75" i="3" s="1"/>
  <c r="O21" i="3"/>
  <c r="Z21" i="3" s="1"/>
  <c r="G95" i="3"/>
  <c r="R95" i="3" s="1"/>
  <c r="J108" i="3"/>
  <c r="U108" i="3" s="1"/>
  <c r="L44" i="3"/>
  <c r="W44" i="3" s="1"/>
  <c r="H34" i="3"/>
  <c r="S34" i="3" s="1"/>
  <c r="H67" i="3"/>
  <c r="S67" i="3" s="1"/>
  <c r="G108" i="3"/>
  <c r="R108" i="3" s="1"/>
  <c r="F108" i="3"/>
  <c r="Q108" i="3" s="1"/>
  <c r="F131" i="3"/>
  <c r="Q131" i="3" s="1"/>
  <c r="F86" i="3"/>
  <c r="Q86" i="3" s="1"/>
  <c r="G86" i="3"/>
  <c r="R86" i="3" s="1"/>
  <c r="M86" i="3"/>
  <c r="X86" i="3" s="1"/>
  <c r="N103" i="3"/>
  <c r="Y103" i="3" s="1"/>
  <c r="H103" i="3"/>
  <c r="S103" i="3" s="1"/>
  <c r="I103" i="3"/>
  <c r="T103" i="3" s="1"/>
  <c r="F44" i="3"/>
  <c r="Q44" i="3" s="1"/>
  <c r="F107" i="3"/>
  <c r="Q107" i="3" s="1"/>
  <c r="I9" i="3"/>
  <c r="T9" i="3" s="1"/>
  <c r="J123" i="3"/>
  <c r="U123" i="3" s="1"/>
  <c r="M61" i="3"/>
  <c r="X61" i="3" s="1"/>
  <c r="G137" i="3"/>
  <c r="R137" i="3" s="1"/>
  <c r="I23" i="3"/>
  <c r="T23" i="3" s="1"/>
  <c r="G73" i="3"/>
  <c r="R73" i="3" s="1"/>
  <c r="I73" i="3"/>
  <c r="T73" i="3" s="1"/>
  <c r="J73" i="3"/>
  <c r="U73" i="3" s="1"/>
  <c r="N73" i="3"/>
  <c r="Y73" i="3" s="1"/>
  <c r="H123" i="3"/>
  <c r="S123" i="3" s="1"/>
  <c r="K62" i="3"/>
  <c r="V62" i="3" s="1"/>
  <c r="H111" i="3"/>
  <c r="S111" i="3" s="1"/>
  <c r="M111" i="3"/>
  <c r="X111" i="3" s="1"/>
  <c r="J111" i="3"/>
  <c r="U111" i="3" s="1"/>
  <c r="G111" i="3"/>
  <c r="R111" i="3" s="1"/>
  <c r="F60" i="3"/>
  <c r="Q60" i="3" s="1"/>
  <c r="F87" i="3"/>
  <c r="Q87" i="3" s="1"/>
  <c r="I72" i="3"/>
  <c r="T72" i="3" s="1"/>
  <c r="K72" i="3"/>
  <c r="V72" i="3" s="1"/>
  <c r="N72" i="3"/>
  <c r="Y72" i="3" s="1"/>
  <c r="J72" i="3"/>
  <c r="U72" i="3" s="1"/>
  <c r="H72" i="3"/>
  <c r="S72" i="3" s="1"/>
  <c r="M72" i="3"/>
  <c r="X72" i="3" s="1"/>
  <c r="O48" i="3"/>
  <c r="Z48" i="3" s="1"/>
  <c r="N128" i="3"/>
  <c r="Y128" i="3" s="1"/>
  <c r="I128" i="3"/>
  <c r="T128" i="3" s="1"/>
  <c r="K128" i="3"/>
  <c r="V128" i="3" s="1"/>
  <c r="F128" i="3"/>
  <c r="Q128" i="3" s="1"/>
  <c r="J128" i="3"/>
  <c r="U128" i="3" s="1"/>
  <c r="J109" i="3"/>
  <c r="U109" i="3" s="1"/>
  <c r="O72" i="3"/>
  <c r="Z72" i="3" s="1"/>
  <c r="F73" i="3"/>
  <c r="Q73" i="3" s="1"/>
  <c r="G12" i="3"/>
  <c r="R12" i="3" s="1"/>
  <c r="O56" i="3"/>
  <c r="Z56" i="3" s="1"/>
  <c r="L119" i="3"/>
  <c r="W119" i="3" s="1"/>
  <c r="F137" i="3"/>
  <c r="Q137" i="3" s="1"/>
  <c r="G117" i="3"/>
  <c r="R117" i="3" s="1"/>
  <c r="N26" i="3"/>
  <c r="Y26" i="3" s="1"/>
  <c r="J30" i="3"/>
  <c r="U30" i="3" s="1"/>
  <c r="M29" i="3"/>
  <c r="X29" i="3" s="1"/>
  <c r="K84" i="3"/>
  <c r="V84" i="3" s="1"/>
  <c r="O44" i="3"/>
  <c r="Z44" i="3" s="1"/>
  <c r="M118" i="3"/>
  <c r="X118" i="3" s="1"/>
  <c r="J48" i="3"/>
  <c r="U48" i="3" s="1"/>
  <c r="F75" i="3"/>
  <c r="Q75" i="3" s="1"/>
  <c r="N87" i="3"/>
  <c r="Y87" i="3" s="1"/>
  <c r="O73" i="3"/>
  <c r="Z73" i="3" s="1"/>
  <c r="H110" i="3"/>
  <c r="S110" i="3" s="1"/>
  <c r="K29" i="3"/>
  <c r="V29" i="3" s="1"/>
  <c r="L87" i="3"/>
  <c r="W87" i="3" s="1"/>
  <c r="F118" i="3"/>
  <c r="Q118" i="3" s="1"/>
  <c r="I43" i="3"/>
  <c r="T43" i="3" s="1"/>
  <c r="L99" i="3"/>
  <c r="W99" i="3" s="1"/>
  <c r="K21" i="3"/>
  <c r="V21" i="3" s="1"/>
  <c r="H97" i="3"/>
  <c r="S97" i="3" s="1"/>
  <c r="H137" i="3"/>
  <c r="S137" i="3" s="1"/>
  <c r="M120" i="3"/>
  <c r="X120" i="3" s="1"/>
  <c r="F120" i="3"/>
  <c r="Q120" i="3" s="1"/>
  <c r="O105" i="3"/>
  <c r="Z105" i="3" s="1"/>
  <c r="L105" i="3"/>
  <c r="W105" i="3" s="1"/>
  <c r="H52" i="3"/>
  <c r="S52" i="3" s="1"/>
  <c r="J52" i="3"/>
  <c r="U52" i="3" s="1"/>
  <c r="L52" i="3"/>
  <c r="W52" i="3" s="1"/>
  <c r="O32" i="3"/>
  <c r="Z32" i="3" s="1"/>
  <c r="M32" i="3"/>
  <c r="X32" i="3" s="1"/>
  <c r="F32" i="3"/>
  <c r="Q32" i="3" s="1"/>
  <c r="G4" i="3"/>
  <c r="R4" i="3" s="1"/>
  <c r="O4" i="3"/>
  <c r="Z4" i="3" s="1"/>
  <c r="M41" i="3"/>
  <c r="X41" i="3" s="1"/>
  <c r="I41" i="3"/>
  <c r="T41" i="3" s="1"/>
  <c r="J41" i="3"/>
  <c r="U41" i="3" s="1"/>
  <c r="G41" i="3"/>
  <c r="R41" i="3" s="1"/>
  <c r="M102" i="3"/>
  <c r="X102" i="3" s="1"/>
  <c r="I102" i="3"/>
  <c r="T102" i="3" s="1"/>
  <c r="O102" i="3"/>
  <c r="Z102" i="3" s="1"/>
  <c r="F102" i="3"/>
  <c r="Q102" i="3" s="1"/>
  <c r="F82" i="3"/>
  <c r="Q82" i="3" s="1"/>
  <c r="M82" i="3"/>
  <c r="X82" i="3" s="1"/>
  <c r="N42" i="3"/>
  <c r="Y42" i="3" s="1"/>
  <c r="F42" i="3"/>
  <c r="Q42" i="3" s="1"/>
  <c r="O42" i="3"/>
  <c r="Z42" i="3" s="1"/>
  <c r="L42" i="3"/>
  <c r="W42" i="3" s="1"/>
  <c r="M55" i="3"/>
  <c r="X55" i="3" s="1"/>
  <c r="K59" i="3"/>
  <c r="V59" i="3" s="1"/>
  <c r="N59" i="3"/>
  <c r="Y59" i="3" s="1"/>
  <c r="I59" i="3"/>
  <c r="T59" i="3" s="1"/>
  <c r="H59" i="3"/>
  <c r="S59" i="3" s="1"/>
  <c r="H32" i="3"/>
  <c r="S32" i="3" s="1"/>
  <c r="F41" i="3"/>
  <c r="Q41" i="3" s="1"/>
  <c r="L13" i="3"/>
  <c r="W13" i="3" s="1"/>
  <c r="O82" i="3"/>
  <c r="Z82" i="3" s="1"/>
  <c r="I82" i="3"/>
  <c r="T82" i="3" s="1"/>
  <c r="O41" i="3"/>
  <c r="Z41" i="3" s="1"/>
  <c r="F52" i="3"/>
  <c r="Q52" i="3" s="1"/>
  <c r="N120" i="3"/>
  <c r="Y120" i="3" s="1"/>
  <c r="J32" i="3"/>
  <c r="U32" i="3" s="1"/>
  <c r="K114" i="3"/>
  <c r="V114" i="3" s="1"/>
  <c r="L114" i="3"/>
  <c r="W114" i="3" s="1"/>
  <c r="H114" i="3"/>
  <c r="S114" i="3" s="1"/>
  <c r="J50" i="3"/>
  <c r="U50" i="3" s="1"/>
  <c r="K50" i="3"/>
  <c r="V50" i="3" s="1"/>
  <c r="M50" i="3"/>
  <c r="X50" i="3" s="1"/>
  <c r="F80" i="3"/>
  <c r="Q80" i="3" s="1"/>
  <c r="I112" i="3"/>
  <c r="T112" i="3" s="1"/>
  <c r="N112" i="3"/>
  <c r="Y112" i="3" s="1"/>
  <c r="N17" i="3"/>
  <c r="Y17" i="3" s="1"/>
  <c r="G17" i="3"/>
  <c r="R17" i="3" s="1"/>
  <c r="I17" i="3"/>
  <c r="T17" i="3" s="1"/>
  <c r="H17" i="3"/>
  <c r="S17" i="3" s="1"/>
  <c r="M17" i="3"/>
  <c r="X17" i="3" s="1"/>
  <c r="L76" i="3"/>
  <c r="W76" i="3" s="1"/>
  <c r="H76" i="3"/>
  <c r="S76" i="3" s="1"/>
  <c r="K76" i="3"/>
  <c r="V76" i="3" s="1"/>
  <c r="H28" i="3"/>
  <c r="S28" i="3" s="1"/>
  <c r="N28" i="3"/>
  <c r="Y28" i="3" s="1"/>
  <c r="J28" i="3"/>
  <c r="U28" i="3" s="1"/>
  <c r="K28" i="3"/>
  <c r="V28" i="3" s="1"/>
  <c r="O28" i="3"/>
  <c r="Z28" i="3" s="1"/>
  <c r="H80" i="3"/>
  <c r="S80" i="3" s="1"/>
  <c r="N102" i="3"/>
  <c r="Y102" i="3" s="1"/>
  <c r="J4" i="3"/>
  <c r="U4" i="3" s="1"/>
  <c r="H120" i="3"/>
  <c r="S120" i="3" s="1"/>
  <c r="L4" i="3"/>
  <c r="W4" i="3" s="1"/>
  <c r="N104" i="3"/>
  <c r="Y104" i="3" s="1"/>
  <c r="L104" i="3"/>
  <c r="W104" i="3" s="1"/>
  <c r="K17" i="3"/>
  <c r="V17" i="3" s="1"/>
  <c r="G126" i="3"/>
  <c r="R126" i="3" s="1"/>
  <c r="M52" i="3"/>
  <c r="X52" i="3" s="1"/>
  <c r="G45" i="3"/>
  <c r="R45" i="3" s="1"/>
  <c r="G40" i="3"/>
  <c r="R40" i="3" s="1"/>
  <c r="N76" i="3"/>
  <c r="Y76" i="3" s="1"/>
  <c r="K32" i="3"/>
  <c r="V32" i="3" s="1"/>
  <c r="K4" i="3"/>
  <c r="V4" i="3" s="1"/>
  <c r="G32" i="3"/>
  <c r="R32" i="3" s="1"/>
  <c r="J45" i="3"/>
  <c r="U45" i="3" s="1"/>
  <c r="N50" i="3"/>
  <c r="Y50" i="3" s="1"/>
  <c r="J136" i="3"/>
  <c r="U136" i="3" s="1"/>
  <c r="H3" i="3"/>
  <c r="S3" i="3" s="1"/>
  <c r="O3" i="3"/>
  <c r="Z3" i="3" s="1"/>
  <c r="J141" i="3"/>
  <c r="U141" i="3" s="1"/>
  <c r="H141" i="3"/>
  <c r="S141" i="3" s="1"/>
  <c r="F141" i="3"/>
  <c r="Q141" i="3" s="1"/>
  <c r="M27" i="3"/>
  <c r="X27" i="3" s="1"/>
  <c r="J27" i="3"/>
  <c r="U27" i="3" s="1"/>
  <c r="F129" i="3"/>
  <c r="Q129" i="3" s="1"/>
  <c r="N129" i="3"/>
  <c r="Y129" i="3" s="1"/>
  <c r="O126" i="3"/>
  <c r="Z126" i="3" s="1"/>
  <c r="J3" i="3"/>
  <c r="U3" i="3" s="1"/>
  <c r="G114" i="3"/>
  <c r="R114" i="3" s="1"/>
  <c r="H36" i="3"/>
  <c r="S36" i="3" s="1"/>
  <c r="F36" i="3"/>
  <c r="Q36" i="3" s="1"/>
  <c r="G36" i="3"/>
  <c r="R36" i="3" s="1"/>
  <c r="I36" i="3"/>
  <c r="T36" i="3" s="1"/>
  <c r="N36" i="3"/>
  <c r="Y36" i="3" s="1"/>
  <c r="J59" i="3"/>
  <c r="U59" i="3" s="1"/>
  <c r="O36" i="3"/>
  <c r="Z36" i="3" s="1"/>
  <c r="J105" i="3"/>
  <c r="U105" i="3" s="1"/>
  <c r="K40" i="3"/>
  <c r="V40" i="3" s="1"/>
  <c r="L41" i="3"/>
  <c r="W41" i="3" s="1"/>
  <c r="F28" i="3"/>
  <c r="Q28" i="3" s="1"/>
  <c r="G42" i="3"/>
  <c r="R42" i="3" s="1"/>
  <c r="E35" i="3"/>
  <c r="E83" i="3"/>
  <c r="E121" i="3"/>
  <c r="E85" i="3"/>
  <c r="E69" i="3"/>
  <c r="E63" i="3"/>
  <c r="E66" i="3"/>
  <c r="E106" i="3"/>
  <c r="E81" i="3"/>
  <c r="E14" i="3"/>
  <c r="E77" i="3"/>
  <c r="E88" i="3"/>
  <c r="E89" i="3"/>
  <c r="E33" i="3"/>
  <c r="E15" i="3"/>
  <c r="E92" i="3"/>
  <c r="E20" i="3"/>
  <c r="E7" i="3"/>
  <c r="AG7" i="50" l="1"/>
  <c r="AJ9" i="50"/>
  <c r="AI8" i="50"/>
  <c r="Y5" i="3"/>
  <c r="AA5" i="3" s="1"/>
  <c r="AA59" i="3"/>
  <c r="AA133" i="3"/>
  <c r="AA104" i="3"/>
  <c r="AA126" i="3"/>
  <c r="AA128" i="3"/>
  <c r="AA13" i="3"/>
  <c r="AA67" i="3"/>
  <c r="AA31" i="3"/>
  <c r="AA24" i="3"/>
  <c r="AA136" i="3"/>
  <c r="AA112" i="3"/>
  <c r="AA134" i="3"/>
  <c r="AA50" i="3"/>
  <c r="AA40" i="3"/>
  <c r="AA18" i="3"/>
  <c r="AA39" i="3"/>
  <c r="AA46" i="3"/>
  <c r="AA27" i="3"/>
  <c r="AA45" i="3"/>
  <c r="AA75" i="3"/>
  <c r="AA30" i="3"/>
  <c r="AA4" i="3"/>
  <c r="AA76" i="3"/>
  <c r="AA12" i="3"/>
  <c r="AA55" i="3"/>
  <c r="AA105" i="3"/>
  <c r="AA137" i="3"/>
  <c r="AA107" i="3"/>
  <c r="AA116" i="3"/>
  <c r="AA109" i="3"/>
  <c r="AA47" i="3"/>
  <c r="AA51" i="3"/>
  <c r="AA99" i="3"/>
  <c r="AA23" i="3"/>
  <c r="AA54" i="3"/>
  <c r="AA17" i="3"/>
  <c r="AA44" i="3"/>
  <c r="AA68" i="3"/>
  <c r="AA135" i="3"/>
  <c r="AA16" i="3"/>
  <c r="AA72" i="3"/>
  <c r="AA130" i="3"/>
  <c r="AA119" i="3"/>
  <c r="AA113" i="3"/>
  <c r="AA48" i="3"/>
  <c r="AA111" i="3"/>
  <c r="AA28" i="3"/>
  <c r="AA102" i="3"/>
  <c r="AA60" i="3"/>
  <c r="AA131" i="3"/>
  <c r="AA101" i="3"/>
  <c r="AA19" i="3"/>
  <c r="AA95" i="3"/>
  <c r="AA22" i="3"/>
  <c r="AA118" i="3"/>
  <c r="AA108" i="3"/>
  <c r="AA8" i="3"/>
  <c r="AA94" i="3"/>
  <c r="AA65" i="3"/>
  <c r="AA127" i="3"/>
  <c r="AA26" i="3"/>
  <c r="AA138" i="3"/>
  <c r="AA132" i="3"/>
  <c r="AA58" i="3"/>
  <c r="AA6" i="3"/>
  <c r="AA11" i="3"/>
  <c r="AA103" i="3"/>
  <c r="AA129" i="3"/>
  <c r="AA70" i="3"/>
  <c r="AA124" i="3"/>
  <c r="AA140" i="3"/>
  <c r="AA3" i="3"/>
  <c r="AA56" i="3"/>
  <c r="AA64" i="3"/>
  <c r="AA141" i="3"/>
  <c r="AA120" i="3"/>
  <c r="AA97" i="3"/>
  <c r="AA125" i="3"/>
  <c r="AA61" i="3"/>
  <c r="AA71" i="3"/>
  <c r="AA74" i="3"/>
  <c r="AA9" i="3"/>
  <c r="AA10" i="3"/>
  <c r="AA62" i="3"/>
  <c r="AA36" i="3"/>
  <c r="AA29" i="3"/>
  <c r="AA53" i="3"/>
  <c r="AA100" i="3"/>
  <c r="AA117" i="3"/>
  <c r="AA38" i="3"/>
  <c r="AA115" i="3"/>
  <c r="AA52" i="3"/>
  <c r="AA93" i="3"/>
  <c r="AA42" i="3"/>
  <c r="AA73" i="3"/>
  <c r="AA37" i="3"/>
  <c r="AA57" i="3"/>
  <c r="AA43" i="3"/>
  <c r="AA80" i="3"/>
  <c r="AA25" i="3"/>
  <c r="AA98" i="3"/>
  <c r="AA32" i="3"/>
  <c r="AA91" i="3"/>
  <c r="AA34" i="3"/>
  <c r="AA90" i="3"/>
  <c r="AA110" i="3"/>
  <c r="AA21" i="3"/>
  <c r="AA49" i="3"/>
  <c r="AA123" i="3"/>
  <c r="AA78" i="3"/>
  <c r="AA114" i="3"/>
  <c r="AA41" i="3"/>
  <c r="AA82" i="3"/>
  <c r="AA87" i="3"/>
  <c r="AA86" i="3"/>
  <c r="AA84" i="3"/>
  <c r="AA79" i="3"/>
  <c r="AA139" i="3"/>
  <c r="AA122" i="3"/>
  <c r="AA96" i="3"/>
  <c r="F66" i="3"/>
  <c r="Q66" i="3" s="1"/>
  <c r="K66" i="3"/>
  <c r="V66" i="3" s="1"/>
  <c r="L66" i="3"/>
  <c r="W66" i="3" s="1"/>
  <c r="H66" i="3"/>
  <c r="S66" i="3" s="1"/>
  <c r="M66" i="3"/>
  <c r="X66" i="3" s="1"/>
  <c r="N66" i="3"/>
  <c r="Y66" i="3" s="1"/>
  <c r="J66" i="3"/>
  <c r="U66" i="3" s="1"/>
  <c r="I66" i="3"/>
  <c r="T66" i="3" s="1"/>
  <c r="G66" i="3"/>
  <c r="R66" i="3" s="1"/>
  <c r="O66" i="3"/>
  <c r="Z66" i="3" s="1"/>
  <c r="G77" i="3"/>
  <c r="R77" i="3" s="1"/>
  <c r="J77" i="3"/>
  <c r="U77" i="3" s="1"/>
  <c r="M77" i="3"/>
  <c r="X77" i="3" s="1"/>
  <c r="I77" i="3"/>
  <c r="T77" i="3" s="1"/>
  <c r="H77" i="3"/>
  <c r="S77" i="3" s="1"/>
  <c r="F77" i="3"/>
  <c r="Q77" i="3" s="1"/>
  <c r="L77" i="3"/>
  <c r="W77" i="3" s="1"/>
  <c r="K77" i="3"/>
  <c r="V77" i="3" s="1"/>
  <c r="N77" i="3"/>
  <c r="Y77" i="3" s="1"/>
  <c r="O77" i="3"/>
  <c r="Z77" i="3" s="1"/>
  <c r="J14" i="3"/>
  <c r="U14" i="3" s="1"/>
  <c r="M14" i="3"/>
  <c r="X14" i="3" s="1"/>
  <c r="L14" i="3"/>
  <c r="W14" i="3" s="1"/>
  <c r="H14" i="3"/>
  <c r="S14" i="3" s="1"/>
  <c r="F14" i="3"/>
  <c r="Q14" i="3" s="1"/>
  <c r="I14" i="3"/>
  <c r="T14" i="3" s="1"/>
  <c r="K14" i="3"/>
  <c r="V14" i="3" s="1"/>
  <c r="O14" i="3"/>
  <c r="Z14" i="3" s="1"/>
  <c r="N14" i="3"/>
  <c r="Y14" i="3" s="1"/>
  <c r="G14" i="3"/>
  <c r="R14" i="3" s="1"/>
  <c r="M81" i="3"/>
  <c r="X81" i="3" s="1"/>
  <c r="O81" i="3"/>
  <c r="Z81" i="3" s="1"/>
  <c r="H81" i="3"/>
  <c r="S81" i="3" s="1"/>
  <c r="F81" i="3"/>
  <c r="Q81" i="3" s="1"/>
  <c r="N81" i="3"/>
  <c r="Y81" i="3" s="1"/>
  <c r="I81" i="3"/>
  <c r="T81" i="3" s="1"/>
  <c r="G81" i="3"/>
  <c r="R81" i="3" s="1"/>
  <c r="K81" i="3"/>
  <c r="V81" i="3" s="1"/>
  <c r="J81" i="3"/>
  <c r="U81" i="3" s="1"/>
  <c r="L81" i="3"/>
  <c r="W81" i="3" s="1"/>
  <c r="M106" i="3"/>
  <c r="X106" i="3" s="1"/>
  <c r="K106" i="3"/>
  <c r="V106" i="3" s="1"/>
  <c r="J106" i="3"/>
  <c r="U106" i="3" s="1"/>
  <c r="G106" i="3"/>
  <c r="R106" i="3" s="1"/>
  <c r="L106" i="3"/>
  <c r="W106" i="3" s="1"/>
  <c r="N106" i="3"/>
  <c r="Y106" i="3" s="1"/>
  <c r="H106" i="3"/>
  <c r="S106" i="3" s="1"/>
  <c r="F106" i="3"/>
  <c r="Q106" i="3" s="1"/>
  <c r="O106" i="3"/>
  <c r="Z106" i="3" s="1"/>
  <c r="I106" i="3"/>
  <c r="T106" i="3" s="1"/>
  <c r="H7" i="3"/>
  <c r="S7" i="3" s="1"/>
  <c r="I7" i="3"/>
  <c r="T7" i="3" s="1"/>
  <c r="O7" i="3"/>
  <c r="Z7" i="3" s="1"/>
  <c r="N7" i="3"/>
  <c r="Y7" i="3" s="1"/>
  <c r="M7" i="3"/>
  <c r="X7" i="3" s="1"/>
  <c r="L7" i="3"/>
  <c r="W7" i="3" s="1"/>
  <c r="J7" i="3"/>
  <c r="U7" i="3" s="1"/>
  <c r="G7" i="3"/>
  <c r="R7" i="3" s="1"/>
  <c r="F7" i="3"/>
  <c r="Q7" i="3" s="1"/>
  <c r="K7" i="3"/>
  <c r="V7" i="3" s="1"/>
  <c r="K63" i="3"/>
  <c r="V63" i="3" s="1"/>
  <c r="N63" i="3"/>
  <c r="Y63" i="3" s="1"/>
  <c r="M63" i="3"/>
  <c r="X63" i="3" s="1"/>
  <c r="H63" i="3"/>
  <c r="S63" i="3" s="1"/>
  <c r="J63" i="3"/>
  <c r="U63" i="3" s="1"/>
  <c r="O63" i="3"/>
  <c r="Z63" i="3" s="1"/>
  <c r="G63" i="3"/>
  <c r="R63" i="3" s="1"/>
  <c r="L63" i="3"/>
  <c r="W63" i="3" s="1"/>
  <c r="F63" i="3"/>
  <c r="Q63" i="3" s="1"/>
  <c r="I63" i="3"/>
  <c r="T63" i="3" s="1"/>
  <c r="M92" i="3"/>
  <c r="X92" i="3" s="1"/>
  <c r="O92" i="3"/>
  <c r="Z92" i="3" s="1"/>
  <c r="N92" i="3"/>
  <c r="Y92" i="3" s="1"/>
  <c r="H92" i="3"/>
  <c r="S92" i="3" s="1"/>
  <c r="J92" i="3"/>
  <c r="U92" i="3" s="1"/>
  <c r="K92" i="3"/>
  <c r="V92" i="3" s="1"/>
  <c r="L92" i="3"/>
  <c r="W92" i="3" s="1"/>
  <c r="I92" i="3"/>
  <c r="T92" i="3" s="1"/>
  <c r="F92" i="3"/>
  <c r="Q92" i="3" s="1"/>
  <c r="G92" i="3"/>
  <c r="R92" i="3" s="1"/>
  <c r="G15" i="3"/>
  <c r="R15" i="3" s="1"/>
  <c r="F15" i="3"/>
  <c r="Q15" i="3" s="1"/>
  <c r="L15" i="3"/>
  <c r="W15" i="3" s="1"/>
  <c r="O15" i="3"/>
  <c r="Z15" i="3" s="1"/>
  <c r="M15" i="3"/>
  <c r="X15" i="3" s="1"/>
  <c r="H15" i="3"/>
  <c r="S15" i="3" s="1"/>
  <c r="K15" i="3"/>
  <c r="V15" i="3" s="1"/>
  <c r="I15" i="3"/>
  <c r="T15" i="3" s="1"/>
  <c r="J15" i="3"/>
  <c r="U15" i="3" s="1"/>
  <c r="N15" i="3"/>
  <c r="Y15" i="3" s="1"/>
  <c r="J85" i="3"/>
  <c r="U85" i="3" s="1"/>
  <c r="L85" i="3"/>
  <c r="W85" i="3" s="1"/>
  <c r="M85" i="3"/>
  <c r="X85" i="3" s="1"/>
  <c r="G85" i="3"/>
  <c r="R85" i="3" s="1"/>
  <c r="O85" i="3"/>
  <c r="Z85" i="3" s="1"/>
  <c r="H85" i="3"/>
  <c r="S85" i="3" s="1"/>
  <c r="K85" i="3"/>
  <c r="V85" i="3" s="1"/>
  <c r="F85" i="3"/>
  <c r="Q85" i="3" s="1"/>
  <c r="N85" i="3"/>
  <c r="Y85" i="3" s="1"/>
  <c r="I85" i="3"/>
  <c r="T85" i="3" s="1"/>
  <c r="K33" i="3"/>
  <c r="V33" i="3" s="1"/>
  <c r="I33" i="3"/>
  <c r="T33" i="3" s="1"/>
  <c r="J33" i="3"/>
  <c r="U33" i="3" s="1"/>
  <c r="O33" i="3"/>
  <c r="Z33" i="3" s="1"/>
  <c r="G33" i="3"/>
  <c r="R33" i="3" s="1"/>
  <c r="N33" i="3"/>
  <c r="Y33" i="3" s="1"/>
  <c r="M33" i="3"/>
  <c r="X33" i="3" s="1"/>
  <c r="L33" i="3"/>
  <c r="W33" i="3" s="1"/>
  <c r="F33" i="3"/>
  <c r="Q33" i="3" s="1"/>
  <c r="H33" i="3"/>
  <c r="S33" i="3" s="1"/>
  <c r="J121" i="3"/>
  <c r="U121" i="3" s="1"/>
  <c r="N121" i="3"/>
  <c r="Y121" i="3" s="1"/>
  <c r="M121" i="3"/>
  <c r="X121" i="3" s="1"/>
  <c r="L121" i="3"/>
  <c r="W121" i="3" s="1"/>
  <c r="H121" i="3"/>
  <c r="S121" i="3" s="1"/>
  <c r="K121" i="3"/>
  <c r="V121" i="3" s="1"/>
  <c r="F121" i="3"/>
  <c r="Q121" i="3" s="1"/>
  <c r="I121" i="3"/>
  <c r="T121" i="3" s="1"/>
  <c r="G121" i="3"/>
  <c r="R121" i="3" s="1"/>
  <c r="O121" i="3"/>
  <c r="Z121" i="3" s="1"/>
  <c r="G2" i="3"/>
  <c r="R2" i="3" s="1"/>
  <c r="F2" i="3"/>
  <c r="Q2" i="3" s="1"/>
  <c r="AJ2" i="3"/>
  <c r="K2" i="3"/>
  <c r="V2" i="3" s="1"/>
  <c r="I2" i="3"/>
  <c r="T2" i="3" s="1"/>
  <c r="AJ10" i="3"/>
  <c r="AJ8" i="3"/>
  <c r="J2" i="3"/>
  <c r="U2" i="3" s="1"/>
  <c r="AJ3" i="3"/>
  <c r="O2" i="3"/>
  <c r="Z2" i="3" s="1"/>
  <c r="H2" i="3"/>
  <c r="S2" i="3" s="1"/>
  <c r="L2" i="3"/>
  <c r="W2" i="3" s="1"/>
  <c r="AJ5" i="3"/>
  <c r="M2" i="3"/>
  <c r="X2" i="3" s="1"/>
  <c r="AJ11" i="3"/>
  <c r="N2" i="3"/>
  <c r="Y2" i="3" s="1"/>
  <c r="AJ12" i="3"/>
  <c r="AJ6" i="3"/>
  <c r="AJ9" i="3"/>
  <c r="AJ4" i="3"/>
  <c r="AJ7" i="3"/>
  <c r="H20" i="3"/>
  <c r="S20" i="3" s="1"/>
  <c r="L20" i="3"/>
  <c r="W20" i="3" s="1"/>
  <c r="I20" i="3"/>
  <c r="T20" i="3" s="1"/>
  <c r="K20" i="3"/>
  <c r="V20" i="3" s="1"/>
  <c r="J20" i="3"/>
  <c r="U20" i="3" s="1"/>
  <c r="M20" i="3"/>
  <c r="X20" i="3" s="1"/>
  <c r="O20" i="3"/>
  <c r="Z20" i="3" s="1"/>
  <c r="G20" i="3"/>
  <c r="R20" i="3" s="1"/>
  <c r="N20" i="3"/>
  <c r="Y20" i="3" s="1"/>
  <c r="F20" i="3"/>
  <c r="Q20" i="3" s="1"/>
  <c r="N69" i="3"/>
  <c r="Y69" i="3" s="1"/>
  <c r="L69" i="3"/>
  <c r="W69" i="3" s="1"/>
  <c r="H69" i="3"/>
  <c r="S69" i="3" s="1"/>
  <c r="M69" i="3"/>
  <c r="X69" i="3" s="1"/>
  <c r="O69" i="3"/>
  <c r="Z69" i="3" s="1"/>
  <c r="F69" i="3"/>
  <c r="Q69" i="3" s="1"/>
  <c r="I69" i="3"/>
  <c r="T69" i="3" s="1"/>
  <c r="K69" i="3"/>
  <c r="V69" i="3" s="1"/>
  <c r="J69" i="3"/>
  <c r="U69" i="3" s="1"/>
  <c r="G69" i="3"/>
  <c r="R69" i="3" s="1"/>
  <c r="G89" i="3"/>
  <c r="R89" i="3" s="1"/>
  <c r="J89" i="3"/>
  <c r="U89" i="3" s="1"/>
  <c r="H89" i="3"/>
  <c r="S89" i="3" s="1"/>
  <c r="F89" i="3"/>
  <c r="Q89" i="3" s="1"/>
  <c r="K89" i="3"/>
  <c r="V89" i="3" s="1"/>
  <c r="N89" i="3"/>
  <c r="Y89" i="3" s="1"/>
  <c r="L89" i="3"/>
  <c r="W89" i="3" s="1"/>
  <c r="O89" i="3"/>
  <c r="Z89" i="3" s="1"/>
  <c r="I89" i="3"/>
  <c r="T89" i="3" s="1"/>
  <c r="M89" i="3"/>
  <c r="X89" i="3" s="1"/>
  <c r="F83" i="3"/>
  <c r="Q83" i="3" s="1"/>
  <c r="K83" i="3"/>
  <c r="V83" i="3" s="1"/>
  <c r="J83" i="3"/>
  <c r="U83" i="3" s="1"/>
  <c r="M83" i="3"/>
  <c r="X83" i="3" s="1"/>
  <c r="I83" i="3"/>
  <c r="T83" i="3" s="1"/>
  <c r="N83" i="3"/>
  <c r="Y83" i="3" s="1"/>
  <c r="G83" i="3"/>
  <c r="R83" i="3" s="1"/>
  <c r="L83" i="3"/>
  <c r="W83" i="3" s="1"/>
  <c r="H83" i="3"/>
  <c r="S83" i="3" s="1"/>
  <c r="O83" i="3"/>
  <c r="Z83" i="3" s="1"/>
  <c r="N88" i="3"/>
  <c r="Y88" i="3" s="1"/>
  <c r="M88" i="3"/>
  <c r="X88" i="3" s="1"/>
  <c r="L88" i="3"/>
  <c r="W88" i="3" s="1"/>
  <c r="J88" i="3"/>
  <c r="U88" i="3" s="1"/>
  <c r="H88" i="3"/>
  <c r="S88" i="3" s="1"/>
  <c r="F88" i="3"/>
  <c r="Q88" i="3" s="1"/>
  <c r="G88" i="3"/>
  <c r="R88" i="3" s="1"/>
  <c r="O88" i="3"/>
  <c r="Z88" i="3" s="1"/>
  <c r="I88" i="3"/>
  <c r="T88" i="3" s="1"/>
  <c r="K88" i="3"/>
  <c r="V88" i="3" s="1"/>
  <c r="J35" i="3"/>
  <c r="U35" i="3" s="1"/>
  <c r="M35" i="3"/>
  <c r="X35" i="3" s="1"/>
  <c r="K35" i="3"/>
  <c r="V35" i="3" s="1"/>
  <c r="F35" i="3"/>
  <c r="Q35" i="3" s="1"/>
  <c r="L35" i="3"/>
  <c r="W35" i="3" s="1"/>
  <c r="G35" i="3"/>
  <c r="R35" i="3" s="1"/>
  <c r="H35" i="3"/>
  <c r="S35" i="3" s="1"/>
  <c r="N35" i="3"/>
  <c r="Y35" i="3" s="1"/>
  <c r="O35" i="3"/>
  <c r="Z35" i="3" s="1"/>
  <c r="I35" i="3"/>
  <c r="T35" i="3" s="1"/>
  <c r="AG8" i="50" l="1"/>
  <c r="AH9" i="50"/>
  <c r="AJ10" i="50"/>
  <c r="AI9" i="50"/>
  <c r="AA14" i="3"/>
  <c r="AA66" i="3"/>
  <c r="AA69" i="3"/>
  <c r="AA33" i="3"/>
  <c r="AA7" i="3"/>
  <c r="AA81" i="3"/>
  <c r="AA83" i="3"/>
  <c r="AA77" i="3"/>
  <c r="AA35" i="3"/>
  <c r="AA2" i="3"/>
  <c r="AA85" i="3"/>
  <c r="AA106" i="3"/>
  <c r="AA15" i="3"/>
  <c r="AA89" i="3"/>
  <c r="AA121" i="3"/>
  <c r="AA63" i="3"/>
  <c r="AA88" i="3"/>
  <c r="AA20" i="3"/>
  <c r="AA92" i="3"/>
  <c r="AG9" i="50" l="1"/>
  <c r="AH10" i="50"/>
  <c r="AJ11" i="50"/>
  <c r="AI10" i="50"/>
  <c r="AH11" i="50" s="1"/>
  <c r="AD3" i="3"/>
  <c r="AD2" i="3"/>
  <c r="AG10" i="50" l="1"/>
  <c r="AJ12" i="50"/>
  <c r="AI12" i="50" s="1"/>
  <c r="AI11" i="50"/>
  <c r="AG11" i="50" l="1"/>
  <c r="AH12" i="50"/>
  <c r="AG12" i="50"/>
  <c r="Q4" i="8"/>
  <c r="R5" i="8"/>
  <c r="R3" i="8"/>
  <c r="E12" i="50" l="1"/>
  <c r="E109" i="50"/>
  <c r="E98" i="50"/>
  <c r="E130" i="50"/>
  <c r="E38" i="50"/>
  <c r="E6" i="50"/>
  <c r="E134" i="50"/>
  <c r="E55" i="50"/>
  <c r="E56" i="50"/>
  <c r="E79" i="50"/>
  <c r="E101" i="50"/>
  <c r="E102" i="50"/>
  <c r="E122" i="50"/>
  <c r="E65" i="50"/>
  <c r="E39" i="50"/>
  <c r="K39" i="50" s="1"/>
  <c r="E141" i="50"/>
  <c r="E139" i="50"/>
  <c r="E49" i="50"/>
  <c r="E46" i="50"/>
  <c r="E124" i="50"/>
  <c r="E87" i="50"/>
  <c r="E25" i="50"/>
  <c r="E118" i="50"/>
  <c r="E48" i="50"/>
  <c r="E75" i="50"/>
  <c r="E52" i="50"/>
  <c r="E140" i="50"/>
  <c r="E44" i="50"/>
  <c r="E23" i="50"/>
  <c r="E43" i="50"/>
  <c r="E35" i="50"/>
  <c r="E90" i="50"/>
  <c r="E92" i="50"/>
  <c r="E93" i="50"/>
  <c r="E51" i="50"/>
  <c r="E121" i="50"/>
  <c r="E10" i="50"/>
  <c r="E42" i="50"/>
  <c r="M42" i="50" s="1"/>
  <c r="E116" i="50"/>
  <c r="E115" i="50"/>
  <c r="E74" i="50"/>
  <c r="E63" i="50"/>
  <c r="E31" i="50"/>
  <c r="E95" i="50"/>
  <c r="E89" i="50"/>
  <c r="E50" i="50"/>
  <c r="E83" i="50"/>
  <c r="E62" i="50"/>
  <c r="E36" i="50"/>
  <c r="E136" i="50"/>
  <c r="E73" i="50"/>
  <c r="E84" i="50"/>
  <c r="E82" i="50"/>
  <c r="E4" i="50"/>
  <c r="E22" i="50"/>
  <c r="E106" i="50"/>
  <c r="E20" i="50"/>
  <c r="E14" i="50"/>
  <c r="E7" i="50"/>
  <c r="E2" i="50"/>
  <c r="E129" i="50"/>
  <c r="E47" i="50"/>
  <c r="K47" i="50" s="1"/>
  <c r="E69" i="50"/>
  <c r="E17" i="50"/>
  <c r="E68" i="50"/>
  <c r="E67" i="50"/>
  <c r="E94" i="50"/>
  <c r="E128" i="50"/>
  <c r="E41" i="50"/>
  <c r="E60" i="50"/>
  <c r="E97" i="50"/>
  <c r="E15" i="50"/>
  <c r="E127" i="50"/>
  <c r="E114" i="50"/>
  <c r="E117" i="50"/>
  <c r="E112" i="50"/>
  <c r="E3" i="50"/>
  <c r="E27" i="50"/>
  <c r="E126" i="50"/>
  <c r="E103" i="50"/>
  <c r="E131" i="50"/>
  <c r="E120" i="50"/>
  <c r="E104" i="50"/>
  <c r="E19" i="50"/>
  <c r="E85" i="50"/>
  <c r="E33" i="50"/>
  <c r="E58" i="50"/>
  <c r="E105" i="50"/>
  <c r="E71" i="50"/>
  <c r="E32" i="50"/>
  <c r="E110" i="50"/>
  <c r="E132" i="50"/>
  <c r="E137" i="50"/>
  <c r="E28" i="50"/>
  <c r="L28" i="50" s="1"/>
  <c r="E138" i="50"/>
  <c r="E61" i="50"/>
  <c r="E57" i="50"/>
  <c r="E78" i="50"/>
  <c r="E113" i="50"/>
  <c r="E125" i="50"/>
  <c r="E24" i="50"/>
  <c r="E30" i="50"/>
  <c r="E107" i="50"/>
  <c r="E29" i="50"/>
  <c r="E13" i="50"/>
  <c r="E54" i="50"/>
  <c r="E9" i="50"/>
  <c r="E26" i="50"/>
  <c r="E133" i="50"/>
  <c r="E8" i="50"/>
  <c r="E11" i="50"/>
  <c r="E70" i="50"/>
  <c r="E80" i="50"/>
  <c r="E96" i="50"/>
  <c r="E100" i="50"/>
  <c r="E99" i="50"/>
  <c r="E135" i="50"/>
  <c r="E86" i="50"/>
  <c r="E72" i="50"/>
  <c r="E59" i="50"/>
  <c r="E91" i="50"/>
  <c r="E34" i="50"/>
  <c r="M34" i="50" s="1"/>
  <c r="E77" i="50"/>
  <c r="E123" i="50"/>
  <c r="E37" i="50"/>
  <c r="E18" i="50"/>
  <c r="E45" i="50"/>
  <c r="E119" i="50"/>
  <c r="E21" i="50"/>
  <c r="E81" i="50"/>
  <c r="E5" i="50"/>
  <c r="E40" i="50"/>
  <c r="E88" i="50"/>
  <c r="E66" i="50"/>
  <c r="E64" i="50"/>
  <c r="E16" i="50"/>
  <c r="E111" i="50"/>
  <c r="E76" i="50"/>
  <c r="E53" i="50"/>
  <c r="E108" i="50"/>
  <c r="R4" i="8"/>
  <c r="Q6" i="8"/>
  <c r="R6" i="8" s="1"/>
  <c r="S6" i="8" s="1"/>
  <c r="T6" i="8" s="1"/>
  <c r="L39" i="50" l="1"/>
  <c r="W39" i="50" s="1"/>
  <c r="K41" i="50"/>
  <c r="J41" i="50"/>
  <c r="AM12" i="50"/>
  <c r="AM7" i="50"/>
  <c r="AM4" i="50"/>
  <c r="AM5" i="50"/>
  <c r="AM9" i="50"/>
  <c r="AM3" i="50"/>
  <c r="AM2" i="50"/>
  <c r="AM11" i="50"/>
  <c r="AM10" i="50"/>
  <c r="AM8" i="50"/>
  <c r="AM6" i="50"/>
  <c r="E9" i="1"/>
  <c r="K2" i="50" l="1"/>
  <c r="V2" i="50" s="1"/>
  <c r="F2" i="50"/>
  <c r="Q2" i="50" s="1"/>
  <c r="H2" i="50"/>
  <c r="S2" i="50" s="1"/>
  <c r="L2" i="50"/>
  <c r="W2" i="50" s="1"/>
  <c r="G2" i="50"/>
  <c r="R2" i="50" s="1"/>
  <c r="J2" i="50"/>
  <c r="U2" i="50" s="1"/>
  <c r="O2" i="50"/>
  <c r="Z2" i="50" s="1"/>
  <c r="N2" i="50"/>
  <c r="Y2" i="50" s="1"/>
  <c r="I2" i="50"/>
  <c r="T2" i="50" s="1"/>
  <c r="M2" i="50"/>
  <c r="X2" i="50" s="1"/>
  <c r="AA2" i="50" l="1"/>
  <c r="I97" i="50" l="1"/>
  <c r="T97" i="50" s="1"/>
  <c r="L97" i="50"/>
  <c r="W97" i="50" s="1"/>
  <c r="K97" i="50"/>
  <c r="V97" i="50" s="1"/>
  <c r="H97" i="50" l="1"/>
  <c r="S97" i="50" s="1"/>
  <c r="G97" i="50"/>
  <c r="R97" i="50" s="1"/>
  <c r="J97" i="50"/>
  <c r="U97" i="50" s="1"/>
  <c r="O97" i="50"/>
  <c r="Z97" i="50" s="1"/>
  <c r="N97" i="50"/>
  <c r="Y97" i="50" s="1"/>
  <c r="F97" i="50"/>
  <c r="Q97" i="50" s="1"/>
  <c r="M97" i="50"/>
  <c r="X97" i="50" s="1"/>
  <c r="AA97" i="50" l="1"/>
  <c r="N85" i="50"/>
  <c r="Y85" i="50" s="1"/>
  <c r="I83" i="50"/>
  <c r="T83" i="50" s="1"/>
  <c r="G41" i="50"/>
  <c r="R41" i="50" s="1"/>
  <c r="M85" i="50"/>
  <c r="X85" i="50" s="1"/>
  <c r="H109" i="50"/>
  <c r="S109" i="50" s="1"/>
  <c r="H54" i="50"/>
  <c r="S54" i="50" s="1"/>
  <c r="L109" i="50"/>
  <c r="W109" i="50" s="1"/>
  <c r="K135" i="50"/>
  <c r="V135" i="50" s="1"/>
  <c r="K107" i="50"/>
  <c r="V107" i="50" s="1"/>
  <c r="J36" i="50"/>
  <c r="U36" i="50" s="1"/>
  <c r="G85" i="50"/>
  <c r="R85" i="50" s="1"/>
  <c r="O85" i="50"/>
  <c r="Z85" i="50" s="1"/>
  <c r="U41" i="50"/>
  <c r="L36" i="50"/>
  <c r="W36" i="50" s="1"/>
  <c r="F51" i="50"/>
  <c r="Q51" i="50" s="1"/>
  <c r="G109" i="50"/>
  <c r="R109" i="50" s="1"/>
  <c r="K80" i="50"/>
  <c r="V80" i="50" s="1"/>
  <c r="J85" i="50"/>
  <c r="U85" i="50" s="1"/>
  <c r="N51" i="50"/>
  <c r="Y51" i="50" s="1"/>
  <c r="H80" i="50"/>
  <c r="S80" i="50" s="1"/>
  <c r="J51" i="50"/>
  <c r="U51" i="50" s="1"/>
  <c r="N135" i="50"/>
  <c r="Y135" i="50" s="1"/>
  <c r="N109" i="50"/>
  <c r="Y109" i="50" s="1"/>
  <c r="I109" i="50"/>
  <c r="T109" i="50" s="1"/>
  <c r="K51" i="50"/>
  <c r="V51" i="50" s="1"/>
  <c r="L135" i="50"/>
  <c r="W135" i="50" s="1"/>
  <c r="N41" i="50"/>
  <c r="Y41" i="50" s="1"/>
  <c r="H41" i="50"/>
  <c r="S41" i="50" s="1"/>
  <c r="M135" i="50"/>
  <c r="X135" i="50" s="1"/>
  <c r="I135" i="50"/>
  <c r="T135" i="50" s="1"/>
  <c r="I85" i="50"/>
  <c r="T85" i="50" s="1"/>
  <c r="H107" i="50"/>
  <c r="S107" i="50" s="1"/>
  <c r="N107" i="50"/>
  <c r="Y107" i="50" s="1"/>
  <c r="I51" i="50"/>
  <c r="T51" i="50" s="1"/>
  <c r="O80" i="50" l="1"/>
  <c r="Z80" i="50" s="1"/>
  <c r="N80" i="50"/>
  <c r="Y80" i="50" s="1"/>
  <c r="L80" i="50"/>
  <c r="W80" i="50" s="1"/>
  <c r="F80" i="50"/>
  <c r="Q80" i="50" s="1"/>
  <c r="G80" i="50"/>
  <c r="R80" i="50" s="1"/>
  <c r="M80" i="50"/>
  <c r="X80" i="50" s="1"/>
  <c r="I80" i="50"/>
  <c r="T80" i="50" s="1"/>
  <c r="J80" i="50"/>
  <c r="U80" i="50" s="1"/>
  <c r="N56" i="50"/>
  <c r="Y56" i="50" s="1"/>
  <c r="H56" i="50"/>
  <c r="S56" i="50" s="1"/>
  <c r="I56" i="50"/>
  <c r="T56" i="50" s="1"/>
  <c r="O56" i="50"/>
  <c r="Z56" i="50" s="1"/>
  <c r="F56" i="50"/>
  <c r="Q56" i="50" s="1"/>
  <c r="M56" i="50"/>
  <c r="X56" i="50" s="1"/>
  <c r="J56" i="50"/>
  <c r="U56" i="50" s="1"/>
  <c r="G56" i="50"/>
  <c r="R56" i="50" s="1"/>
  <c r="K56" i="50"/>
  <c r="V56" i="50" s="1"/>
  <c r="L56" i="50"/>
  <c r="W56" i="50" s="1"/>
  <c r="K54" i="50"/>
  <c r="V54" i="50" s="1"/>
  <c r="O54" i="50"/>
  <c r="Z54" i="50" s="1"/>
  <c r="L54" i="50"/>
  <c r="W54" i="50" s="1"/>
  <c r="J54" i="50"/>
  <c r="U54" i="50" s="1"/>
  <c r="M54" i="50"/>
  <c r="X54" i="50" s="1"/>
  <c r="F54" i="50"/>
  <c r="Q54" i="50" s="1"/>
  <c r="N54" i="50"/>
  <c r="Y54" i="50" s="1"/>
  <c r="G54" i="50"/>
  <c r="R54" i="50" s="1"/>
  <c r="I54" i="50"/>
  <c r="T54" i="50" s="1"/>
  <c r="L85" i="50"/>
  <c r="W85" i="50" s="1"/>
  <c r="K85" i="50"/>
  <c r="V85" i="50" s="1"/>
  <c r="H85" i="50"/>
  <c r="S85" i="50" s="1"/>
  <c r="G135" i="50"/>
  <c r="R135" i="50" s="1"/>
  <c r="I107" i="50"/>
  <c r="T107" i="50" s="1"/>
  <c r="H51" i="50"/>
  <c r="S51" i="50" s="1"/>
  <c r="G51" i="50"/>
  <c r="R51" i="50" s="1"/>
  <c r="L51" i="50"/>
  <c r="W51" i="50" s="1"/>
  <c r="M51" i="50"/>
  <c r="X51" i="50" s="1"/>
  <c r="F107" i="50"/>
  <c r="Q107" i="50" s="1"/>
  <c r="J135" i="50"/>
  <c r="U135" i="50" s="1"/>
  <c r="H135" i="50"/>
  <c r="S135" i="50" s="1"/>
  <c r="F135" i="50"/>
  <c r="Q135" i="50" s="1"/>
  <c r="O135" i="50"/>
  <c r="Z135" i="50" s="1"/>
  <c r="F85" i="50"/>
  <c r="Q85" i="50" s="1"/>
  <c r="K36" i="50"/>
  <c r="V36" i="50" s="1"/>
  <c r="O36" i="50"/>
  <c r="Z36" i="50" s="1"/>
  <c r="N36" i="50"/>
  <c r="Y36" i="50" s="1"/>
  <c r="H36" i="50"/>
  <c r="S36" i="50" s="1"/>
  <c r="I36" i="50"/>
  <c r="T36" i="50" s="1"/>
  <c r="M36" i="50"/>
  <c r="X36" i="50" s="1"/>
  <c r="J107" i="50"/>
  <c r="U107" i="50" s="1"/>
  <c r="M107" i="50"/>
  <c r="X107" i="50" s="1"/>
  <c r="O107" i="50"/>
  <c r="Z107" i="50" s="1"/>
  <c r="G107" i="50"/>
  <c r="R107" i="50" s="1"/>
  <c r="L41" i="50"/>
  <c r="W41" i="50" s="1"/>
  <c r="M41" i="50"/>
  <c r="X41" i="50" s="1"/>
  <c r="O41" i="50"/>
  <c r="Z41" i="50" s="1"/>
  <c r="V41" i="50"/>
  <c r="F41" i="50"/>
  <c r="Q41" i="50" s="1"/>
  <c r="I41" i="50"/>
  <c r="T41" i="50" s="1"/>
  <c r="L107" i="50"/>
  <c r="W107" i="50" s="1"/>
  <c r="K109" i="50"/>
  <c r="V109" i="50" s="1"/>
  <c r="F109" i="50"/>
  <c r="Q109" i="50" s="1"/>
  <c r="J109" i="50"/>
  <c r="U109" i="50" s="1"/>
  <c r="M109" i="50"/>
  <c r="X109" i="50" s="1"/>
  <c r="O109" i="50"/>
  <c r="Z109" i="50" s="1"/>
  <c r="G36" i="50"/>
  <c r="R36" i="50" s="1"/>
  <c r="O51" i="50"/>
  <c r="Z51" i="50" s="1"/>
  <c r="F36" i="50"/>
  <c r="Q36" i="50" s="1"/>
  <c r="K83" i="50"/>
  <c r="V83" i="50" s="1"/>
  <c r="M83" i="50"/>
  <c r="X83" i="50" s="1"/>
  <c r="G83" i="50"/>
  <c r="R83" i="50" s="1"/>
  <c r="O83" i="50"/>
  <c r="Z83" i="50" s="1"/>
  <c r="F83" i="50"/>
  <c r="Q83" i="50" s="1"/>
  <c r="J83" i="50"/>
  <c r="U83" i="50" s="1"/>
  <c r="L83" i="50"/>
  <c r="W83" i="50" s="1"/>
  <c r="H83" i="50"/>
  <c r="S83" i="50" s="1"/>
  <c r="N83" i="50"/>
  <c r="Y83" i="50" s="1"/>
  <c r="AA83" i="50" l="1"/>
  <c r="AA85" i="50"/>
  <c r="AA54" i="50"/>
  <c r="AA41" i="50"/>
  <c r="AA80" i="50"/>
  <c r="AA36" i="50"/>
  <c r="AA109" i="50"/>
  <c r="AA107" i="50"/>
  <c r="AA56" i="50"/>
  <c r="AA51" i="50"/>
  <c r="AA135" i="50"/>
  <c r="N114" i="50"/>
  <c r="Y114" i="50" s="1"/>
  <c r="N117" i="50"/>
  <c r="Y117" i="50" s="1"/>
  <c r="L66" i="50"/>
  <c r="W66" i="50" s="1"/>
  <c r="L69" i="50"/>
  <c r="W69" i="50" s="1"/>
  <c r="M131" i="50"/>
  <c r="X131" i="50" s="1"/>
  <c r="H88" i="50"/>
  <c r="S88" i="50" s="1"/>
  <c r="M90" i="50"/>
  <c r="X90" i="50" s="1"/>
  <c r="L141" i="50"/>
  <c r="W141" i="50" s="1"/>
  <c r="O64" i="50"/>
  <c r="Z64" i="50" s="1"/>
  <c r="K63" i="50"/>
  <c r="V63" i="50" s="1"/>
  <c r="F124" i="50"/>
  <c r="Q124" i="50" s="1"/>
  <c r="J11" i="50"/>
  <c r="U11" i="50" s="1"/>
  <c r="O124" i="50"/>
  <c r="Z124" i="50" s="1"/>
  <c r="G26" i="50"/>
  <c r="R26" i="50" s="1"/>
  <c r="O43" i="50"/>
  <c r="Z43" i="50" s="1"/>
  <c r="N73" i="50"/>
  <c r="Y73" i="50" s="1"/>
  <c r="J88" i="50"/>
  <c r="U88" i="50" s="1"/>
  <c r="H50" i="50"/>
  <c r="S50" i="50" s="1"/>
  <c r="G32" i="50"/>
  <c r="R32" i="50" s="1"/>
  <c r="O37" i="50"/>
  <c r="Z37" i="50" s="1"/>
  <c r="H61" i="50"/>
  <c r="S61" i="50" s="1"/>
  <c r="F89" i="50"/>
  <c r="Q89" i="50" s="1"/>
  <c r="F105" i="50"/>
  <c r="Q105" i="50" s="1"/>
  <c r="K10" i="50"/>
  <c r="V10" i="50" s="1"/>
  <c r="V47" i="50"/>
  <c r="N50" i="50"/>
  <c r="Y50" i="50" s="1"/>
  <c r="N23" i="50"/>
  <c r="Y23" i="50" s="1"/>
  <c r="G23" i="50"/>
  <c r="R23" i="50" s="1"/>
  <c r="N112" i="50"/>
  <c r="Y112" i="50" s="1"/>
  <c r="K118" i="50"/>
  <c r="V118" i="50" s="1"/>
  <c r="N4" i="50"/>
  <c r="Y4" i="50" s="1"/>
  <c r="I134" i="50"/>
  <c r="T134" i="50" s="1"/>
  <c r="O62" i="50"/>
  <c r="Z62" i="50" s="1"/>
  <c r="I50" i="50"/>
  <c r="T50" i="50" s="1"/>
  <c r="H95" i="50"/>
  <c r="S95" i="50" s="1"/>
  <c r="J5" i="50"/>
  <c r="U5" i="50" s="1"/>
  <c r="F110" i="50"/>
  <c r="Q110" i="50" s="1"/>
  <c r="M8" i="50"/>
  <c r="X8" i="50" s="1"/>
  <c r="I3" i="50"/>
  <c r="T3" i="50" s="1"/>
  <c r="H138" i="50"/>
  <c r="S138" i="50" s="1"/>
  <c r="H42" i="50"/>
  <c r="S42" i="50" s="1"/>
  <c r="L37" i="50"/>
  <c r="W37" i="50" s="1"/>
  <c r="N130" i="50"/>
  <c r="Y130" i="50" s="1"/>
  <c r="G132" i="50"/>
  <c r="R132" i="50" s="1"/>
  <c r="L130" i="50"/>
  <c r="W130" i="50" s="1"/>
  <c r="O136" i="50"/>
  <c r="Z136" i="50" s="1"/>
  <c r="L95" i="50"/>
  <c r="W95" i="50" s="1"/>
  <c r="H34" i="50"/>
  <c r="S34" i="50" s="1"/>
  <c r="H126" i="50"/>
  <c r="S126" i="50" s="1"/>
  <c r="M108" i="50"/>
  <c r="X108" i="50" s="1"/>
  <c r="K9" i="50"/>
  <c r="V9" i="50" s="1"/>
  <c r="J32" i="50"/>
  <c r="U32" i="50" s="1"/>
  <c r="F61" i="50"/>
  <c r="Q61" i="50" s="1"/>
  <c r="H91" i="50"/>
  <c r="S91" i="50" s="1"/>
  <c r="N82" i="50"/>
  <c r="Y82" i="50" s="1"/>
  <c r="K117" i="50"/>
  <c r="V117" i="50" s="1"/>
  <c r="M43" i="50"/>
  <c r="X43" i="50" s="1"/>
  <c r="G137" i="50"/>
  <c r="R137" i="50" s="1"/>
  <c r="O21" i="50"/>
  <c r="Z21" i="50" s="1"/>
  <c r="J130" i="50"/>
  <c r="U130" i="50" s="1"/>
  <c r="J62" i="50"/>
  <c r="U62" i="50" s="1"/>
  <c r="I29" i="50"/>
  <c r="T29" i="50" s="1"/>
  <c r="I20" i="50"/>
  <c r="T20" i="50" s="1"/>
  <c r="O137" i="50"/>
  <c r="Z137" i="50" s="1"/>
  <c r="N53" i="50"/>
  <c r="Y53" i="50" s="1"/>
  <c r="F43" i="50"/>
  <c r="Q43" i="50" s="1"/>
  <c r="J3" i="50"/>
  <c r="U3" i="50" s="1"/>
  <c r="N39" i="50"/>
  <c r="Y39" i="50" s="1"/>
  <c r="G95" i="50"/>
  <c r="R95" i="50" s="1"/>
  <c r="N125" i="50"/>
  <c r="Y125" i="50" s="1"/>
  <c r="K108" i="50"/>
  <c r="V108" i="50" s="1"/>
  <c r="J112" i="50"/>
  <c r="U112" i="50" s="1"/>
  <c r="K76" i="50"/>
  <c r="V76" i="50" s="1"/>
  <c r="M136" i="50"/>
  <c r="X136" i="50" s="1"/>
  <c r="K61" i="50"/>
  <c r="V61" i="50" s="1"/>
  <c r="L48" i="50"/>
  <c r="W48" i="50" s="1"/>
  <c r="I9" i="50"/>
  <c r="T9" i="50" s="1"/>
  <c r="N94" i="50"/>
  <c r="Y94" i="50" s="1"/>
  <c r="F40" i="50"/>
  <c r="Q40" i="50" s="1"/>
  <c r="I8" i="50"/>
  <c r="T8" i="50" s="1"/>
  <c r="M120" i="50"/>
  <c r="X120" i="50" s="1"/>
  <c r="N81" i="50"/>
  <c r="Y81" i="50" s="1"/>
  <c r="M55" i="50"/>
  <c r="X55" i="50" s="1"/>
  <c r="M73" i="50"/>
  <c r="X73" i="50" s="1"/>
  <c r="I136" i="50"/>
  <c r="T136" i="50" s="1"/>
  <c r="L61" i="50"/>
  <c r="W61" i="50" s="1"/>
  <c r="O34" i="50"/>
  <c r="Z34" i="50" s="1"/>
  <c r="K132" i="50"/>
  <c r="V132" i="50" s="1"/>
  <c r="F138" i="50"/>
  <c r="Q138" i="50" s="1"/>
  <c r="F28" i="50"/>
  <c r="Q28" i="50" s="1"/>
  <c r="I100" i="50"/>
  <c r="T100" i="50" s="1"/>
  <c r="M100" i="50"/>
  <c r="X100" i="50" s="1"/>
  <c r="L121" i="50"/>
  <c r="W121" i="50" s="1"/>
  <c r="G70" i="50"/>
  <c r="R70" i="50" s="1"/>
  <c r="F49" i="50"/>
  <c r="Q49" i="50" s="1"/>
  <c r="O102" i="50"/>
  <c r="Z102" i="50" s="1"/>
  <c r="M24" i="50"/>
  <c r="X24" i="50" s="1"/>
  <c r="J120" i="50"/>
  <c r="U120" i="50" s="1"/>
  <c r="F42" i="50"/>
  <c r="Q42" i="50" s="1"/>
  <c r="J115" i="50"/>
  <c r="U115" i="50" s="1"/>
  <c r="O96" i="50"/>
  <c r="Z96" i="50" s="1"/>
  <c r="F75" i="50"/>
  <c r="Q75" i="50" s="1"/>
  <c r="M12" i="50"/>
  <c r="X12" i="50" s="1"/>
  <c r="N30" i="50"/>
  <c r="Y30" i="50" s="1"/>
  <c r="M5" i="50"/>
  <c r="X5" i="50" s="1"/>
  <c r="I45" i="50"/>
  <c r="T45" i="50" s="1"/>
  <c r="I12" i="50"/>
  <c r="T12" i="50" s="1"/>
  <c r="M126" i="50"/>
  <c r="X126" i="50" s="1"/>
  <c r="H52" i="50"/>
  <c r="S52" i="50" s="1"/>
  <c r="M125" i="50"/>
  <c r="X125" i="50" s="1"/>
  <c r="J72" i="50"/>
  <c r="U72" i="50" s="1"/>
  <c r="G106" i="50"/>
  <c r="R106" i="50" s="1"/>
  <c r="O131" i="50"/>
  <c r="Z131" i="50" s="1"/>
  <c r="N100" i="50"/>
  <c r="Y100" i="50" s="1"/>
  <c r="K73" i="50"/>
  <c r="V73" i="50" s="1"/>
  <c r="O108" i="50"/>
  <c r="Z108" i="50" s="1"/>
  <c r="F66" i="50"/>
  <c r="Q66" i="50" s="1"/>
  <c r="O3" i="50"/>
  <c r="Z3" i="50" s="1"/>
  <c r="K16" i="50"/>
  <c r="V16" i="50" s="1"/>
  <c r="L55" i="50"/>
  <c r="W55" i="50" s="1"/>
  <c r="G89" i="50"/>
  <c r="R89" i="50" s="1"/>
  <c r="G21" i="50"/>
  <c r="R21" i="50" s="1"/>
  <c r="K69" i="50"/>
  <c r="V69" i="50" s="1"/>
  <c r="L140" i="50"/>
  <c r="W140" i="50" s="1"/>
  <c r="K34" i="50"/>
  <c r="V34" i="50" s="1"/>
  <c r="J106" i="50"/>
  <c r="U106" i="50" s="1"/>
  <c r="J14" i="50"/>
  <c r="U14" i="50" s="1"/>
  <c r="H69" i="50"/>
  <c r="S69" i="50" s="1"/>
  <c r="F62" i="50"/>
  <c r="Q62" i="50" s="1"/>
  <c r="O105" i="50"/>
  <c r="Z105" i="50" s="1"/>
  <c r="M72" i="50"/>
  <c r="X72" i="50" s="1"/>
  <c r="G16" i="50"/>
  <c r="R16" i="50" s="1"/>
  <c r="N29" i="50"/>
  <c r="Y29" i="50" s="1"/>
  <c r="F52" i="50"/>
  <c r="Q52" i="50" s="1"/>
  <c r="G59" i="50"/>
  <c r="R59" i="50" s="1"/>
  <c r="G46" i="50"/>
  <c r="R46" i="50" s="1"/>
  <c r="M32" i="50"/>
  <c r="X32" i="50" s="1"/>
  <c r="G100" i="50"/>
  <c r="R100" i="50" s="1"/>
  <c r="G55" i="50"/>
  <c r="R55" i="50" s="1"/>
  <c r="K5" i="50"/>
  <c r="V5" i="50" s="1"/>
  <c r="J21" i="50"/>
  <c r="U21" i="50" s="1"/>
  <c r="M75" i="50"/>
  <c r="X75" i="50" s="1"/>
  <c r="K66" i="50"/>
  <c r="V66" i="50" s="1"/>
  <c r="L42" i="50"/>
  <c r="W42" i="50" s="1"/>
  <c r="I124" i="50"/>
  <c r="T124" i="50" s="1"/>
  <c r="O19" i="50"/>
  <c r="Z19" i="50" s="1"/>
  <c r="N43" i="50"/>
  <c r="Y43" i="50" s="1"/>
  <c r="X34" i="50"/>
  <c r="L100" i="50"/>
  <c r="W100" i="50" s="1"/>
  <c r="H98" i="50"/>
  <c r="S98" i="50" s="1"/>
  <c r="O66" i="50"/>
  <c r="Z66" i="50" s="1"/>
  <c r="F112" i="50"/>
  <c r="Q112" i="50" s="1"/>
  <c r="J124" i="50"/>
  <c r="U124" i="50" s="1"/>
  <c r="G119" i="50"/>
  <c r="R119" i="50" s="1"/>
  <c r="O119" i="50"/>
  <c r="Z119" i="50" s="1"/>
  <c r="G31" i="50"/>
  <c r="R31" i="50" s="1"/>
  <c r="F81" i="50"/>
  <c r="Q81" i="50" s="1"/>
  <c r="F120" i="50"/>
  <c r="Q120" i="50" s="1"/>
  <c r="G48" i="50"/>
  <c r="R48" i="50" s="1"/>
  <c r="J63" i="50"/>
  <c r="U63" i="50" s="1"/>
  <c r="K106" i="50"/>
  <c r="V106" i="50" s="1"/>
  <c r="F4" i="50"/>
  <c r="Q4" i="50" s="1"/>
  <c r="K21" i="50"/>
  <c r="V21" i="50" s="1"/>
  <c r="K91" i="50"/>
  <c r="V91" i="50" s="1"/>
  <c r="H44" i="50"/>
  <c r="S44" i="50" s="1"/>
  <c r="H128" i="50"/>
  <c r="S128" i="50" s="1"/>
  <c r="M140" i="50"/>
  <c r="X140" i="50" s="1"/>
  <c r="M78" i="50"/>
  <c r="X78" i="50" s="1"/>
  <c r="O88" i="50"/>
  <c r="Z88" i="50" s="1"/>
  <c r="N131" i="50"/>
  <c r="Y131" i="50" s="1"/>
  <c r="G98" i="50"/>
  <c r="R98" i="50" s="1"/>
  <c r="O75" i="50"/>
  <c r="Z75" i="50" s="1"/>
  <c r="M66" i="50"/>
  <c r="X66" i="50" s="1"/>
  <c r="N44" i="50"/>
  <c r="Y44" i="50" s="1"/>
  <c r="F18" i="50"/>
  <c r="Q18" i="50" s="1"/>
  <c r="F17" i="50"/>
  <c r="Q17" i="50" s="1"/>
  <c r="F99" i="50"/>
  <c r="Q99" i="50" s="1"/>
  <c r="G112" i="50"/>
  <c r="R112" i="50" s="1"/>
  <c r="G77" i="50"/>
  <c r="R77" i="50" s="1"/>
  <c r="I89" i="50"/>
  <c r="T89" i="50" s="1"/>
  <c r="F98" i="50"/>
  <c r="Q98" i="50" s="1"/>
  <c r="M82" i="50"/>
  <c r="X82" i="50" s="1"/>
  <c r="G63" i="50"/>
  <c r="R63" i="50" s="1"/>
  <c r="H112" i="50"/>
  <c r="S112" i="50" s="1"/>
  <c r="F24" i="50"/>
  <c r="Q24" i="50" s="1"/>
  <c r="L12" i="50"/>
  <c r="W12" i="50" s="1"/>
  <c r="J131" i="50"/>
  <c r="U131" i="50" s="1"/>
  <c r="I141" i="50"/>
  <c r="T141" i="50" s="1"/>
  <c r="H77" i="50"/>
  <c r="S77" i="50" s="1"/>
  <c r="J122" i="50"/>
  <c r="U122" i="50" s="1"/>
  <c r="I116" i="50"/>
  <c r="T116" i="50" s="1"/>
  <c r="W28" i="50"/>
  <c r="O9" i="50"/>
  <c r="Z9" i="50" s="1"/>
  <c r="J10" i="50"/>
  <c r="U10" i="50" s="1"/>
  <c r="O13" i="50"/>
  <c r="Z13" i="50" s="1"/>
  <c r="O35" i="50"/>
  <c r="Z35" i="50" s="1"/>
  <c r="N66" i="50"/>
  <c r="Y66" i="50" s="1"/>
  <c r="O112" i="50"/>
  <c r="Z112" i="50" s="1"/>
  <c r="O8" i="50"/>
  <c r="Z8" i="50" s="1"/>
  <c r="J61" i="50"/>
  <c r="U61" i="50" s="1"/>
  <c r="F90" i="50"/>
  <c r="Q90" i="50" s="1"/>
  <c r="K71" i="50"/>
  <c r="V71" i="50" s="1"/>
  <c r="O44" i="50"/>
  <c r="Z44" i="50" s="1"/>
  <c r="J100" i="50"/>
  <c r="U100" i="50" s="1"/>
  <c r="G120" i="50"/>
  <c r="R120" i="50" s="1"/>
  <c r="M112" i="50"/>
  <c r="X112" i="50" s="1"/>
  <c r="G111" i="50"/>
  <c r="R111" i="50" s="1"/>
  <c r="K35" i="50"/>
  <c r="V35" i="50" s="1"/>
  <c r="G58" i="50"/>
  <c r="R58" i="50" s="1"/>
  <c r="I131" i="50"/>
  <c r="T131" i="50" s="1"/>
  <c r="I108" i="50"/>
  <c r="T108" i="50" s="1"/>
  <c r="H8" i="50"/>
  <c r="S8" i="50" s="1"/>
  <c r="K124" i="50"/>
  <c r="V124" i="50" s="1"/>
  <c r="H106" i="50"/>
  <c r="S106" i="50" s="1"/>
  <c r="N22" i="50"/>
  <c r="Y22" i="50" s="1"/>
  <c r="I14" i="50"/>
  <c r="T14" i="50" s="1"/>
  <c r="F125" i="50"/>
  <c r="Q125" i="50" s="1"/>
  <c r="K90" i="50"/>
  <c r="V90" i="50" s="1"/>
  <c r="K95" i="50"/>
  <c r="V95" i="50" s="1"/>
  <c r="M58" i="50"/>
  <c r="X58" i="50" s="1"/>
  <c r="J92" i="50"/>
  <c r="U92" i="50" s="1"/>
  <c r="H125" i="50"/>
  <c r="S125" i="50" s="1"/>
  <c r="J29" i="50"/>
  <c r="U29" i="50" s="1"/>
  <c r="K59" i="50"/>
  <c r="V59" i="50" s="1"/>
  <c r="H10" i="50"/>
  <c r="S10" i="50" s="1"/>
  <c r="G24" i="50"/>
  <c r="R24" i="50" s="1"/>
  <c r="H79" i="50"/>
  <c r="S79" i="50" s="1"/>
  <c r="L120" i="50"/>
  <c r="W120" i="50" s="1"/>
  <c r="I34" i="50"/>
  <c r="T34" i="50" s="1"/>
  <c r="O98" i="50"/>
  <c r="Z98" i="50" s="1"/>
  <c r="J44" i="50"/>
  <c r="U44" i="50" s="1"/>
  <c r="I119" i="50"/>
  <c r="T119" i="50" s="1"/>
  <c r="K26" i="50"/>
  <c r="V26" i="50" s="1"/>
  <c r="J75" i="50"/>
  <c r="U75" i="50" s="1"/>
  <c r="I114" i="50"/>
  <c r="T114" i="50" s="1"/>
  <c r="H73" i="50"/>
  <c r="S73" i="50" s="1"/>
  <c r="H136" i="50"/>
  <c r="S136" i="50" s="1"/>
  <c r="K114" i="50"/>
  <c r="V114" i="50" s="1"/>
  <c r="L24" i="50"/>
  <c r="W24" i="50" s="1"/>
  <c r="J117" i="50"/>
  <c r="U117" i="50" s="1"/>
  <c r="O129" i="50"/>
  <c r="Z129" i="50" s="1"/>
  <c r="K13" i="50"/>
  <c r="V13" i="50" s="1"/>
  <c r="I122" i="50"/>
  <c r="T122" i="50" s="1"/>
  <c r="K123" i="50"/>
  <c r="V123" i="50" s="1"/>
  <c r="N47" i="50"/>
  <c r="Y47" i="50" s="1"/>
  <c r="O114" i="50"/>
  <c r="Z114" i="50" s="1"/>
  <c r="N3" i="50"/>
  <c r="Y3" i="50" s="1"/>
  <c r="X42" i="50"/>
  <c r="N108" i="50"/>
  <c r="Y108" i="50" s="1"/>
  <c r="N134" i="50"/>
  <c r="Y134" i="50" s="1"/>
  <c r="I127" i="50"/>
  <c r="T127" i="50" s="1"/>
  <c r="F57" i="50"/>
  <c r="Q57" i="50" s="1"/>
  <c r="N28" i="50"/>
  <c r="Y28" i="50" s="1"/>
  <c r="G7" i="50"/>
  <c r="R7" i="50" s="1"/>
  <c r="J79" i="50"/>
  <c r="U79" i="50" s="1"/>
  <c r="N8" i="50"/>
  <c r="Y8" i="50" s="1"/>
  <c r="H111" i="50"/>
  <c r="S111" i="50" s="1"/>
  <c r="O125" i="50"/>
  <c r="Z125" i="50" s="1"/>
  <c r="J119" i="50"/>
  <c r="U119" i="50" s="1"/>
  <c r="H114" i="50"/>
  <c r="S114" i="50" s="1"/>
  <c r="J108" i="50"/>
  <c r="U108" i="50" s="1"/>
  <c r="G136" i="50"/>
  <c r="R136" i="50" s="1"/>
  <c r="H12" i="50"/>
  <c r="S12" i="50" s="1"/>
  <c r="F48" i="50"/>
  <c r="Q48" i="50" s="1"/>
  <c r="G138" i="50"/>
  <c r="R138" i="50" s="1"/>
  <c r="J114" i="50"/>
  <c r="U114" i="50" s="1"/>
  <c r="I63" i="50"/>
  <c r="T63" i="50" s="1"/>
  <c r="G28" i="50"/>
  <c r="R28" i="50" s="1"/>
  <c r="N37" i="50"/>
  <c r="Y37" i="50" s="1"/>
  <c r="N119" i="50"/>
  <c r="Y119" i="50" s="1"/>
  <c r="G8" i="50"/>
  <c r="R8" i="50" s="1"/>
  <c r="L73" i="50"/>
  <c r="W73" i="50" s="1"/>
  <c r="G114" i="50"/>
  <c r="R114" i="50" s="1"/>
  <c r="O73" i="50"/>
  <c r="Z73" i="50" s="1"/>
  <c r="H120" i="50"/>
  <c r="S120" i="50" s="1"/>
  <c r="G66" i="50"/>
  <c r="R66" i="50" s="1"/>
  <c r="H63" i="50"/>
  <c r="S63" i="50" s="1"/>
  <c r="K42" i="50"/>
  <c r="V42" i="50" s="1"/>
  <c r="J136" i="50"/>
  <c r="U136" i="50" s="1"/>
  <c r="G61" i="50"/>
  <c r="R61" i="50" s="1"/>
  <c r="J113" i="50"/>
  <c r="U113" i="50" s="1"/>
  <c r="I98" i="50"/>
  <c r="T98" i="50" s="1"/>
  <c r="K53" i="50"/>
  <c r="V53" i="50" s="1"/>
  <c r="O89" i="50"/>
  <c r="Z89" i="50" s="1"/>
  <c r="M79" i="50"/>
  <c r="X79" i="50" s="1"/>
  <c r="O46" i="50"/>
  <c r="Z46" i="50" s="1"/>
  <c r="H132" i="50"/>
  <c r="S132" i="50" s="1"/>
  <c r="G4" i="50"/>
  <c r="R4" i="50" s="1"/>
  <c r="K93" i="50"/>
  <c r="V93" i="50" s="1"/>
  <c r="K64" i="50"/>
  <c r="V64" i="50" s="1"/>
  <c r="F132" i="50"/>
  <c r="Q132" i="50" s="1"/>
  <c r="H122" i="50"/>
  <c r="S122" i="50" s="1"/>
  <c r="G68" i="50"/>
  <c r="R68" i="50" s="1"/>
  <c r="M94" i="50"/>
  <c r="X94" i="50" s="1"/>
  <c r="F32" i="50"/>
  <c r="Q32" i="50" s="1"/>
  <c r="I28" i="50"/>
  <c r="T28" i="50" s="1"/>
  <c r="J137" i="50"/>
  <c r="U137" i="50" s="1"/>
  <c r="G104" i="50"/>
  <c r="R104" i="50" s="1"/>
  <c r="M104" i="50"/>
  <c r="X104" i="50" s="1"/>
  <c r="J138" i="50"/>
  <c r="U138" i="50" s="1"/>
  <c r="K25" i="50"/>
  <c r="V25" i="50" s="1"/>
  <c r="F116" i="50"/>
  <c r="Q116" i="50" s="1"/>
  <c r="G35" i="50"/>
  <c r="R35" i="50" s="1"/>
  <c r="H93" i="50"/>
  <c r="S93" i="50" s="1"/>
  <c r="O30" i="50"/>
  <c r="Z30" i="50" s="1"/>
  <c r="L104" i="50"/>
  <c r="W104" i="50" s="1"/>
  <c r="H22" i="50"/>
  <c r="S22" i="50" s="1"/>
  <c r="M70" i="50"/>
  <c r="X70" i="50" s="1"/>
  <c r="J26" i="50"/>
  <c r="U26" i="50" s="1"/>
  <c r="L105" i="50"/>
  <c r="W105" i="50" s="1"/>
  <c r="L18" i="50"/>
  <c r="W18" i="50" s="1"/>
  <c r="J126" i="50"/>
  <c r="U126" i="50" s="1"/>
  <c r="F131" i="50"/>
  <c r="Q131" i="50" s="1"/>
  <c r="F108" i="50"/>
  <c r="Q108" i="50" s="1"/>
  <c r="M62" i="50"/>
  <c r="X62" i="50" s="1"/>
  <c r="M113" i="50"/>
  <c r="X113" i="50" s="1"/>
  <c r="M35" i="50"/>
  <c r="X35" i="50" s="1"/>
  <c r="N12" i="50"/>
  <c r="Y12" i="50" s="1"/>
  <c r="G90" i="50"/>
  <c r="R90" i="50" s="1"/>
  <c r="G92" i="50"/>
  <c r="R92" i="50" s="1"/>
  <c r="M114" i="50"/>
  <c r="X114" i="50" s="1"/>
  <c r="K8" i="50"/>
  <c r="V8" i="50" s="1"/>
  <c r="K100" i="50"/>
  <c r="V100" i="50" s="1"/>
  <c r="G73" i="50"/>
  <c r="R73" i="50" s="1"/>
  <c r="J73" i="50"/>
  <c r="U73" i="50" s="1"/>
  <c r="H108" i="50"/>
  <c r="S108" i="50" s="1"/>
  <c r="M63" i="50"/>
  <c r="X63" i="50" s="1"/>
  <c r="L63" i="50"/>
  <c r="W63" i="50" s="1"/>
  <c r="J42" i="50"/>
  <c r="U42" i="50" s="1"/>
  <c r="K136" i="50"/>
  <c r="V136" i="50" s="1"/>
  <c r="O32" i="50"/>
  <c r="Z32" i="50" s="1"/>
  <c r="N141" i="50"/>
  <c r="Y141" i="50" s="1"/>
  <c r="J53" i="50"/>
  <c r="U53" i="50" s="1"/>
  <c r="H7" i="50"/>
  <c r="S7" i="50" s="1"/>
  <c r="J77" i="50"/>
  <c r="U77" i="50" s="1"/>
  <c r="F104" i="50"/>
  <c r="Q104" i="50" s="1"/>
  <c r="H113" i="50"/>
  <c r="S113" i="50" s="1"/>
  <c r="L137" i="50"/>
  <c r="W137" i="50" s="1"/>
  <c r="F130" i="50"/>
  <c r="Q130" i="50" s="1"/>
  <c r="I95" i="50"/>
  <c r="T95" i="50" s="1"/>
  <c r="O27" i="50"/>
  <c r="Z27" i="50" s="1"/>
  <c r="F7" i="50"/>
  <c r="Q7" i="50" s="1"/>
  <c r="O110" i="50"/>
  <c r="Z110" i="50" s="1"/>
  <c r="N122" i="50"/>
  <c r="Y122" i="50" s="1"/>
  <c r="J65" i="50"/>
  <c r="U65" i="50" s="1"/>
  <c r="I69" i="50"/>
  <c r="T69" i="50" s="1"/>
  <c r="H117" i="50"/>
  <c r="S117" i="50" s="1"/>
  <c r="N89" i="50"/>
  <c r="Y89" i="50" s="1"/>
  <c r="F53" i="50"/>
  <c r="Q53" i="50" s="1"/>
  <c r="O7" i="50"/>
  <c r="Z7" i="50" s="1"/>
  <c r="I111" i="50"/>
  <c r="T111" i="50" s="1"/>
  <c r="F137" i="50"/>
  <c r="Q137" i="50" s="1"/>
  <c r="N10" i="50"/>
  <c r="Y10" i="50" s="1"/>
  <c r="N91" i="50"/>
  <c r="Y91" i="50" s="1"/>
  <c r="H47" i="50"/>
  <c r="S47" i="50" s="1"/>
  <c r="O59" i="50"/>
  <c r="Z59" i="50" s="1"/>
  <c r="J76" i="50"/>
  <c r="U76" i="50" s="1"/>
  <c r="J70" i="50"/>
  <c r="U70" i="50" s="1"/>
  <c r="G18" i="50"/>
  <c r="R18" i="50" s="1"/>
  <c r="I104" i="50"/>
  <c r="T104" i="50" s="1"/>
  <c r="H94" i="50"/>
  <c r="S94" i="50" s="1"/>
  <c r="L78" i="50"/>
  <c r="W78" i="50" s="1"/>
  <c r="F111" i="50"/>
  <c r="Q111" i="50" s="1"/>
  <c r="G52" i="50"/>
  <c r="R52" i="50" s="1"/>
  <c r="F47" i="50"/>
  <c r="Q47" i="50" s="1"/>
  <c r="O31" i="50"/>
  <c r="Z31" i="50" s="1"/>
  <c r="I78" i="50"/>
  <c r="T78" i="50" s="1"/>
  <c r="G131" i="50"/>
  <c r="R131" i="50" s="1"/>
  <c r="H3" i="50"/>
  <c r="S3" i="50" s="1"/>
  <c r="G42" i="50"/>
  <c r="R42" i="50" s="1"/>
  <c r="I112" i="50"/>
  <c r="T112" i="50" s="1"/>
  <c r="L124" i="50"/>
  <c r="W124" i="50" s="1"/>
  <c r="O47" i="50"/>
  <c r="Z47" i="50" s="1"/>
  <c r="O12" i="50"/>
  <c r="Z12" i="50" s="1"/>
  <c r="K111" i="50"/>
  <c r="V111" i="50" s="1"/>
  <c r="N52" i="50"/>
  <c r="Y52" i="50" s="1"/>
  <c r="G129" i="50"/>
  <c r="R129" i="50" s="1"/>
  <c r="L76" i="50"/>
  <c r="W76" i="50" s="1"/>
  <c r="F140" i="50"/>
  <c r="Q140" i="50" s="1"/>
  <c r="K58" i="50"/>
  <c r="V58" i="50" s="1"/>
  <c r="K19" i="50"/>
  <c r="V19" i="50" s="1"/>
  <c r="I76" i="50"/>
  <c r="T76" i="50" s="1"/>
  <c r="H49" i="50"/>
  <c r="S49" i="50" s="1"/>
  <c r="F114" i="50"/>
  <c r="Q114" i="50" s="1"/>
  <c r="M3" i="50"/>
  <c r="X3" i="50" s="1"/>
  <c r="I120" i="50"/>
  <c r="T120" i="50" s="1"/>
  <c r="J66" i="50"/>
  <c r="U66" i="50" s="1"/>
  <c r="O42" i="50"/>
  <c r="Z42" i="50" s="1"/>
  <c r="L136" i="50"/>
  <c r="W136" i="50" s="1"/>
  <c r="L112" i="50"/>
  <c r="W112" i="50" s="1"/>
  <c r="N61" i="50"/>
  <c r="Y61" i="50" s="1"/>
  <c r="M124" i="50"/>
  <c r="X124" i="50" s="1"/>
  <c r="N124" i="50"/>
  <c r="Y124" i="50" s="1"/>
  <c r="H130" i="50"/>
  <c r="S130" i="50" s="1"/>
  <c r="L9" i="50"/>
  <c r="W9" i="50" s="1"/>
  <c r="M27" i="50"/>
  <c r="X27" i="50" s="1"/>
  <c r="I35" i="50"/>
  <c r="T35" i="50" s="1"/>
  <c r="M65" i="50"/>
  <c r="X65" i="50" s="1"/>
  <c r="M69" i="50"/>
  <c r="X69" i="50" s="1"/>
  <c r="F63" i="50"/>
  <c r="Q63" i="50" s="1"/>
  <c r="K105" i="50"/>
  <c r="V105" i="50" s="1"/>
  <c r="M45" i="50"/>
  <c r="X45" i="50" s="1"/>
  <c r="F94" i="50"/>
  <c r="Q94" i="50" s="1"/>
  <c r="H32" i="50"/>
  <c r="S32" i="50" s="1"/>
  <c r="M105" i="50"/>
  <c r="X105" i="50" s="1"/>
  <c r="N132" i="50"/>
  <c r="Y132" i="50" s="1"/>
  <c r="I106" i="50"/>
  <c r="T106" i="50" s="1"/>
  <c r="G10" i="50"/>
  <c r="R10" i="50" s="1"/>
  <c r="N98" i="50"/>
  <c r="Y98" i="50" s="1"/>
  <c r="M31" i="50"/>
  <c r="X31" i="50" s="1"/>
  <c r="J81" i="50"/>
  <c r="U81" i="50" s="1"/>
  <c r="N55" i="50"/>
  <c r="Y55" i="50" s="1"/>
  <c r="K92" i="50"/>
  <c r="V92" i="50" s="1"/>
  <c r="K27" i="50"/>
  <c r="V27" i="50" s="1"/>
  <c r="M10" i="50"/>
  <c r="X10" i="50" s="1"/>
  <c r="I128" i="50"/>
  <c r="T128" i="50" s="1"/>
  <c r="J34" i="50"/>
  <c r="U34" i="50" s="1"/>
  <c r="K78" i="50"/>
  <c r="V78" i="50" s="1"/>
  <c r="N7" i="50"/>
  <c r="Y7" i="50" s="1"/>
  <c r="L118" i="50"/>
  <c r="W118" i="50" s="1"/>
  <c r="L122" i="50"/>
  <c r="W122" i="50" s="1"/>
  <c r="I68" i="50"/>
  <c r="T68" i="50" s="1"/>
  <c r="H118" i="50"/>
  <c r="S118" i="50" s="1"/>
  <c r="I7" i="50"/>
  <c r="T7" i="50" s="1"/>
  <c r="M71" i="50"/>
  <c r="X71" i="50" s="1"/>
  <c r="F82" i="50"/>
  <c r="Q82" i="50" s="1"/>
  <c r="N20" i="50"/>
  <c r="Y20" i="50" s="1"/>
  <c r="K55" i="50"/>
  <c r="V55" i="50" s="1"/>
  <c r="H65" i="50"/>
  <c r="S65" i="50" s="1"/>
  <c r="G22" i="50"/>
  <c r="R22" i="50" s="1"/>
  <c r="J43" i="50"/>
  <c r="U43" i="50" s="1"/>
  <c r="J49" i="50"/>
  <c r="U49" i="50" s="1"/>
  <c r="G88" i="50"/>
  <c r="R88" i="50" s="1"/>
  <c r="L22" i="50"/>
  <c r="W22" i="50" s="1"/>
  <c r="H13" i="50"/>
  <c r="S13" i="50" s="1"/>
  <c r="N111" i="50"/>
  <c r="Y111" i="50" s="1"/>
  <c r="K141" i="50"/>
  <c r="V141" i="50" s="1"/>
  <c r="G130" i="50"/>
  <c r="R130" i="50" s="1"/>
  <c r="M53" i="50"/>
  <c r="X53" i="50" s="1"/>
  <c r="H57" i="50"/>
  <c r="S57" i="50" s="1"/>
  <c r="J22" i="50"/>
  <c r="U22" i="50" s="1"/>
  <c r="O28" i="50"/>
  <c r="Z28" i="50" s="1"/>
  <c r="K14" i="50"/>
  <c r="V14" i="50" s="1"/>
  <c r="M21" i="50"/>
  <c r="X21" i="50" s="1"/>
  <c r="K12" i="50"/>
  <c r="V12" i="50" s="1"/>
  <c r="O50" i="50"/>
  <c r="Z50" i="50" s="1"/>
  <c r="O120" i="50"/>
  <c r="Z120" i="50" s="1"/>
  <c r="M61" i="50"/>
  <c r="X61" i="50" s="1"/>
  <c r="O58" i="50"/>
  <c r="Z58" i="50" s="1"/>
  <c r="M121" i="50"/>
  <c r="X121" i="50" s="1"/>
  <c r="N78" i="50"/>
  <c r="Y78" i="50" s="1"/>
  <c r="O22" i="50"/>
  <c r="Z22" i="50" s="1"/>
  <c r="L128" i="50"/>
  <c r="W128" i="50" s="1"/>
  <c r="J95" i="50"/>
  <c r="U95" i="50" s="1"/>
  <c r="L119" i="50"/>
  <c r="W119" i="50" s="1"/>
  <c r="H30" i="50"/>
  <c r="S30" i="50" s="1"/>
  <c r="L131" i="50"/>
  <c r="W131" i="50" s="1"/>
  <c r="L114" i="50"/>
  <c r="W114" i="50" s="1"/>
  <c r="J8" i="50"/>
  <c r="U8" i="50" s="1"/>
  <c r="H100" i="50"/>
  <c r="S100" i="50" s="1"/>
  <c r="O100" i="50"/>
  <c r="Z100" i="50" s="1"/>
  <c r="I73" i="50"/>
  <c r="T73" i="50" s="1"/>
  <c r="G108" i="50"/>
  <c r="R108" i="50" s="1"/>
  <c r="N63" i="50"/>
  <c r="Y63" i="50" s="1"/>
  <c r="O63" i="50"/>
  <c r="Z63" i="50" s="1"/>
  <c r="N42" i="50"/>
  <c r="Y42" i="50" s="1"/>
  <c r="F136" i="50"/>
  <c r="Q136" i="50" s="1"/>
  <c r="L108" i="50"/>
  <c r="W108" i="50" s="1"/>
  <c r="L3" i="50"/>
  <c r="W3" i="50" s="1"/>
  <c r="F73" i="50"/>
  <c r="Q73" i="50" s="1"/>
  <c r="H66" i="50"/>
  <c r="S66" i="50" s="1"/>
  <c r="O61" i="50"/>
  <c r="Z61" i="50" s="1"/>
  <c r="I27" i="50"/>
  <c r="T27" i="50" s="1"/>
  <c r="L11" i="50"/>
  <c r="W11" i="50" s="1"/>
  <c r="I19" i="50"/>
  <c r="T19" i="50" s="1"/>
  <c r="H9" i="50"/>
  <c r="S9" i="50" s="1"/>
  <c r="G79" i="50"/>
  <c r="R79" i="50" s="1"/>
  <c r="G78" i="50"/>
  <c r="R78" i="50" s="1"/>
  <c r="H16" i="50"/>
  <c r="S16" i="50" s="1"/>
  <c r="G30" i="50"/>
  <c r="R30" i="50" s="1"/>
  <c r="G12" i="50"/>
  <c r="R12" i="50" s="1"/>
  <c r="L126" i="50"/>
  <c r="W126" i="50" s="1"/>
  <c r="I140" i="50"/>
  <c r="T140" i="50" s="1"/>
  <c r="J110" i="50"/>
  <c r="U110" i="50" s="1"/>
  <c r="N118" i="50"/>
  <c r="Y118" i="50" s="1"/>
  <c r="L106" i="50"/>
  <c r="W106" i="50" s="1"/>
  <c r="G134" i="50"/>
  <c r="R134" i="50" s="1"/>
  <c r="H96" i="50"/>
  <c r="S96" i="50" s="1"/>
  <c r="J89" i="50"/>
  <c r="U89" i="50" s="1"/>
  <c r="N58" i="50"/>
  <c r="Y58" i="50" s="1"/>
  <c r="M129" i="50"/>
  <c r="X129" i="50" s="1"/>
  <c r="O10" i="50"/>
  <c r="Z10" i="50" s="1"/>
  <c r="O132" i="50"/>
  <c r="Z132" i="50" s="1"/>
  <c r="G113" i="50"/>
  <c r="R113" i="50" s="1"/>
  <c r="H78" i="50"/>
  <c r="S78" i="50" s="1"/>
  <c r="N110" i="50"/>
  <c r="Y110" i="50" s="1"/>
  <c r="J16" i="50"/>
  <c r="U16" i="50" s="1"/>
  <c r="N104" i="50"/>
  <c r="Y104" i="50" s="1"/>
  <c r="F141" i="50"/>
  <c r="Q141" i="50" s="1"/>
  <c r="I126" i="50"/>
  <c r="T126" i="50" s="1"/>
  <c r="G141" i="50"/>
  <c r="R141" i="50" s="1"/>
  <c r="L70" i="50"/>
  <c r="W70" i="50" s="1"/>
  <c r="H39" i="50"/>
  <c r="S39" i="50" s="1"/>
  <c r="O106" i="50"/>
  <c r="Z106" i="50" s="1"/>
  <c r="I72" i="50"/>
  <c r="T72" i="50" s="1"/>
  <c r="J7" i="50"/>
  <c r="U7" i="50" s="1"/>
  <c r="M81" i="50"/>
  <c r="X81" i="50" s="1"/>
  <c r="G94" i="50"/>
  <c r="R94" i="50" s="1"/>
  <c r="L127" i="50"/>
  <c r="W127" i="50" s="1"/>
  <c r="K104" i="50"/>
  <c r="V104" i="50" s="1"/>
  <c r="I90" i="50"/>
  <c r="T90" i="50" s="1"/>
  <c r="L35" i="50"/>
  <c r="W35" i="50" s="1"/>
  <c r="L8" i="50"/>
  <c r="W8" i="50" s="1"/>
  <c r="N136" i="50"/>
  <c r="Y136" i="50" s="1"/>
  <c r="F100" i="50"/>
  <c r="Q100" i="50" s="1"/>
  <c r="G124" i="50"/>
  <c r="R124" i="50" s="1"/>
  <c r="I88" i="50"/>
  <c r="T88" i="50" s="1"/>
  <c r="H116" i="50"/>
  <c r="S116" i="50" s="1"/>
  <c r="I71" i="50"/>
  <c r="T71" i="50" s="1"/>
  <c r="M95" i="50"/>
  <c r="X95" i="50" s="1"/>
  <c r="I113" i="50"/>
  <c r="T113" i="50" s="1"/>
  <c r="J125" i="50"/>
  <c r="U125" i="50" s="1"/>
  <c r="K24" i="50"/>
  <c r="V24" i="50" s="1"/>
  <c r="H105" i="50"/>
  <c r="S105" i="50" s="1"/>
  <c r="H131" i="50"/>
  <c r="S131" i="50" s="1"/>
  <c r="K131" i="50"/>
  <c r="V131" i="50" s="1"/>
  <c r="F8" i="50"/>
  <c r="Q8" i="50" s="1"/>
  <c r="K3" i="50"/>
  <c r="V3" i="50" s="1"/>
  <c r="K120" i="50"/>
  <c r="V120" i="50" s="1"/>
  <c r="N120" i="50"/>
  <c r="Y120" i="50" s="1"/>
  <c r="I66" i="50"/>
  <c r="T66" i="50" s="1"/>
  <c r="I42" i="50"/>
  <c r="T42" i="50" s="1"/>
  <c r="K112" i="50"/>
  <c r="V112" i="50" s="1"/>
  <c r="I61" i="50"/>
  <c r="T61" i="50" s="1"/>
  <c r="H124" i="50"/>
  <c r="S124" i="50" s="1"/>
  <c r="I93" i="50"/>
  <c r="T93" i="50" s="1"/>
  <c r="I58" i="50"/>
  <c r="T58" i="50" s="1"/>
  <c r="N115" i="50"/>
  <c r="Y115" i="50" s="1"/>
  <c r="N127" i="50"/>
  <c r="Y127" i="50" s="1"/>
  <c r="L58" i="50"/>
  <c r="W58" i="50" s="1"/>
  <c r="H140" i="50"/>
  <c r="S140" i="50" s="1"/>
  <c r="K88" i="50"/>
  <c r="V88" i="50" s="1"/>
  <c r="F127" i="50"/>
  <c r="Q127" i="50" s="1"/>
  <c r="M48" i="50"/>
  <c r="X48" i="50" s="1"/>
  <c r="F14" i="50"/>
  <c r="Q14" i="50" s="1"/>
  <c r="N93" i="50"/>
  <c r="Y93" i="50" s="1"/>
  <c r="O53" i="50"/>
  <c r="Z53" i="50" s="1"/>
  <c r="L115" i="50"/>
  <c r="W115" i="50" s="1"/>
  <c r="O116" i="50"/>
  <c r="Z116" i="50" s="1"/>
  <c r="J28" i="50"/>
  <c r="U28" i="50" s="1"/>
  <c r="I138" i="50"/>
  <c r="T138" i="50" s="1"/>
  <c r="O82" i="50"/>
  <c r="Z82" i="50" s="1"/>
  <c r="N75" i="50"/>
  <c r="Y75" i="50" s="1"/>
  <c r="N128" i="50"/>
  <c r="Y128" i="50" s="1"/>
  <c r="K49" i="50"/>
  <c r="V49" i="50" s="1"/>
  <c r="K81" i="50"/>
  <c r="V81" i="50" s="1"/>
  <c r="L116" i="50"/>
  <c r="W116" i="50" s="1"/>
  <c r="N102" i="50"/>
  <c r="Y102" i="50" s="1"/>
  <c r="I46" i="50"/>
  <c r="T46" i="50" s="1"/>
  <c r="L57" i="50"/>
  <c r="W57" i="50" s="1"/>
  <c r="I52" i="50"/>
  <c r="T52" i="50" s="1"/>
  <c r="I110" i="50"/>
  <c r="T110" i="50" s="1"/>
  <c r="H19" i="50"/>
  <c r="S19" i="50" s="1"/>
  <c r="N116" i="50"/>
  <c r="Y116" i="50" s="1"/>
  <c r="O134" i="50"/>
  <c r="Z134" i="50" s="1"/>
  <c r="H29" i="50"/>
  <c r="S29" i="50" s="1"/>
  <c r="O49" i="50"/>
  <c r="Z49" i="50" s="1"/>
  <c r="L5" i="50"/>
  <c r="W5" i="50" s="1"/>
  <c r="L94" i="50"/>
  <c r="W94" i="50" s="1"/>
  <c r="F19" i="50"/>
  <c r="Q19" i="50" s="1"/>
  <c r="J99" i="50"/>
  <c r="U99" i="50" s="1"/>
  <c r="H37" i="50"/>
  <c r="S37" i="50" s="1"/>
  <c r="I55" i="50"/>
  <c r="T55" i="50" s="1"/>
  <c r="M117" i="50"/>
  <c r="X117" i="50" s="1"/>
  <c r="I132" i="50"/>
  <c r="T132" i="50" s="1"/>
  <c r="H123" i="50"/>
  <c r="S123" i="50" s="1"/>
  <c r="G117" i="50"/>
  <c r="R117" i="50" s="1"/>
  <c r="N99" i="50"/>
  <c r="Y99" i="50" s="1"/>
  <c r="I57" i="50"/>
  <c r="T57" i="50" s="1"/>
  <c r="F23" i="50"/>
  <c r="Q23" i="50" s="1"/>
  <c r="M99" i="50"/>
  <c r="X99" i="50" s="1"/>
  <c r="I32" i="50"/>
  <c r="T32" i="50" s="1"/>
  <c r="L88" i="50"/>
  <c r="W88" i="50" s="1"/>
  <c r="F39" i="50"/>
  <c r="Q39" i="50" s="1"/>
  <c r="F9" i="50"/>
  <c r="Q9" i="50" s="1"/>
  <c r="K125" i="50"/>
  <c r="V125" i="50" s="1"/>
  <c r="G44" i="50"/>
  <c r="R44" i="50" s="1"/>
  <c r="G25" i="50"/>
  <c r="R25" i="50" s="1"/>
  <c r="N35" i="50"/>
  <c r="Y35" i="50" s="1"/>
  <c r="L123" i="50"/>
  <c r="W123" i="50" s="1"/>
  <c r="I62" i="50"/>
  <c r="T62" i="50" s="1"/>
  <c r="F77" i="50"/>
  <c r="Q77" i="50" s="1"/>
  <c r="J105" i="50"/>
  <c r="U105" i="50" s="1"/>
  <c r="I105" i="50"/>
  <c r="T105" i="50" s="1"/>
  <c r="K70" i="50"/>
  <c r="V70" i="50" s="1"/>
  <c r="O94" i="50"/>
  <c r="Z94" i="50" s="1"/>
  <c r="L25" i="50"/>
  <c r="W25" i="50" s="1"/>
  <c r="G57" i="50"/>
  <c r="R57" i="50" s="1"/>
  <c r="F12" i="50"/>
  <c r="Q12" i="50" s="1"/>
  <c r="H70" i="50"/>
  <c r="S70" i="50" s="1"/>
  <c r="H71" i="50"/>
  <c r="S71" i="50" s="1"/>
  <c r="I130" i="50"/>
  <c r="T130" i="50" s="1"/>
  <c r="L27" i="50"/>
  <c r="W27" i="50" s="1"/>
  <c r="I129" i="50"/>
  <c r="T129" i="50" s="1"/>
  <c r="N65" i="50"/>
  <c r="Y65" i="50" s="1"/>
  <c r="M46" i="50"/>
  <c r="X46" i="50" s="1"/>
  <c r="J12" i="50"/>
  <c r="U12" i="50" s="1"/>
  <c r="L7" i="50"/>
  <c r="W7" i="50" s="1"/>
  <c r="I64" i="50"/>
  <c r="T64" i="50" s="1"/>
  <c r="K31" i="50"/>
  <c r="V31" i="50" s="1"/>
  <c r="N121" i="50"/>
  <c r="Y121" i="50" s="1"/>
  <c r="J98" i="50"/>
  <c r="U98" i="50" s="1"/>
  <c r="F106" i="50"/>
  <c r="Q106" i="50" s="1"/>
  <c r="F121" i="50"/>
  <c r="Q121" i="50" s="1"/>
  <c r="O115" i="50"/>
  <c r="Z115" i="50" s="1"/>
  <c r="O5" i="50"/>
  <c r="Z5" i="50" s="1"/>
  <c r="M77" i="50"/>
  <c r="X77" i="50" s="1"/>
  <c r="M111" i="50"/>
  <c r="X111" i="50" s="1"/>
  <c r="K75" i="50"/>
  <c r="V75" i="50" s="1"/>
  <c r="F10" i="50"/>
  <c r="Q10" i="50" s="1"/>
  <c r="K65" i="50"/>
  <c r="V65" i="50" s="1"/>
  <c r="F122" i="50"/>
  <c r="Q122" i="50" s="1"/>
  <c r="F27" i="50"/>
  <c r="Q27" i="50" s="1"/>
  <c r="N79" i="50"/>
  <c r="Y79" i="50" s="1"/>
  <c r="I43" i="50"/>
  <c r="T43" i="50" s="1"/>
  <c r="I59" i="50"/>
  <c r="T59" i="50" s="1"/>
  <c r="L20" i="50"/>
  <c r="W20" i="50" s="1"/>
  <c r="H28" i="50"/>
  <c r="S28" i="50" s="1"/>
  <c r="F95" i="50"/>
  <c r="Q95" i="50" s="1"/>
  <c r="F16" i="50"/>
  <c r="Q16" i="50" s="1"/>
  <c r="G6" i="50"/>
  <c r="R6" i="50" s="1"/>
  <c r="L47" i="50"/>
  <c r="W47" i="50" s="1"/>
  <c r="N19" i="50"/>
  <c r="Y19" i="50" s="1"/>
  <c r="F22" i="50"/>
  <c r="Q22" i="50" s="1"/>
  <c r="I94" i="50"/>
  <c r="T94" i="50" s="1"/>
  <c r="F128" i="50"/>
  <c r="Q128" i="50" s="1"/>
  <c r="O6" i="50"/>
  <c r="Z6" i="50" s="1"/>
  <c r="J27" i="50"/>
  <c r="U27" i="50" s="1"/>
  <c r="M29" i="50"/>
  <c r="X29" i="50" s="1"/>
  <c r="L32" i="50"/>
  <c r="W32" i="50" s="1"/>
  <c r="I37" i="50"/>
  <c r="T37" i="50" s="1"/>
  <c r="K43" i="50"/>
  <c r="V43" i="50" s="1"/>
  <c r="O77" i="50"/>
  <c r="Z77" i="50" s="1"/>
  <c r="M13" i="50"/>
  <c r="X13" i="50" s="1"/>
  <c r="M141" i="50"/>
  <c r="X141" i="50" s="1"/>
  <c r="N59" i="50"/>
  <c r="Y59" i="50" s="1"/>
  <c r="K30" i="50"/>
  <c r="V30" i="50" s="1"/>
  <c r="O14" i="50"/>
  <c r="Z14" i="50" s="1"/>
  <c r="I10" i="50"/>
  <c r="T10" i="50" s="1"/>
  <c r="H27" i="50"/>
  <c r="S27" i="50" s="1"/>
  <c r="H53" i="50"/>
  <c r="S53" i="50" s="1"/>
  <c r="F50" i="50"/>
  <c r="Q50" i="50" s="1"/>
  <c r="M89" i="50"/>
  <c r="X89" i="50" s="1"/>
  <c r="V39" i="50"/>
  <c r="K121" i="50"/>
  <c r="V121" i="50" s="1"/>
  <c r="M119" i="50"/>
  <c r="X119" i="50" s="1"/>
  <c r="G14" i="50"/>
  <c r="R14" i="50" s="1"/>
  <c r="M57" i="50"/>
  <c r="X57" i="50" s="1"/>
  <c r="N90" i="50"/>
  <c r="Y90" i="50" s="1"/>
  <c r="I92" i="50"/>
  <c r="T92" i="50" s="1"/>
  <c r="O130" i="50"/>
  <c r="Z130" i="50" s="1"/>
  <c r="N6" i="50"/>
  <c r="Y6" i="50" s="1"/>
  <c r="L134" i="50"/>
  <c r="W134" i="50" s="1"/>
  <c r="I21" i="50"/>
  <c r="T21" i="50" s="1"/>
  <c r="J48" i="50"/>
  <c r="U48" i="50" s="1"/>
  <c r="N95" i="50"/>
  <c r="Y95" i="50" s="1"/>
  <c r="J40" i="50"/>
  <c r="U40" i="50" s="1"/>
  <c r="I23" i="50"/>
  <c r="T23" i="50" s="1"/>
  <c r="K113" i="50"/>
  <c r="V113" i="50" s="1"/>
  <c r="I40" i="50"/>
  <c r="T40" i="50" s="1"/>
  <c r="I123" i="50"/>
  <c r="T123" i="50" s="1"/>
  <c r="O123" i="50"/>
  <c r="Z123" i="50" s="1"/>
  <c r="O18" i="50"/>
  <c r="Z18" i="50" s="1"/>
  <c r="F5" i="50"/>
  <c r="Q5" i="50" s="1"/>
  <c r="G3" i="50"/>
  <c r="R3" i="50" s="1"/>
  <c r="O127" i="50"/>
  <c r="Z127" i="50" s="1"/>
  <c r="O111" i="50"/>
  <c r="Z111" i="50" s="1"/>
  <c r="I5" i="50"/>
  <c r="T5" i="50" s="1"/>
  <c r="M22" i="50"/>
  <c r="X22" i="50" s="1"/>
  <c r="F58" i="50"/>
  <c r="Q58" i="50" s="1"/>
  <c r="L44" i="50"/>
  <c r="W44" i="50" s="1"/>
  <c r="M93" i="50"/>
  <c r="X93" i="50" s="1"/>
  <c r="M137" i="50"/>
  <c r="X137" i="50" s="1"/>
  <c r="I91" i="50"/>
  <c r="T91" i="50" s="1"/>
  <c r="F3" i="50"/>
  <c r="Q3" i="50" s="1"/>
  <c r="O25" i="50"/>
  <c r="Z25" i="50" s="1"/>
  <c r="J132" i="50"/>
  <c r="U132" i="50" s="1"/>
  <c r="F11" i="50"/>
  <c r="Q11" i="50" s="1"/>
  <c r="L90" i="50"/>
  <c r="W90" i="50" s="1"/>
  <c r="K89" i="50"/>
  <c r="V89" i="50" s="1"/>
  <c r="N46" i="50"/>
  <c r="Y46" i="50" s="1"/>
  <c r="M16" i="50"/>
  <c r="X16" i="50" s="1"/>
  <c r="M88" i="50"/>
  <c r="X88" i="50" s="1"/>
  <c r="J4" i="50"/>
  <c r="U4" i="50" s="1"/>
  <c r="O40" i="50"/>
  <c r="Z40" i="50" s="1"/>
  <c r="G93" i="50"/>
  <c r="R93" i="50" s="1"/>
  <c r="F115" i="50"/>
  <c r="Q115" i="50" s="1"/>
  <c r="N77" i="50"/>
  <c r="Y77" i="50" s="1"/>
  <c r="H40" i="50"/>
  <c r="S40" i="50" s="1"/>
  <c r="O78" i="50"/>
  <c r="Z78" i="50" s="1"/>
  <c r="I118" i="50"/>
  <c r="T118" i="50" s="1"/>
  <c r="O39" i="50"/>
  <c r="Z39" i="50" s="1"/>
  <c r="L52" i="50"/>
  <c r="W52" i="50" s="1"/>
  <c r="G50" i="50"/>
  <c r="R50" i="50" s="1"/>
  <c r="G29" i="50"/>
  <c r="R29" i="50" s="1"/>
  <c r="G17" i="50"/>
  <c r="R17" i="50" s="1"/>
  <c r="N69" i="50"/>
  <c r="Y69" i="50" s="1"/>
  <c r="I53" i="50"/>
  <c r="T53" i="50" s="1"/>
  <c r="M92" i="50"/>
  <c r="X92" i="50" s="1"/>
  <c r="H59" i="50"/>
  <c r="S59" i="50" s="1"/>
  <c r="G45" i="50"/>
  <c r="R45" i="50" s="1"/>
  <c r="L6" i="50"/>
  <c r="W6" i="50" s="1"/>
  <c r="K110" i="50"/>
  <c r="V110" i="50" s="1"/>
  <c r="J90" i="50"/>
  <c r="U90" i="50" s="1"/>
  <c r="G19" i="50"/>
  <c r="R19" i="50" s="1"/>
  <c r="M23" i="50"/>
  <c r="X23" i="50" s="1"/>
  <c r="M132" i="50"/>
  <c r="X132" i="50" s="1"/>
  <c r="O16" i="50"/>
  <c r="Z16" i="50" s="1"/>
  <c r="F93" i="50"/>
  <c r="Q93" i="50" s="1"/>
  <c r="J50" i="50"/>
  <c r="U50" i="50" s="1"/>
  <c r="I6" i="50"/>
  <c r="T6" i="50" s="1"/>
  <c r="F35" i="50"/>
  <c r="Q35" i="50" s="1"/>
  <c r="J55" i="50"/>
  <c r="U55" i="50" s="1"/>
  <c r="M123" i="50"/>
  <c r="X123" i="50" s="1"/>
  <c r="L46" i="50"/>
  <c r="W46" i="50" s="1"/>
  <c r="M37" i="50"/>
  <c r="X37" i="50" s="1"/>
  <c r="K115" i="50"/>
  <c r="V115" i="50" s="1"/>
  <c r="G126" i="50"/>
  <c r="R126" i="50" s="1"/>
  <c r="L89" i="50"/>
  <c r="W89" i="50" s="1"/>
  <c r="K102" i="50"/>
  <c r="V102" i="50" s="1"/>
  <c r="J47" i="50"/>
  <c r="U47" i="50" s="1"/>
  <c r="I102" i="50"/>
  <c r="T102" i="50" s="1"/>
  <c r="G71" i="50"/>
  <c r="R71" i="50" s="1"/>
  <c r="J82" i="50"/>
  <c r="U82" i="50" s="1"/>
  <c r="H6" i="50"/>
  <c r="S6" i="50" s="1"/>
  <c r="K127" i="50"/>
  <c r="V127" i="50" s="1"/>
  <c r="F123" i="50"/>
  <c r="Q123" i="50" s="1"/>
  <c r="M30" i="50"/>
  <c r="X30" i="50" s="1"/>
  <c r="K4" i="50"/>
  <c r="V4" i="50" s="1"/>
  <c r="N105" i="50"/>
  <c r="Y105" i="50" s="1"/>
  <c r="H20" i="50"/>
  <c r="S20" i="50" s="1"/>
  <c r="F102" i="50"/>
  <c r="Q102" i="50" s="1"/>
  <c r="G65" i="50"/>
  <c r="R65" i="50" s="1"/>
  <c r="O76" i="50"/>
  <c r="Z76" i="50" s="1"/>
  <c r="J96" i="50"/>
  <c r="U96" i="50" s="1"/>
  <c r="F134" i="50"/>
  <c r="Q134" i="50" s="1"/>
  <c r="H121" i="50"/>
  <c r="S121" i="50" s="1"/>
  <c r="M28" i="50"/>
  <c r="X28" i="50" s="1"/>
  <c r="J9" i="50"/>
  <c r="U9" i="50" s="1"/>
  <c r="O45" i="50"/>
  <c r="Z45" i="50" s="1"/>
  <c r="F117" i="50"/>
  <c r="Q117" i="50" s="1"/>
  <c r="L72" i="50"/>
  <c r="W72" i="50" s="1"/>
  <c r="K37" i="50"/>
  <c r="V37" i="50" s="1"/>
  <c r="M59" i="50"/>
  <c r="X59" i="50" s="1"/>
  <c r="G11" i="50"/>
  <c r="R11" i="50" s="1"/>
  <c r="H31" i="50"/>
  <c r="S31" i="50" s="1"/>
  <c r="L82" i="50"/>
  <c r="W82" i="50" s="1"/>
  <c r="M134" i="50"/>
  <c r="X134" i="50" s="1"/>
  <c r="M4" i="50"/>
  <c r="X4" i="50" s="1"/>
  <c r="K48" i="50"/>
  <c r="V48" i="50" s="1"/>
  <c r="N106" i="50"/>
  <c r="Y106" i="50" s="1"/>
  <c r="K46" i="50"/>
  <c r="V46" i="50" s="1"/>
  <c r="H26" i="50"/>
  <c r="S26" i="50" s="1"/>
  <c r="M68" i="50"/>
  <c r="X68" i="50" s="1"/>
  <c r="N68" i="50"/>
  <c r="Y68" i="50" s="1"/>
  <c r="M26" i="50"/>
  <c r="X26" i="50" s="1"/>
  <c r="N5" i="50"/>
  <c r="Y5" i="50" s="1"/>
  <c r="H58" i="50"/>
  <c r="S58" i="50" s="1"/>
  <c r="O128" i="50"/>
  <c r="Z128" i="50" s="1"/>
  <c r="I115" i="50"/>
  <c r="T115" i="50" s="1"/>
  <c r="I65" i="50"/>
  <c r="T65" i="50" s="1"/>
  <c r="H141" i="50"/>
  <c r="S141" i="50" s="1"/>
  <c r="O24" i="50"/>
  <c r="Z24" i="50" s="1"/>
  <c r="F129" i="50"/>
  <c r="Q129" i="50" s="1"/>
  <c r="I13" i="50"/>
  <c r="T13" i="50" s="1"/>
  <c r="H72" i="50"/>
  <c r="S72" i="50" s="1"/>
  <c r="N24" i="50"/>
  <c r="Y24" i="50" s="1"/>
  <c r="K134" i="50"/>
  <c r="V134" i="50" s="1"/>
  <c r="K116" i="50"/>
  <c r="V116" i="50" s="1"/>
  <c r="L53" i="50"/>
  <c r="W53" i="50" s="1"/>
  <c r="G9" i="50"/>
  <c r="R9" i="50" s="1"/>
  <c r="J64" i="50"/>
  <c r="U64" i="50" s="1"/>
  <c r="I22" i="50"/>
  <c r="T22" i="50" s="1"/>
  <c r="M19" i="50"/>
  <c r="X19" i="50" s="1"/>
  <c r="O23" i="50"/>
  <c r="Z23" i="50" s="1"/>
  <c r="M64" i="50"/>
  <c r="X64" i="50" s="1"/>
  <c r="I70" i="50"/>
  <c r="T70" i="50" s="1"/>
  <c r="H23" i="50"/>
  <c r="S23" i="50" s="1"/>
  <c r="H82" i="50"/>
  <c r="S82" i="50" s="1"/>
  <c r="H89" i="50"/>
  <c r="S89" i="50" s="1"/>
  <c r="L10" i="50"/>
  <c r="W10" i="50" s="1"/>
  <c r="F46" i="50"/>
  <c r="Q46" i="50" s="1"/>
  <c r="M127" i="50"/>
  <c r="X127" i="50" s="1"/>
  <c r="O55" i="50"/>
  <c r="Z55" i="50" s="1"/>
  <c r="N18" i="50"/>
  <c r="Y18" i="50" s="1"/>
  <c r="M49" i="50"/>
  <c r="X49" i="50" s="1"/>
  <c r="N140" i="50"/>
  <c r="Y140" i="50" s="1"/>
  <c r="K79" i="50"/>
  <c r="V79" i="50" s="1"/>
  <c r="N13" i="50"/>
  <c r="Y13" i="50" s="1"/>
  <c r="O141" i="50"/>
  <c r="Z141" i="50" s="1"/>
  <c r="O93" i="50"/>
  <c r="Z93" i="50" s="1"/>
  <c r="F44" i="50"/>
  <c r="Q44" i="50" s="1"/>
  <c r="O140" i="50"/>
  <c r="Z140" i="50" s="1"/>
  <c r="L93" i="50"/>
  <c r="W93" i="50" s="1"/>
  <c r="H45" i="50"/>
  <c r="S45" i="50" s="1"/>
  <c r="J37" i="50"/>
  <c r="U37" i="50" s="1"/>
  <c r="G13" i="50"/>
  <c r="R13" i="50" s="1"/>
  <c r="L138" i="50"/>
  <c r="W138" i="50" s="1"/>
  <c r="F26" i="50"/>
  <c r="Q26" i="50" s="1"/>
  <c r="M17" i="50"/>
  <c r="X17" i="50" s="1"/>
  <c r="N71" i="50"/>
  <c r="Y71" i="50" s="1"/>
  <c r="H55" i="50"/>
  <c r="S55" i="50" s="1"/>
  <c r="N70" i="50"/>
  <c r="Y70" i="50" s="1"/>
  <c r="J23" i="50"/>
  <c r="U23" i="50" s="1"/>
  <c r="H104" i="50"/>
  <c r="S104" i="50" s="1"/>
  <c r="O70" i="50"/>
  <c r="Z70" i="50" s="1"/>
  <c r="N9" i="50"/>
  <c r="Y9" i="50" s="1"/>
  <c r="J129" i="50"/>
  <c r="U129" i="50" s="1"/>
  <c r="K40" i="50"/>
  <c r="V40" i="50" s="1"/>
  <c r="I121" i="50"/>
  <c r="T121" i="50" s="1"/>
  <c r="N11" i="50"/>
  <c r="Y11" i="50" s="1"/>
  <c r="O11" i="50"/>
  <c r="Z11" i="50" s="1"/>
  <c r="K62" i="50"/>
  <c r="V62" i="50" s="1"/>
  <c r="O71" i="50"/>
  <c r="Z71" i="50" s="1"/>
  <c r="G53" i="50"/>
  <c r="R53" i="50" s="1"/>
  <c r="M98" i="50"/>
  <c r="X98" i="50" s="1"/>
  <c r="H21" i="50"/>
  <c r="S21" i="50" s="1"/>
  <c r="H134" i="50"/>
  <c r="S134" i="50" s="1"/>
  <c r="M25" i="50"/>
  <c r="X25" i="50" s="1"/>
  <c r="I44" i="50"/>
  <c r="T44" i="50" s="1"/>
  <c r="G43" i="50"/>
  <c r="R43" i="50" s="1"/>
  <c r="J52" i="50"/>
  <c r="U52" i="50" s="1"/>
  <c r="J45" i="50"/>
  <c r="U45" i="50" s="1"/>
  <c r="O91" i="50"/>
  <c r="Z91" i="50" s="1"/>
  <c r="G123" i="50"/>
  <c r="R123" i="50" s="1"/>
  <c r="L77" i="50"/>
  <c r="W77" i="50" s="1"/>
  <c r="G81" i="50"/>
  <c r="R81" i="50" s="1"/>
  <c r="H92" i="50"/>
  <c r="S92" i="50" s="1"/>
  <c r="L49" i="50"/>
  <c r="W49" i="50" s="1"/>
  <c r="N137" i="50"/>
  <c r="Y137" i="50" s="1"/>
  <c r="M9" i="50"/>
  <c r="X9" i="50" s="1"/>
  <c r="M76" i="50"/>
  <c r="X76" i="50" s="1"/>
  <c r="L19" i="50"/>
  <c r="W19" i="50" s="1"/>
  <c r="H14" i="50"/>
  <c r="S14" i="50" s="1"/>
  <c r="H102" i="50"/>
  <c r="S102" i="50" s="1"/>
  <c r="J17" i="50"/>
  <c r="U17" i="50" s="1"/>
  <c r="O81" i="50"/>
  <c r="Z81" i="50" s="1"/>
  <c r="F118" i="50"/>
  <c r="Q118" i="50" s="1"/>
  <c r="G96" i="50"/>
  <c r="R96" i="50" s="1"/>
  <c r="L43" i="50"/>
  <c r="W43" i="50" s="1"/>
  <c r="J25" i="50"/>
  <c r="U25" i="50" s="1"/>
  <c r="J118" i="50"/>
  <c r="U118" i="50" s="1"/>
  <c r="M106" i="50"/>
  <c r="X106" i="50" s="1"/>
  <c r="L68" i="50"/>
  <c r="W68" i="50" s="1"/>
  <c r="J19" i="50"/>
  <c r="U19" i="50" s="1"/>
  <c r="K22" i="50"/>
  <c r="V22" i="50" s="1"/>
  <c r="F20" i="50"/>
  <c r="Q20" i="50" s="1"/>
  <c r="I47" i="50"/>
  <c r="T47" i="50" s="1"/>
  <c r="L4" i="50"/>
  <c r="W4" i="50" s="1"/>
  <c r="I79" i="50"/>
  <c r="T79" i="50" s="1"/>
  <c r="L16" i="50"/>
  <c r="W16" i="50" s="1"/>
  <c r="G115" i="50"/>
  <c r="R115" i="50" s="1"/>
  <c r="G69" i="50"/>
  <c r="R69" i="50" s="1"/>
  <c r="F119" i="50"/>
  <c r="Q119" i="50" s="1"/>
  <c r="F79" i="50"/>
  <c r="Q79" i="50" s="1"/>
  <c r="N88" i="50"/>
  <c r="Y88" i="50" s="1"/>
  <c r="F37" i="50"/>
  <c r="Q37" i="50" s="1"/>
  <c r="O26" i="50"/>
  <c r="Z26" i="50" s="1"/>
  <c r="G62" i="50"/>
  <c r="R62" i="50" s="1"/>
  <c r="L14" i="50"/>
  <c r="W14" i="50" s="1"/>
  <c r="H24" i="50"/>
  <c r="S24" i="50" s="1"/>
  <c r="L125" i="50"/>
  <c r="W125" i="50" s="1"/>
  <c r="I77" i="50"/>
  <c r="T77" i="50" s="1"/>
  <c r="L50" i="50"/>
  <c r="W50" i="50" s="1"/>
  <c r="G116" i="50"/>
  <c r="R116" i="50" s="1"/>
  <c r="K119" i="50"/>
  <c r="V119" i="50" s="1"/>
  <c r="H64" i="50"/>
  <c r="S64" i="50" s="1"/>
  <c r="M20" i="50"/>
  <c r="X20" i="50" s="1"/>
  <c r="G127" i="50"/>
  <c r="R127" i="50" s="1"/>
  <c r="H46" i="50"/>
  <c r="S46" i="50" s="1"/>
  <c r="N45" i="50"/>
  <c r="Y45" i="50" s="1"/>
  <c r="I137" i="50"/>
  <c r="T137" i="50" s="1"/>
  <c r="I24" i="50"/>
  <c r="T24" i="50" s="1"/>
  <c r="G102" i="50"/>
  <c r="R102" i="50" s="1"/>
  <c r="F91" i="50"/>
  <c r="Q91" i="50" s="1"/>
  <c r="K32" i="50"/>
  <c r="V32" i="50" s="1"/>
  <c r="O72" i="50"/>
  <c r="Z72" i="50" s="1"/>
  <c r="N57" i="50"/>
  <c r="Y57" i="50" s="1"/>
  <c r="M14" i="50"/>
  <c r="X14" i="50" s="1"/>
  <c r="L99" i="50"/>
  <c r="W99" i="50" s="1"/>
  <c r="M122" i="50"/>
  <c r="X122" i="50" s="1"/>
  <c r="O104" i="50"/>
  <c r="Z104" i="50" s="1"/>
  <c r="O17" i="50"/>
  <c r="Z17" i="50" s="1"/>
  <c r="J24" i="50"/>
  <c r="U24" i="50" s="1"/>
  <c r="G140" i="50"/>
  <c r="R140" i="50" s="1"/>
  <c r="M116" i="50"/>
  <c r="X116" i="50" s="1"/>
  <c r="G122" i="50"/>
  <c r="R122" i="50" s="1"/>
  <c r="I31" i="50"/>
  <c r="T31" i="50" s="1"/>
  <c r="K18" i="50"/>
  <c r="V18" i="50" s="1"/>
  <c r="L110" i="50"/>
  <c r="W110" i="50" s="1"/>
  <c r="J39" i="50"/>
  <c r="U39" i="50" s="1"/>
  <c r="G47" i="50"/>
  <c r="R47" i="50" s="1"/>
  <c r="K82" i="50"/>
  <c r="V82" i="50" s="1"/>
  <c r="F69" i="50"/>
  <c r="Q69" i="50" s="1"/>
  <c r="L26" i="50"/>
  <c r="W26" i="50" s="1"/>
  <c r="F34" i="50"/>
  <c r="Q34" i="50" s="1"/>
  <c r="K29" i="50"/>
  <c r="V29" i="50" s="1"/>
  <c r="K23" i="50"/>
  <c r="V23" i="50" s="1"/>
  <c r="G64" i="50"/>
  <c r="R64" i="50" s="1"/>
  <c r="N126" i="50"/>
  <c r="Y126" i="50" s="1"/>
  <c r="I39" i="50"/>
  <c r="T39" i="50" s="1"/>
  <c r="L59" i="50"/>
  <c r="W59" i="50" s="1"/>
  <c r="M50" i="50"/>
  <c r="X50" i="50" s="1"/>
  <c r="M102" i="50"/>
  <c r="X102" i="50" s="1"/>
  <c r="J13" i="50"/>
  <c r="U13" i="50" s="1"/>
  <c r="I96" i="50"/>
  <c r="T96" i="50" s="1"/>
  <c r="F92" i="50"/>
  <c r="Q92" i="50" s="1"/>
  <c r="L29" i="50"/>
  <c r="W29" i="50" s="1"/>
  <c r="L132" i="50"/>
  <c r="W132" i="50" s="1"/>
  <c r="H76" i="50"/>
  <c r="S76" i="50" s="1"/>
  <c r="G39" i="50"/>
  <c r="R39" i="50" s="1"/>
  <c r="L92" i="50"/>
  <c r="W92" i="50" s="1"/>
  <c r="N129" i="50"/>
  <c r="Y129" i="50" s="1"/>
  <c r="J91" i="50"/>
  <c r="U91" i="50" s="1"/>
  <c r="I4" i="50"/>
  <c r="T4" i="50" s="1"/>
  <c r="L30" i="50"/>
  <c r="W30" i="50" s="1"/>
  <c r="M130" i="50"/>
  <c r="X130" i="50" s="1"/>
  <c r="F29" i="50"/>
  <c r="Q29" i="50" s="1"/>
  <c r="N64" i="50"/>
  <c r="Y64" i="50" s="1"/>
  <c r="I117" i="50"/>
  <c r="T117" i="50" s="1"/>
  <c r="O90" i="50"/>
  <c r="Z90" i="50" s="1"/>
  <c r="H127" i="50"/>
  <c r="S127" i="50" s="1"/>
  <c r="J57" i="50"/>
  <c r="U57" i="50" s="1"/>
  <c r="G99" i="50"/>
  <c r="R99" i="50" s="1"/>
  <c r="J59" i="50"/>
  <c r="U59" i="50" s="1"/>
  <c r="G49" i="50"/>
  <c r="R49" i="50" s="1"/>
  <c r="F59" i="50"/>
  <c r="Q59" i="50" s="1"/>
  <c r="K98" i="50"/>
  <c r="V98" i="50" s="1"/>
  <c r="I48" i="50"/>
  <c r="T48" i="50" s="1"/>
  <c r="F88" i="50"/>
  <c r="Q88" i="50" s="1"/>
  <c r="H81" i="50"/>
  <c r="S81" i="50" s="1"/>
  <c r="J31" i="50"/>
  <c r="U31" i="50" s="1"/>
  <c r="N113" i="50"/>
  <c r="Y113" i="50" s="1"/>
  <c r="I18" i="50"/>
  <c r="T18" i="50" s="1"/>
  <c r="H5" i="50"/>
  <c r="S5" i="50" s="1"/>
  <c r="M128" i="50"/>
  <c r="X128" i="50" s="1"/>
  <c r="I81" i="50"/>
  <c r="T81" i="50" s="1"/>
  <c r="K52" i="50"/>
  <c r="V52" i="50" s="1"/>
  <c r="J93" i="50"/>
  <c r="U93" i="50" s="1"/>
  <c r="J35" i="50"/>
  <c r="U35" i="50" s="1"/>
  <c r="L75" i="50"/>
  <c r="W75" i="50" s="1"/>
  <c r="K130" i="50"/>
  <c r="V130" i="50" s="1"/>
  <c r="H110" i="50"/>
  <c r="S110" i="50" s="1"/>
  <c r="H137" i="50"/>
  <c r="S137" i="50" s="1"/>
  <c r="H17" i="50"/>
  <c r="S17" i="50" s="1"/>
  <c r="L111" i="50"/>
  <c r="W111" i="50" s="1"/>
  <c r="M118" i="50"/>
  <c r="X118" i="50" s="1"/>
  <c r="N62" i="50"/>
  <c r="Y62" i="50" s="1"/>
  <c r="N16" i="50"/>
  <c r="Y16" i="50" s="1"/>
  <c r="H119" i="50"/>
  <c r="S119" i="50" s="1"/>
  <c r="L98" i="50"/>
  <c r="W98" i="50" s="1"/>
  <c r="F71" i="50"/>
  <c r="Q71" i="50" s="1"/>
  <c r="F6" i="50"/>
  <c r="Q6" i="50" s="1"/>
  <c r="K57" i="50"/>
  <c r="V57" i="50" s="1"/>
  <c r="N17" i="50"/>
  <c r="Y17" i="50" s="1"/>
  <c r="O122" i="50"/>
  <c r="Z122" i="50" s="1"/>
  <c r="K72" i="50"/>
  <c r="V72" i="50" s="1"/>
  <c r="I11" i="50"/>
  <c r="T11" i="50" s="1"/>
  <c r="F126" i="50"/>
  <c r="Q126" i="50" s="1"/>
  <c r="L40" i="50"/>
  <c r="W40" i="50" s="1"/>
  <c r="J102" i="50"/>
  <c r="U102" i="50" s="1"/>
  <c r="H115" i="50"/>
  <c r="S115" i="50" s="1"/>
  <c r="O79" i="50"/>
  <c r="Z79" i="50" s="1"/>
  <c r="J123" i="50"/>
  <c r="U123" i="50" s="1"/>
  <c r="G128" i="50"/>
  <c r="R128" i="50" s="1"/>
  <c r="O4" i="50"/>
  <c r="Z4" i="50" s="1"/>
  <c r="K140" i="50"/>
  <c r="V140" i="50" s="1"/>
  <c r="F45" i="50"/>
  <c r="Q45" i="50" s="1"/>
  <c r="L117" i="50"/>
  <c r="W117" i="50" s="1"/>
  <c r="K50" i="50"/>
  <c r="V50" i="50" s="1"/>
  <c r="F76" i="50"/>
  <c r="Q76" i="50" s="1"/>
  <c r="K94" i="50"/>
  <c r="V94" i="50" s="1"/>
  <c r="M91" i="50"/>
  <c r="X91" i="50" s="1"/>
  <c r="J128" i="50"/>
  <c r="U128" i="50" s="1"/>
  <c r="M40" i="50"/>
  <c r="X40" i="50" s="1"/>
  <c r="F113" i="50"/>
  <c r="Q113" i="50" s="1"/>
  <c r="H90" i="50"/>
  <c r="S90" i="50" s="1"/>
  <c r="K68" i="50"/>
  <c r="V68" i="50" s="1"/>
  <c r="N49" i="50"/>
  <c r="Y49" i="50" s="1"/>
  <c r="K126" i="50"/>
  <c r="V126" i="50" s="1"/>
  <c r="K17" i="50"/>
  <c r="V17" i="50" s="1"/>
  <c r="G27" i="50"/>
  <c r="R27" i="50" s="1"/>
  <c r="K11" i="50"/>
  <c r="V11" i="50" s="1"/>
  <c r="H68" i="50"/>
  <c r="S68" i="50" s="1"/>
  <c r="K138" i="50"/>
  <c r="V138" i="50" s="1"/>
  <c r="O29" i="50"/>
  <c r="Z29" i="50" s="1"/>
  <c r="L113" i="50"/>
  <c r="W113" i="50" s="1"/>
  <c r="M11" i="50"/>
  <c r="X11" i="50" s="1"/>
  <c r="H4" i="50"/>
  <c r="S4" i="50" s="1"/>
  <c r="O20" i="50"/>
  <c r="Z20" i="50" s="1"/>
  <c r="F15" i="50"/>
  <c r="Q15" i="50" s="1"/>
  <c r="H48" i="50"/>
  <c r="S48" i="50" s="1"/>
  <c r="H62" i="50"/>
  <c r="S62" i="50" s="1"/>
  <c r="F96" i="50"/>
  <c r="Q96" i="50" s="1"/>
  <c r="O69" i="50"/>
  <c r="Z69" i="50" s="1"/>
  <c r="N21" i="50"/>
  <c r="Y21" i="50" s="1"/>
  <c r="J104" i="50"/>
  <c r="U104" i="50" s="1"/>
  <c r="L17" i="50"/>
  <c r="W17" i="50" s="1"/>
  <c r="K96" i="50"/>
  <c r="V96" i="50" s="1"/>
  <c r="F13" i="50"/>
  <c r="Q13" i="50" s="1"/>
  <c r="M110" i="50"/>
  <c r="X110" i="50" s="1"/>
  <c r="N25" i="50"/>
  <c r="Y25" i="50" s="1"/>
  <c r="I49" i="50"/>
  <c r="T49" i="50" s="1"/>
  <c r="K28" i="50"/>
  <c r="V28" i="50" s="1"/>
  <c r="L64" i="50"/>
  <c r="W64" i="50" s="1"/>
  <c r="H75" i="50"/>
  <c r="S75" i="50" s="1"/>
  <c r="G20" i="50"/>
  <c r="R20" i="50" s="1"/>
  <c r="F65" i="50"/>
  <c r="Q65" i="50" s="1"/>
  <c r="F68" i="50"/>
  <c r="Q68" i="50" s="1"/>
  <c r="M96" i="50"/>
  <c r="X96" i="50" s="1"/>
  <c r="L21" i="50"/>
  <c r="W21" i="50" s="1"/>
  <c r="L96" i="50"/>
  <c r="W96" i="50" s="1"/>
  <c r="N32" i="50"/>
  <c r="Y32" i="50" s="1"/>
  <c r="M138" i="50"/>
  <c r="X138" i="50" s="1"/>
  <c r="N40" i="50"/>
  <c r="Y40" i="50" s="1"/>
  <c r="J134" i="50"/>
  <c r="U134" i="50" s="1"/>
  <c r="O113" i="50"/>
  <c r="Z113" i="50" s="1"/>
  <c r="K77" i="50"/>
  <c r="V77" i="50" s="1"/>
  <c r="L45" i="50"/>
  <c r="W45" i="50" s="1"/>
  <c r="L62" i="50"/>
  <c r="W62" i="50" s="1"/>
  <c r="M47" i="50"/>
  <c r="X47" i="50" s="1"/>
  <c r="L31" i="50"/>
  <c r="W31" i="50" s="1"/>
  <c r="J78" i="50"/>
  <c r="U78" i="50" s="1"/>
  <c r="J58" i="50"/>
  <c r="U58" i="50" s="1"/>
  <c r="I26" i="50"/>
  <c r="T26" i="50" s="1"/>
  <c r="L23" i="50"/>
  <c r="W23" i="50" s="1"/>
  <c r="N123" i="50"/>
  <c r="Y123" i="50" s="1"/>
  <c r="F103" i="50"/>
  <c r="Q103" i="50" s="1"/>
  <c r="F31" i="50"/>
  <c r="Q31" i="50" s="1"/>
  <c r="I30" i="50"/>
  <c r="T30" i="50" s="1"/>
  <c r="O65" i="50"/>
  <c r="Z65" i="50" s="1"/>
  <c r="H18" i="50"/>
  <c r="S18" i="50" s="1"/>
  <c r="J30" i="50"/>
  <c r="U30" i="50" s="1"/>
  <c r="F78" i="50"/>
  <c r="Q78" i="50" s="1"/>
  <c r="H43" i="50"/>
  <c r="S43" i="50" s="1"/>
  <c r="K45" i="50"/>
  <c r="V45" i="50" s="1"/>
  <c r="L91" i="50"/>
  <c r="W91" i="50" s="1"/>
  <c r="I16" i="50"/>
  <c r="T16" i="50" s="1"/>
  <c r="K20" i="50"/>
  <c r="V20" i="50" s="1"/>
  <c r="M39" i="50"/>
  <c r="X39" i="50" s="1"/>
  <c r="F21" i="50"/>
  <c r="Q21" i="50" s="1"/>
  <c r="K44" i="50"/>
  <c r="V44" i="50" s="1"/>
  <c r="L13" i="50"/>
  <c r="W13" i="50" s="1"/>
  <c r="K128" i="50"/>
  <c r="V128" i="50" s="1"/>
  <c r="G75" i="50"/>
  <c r="R75" i="50" s="1"/>
  <c r="J20" i="50"/>
  <c r="U20" i="50" s="1"/>
  <c r="N27" i="50"/>
  <c r="Y27" i="50" s="1"/>
  <c r="N72" i="50"/>
  <c r="Y72" i="50" s="1"/>
  <c r="J140" i="50"/>
  <c r="U140" i="50" s="1"/>
  <c r="M7" i="50"/>
  <c r="X7" i="50" s="1"/>
  <c r="I82" i="50"/>
  <c r="T82" i="50" s="1"/>
  <c r="N14" i="50"/>
  <c r="Y14" i="50" s="1"/>
  <c r="O52" i="50"/>
  <c r="Z52" i="50" s="1"/>
  <c r="J141" i="50"/>
  <c r="U141" i="50" s="1"/>
  <c r="M115" i="50"/>
  <c r="X115" i="50" s="1"/>
  <c r="M52" i="50"/>
  <c r="X52" i="50" s="1"/>
  <c r="O121" i="50"/>
  <c r="Z121" i="50" s="1"/>
  <c r="F139" i="50"/>
  <c r="Q139" i="50" s="1"/>
  <c r="K129" i="50"/>
  <c r="V129" i="50" s="1"/>
  <c r="N34" i="50"/>
  <c r="Y34" i="50" s="1"/>
  <c r="K122" i="50"/>
  <c r="V122" i="50" s="1"/>
  <c r="I25" i="50"/>
  <c r="T25" i="50" s="1"/>
  <c r="J94" i="50"/>
  <c r="U94" i="50" s="1"/>
  <c r="O92" i="50"/>
  <c r="Z92" i="50" s="1"/>
  <c r="O117" i="50"/>
  <c r="Z117" i="50" s="1"/>
  <c r="J69" i="50"/>
  <c r="U69" i="50" s="1"/>
  <c r="O118" i="50"/>
  <c r="Z118" i="50" s="1"/>
  <c r="F70" i="50"/>
  <c r="Q70" i="50" s="1"/>
  <c r="M44" i="50"/>
  <c r="X44" i="50" s="1"/>
  <c r="G5" i="50"/>
  <c r="R5" i="50" s="1"/>
  <c r="G40" i="50"/>
  <c r="R40" i="50" s="1"/>
  <c r="J46" i="50"/>
  <c r="U46" i="50" s="1"/>
  <c r="L65" i="50"/>
  <c r="W65" i="50" s="1"/>
  <c r="G121" i="50"/>
  <c r="R121" i="50" s="1"/>
  <c r="O138" i="50"/>
  <c r="Z138" i="50" s="1"/>
  <c r="I17" i="50"/>
  <c r="T17" i="50" s="1"/>
  <c r="F55" i="50"/>
  <c r="Q55" i="50" s="1"/>
  <c r="K99" i="50"/>
  <c r="V99" i="50" s="1"/>
  <c r="G82" i="50"/>
  <c r="R82" i="50" s="1"/>
  <c r="I99" i="50"/>
  <c r="T99" i="50" s="1"/>
  <c r="G34" i="50"/>
  <c r="R34" i="50" s="1"/>
  <c r="H25" i="50"/>
  <c r="S25" i="50" s="1"/>
  <c r="K6" i="50"/>
  <c r="V6" i="50" s="1"/>
  <c r="N138" i="50"/>
  <c r="Y138" i="50" s="1"/>
  <c r="O48" i="50"/>
  <c r="Z48" i="50" s="1"/>
  <c r="N48" i="50"/>
  <c r="Y48" i="50" s="1"/>
  <c r="G125" i="50"/>
  <c r="R125" i="50" s="1"/>
  <c r="N26" i="50"/>
  <c r="Y26" i="50" s="1"/>
  <c r="J111" i="50"/>
  <c r="U111" i="50" s="1"/>
  <c r="N96" i="50"/>
  <c r="Y96" i="50" s="1"/>
  <c r="L81" i="50"/>
  <c r="W81" i="50" s="1"/>
  <c r="L71" i="50"/>
  <c r="W71" i="50" s="1"/>
  <c r="H129" i="50"/>
  <c r="S129" i="50" s="1"/>
  <c r="H11" i="50"/>
  <c r="S11" i="50" s="1"/>
  <c r="H35" i="50"/>
  <c r="S35" i="50" s="1"/>
  <c r="L102" i="50"/>
  <c r="W102" i="50" s="1"/>
  <c r="F38" i="50"/>
  <c r="Q38" i="50" s="1"/>
  <c r="O68" i="50"/>
  <c r="Z68" i="50" s="1"/>
  <c r="G37" i="50"/>
  <c r="R37" i="50" s="1"/>
  <c r="F64" i="50"/>
  <c r="Q64" i="50" s="1"/>
  <c r="J121" i="50"/>
  <c r="U121" i="50" s="1"/>
  <c r="O126" i="50"/>
  <c r="Z126" i="50" s="1"/>
  <c r="G105" i="50"/>
  <c r="R105" i="50" s="1"/>
  <c r="N76" i="50"/>
  <c r="Y76" i="50" s="1"/>
  <c r="J127" i="50"/>
  <c r="U127" i="50" s="1"/>
  <c r="N92" i="50"/>
  <c r="Y92" i="50" s="1"/>
  <c r="G118" i="50"/>
  <c r="R118" i="50" s="1"/>
  <c r="L34" i="50"/>
  <c r="W34" i="50" s="1"/>
  <c r="G110" i="50"/>
  <c r="R110" i="50" s="1"/>
  <c r="K7" i="50"/>
  <c r="V7" i="50" s="1"/>
  <c r="O99" i="50"/>
  <c r="Z99" i="50" s="1"/>
  <c r="M6" i="50"/>
  <c r="X6" i="50" s="1"/>
  <c r="I125" i="50"/>
  <c r="T125" i="50" s="1"/>
  <c r="J71" i="50"/>
  <c r="U71" i="50" s="1"/>
  <c r="F72" i="50"/>
  <c r="Q72" i="50" s="1"/>
  <c r="G76" i="50"/>
  <c r="R76" i="50" s="1"/>
  <c r="L129" i="50"/>
  <c r="W129" i="50" s="1"/>
  <c r="F30" i="50"/>
  <c r="Q30" i="50" s="1"/>
  <c r="J68" i="50"/>
  <c r="U68" i="50" s="1"/>
  <c r="J116" i="50"/>
  <c r="U116" i="50" s="1"/>
  <c r="N31" i="50"/>
  <c r="Y31" i="50" s="1"/>
  <c r="J6" i="50"/>
  <c r="U6" i="50" s="1"/>
  <c r="F25" i="50"/>
  <c r="Q25" i="50" s="1"/>
  <c r="O95" i="50"/>
  <c r="Z95" i="50" s="1"/>
  <c r="K137" i="50"/>
  <c r="V137" i="50" s="1"/>
  <c r="M18" i="50"/>
  <c r="X18" i="50" s="1"/>
  <c r="L79" i="50"/>
  <c r="W79" i="50" s="1"/>
  <c r="G72" i="50"/>
  <c r="R72" i="50" s="1"/>
  <c r="J18" i="50"/>
  <c r="U18" i="50" s="1"/>
  <c r="I75" i="50"/>
  <c r="T75" i="50" s="1"/>
  <c r="O57" i="50"/>
  <c r="Z57" i="50" s="1"/>
  <c r="G91" i="50"/>
  <c r="R91" i="50" s="1"/>
  <c r="H99" i="50"/>
  <c r="S99" i="50" s="1"/>
  <c r="F33" i="50"/>
  <c r="Q33" i="50" s="1"/>
  <c r="O87" i="50"/>
  <c r="Z87" i="50" s="1"/>
  <c r="I87" i="50"/>
  <c r="T87" i="50" s="1"/>
  <c r="N87" i="50"/>
  <c r="Y87" i="50" s="1"/>
  <c r="H87" i="50"/>
  <c r="S87" i="50" s="1"/>
  <c r="K87" i="50"/>
  <c r="V87" i="50" s="1"/>
  <c r="J87" i="50"/>
  <c r="U87" i="50" s="1"/>
  <c r="L87" i="50"/>
  <c r="W87" i="50" s="1"/>
  <c r="F87" i="50"/>
  <c r="Q87" i="50" s="1"/>
  <c r="G87" i="50"/>
  <c r="R87" i="50" s="1"/>
  <c r="M87" i="50"/>
  <c r="X87" i="50" s="1"/>
  <c r="N86" i="50"/>
  <c r="Y86" i="50" s="1"/>
  <c r="I67" i="50"/>
  <c r="T67" i="50" s="1"/>
  <c r="G67" i="50"/>
  <c r="R67" i="50" s="1"/>
  <c r="O67" i="50"/>
  <c r="Z67" i="50" s="1"/>
  <c r="L67" i="50"/>
  <c r="W67" i="50" s="1"/>
  <c r="M67" i="50"/>
  <c r="X67" i="50" s="1"/>
  <c r="N67" i="50"/>
  <c r="Y67" i="50" s="1"/>
  <c r="F67" i="50"/>
  <c r="Q67" i="50" s="1"/>
  <c r="J67" i="50"/>
  <c r="U67" i="50" s="1"/>
  <c r="K67" i="50"/>
  <c r="V67" i="50" s="1"/>
  <c r="H67" i="50"/>
  <c r="S67" i="50" s="1"/>
  <c r="H86" i="50"/>
  <c r="S86" i="50" s="1"/>
  <c r="L86" i="50"/>
  <c r="W86" i="50" s="1"/>
  <c r="L33" i="50"/>
  <c r="W33" i="50" s="1"/>
  <c r="N101" i="50"/>
  <c r="Y101" i="50" s="1"/>
  <c r="J103" i="50"/>
  <c r="U103" i="50" s="1"/>
  <c r="O103" i="50"/>
  <c r="Z103" i="50" s="1"/>
  <c r="M103" i="50"/>
  <c r="X103" i="50" s="1"/>
  <c r="K103" i="50"/>
  <c r="V103" i="50" s="1"/>
  <c r="H103" i="50"/>
  <c r="S103" i="50" s="1"/>
  <c r="L103" i="50"/>
  <c r="W103" i="50" s="1"/>
  <c r="I103" i="50"/>
  <c r="T103" i="50" s="1"/>
  <c r="N103" i="50"/>
  <c r="Y103" i="50" s="1"/>
  <c r="G103" i="50"/>
  <c r="R103" i="50" s="1"/>
  <c r="J101" i="50"/>
  <c r="U101" i="50" s="1"/>
  <c r="M15" i="50"/>
  <c r="X15" i="50" s="1"/>
  <c r="O139" i="50"/>
  <c r="Z139" i="50" s="1"/>
  <c r="I84" i="50"/>
  <c r="T84" i="50" s="1"/>
  <c r="G84" i="50"/>
  <c r="R84" i="50" s="1"/>
  <c r="K84" i="50"/>
  <c r="V84" i="50" s="1"/>
  <c r="F84" i="50"/>
  <c r="Q84" i="50" s="1"/>
  <c r="M84" i="50"/>
  <c r="X84" i="50" s="1"/>
  <c r="J84" i="50"/>
  <c r="U84" i="50" s="1"/>
  <c r="O84" i="50"/>
  <c r="Z84" i="50" s="1"/>
  <c r="L84" i="50"/>
  <c r="W84" i="50" s="1"/>
  <c r="N84" i="50"/>
  <c r="Y84" i="50" s="1"/>
  <c r="H84" i="50"/>
  <c r="S84" i="50" s="1"/>
  <c r="H133" i="50"/>
  <c r="S133" i="50" s="1"/>
  <c r="K133" i="50"/>
  <c r="V133" i="50" s="1"/>
  <c r="M133" i="50"/>
  <c r="X133" i="50" s="1"/>
  <c r="L133" i="50"/>
  <c r="W133" i="50" s="1"/>
  <c r="I133" i="50"/>
  <c r="T133" i="50" s="1"/>
  <c r="G133" i="50"/>
  <c r="R133" i="50" s="1"/>
  <c r="N133" i="50"/>
  <c r="Y133" i="50" s="1"/>
  <c r="O133" i="50"/>
  <c r="Z133" i="50" s="1"/>
  <c r="F133" i="50"/>
  <c r="Q133" i="50" s="1"/>
  <c r="J133" i="50"/>
  <c r="U133" i="50" s="1"/>
  <c r="I86" i="50"/>
  <c r="T86" i="50" s="1"/>
  <c r="F86" i="50"/>
  <c r="Q86" i="50" s="1"/>
  <c r="O86" i="50"/>
  <c r="Z86" i="50" s="1"/>
  <c r="K86" i="50"/>
  <c r="V86" i="50" s="1"/>
  <c r="J86" i="50"/>
  <c r="U86" i="50" s="1"/>
  <c r="G86" i="50"/>
  <c r="R86" i="50" s="1"/>
  <c r="I38" i="50"/>
  <c r="T38" i="50" s="1"/>
  <c r="N38" i="50"/>
  <c r="Y38" i="50" s="1"/>
  <c r="K38" i="50"/>
  <c r="V38" i="50" s="1"/>
  <c r="H38" i="50"/>
  <c r="S38" i="50" s="1"/>
  <c r="J38" i="50"/>
  <c r="U38" i="50" s="1"/>
  <c r="L38" i="50"/>
  <c r="W38" i="50" s="1"/>
  <c r="G38" i="50"/>
  <c r="R38" i="50" s="1"/>
  <c r="O38" i="50"/>
  <c r="Z38" i="50" s="1"/>
  <c r="M38" i="50"/>
  <c r="X38" i="50" s="1"/>
  <c r="I101" i="50"/>
  <c r="T101" i="50" s="1"/>
  <c r="M101" i="50"/>
  <c r="X101" i="50" s="1"/>
  <c r="O101" i="50"/>
  <c r="Z101" i="50" s="1"/>
  <c r="K101" i="50"/>
  <c r="V101" i="50" s="1"/>
  <c r="H101" i="50"/>
  <c r="S101" i="50" s="1"/>
  <c r="L101" i="50"/>
  <c r="W101" i="50" s="1"/>
  <c r="G101" i="50"/>
  <c r="R101" i="50" s="1"/>
  <c r="F101" i="50"/>
  <c r="Q101" i="50" s="1"/>
  <c r="O60" i="50"/>
  <c r="Z60" i="50" s="1"/>
  <c r="N60" i="50"/>
  <c r="Y60" i="50" s="1"/>
  <c r="H60" i="50"/>
  <c r="S60" i="50" s="1"/>
  <c r="F60" i="50"/>
  <c r="Q60" i="50" s="1"/>
  <c r="K60" i="50"/>
  <c r="V60" i="50" s="1"/>
  <c r="G60" i="50"/>
  <c r="R60" i="50" s="1"/>
  <c r="L60" i="50"/>
  <c r="W60" i="50" s="1"/>
  <c r="I60" i="50"/>
  <c r="T60" i="50" s="1"/>
  <c r="M60" i="50"/>
  <c r="X60" i="50" s="1"/>
  <c r="J60" i="50"/>
  <c r="U60" i="50" s="1"/>
  <c r="H139" i="50"/>
  <c r="S139" i="50" s="1"/>
  <c r="J139" i="50"/>
  <c r="U139" i="50" s="1"/>
  <c r="L139" i="50"/>
  <c r="W139" i="50" s="1"/>
  <c r="I139" i="50"/>
  <c r="T139" i="50" s="1"/>
  <c r="N139" i="50"/>
  <c r="Y139" i="50" s="1"/>
  <c r="G139" i="50"/>
  <c r="R139" i="50" s="1"/>
  <c r="K139" i="50"/>
  <c r="V139" i="50" s="1"/>
  <c r="M139" i="50"/>
  <c r="X139" i="50" s="1"/>
  <c r="G33" i="50"/>
  <c r="R33" i="50" s="1"/>
  <c r="I33" i="50"/>
  <c r="T33" i="50" s="1"/>
  <c r="H33" i="50"/>
  <c r="S33" i="50" s="1"/>
  <c r="J33" i="50"/>
  <c r="U33" i="50" s="1"/>
  <c r="N33" i="50"/>
  <c r="Y33" i="50" s="1"/>
  <c r="M33" i="50"/>
  <c r="X33" i="50" s="1"/>
  <c r="O33" i="50"/>
  <c r="Z33" i="50" s="1"/>
  <c r="K33" i="50"/>
  <c r="V33" i="50" s="1"/>
  <c r="M86" i="50"/>
  <c r="X86" i="50" s="1"/>
  <c r="H74" i="50"/>
  <c r="S74" i="50" s="1"/>
  <c r="M74" i="50"/>
  <c r="X74" i="50" s="1"/>
  <c r="K74" i="50"/>
  <c r="V74" i="50" s="1"/>
  <c r="F74" i="50"/>
  <c r="Q74" i="50" s="1"/>
  <c r="J74" i="50"/>
  <c r="U74" i="50" s="1"/>
  <c r="N74" i="50"/>
  <c r="Y74" i="50" s="1"/>
  <c r="G74" i="50"/>
  <c r="R74" i="50" s="1"/>
  <c r="I74" i="50"/>
  <c r="T74" i="50" s="1"/>
  <c r="L74" i="50"/>
  <c r="W74" i="50" s="1"/>
  <c r="O74" i="50"/>
  <c r="Z74" i="50" s="1"/>
  <c r="O15" i="50"/>
  <c r="Z15" i="50" s="1"/>
  <c r="K15" i="50"/>
  <c r="V15" i="50" s="1"/>
  <c r="G15" i="50"/>
  <c r="R15" i="50" s="1"/>
  <c r="L15" i="50"/>
  <c r="W15" i="50" s="1"/>
  <c r="I15" i="50"/>
  <c r="T15" i="50" s="1"/>
  <c r="H15" i="50"/>
  <c r="S15" i="50" s="1"/>
  <c r="J15" i="50"/>
  <c r="U15" i="50" s="1"/>
  <c r="N15" i="50"/>
  <c r="Y15" i="50" s="1"/>
  <c r="AA21" i="50" l="1"/>
  <c r="AA84" i="50"/>
  <c r="AA7" i="50"/>
  <c r="AA102" i="50"/>
  <c r="AA131" i="50"/>
  <c r="AA39" i="50"/>
  <c r="AA60" i="50"/>
  <c r="AA79" i="50"/>
  <c r="AA22" i="50"/>
  <c r="AA119" i="50"/>
  <c r="AA92" i="50"/>
  <c r="AA82" i="50"/>
  <c r="AA50" i="50"/>
  <c r="AA108" i="50"/>
  <c r="AA20" i="50"/>
  <c r="AA121" i="50"/>
  <c r="AA72" i="50"/>
  <c r="AA45" i="50"/>
  <c r="AA137" i="50"/>
  <c r="AA129" i="50"/>
  <c r="AA99" i="50"/>
  <c r="AA31" i="50"/>
  <c r="AA43" i="50"/>
  <c r="AA90" i="50"/>
  <c r="AA25" i="50"/>
  <c r="AA118" i="50"/>
  <c r="AA29" i="50"/>
  <c r="AA98" i="50"/>
  <c r="AA71" i="50"/>
  <c r="AA64" i="50"/>
  <c r="AA69" i="50"/>
  <c r="AA48" i="50"/>
  <c r="AA96" i="50"/>
  <c r="AA106" i="50"/>
  <c r="AA127" i="50"/>
  <c r="AA47" i="50"/>
  <c r="AA123" i="50"/>
  <c r="AA138" i="50"/>
  <c r="AA35" i="50"/>
  <c r="AA55" i="50"/>
  <c r="AA94" i="50"/>
  <c r="AA17" i="50"/>
  <c r="AA126" i="50"/>
  <c r="AA18" i="50"/>
  <c r="AA74" i="50"/>
  <c r="AA86" i="50"/>
  <c r="AA113" i="50"/>
  <c r="AA141" i="50"/>
  <c r="AA73" i="50"/>
  <c r="AA133" i="50"/>
  <c r="AA67" i="50"/>
  <c r="AA33" i="50"/>
  <c r="AA68" i="50"/>
  <c r="AA15" i="50"/>
  <c r="AA91" i="50"/>
  <c r="AA26" i="50"/>
  <c r="AA75" i="50"/>
  <c r="AA101" i="50"/>
  <c r="AA44" i="50"/>
  <c r="AA124" i="50"/>
  <c r="AA77" i="50"/>
  <c r="AA30" i="50"/>
  <c r="AA38" i="50"/>
  <c r="AA88" i="50"/>
  <c r="AA57" i="50"/>
  <c r="AA105" i="50"/>
  <c r="AA13" i="50"/>
  <c r="AA62" i="50"/>
  <c r="AA89" i="50"/>
  <c r="AA37" i="50"/>
  <c r="AA81" i="50"/>
  <c r="AA5" i="50"/>
  <c r="AA53" i="50"/>
  <c r="AA115" i="50"/>
  <c r="AA140" i="50"/>
  <c r="AA114" i="50"/>
  <c r="AA59" i="50"/>
  <c r="AA117" i="50"/>
  <c r="AA14" i="50"/>
  <c r="AA6" i="50"/>
  <c r="AA139" i="50"/>
  <c r="AA3" i="50"/>
  <c r="AA49" i="50"/>
  <c r="AA24" i="50"/>
  <c r="AA34" i="50"/>
  <c r="AA87" i="50"/>
  <c r="AA65" i="50"/>
  <c r="AA110" i="50"/>
  <c r="AA46" i="50"/>
  <c r="AA42" i="50"/>
  <c r="AA70" i="50"/>
  <c r="AA100" i="50"/>
  <c r="AA130" i="50"/>
  <c r="AA103" i="50"/>
  <c r="AA11" i="50"/>
  <c r="AA132" i="50"/>
  <c r="AA125" i="50"/>
  <c r="AA128" i="50"/>
  <c r="AA27" i="50"/>
  <c r="AA8" i="50"/>
  <c r="AA63" i="50"/>
  <c r="AA104" i="50"/>
  <c r="AA40" i="50"/>
  <c r="AA93" i="50"/>
  <c r="AA16" i="50"/>
  <c r="AA52" i="50"/>
  <c r="AA120" i="50"/>
  <c r="AA4" i="50"/>
  <c r="AA78" i="50"/>
  <c r="AA76" i="50"/>
  <c r="AA95" i="50"/>
  <c r="AA10" i="50"/>
  <c r="AA122" i="50"/>
  <c r="AA23" i="50"/>
  <c r="AA32" i="50"/>
  <c r="AA58" i="50"/>
  <c r="AA19" i="50"/>
  <c r="AA116" i="50"/>
  <c r="AA134" i="50"/>
  <c r="AA9" i="50"/>
  <c r="AA28" i="50"/>
  <c r="AA61" i="50"/>
  <c r="AA136" i="50"/>
  <c r="AA111" i="50"/>
  <c r="AA12" i="50"/>
  <c r="AA112" i="50"/>
  <c r="AA66" i="50"/>
  <c r="AD2" i="50" l="1"/>
  <c r="F9" i="1" s="1"/>
  <c r="H9" i="1" s="1"/>
  <c r="J9" i="1" s="1"/>
  <c r="C35" i="6" s="1"/>
  <c r="R37" i="6" s="1"/>
  <c r="AD3" i="50"/>
  <c r="AD5" i="50" l="1"/>
  <c r="AD74" i="50" s="1"/>
  <c r="T10" i="8"/>
  <c r="F19" i="8" s="1"/>
  <c r="O8" i="2"/>
  <c r="Q17" i="2" s="1"/>
  <c r="N24" i="1"/>
  <c r="AK13" i="5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<sst xmlns="http://schemas.openxmlformats.org/spreadsheetml/2006/main" count="907" uniqueCount="202">
  <si>
    <t>nr. sym</t>
  </si>
  <si>
    <t>Przychody biletów</t>
  </si>
  <si>
    <t>Dofinansowanie miasta</t>
  </si>
  <si>
    <t>Koszty paliwa</t>
  </si>
  <si>
    <t>Koszty pracowników</t>
  </si>
  <si>
    <t>Koszty napraw</t>
  </si>
  <si>
    <t>Inne koszty</t>
  </si>
  <si>
    <t>Koszty Razem</t>
  </si>
  <si>
    <t>Przychody razem</t>
  </si>
  <si>
    <t>Wynik</t>
  </si>
  <si>
    <t xml:space="preserve"> </t>
  </si>
  <si>
    <t xml:space="preserve">  </t>
  </si>
  <si>
    <t>Szacowana ilość sprzedanych biletów</t>
  </si>
  <si>
    <t>Elastyczność</t>
  </si>
  <si>
    <t>jednorazowy</t>
  </si>
  <si>
    <t>dobowy</t>
  </si>
  <si>
    <t>miesięczny</t>
  </si>
  <si>
    <t>karnet</t>
  </si>
  <si>
    <t>0,5/0,7/0,8</t>
  </si>
  <si>
    <t>ulgowy 1</t>
  </si>
  <si>
    <t>ulgowy 1+2</t>
  </si>
  <si>
    <t>normalny 1</t>
  </si>
  <si>
    <t>-</t>
  </si>
  <si>
    <t>normalny 1+2</t>
  </si>
  <si>
    <t>Realna ilość sprzedanych biletów</t>
  </si>
  <si>
    <t>NOWE CENY</t>
  </si>
  <si>
    <t>Ilość sprzedanych biletów z nowymi cenami</t>
  </si>
  <si>
    <t>Przychód</t>
  </si>
  <si>
    <t>min</t>
  </si>
  <si>
    <t>max</t>
  </si>
  <si>
    <t>Nr autobusu</t>
  </si>
  <si>
    <t>Koszty przeglądów</t>
  </si>
  <si>
    <t>Liczba losowa</t>
  </si>
  <si>
    <t>Naprawa 1</t>
  </si>
  <si>
    <t>Naprawa 2</t>
  </si>
  <si>
    <t>Naprawa 3</t>
  </si>
  <si>
    <t>Naprawa 4</t>
  </si>
  <si>
    <t>Naprawa 5</t>
  </si>
  <si>
    <t>Naprawa 6</t>
  </si>
  <si>
    <t>Naprawa 7</t>
  </si>
  <si>
    <t>Naprawa 8</t>
  </si>
  <si>
    <t>Naprawa 9</t>
  </si>
  <si>
    <t>Naprawa 10</t>
  </si>
  <si>
    <t>Koszt naprawy 1</t>
  </si>
  <si>
    <t>Koszt naprawy 2</t>
  </si>
  <si>
    <t>Koszt naprawy 3</t>
  </si>
  <si>
    <t>Koszt naprawy 4</t>
  </si>
  <si>
    <t>Koszt naprawy 5</t>
  </si>
  <si>
    <t>Koszt naprawy 6</t>
  </si>
  <si>
    <t>Koszt naprawy 7</t>
  </si>
  <si>
    <t>Koszt naprawy 8</t>
  </si>
  <si>
    <t>Koszt naprawy 9</t>
  </si>
  <si>
    <t>Koszt naprawy 10</t>
  </si>
  <si>
    <t>Koszty razem</t>
  </si>
  <si>
    <t>P(A)</t>
  </si>
  <si>
    <t>F(x)</t>
  </si>
  <si>
    <t xml:space="preserve">Suma kosztów </t>
  </si>
  <si>
    <t>Koszt Naprawy</t>
  </si>
  <si>
    <t>Średnia kosztów autobusu</t>
  </si>
  <si>
    <t>Chi^2</t>
  </si>
  <si>
    <t>Średnia cena szkody</t>
  </si>
  <si>
    <t>Grupa pracownicza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</si>
  <si>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</si>
  <si>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</si>
  <si>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</si>
  <si>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</si>
  <si>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</si>
  <si>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</si>
  <si>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</si>
  <si>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</si>
  <si>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</si>
  <si>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</si>
  <si>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</si>
  <si>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</si>
  <si>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2024 (średnia)</t>
  </si>
  <si>
    <t>2024 odch</t>
  </si>
  <si>
    <t>miesieczne</t>
  </si>
  <si>
    <t>roczne</t>
  </si>
  <si>
    <t>"+ WYNAGRODZENIE RADY NADZORCZEJ"</t>
  </si>
  <si>
    <t>"+ WYNAGRODZENIE ZARZĄDU"</t>
  </si>
  <si>
    <t>Kierowcy</t>
  </si>
  <si>
    <t>Stacja Obsługi i Zapl. Techn.</t>
  </si>
  <si>
    <t>Stanowiska nierobotnicze</t>
  </si>
  <si>
    <t>OGÓŁEM</t>
  </si>
  <si>
    <t>Wyszczególnienie</t>
  </si>
  <si>
    <t>Kwota (zł)</t>
  </si>
  <si>
    <t>Ogółem</t>
  </si>
  <si>
    <t>na stanowiskach nierobotniczych</t>
  </si>
  <si>
    <t>na stanowiskach robotniczych</t>
  </si>
  <si>
    <t>- w tym: kierowcy</t>
  </si>
  <si>
    <t>- w tym: pozostali SO+ZT</t>
  </si>
  <si>
    <t>Koszta paliwa</t>
  </si>
  <si>
    <t>DIESEL</t>
  </si>
  <si>
    <t>Rodzaje autobusów</t>
  </si>
  <si>
    <t>Płatne</t>
  </si>
  <si>
    <t>Pozostałe (dojazdowe, techniczne)</t>
  </si>
  <si>
    <t>MEGA</t>
  </si>
  <si>
    <t>MAXI</t>
  </si>
  <si>
    <t>MIDI</t>
  </si>
  <si>
    <t>RAZEM</t>
  </si>
  <si>
    <t>Cena przejazdów</t>
  </si>
  <si>
    <t>HYBRYDY</t>
  </si>
  <si>
    <t>sr 2026 rok</t>
  </si>
  <si>
    <t>MEGA_H</t>
  </si>
  <si>
    <t>MAXI_H</t>
  </si>
  <si>
    <t>Oś czasu</t>
  </si>
  <si>
    <t>Wartości</t>
  </si>
  <si>
    <t>Prognoza</t>
  </si>
  <si>
    <t>Dolna granica ufności</t>
  </si>
  <si>
    <t>Górna granica ufności</t>
  </si>
  <si>
    <t>Wzrost wynagrodzeń</t>
  </si>
  <si>
    <t>Przeciętna wartość końcowa</t>
  </si>
  <si>
    <t>Odchylenie standardowe</t>
  </si>
  <si>
    <t>Pół długości 90% przedziału ufności</t>
  </si>
  <si>
    <t>Górna granica</t>
  </si>
  <si>
    <t>Dolna granica</t>
  </si>
  <si>
    <t>VaR</t>
  </si>
  <si>
    <t>Przychody</t>
  </si>
  <si>
    <t>Koszty</t>
  </si>
  <si>
    <t>procent rentowności (Wynik &gt; 0)</t>
  </si>
  <si>
    <t>Liczba pasażerów (rocznie)</t>
  </si>
  <si>
    <t>CENY 2024-2025</t>
  </si>
  <si>
    <t>średnia</t>
  </si>
  <si>
    <t>STAŁA</t>
  </si>
  <si>
    <t>42 754 831,61 zł</t>
  </si>
  <si>
    <t>DLA CEN BILETÓW 100% (2złt)</t>
  </si>
  <si>
    <t>36 341 606,87 zł</t>
  </si>
  <si>
    <t>38 479 348,45 zł</t>
  </si>
  <si>
    <t>40 617 090,03 zł</t>
  </si>
  <si>
    <t>44 892 573,19 zł</t>
  </si>
  <si>
    <t>47 030 314,77 zł</t>
  </si>
  <si>
    <t>49 168 056,35 zł</t>
  </si>
  <si>
    <t>13 817 243,29 zł</t>
  </si>
  <si>
    <t>wynik finansowy</t>
  </si>
  <si>
    <t>procentowy wzrost/spadek kosztów etatów</t>
  </si>
  <si>
    <t>wynik fin.</t>
  </si>
  <si>
    <t>wzrost/spadek cen biletów</t>
  </si>
  <si>
    <t xml:space="preserve">Procent cen z 2024 </t>
  </si>
  <si>
    <t>BAZOWA CENA 2024/2025</t>
  </si>
  <si>
    <t>ANALIZA WRAŻLIWOŚCI CEN BILETÓW ---------------------&gt;</t>
  </si>
  <si>
    <t>Częstość</t>
  </si>
  <si>
    <t>Awaryjność (100% - wartość bazowa)</t>
  </si>
  <si>
    <t>liczba szkód</t>
  </si>
  <si>
    <t>liczba poszczególnych szkód</t>
  </si>
  <si>
    <t>liczba napraw</t>
  </si>
  <si>
    <t>BAZA</t>
  </si>
  <si>
    <t>~~~~~~</t>
  </si>
  <si>
    <t>Szkody</t>
  </si>
  <si>
    <t>P(x)</t>
  </si>
  <si>
    <t>Dystr(bazowa)</t>
  </si>
  <si>
    <t>P(x)(bazowe)</t>
  </si>
  <si>
    <t>Dolne progi</t>
  </si>
  <si>
    <t>Przedziały</t>
  </si>
  <si>
    <t>Etykiety osi</t>
  </si>
  <si>
    <t>Wynik fin.</t>
  </si>
  <si>
    <t>Silnik spalinowy</t>
  </si>
  <si>
    <t>Hybrydy</t>
  </si>
  <si>
    <t>2209113 km</t>
  </si>
  <si>
    <t>539625 km</t>
  </si>
  <si>
    <t>6705081 km</t>
  </si>
  <si>
    <t>960693 km</t>
  </si>
  <si>
    <t>41320 km</t>
  </si>
  <si>
    <t>8955514 km</t>
  </si>
  <si>
    <t>1500318 km</t>
  </si>
  <si>
    <t>31,5 - 38,5</t>
  </si>
  <si>
    <t xml:space="preserve">spalanie </t>
  </si>
  <si>
    <t>kilometraż</t>
  </si>
  <si>
    <t>45 - 55</t>
  </si>
  <si>
    <t>25,2 - 30,8</t>
  </si>
  <si>
    <t>27 - 33</t>
  </si>
  <si>
    <t>36 - 44</t>
  </si>
  <si>
    <t xml:space="preserve">Koszty paliwa </t>
  </si>
  <si>
    <t>Cena paliwa</t>
  </si>
  <si>
    <t>awaryjność</t>
  </si>
  <si>
    <t>Ceny biletów</t>
  </si>
  <si>
    <t>Wynagrodzenia</t>
  </si>
  <si>
    <t>Wynik finansowy</t>
  </si>
  <si>
    <t>PODSUMOWANIE - WYJŚCIE</t>
  </si>
  <si>
    <t>Statystyki regresji</t>
  </si>
  <si>
    <t>Wielokrotność R</t>
  </si>
  <si>
    <t>R kwadrat</t>
  </si>
  <si>
    <t>Dopasowany R kwadrat</t>
  </si>
  <si>
    <t>Błąd standardowy</t>
  </si>
  <si>
    <t>Obserwacje</t>
  </si>
  <si>
    <t>ANALIZA WARIANCJI</t>
  </si>
  <si>
    <t>Regresja</t>
  </si>
  <si>
    <t>Resztkowy</t>
  </si>
  <si>
    <t>Razem</t>
  </si>
  <si>
    <t>Przecięcie</t>
  </si>
  <si>
    <t>df</t>
  </si>
  <si>
    <t>SS</t>
  </si>
  <si>
    <t>MS</t>
  </si>
  <si>
    <t>F</t>
  </si>
  <si>
    <t>Istotność F</t>
  </si>
  <si>
    <t>Współczynniki</t>
  </si>
  <si>
    <t>t Stat</t>
  </si>
  <si>
    <t>Wartość-p</t>
  </si>
  <si>
    <t>Dolne 95%</t>
  </si>
  <si>
    <t>Górne 95%</t>
  </si>
  <si>
    <t>Dolne 95,0%</t>
  </si>
  <si>
    <t>Górne 95,0%</t>
  </si>
  <si>
    <t>f. celu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</si>
</sst>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* #,##0.00_);_(* \(#,##0.00\);_(* &quot;-&quot;??_);_(@_)"/>
    <numFmt numFmtId="165" formatCode="#,##0.00\ [$zł-415]"/>
    <numFmt numFmtId="166" formatCode="#,##0\ [$zł-415]"/>
    <numFmt numFmtId="167" formatCode="mm\.yyyy"/>
    <numFmt numFmtId="168" formatCode="dd\.mm\.yyyy"/>
    <numFmt numFmtId="169" formatCode="mmm\.d"/>
    <numFmt numFmtId="170" formatCode="0.0"/>
  </numFmts>
  <fonts count="43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Google Sans Text"/>
    </font>
    <font>
      <sz val="10"/>
      <color theme="1"/>
      <name val="Google Sans Text"/>
    </font>
    <font>
      <b/>
      <sz val="10"/>
      <color rgb="FF000000"/>
      <name val="&quot;Google Sans Text&quot;"/>
    </font>
    <font>
      <sz val="10"/>
      <color rgb="FF000000"/>
      <name val="&quot;Google Sans Text&quot;"/>
    </font>
    <font>
      <sz val="11"/>
      <color rgb="FF000000"/>
      <name val="&quot;Aptos Narrow&quot;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1"/>
      <color theme="1"/>
      <name val="Arial (Body)"/>
    </font>
    <font>
      <b/>
      <sz val="11"/>
      <color rgb="FF000000"/>
      <name val="Arial (Body)"/>
    </font>
    <font>
      <sz val="8"/>
      <name val="Arial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sz val="10"/>
      <color rgb="FF000000"/>
      <name val="Arial"/>
      <family val="2"/>
      <charset val="238"/>
      <scheme val="minor"/>
    </font>
    <font>
      <sz val="10"/>
      <color rgb="FF000000"/>
      <name val="Arial"/>
      <family val="2"/>
      <charset val="238"/>
      <scheme val="minor"/>
    </font>
    <font>
      <b/>
      <sz val="11"/>
      <color rgb="FF00B05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2"/>
      <color theme="1"/>
      <name val="Arial"/>
      <family val="2"/>
      <scheme val="minor"/>
    </font>
    <font>
      <sz val="9"/>
      <color rgb="FF000000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4"/>
      <color rgb="FFFF0000"/>
      <name val="Calibri"/>
      <family val="2"/>
    </font>
    <font>
      <b/>
      <sz val="11"/>
      <color theme="1"/>
      <name val="&quot;Aptos Narrow&quot;"/>
    </font>
    <font>
      <sz val="9"/>
      <color theme="1"/>
      <name val="Arial"/>
      <family val="2"/>
      <scheme val="minor"/>
    </font>
    <font>
      <b/>
      <sz val="10"/>
      <color theme="1"/>
      <name val="Arial"/>
      <family val="2"/>
      <charset val="238"/>
      <scheme val="minor"/>
    </font>
    <font>
      <b/>
      <sz val="10"/>
      <color rgb="FF000000"/>
      <name val="Arial"/>
      <family val="2"/>
      <charset val="238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10"/>
      <color theme="1"/>
      <name val="Arial"/>
      <family val="2"/>
      <scheme val="major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 (Body)"/>
    </font>
    <font>
      <sz val="9"/>
      <color rgb="FF000000"/>
      <name val="Arial (Body)"/>
    </font>
    <font>
      <i/>
      <sz val="10"/>
      <color rgb="FF000000"/>
      <name val="Arial"/>
      <family val="2"/>
      <charset val="238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CC0000"/>
        <bgColor rgb="FFCC0000"/>
      </patternFill>
    </fill>
    <fill>
      <patternFill patternType="solid">
        <fgColor rgb="FFFFD966"/>
        <bgColor rgb="FFFFD966"/>
      </patternFill>
    </fill>
    <fill>
      <patternFill patternType="solid">
        <fgColor rgb="FFFFFFFF"/>
        <bgColor rgb="FFFFFFFF"/>
      </patternFill>
    </fill>
    <fill>
      <patternFill patternType="solid">
        <fgColor rgb="FFCFE2F3"/>
        <bgColor rgb="FFCFE2F3"/>
      </patternFill>
    </fill>
    <fill>
      <patternFill patternType="solid">
        <fgColor rgb="FF8E7CC3"/>
        <bgColor rgb="FF8E7CC3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EAD1DC"/>
        <bgColor rgb="FFEAD1DC"/>
      </patternFill>
    </fill>
    <fill>
      <patternFill patternType="solid">
        <fgColor rgb="FFFFF2CC"/>
        <bgColor rgb="FFFFF2CC"/>
      </patternFill>
    </fill>
    <fill>
      <patternFill patternType="solid">
        <fgColor rgb="FFFFFF00"/>
        <bgColor rgb="FFFFFF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rgb="FFCFE2F3"/>
      </patternFill>
    </fill>
    <fill>
      <patternFill patternType="solid">
        <fgColor theme="0"/>
        <bgColor rgb="FFCFE2F3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theme="6"/>
      </patternFill>
    </fill>
    <fill>
      <patternFill patternType="solid">
        <fgColor theme="0"/>
        <bgColor rgb="FF8E7CC3"/>
      </patternFill>
    </fill>
    <fill>
      <patternFill patternType="solid">
        <fgColor theme="0"/>
        <bgColor rgb="FFFFFFFF"/>
      </patternFill>
    </fill>
    <fill>
      <patternFill patternType="solid">
        <fgColor theme="5" tint="0.39997558519241921"/>
        <bgColor rgb="FFFFD966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rgb="FFFFD966"/>
      </patternFill>
    </fill>
    <fill>
      <patternFill patternType="solid">
        <fgColor theme="4" tint="0.59999389629810485"/>
        <bgColor rgb="FFFFD966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C9DAF8"/>
      </patternFill>
    </fill>
    <fill>
      <patternFill patternType="solid">
        <fgColor theme="8" tint="0.59999389629810485"/>
        <bgColor rgb="FFFFD966"/>
      </patternFill>
    </fill>
    <fill>
      <patternFill patternType="solid">
        <fgColor theme="6" tint="0.59999389629810485"/>
        <bgColor rgb="FFFFD966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rgb="FFB6D7A8"/>
      </patternFill>
    </fill>
    <fill>
      <patternFill patternType="solid">
        <fgColor theme="5" tint="0.59999389629810485"/>
        <bgColor rgb="FFEA9999"/>
      </patternFill>
    </fill>
    <fill>
      <patternFill patternType="solid">
        <fgColor rgb="FFFFFFFF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FF"/>
      </patternFill>
    </fill>
    <fill>
      <patternFill patternType="solid">
        <fgColor theme="0"/>
        <bgColor rgb="FF156082"/>
      </patternFill>
    </fill>
    <fill>
      <patternFill patternType="solid">
        <fgColor theme="0"/>
        <bgColor rgb="FFC0E6F5"/>
      </patternFill>
    </fill>
    <fill>
      <patternFill patternType="solid">
        <fgColor theme="5" tint="0.39997558519241921"/>
        <bgColor rgb="FFFFFF00"/>
      </patternFill>
    </fill>
    <fill>
      <patternFill patternType="solid">
        <fgColor rgb="FF00B050"/>
        <bgColor rgb="FF6AA84F"/>
      </patternFill>
    </fill>
    <fill>
      <patternFill patternType="solid">
        <fgColor theme="4" tint="0.79998168889431442"/>
        <bgColor rgb="FFCFE2F3"/>
      </patternFill>
    </fill>
    <fill>
      <patternFill patternType="solid">
        <fgColor theme="7" tint="0.79998168889431442"/>
        <bgColor rgb="FFCFE2F3"/>
      </patternFill>
    </fill>
    <fill>
      <patternFill patternType="solid">
        <fgColor theme="0"/>
        <bgColor rgb="FFB6D7A8"/>
      </patternFill>
    </fill>
    <fill>
      <patternFill patternType="solid">
        <fgColor rgb="FFFF0000"/>
        <bgColor rgb="FFFFFFFF"/>
      </patternFill>
    </fill>
    <fill>
      <patternFill patternType="solid">
        <fgColor theme="4"/>
        <bgColor rgb="FFFFFFFF"/>
      </patternFill>
    </fill>
    <fill>
      <patternFill patternType="solid">
        <fgColor theme="6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rgb="FF44B3E1"/>
      </left>
      <right/>
      <top style="thin">
        <color rgb="FF44B3E1"/>
      </top>
      <bottom style="thin">
        <color rgb="FF44B3E1"/>
      </bottom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 style="thin">
        <color rgb="FF44B3E1"/>
      </right>
      <top style="thin">
        <color rgb="FF44B3E1"/>
      </top>
      <bottom style="thin">
        <color rgb="FF44B3E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2" fillId="0" borderId="0" applyFont="0" applyFill="0" applyBorder="0" applyAlignment="0" applyProtection="0"/>
    <xf numFmtId="43" fontId="23" fillId="0" borderId="0" applyFont="0" applyFill="0" applyBorder="0" applyAlignment="0" applyProtection="0"/>
  </cellStyleXfs>
  <cellXfs count="219">
    <xf numFmtId="0" fontId="0" fillId="0" borderId="0" xfId="0"/>
    <xf numFmtId="0" fontId="3" fillId="0" borderId="0" xfId="0" applyFont="1"/>
    <xf numFmtId="0" fontId="3" fillId="5" borderId="0" xfId="0" applyFont="1" applyFill="1"/>
    <xf numFmtId="0" fontId="1" fillId="6" borderId="0" xfId="0" applyFont="1" applyFill="1" applyAlignment="1">
      <alignment horizontal="center"/>
    </xf>
    <xf numFmtId="0" fontId="1" fillId="9" borderId="0" xfId="0" applyFont="1" applyFill="1"/>
    <xf numFmtId="10" fontId="1" fillId="9" borderId="0" xfId="0" applyNumberFormat="1" applyFont="1" applyFill="1"/>
    <xf numFmtId="0" fontId="1" fillId="4" borderId="0" xfId="0" applyFont="1" applyFill="1" applyAlignment="1">
      <alignment horizontal="center"/>
    </xf>
    <xf numFmtId="0" fontId="7" fillId="10" borderId="0" xfId="0" applyFont="1" applyFill="1"/>
    <xf numFmtId="0" fontId="1" fillId="10" borderId="0" xfId="0" applyFont="1" applyFill="1"/>
    <xf numFmtId="0" fontId="6" fillId="10" borderId="0" xfId="0" applyFont="1" applyFill="1"/>
    <xf numFmtId="165" fontId="1" fillId="10" borderId="0" xfId="0" applyNumberFormat="1" applyFont="1" applyFill="1"/>
    <xf numFmtId="0" fontId="7" fillId="11" borderId="0" xfId="0" applyFont="1" applyFill="1"/>
    <xf numFmtId="0" fontId="6" fillId="11" borderId="0" xfId="0" applyFont="1" applyFill="1"/>
    <xf numFmtId="0" fontId="3" fillId="2" borderId="0" xfId="0" applyFont="1" applyFill="1"/>
    <xf numFmtId="0" fontId="5" fillId="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right"/>
    </xf>
    <xf numFmtId="167" fontId="3" fillId="12" borderId="0" xfId="0" applyNumberFormat="1" applyFont="1" applyFill="1" applyAlignment="1">
      <alignment horizontal="right"/>
    </xf>
    <xf numFmtId="0" fontId="3" fillId="12" borderId="0" xfId="0" applyFont="1" applyFill="1" applyAlignment="1">
      <alignment horizontal="right"/>
    </xf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65" fontId="5" fillId="2" borderId="0" xfId="0" applyNumberFormat="1" applyFont="1" applyFill="1" applyAlignment="1">
      <alignment horizontal="right"/>
    </xf>
    <xf numFmtId="0" fontId="8" fillId="12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168" fontId="3" fillId="2" borderId="0" xfId="0" applyNumberFormat="1" applyFont="1" applyFill="1"/>
    <xf numFmtId="165" fontId="4" fillId="2" borderId="0" xfId="0" applyNumberFormat="1" applyFont="1" applyFill="1" applyAlignment="1">
      <alignment horizontal="right"/>
    </xf>
    <xf numFmtId="0" fontId="11" fillId="6" borderId="0" xfId="0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4" fontId="11" fillId="6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166" fontId="1" fillId="8" borderId="0" xfId="0" applyNumberFormat="1" applyFont="1" applyFill="1" applyAlignment="1">
      <alignment horizontal="center"/>
    </xf>
    <xf numFmtId="0" fontId="11" fillId="13" borderId="0" xfId="0" applyFon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11" fillId="14" borderId="0" xfId="0" applyFont="1" applyFill="1" applyAlignment="1">
      <alignment horizontal="center"/>
    </xf>
    <xf numFmtId="4" fontId="1" fillId="14" borderId="0" xfId="0" applyNumberFormat="1" applyFont="1" applyFill="1" applyAlignment="1">
      <alignment horizontal="center"/>
    </xf>
    <xf numFmtId="0" fontId="0" fillId="14" borderId="0" xfId="0" applyFill="1"/>
    <xf numFmtId="0" fontId="11" fillId="15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11" fillId="17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1" fillId="19" borderId="0" xfId="0" applyFont="1" applyFill="1" applyAlignment="1">
      <alignment horizontal="center"/>
    </xf>
    <xf numFmtId="166" fontId="1" fillId="19" borderId="0" xfId="0" applyNumberFormat="1" applyFont="1" applyFill="1" applyAlignment="1">
      <alignment horizontal="center"/>
    </xf>
    <xf numFmtId="0" fontId="11" fillId="20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10" fillId="18" borderId="0" xfId="0" applyFont="1" applyFill="1"/>
    <xf numFmtId="166" fontId="2" fillId="18" borderId="0" xfId="0" applyNumberFormat="1" applyFont="1" applyFill="1" applyAlignment="1">
      <alignment horizontal="center"/>
    </xf>
    <xf numFmtId="170" fontId="7" fillId="10" borderId="0" xfId="0" applyNumberFormat="1" applyFont="1" applyFill="1"/>
    <xf numFmtId="0" fontId="10" fillId="14" borderId="0" xfId="0" applyFont="1" applyFill="1"/>
    <xf numFmtId="0" fontId="22" fillId="30" borderId="0" xfId="0" applyFont="1" applyFill="1"/>
    <xf numFmtId="9" fontId="0" fillId="30" borderId="0" xfId="1" applyFont="1" applyFill="1"/>
    <xf numFmtId="0" fontId="26" fillId="0" borderId="0" xfId="0" applyFont="1" applyAlignment="1">
      <alignment horizontal="center"/>
    </xf>
    <xf numFmtId="9" fontId="10" fillId="33" borderId="0" xfId="1" applyFont="1" applyFill="1" applyAlignment="1">
      <alignment horizontal="center"/>
    </xf>
    <xf numFmtId="165" fontId="24" fillId="31" borderId="0" xfId="0" applyNumberFormat="1" applyFont="1" applyFill="1" applyAlignment="1">
      <alignment horizontal="center"/>
    </xf>
    <xf numFmtId="165" fontId="25" fillId="32" borderId="0" xfId="0" applyNumberFormat="1" applyFont="1" applyFill="1" applyAlignment="1">
      <alignment horizontal="center"/>
    </xf>
    <xf numFmtId="165" fontId="10" fillId="33" borderId="0" xfId="0" applyNumberFormat="1" applyFont="1" applyFill="1" applyAlignment="1">
      <alignment horizontal="center"/>
    </xf>
    <xf numFmtId="165" fontId="24" fillId="31" borderId="4" xfId="0" applyNumberFormat="1" applyFont="1" applyFill="1" applyBorder="1" applyAlignment="1">
      <alignment horizontal="center"/>
    </xf>
    <xf numFmtId="165" fontId="25" fillId="32" borderId="4" xfId="0" applyNumberFormat="1" applyFont="1" applyFill="1" applyBorder="1" applyAlignment="1">
      <alignment horizontal="center"/>
    </xf>
    <xf numFmtId="165" fontId="10" fillId="33" borderId="4" xfId="0" applyNumberFormat="1" applyFont="1" applyFill="1" applyBorder="1" applyAlignment="1">
      <alignment horizontal="center"/>
    </xf>
    <xf numFmtId="0" fontId="2" fillId="34" borderId="0" xfId="0" applyFont="1" applyFill="1" applyAlignment="1">
      <alignment horizontal="center"/>
    </xf>
    <xf numFmtId="0" fontId="2" fillId="35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5" fontId="2" fillId="34" borderId="0" xfId="0" applyNumberFormat="1" applyFont="1" applyFill="1" applyAlignment="1">
      <alignment horizontal="center"/>
    </xf>
    <xf numFmtId="165" fontId="2" fillId="35" borderId="0" xfId="0" applyNumberFormat="1" applyFont="1" applyFill="1" applyAlignment="1">
      <alignment horizontal="center"/>
    </xf>
    <xf numFmtId="166" fontId="2" fillId="35" borderId="0" xfId="0" applyNumberFormat="1" applyFont="1" applyFill="1" applyAlignment="1">
      <alignment horizontal="center"/>
    </xf>
    <xf numFmtId="165" fontId="2" fillId="3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1" fillId="14" borderId="0" xfId="0" applyFont="1" applyFill="1"/>
    <xf numFmtId="165" fontId="0" fillId="14" borderId="0" xfId="0" applyNumberFormat="1" applyFill="1" applyAlignment="1">
      <alignment horizontal="center"/>
    </xf>
    <xf numFmtId="0" fontId="0" fillId="14" borderId="0" xfId="0" applyFill="1" applyAlignment="1">
      <alignment horizontal="left"/>
    </xf>
    <xf numFmtId="0" fontId="9" fillId="14" borderId="0" xfId="0" applyFont="1" applyFill="1"/>
    <xf numFmtId="0" fontId="0" fillId="14" borderId="4" xfId="0" applyFill="1" applyBorder="1"/>
    <xf numFmtId="0" fontId="22" fillId="14" borderId="0" xfId="0" applyFont="1" applyFill="1"/>
    <xf numFmtId="164" fontId="20" fillId="23" borderId="0" xfId="2" applyNumberFormat="1" applyFont="1" applyFill="1" applyAlignment="1">
      <alignment horizontal="center"/>
    </xf>
    <xf numFmtId="164" fontId="14" fillId="14" borderId="0" xfId="2" applyNumberFormat="1" applyFont="1" applyFill="1"/>
    <xf numFmtId="164" fontId="15" fillId="21" borderId="0" xfId="2" applyNumberFormat="1" applyFont="1" applyFill="1"/>
    <xf numFmtId="164" fontId="15" fillId="14" borderId="0" xfId="2" applyNumberFormat="1" applyFont="1" applyFill="1"/>
    <xf numFmtId="164" fontId="15" fillId="26" borderId="0" xfId="2" applyNumberFormat="1" applyFont="1" applyFill="1" applyAlignment="1">
      <alignment horizontal="center"/>
    </xf>
    <xf numFmtId="164" fontId="15" fillId="29" borderId="0" xfId="2" applyNumberFormat="1" applyFont="1" applyFill="1" applyAlignment="1">
      <alignment horizontal="center"/>
    </xf>
    <xf numFmtId="164" fontId="15" fillId="25" borderId="0" xfId="2" applyNumberFormat="1" applyFont="1" applyFill="1" applyAlignment="1">
      <alignment horizontal="center"/>
    </xf>
    <xf numFmtId="164" fontId="16" fillId="29" borderId="0" xfId="2" applyNumberFormat="1" applyFont="1" applyFill="1" applyAlignment="1">
      <alignment horizontal="center"/>
    </xf>
    <xf numFmtId="164" fontId="15" fillId="28" borderId="0" xfId="2" applyNumberFormat="1" applyFont="1" applyFill="1" applyAlignment="1">
      <alignment horizontal="center"/>
    </xf>
    <xf numFmtId="164" fontId="15" fillId="24" borderId="0" xfId="2" applyNumberFormat="1" applyFont="1" applyFill="1"/>
    <xf numFmtId="164" fontId="15" fillId="24" borderId="0" xfId="2" applyNumberFormat="1" applyFont="1" applyFill="1" applyAlignment="1">
      <alignment horizontal="right"/>
    </xf>
    <xf numFmtId="164" fontId="15" fillId="22" borderId="0" xfId="2" applyNumberFormat="1" applyFont="1" applyFill="1"/>
    <xf numFmtId="164" fontId="15" fillId="22" borderId="0" xfId="2" applyNumberFormat="1" applyFont="1" applyFill="1" applyAlignment="1">
      <alignment horizontal="right"/>
    </xf>
    <xf numFmtId="164" fontId="15" fillId="14" borderId="0" xfId="2" applyNumberFormat="1" applyFont="1" applyFill="1" applyAlignment="1">
      <alignment horizontal="right"/>
    </xf>
    <xf numFmtId="164" fontId="18" fillId="14" borderId="0" xfId="2" applyNumberFormat="1" applyFont="1" applyFill="1" applyAlignment="1">
      <alignment horizontal="center" vertical="center"/>
    </xf>
    <xf numFmtId="164" fontId="19" fillId="14" borderId="0" xfId="2" applyNumberFormat="1" applyFont="1" applyFill="1" applyAlignment="1">
      <alignment horizontal="center" vertical="center"/>
    </xf>
    <xf numFmtId="164" fontId="21" fillId="23" borderId="0" xfId="2" applyNumberFormat="1" applyFont="1" applyFill="1" applyAlignment="1">
      <alignment horizontal="center"/>
    </xf>
    <xf numFmtId="9" fontId="15" fillId="27" borderId="0" xfId="1" applyFont="1" applyFill="1" applyAlignment="1">
      <alignment horizontal="center"/>
    </xf>
    <xf numFmtId="165" fontId="0" fillId="14" borderId="0" xfId="0" applyNumberFormat="1" applyFill="1"/>
    <xf numFmtId="0" fontId="0" fillId="14" borderId="0" xfId="0" applyFill="1" applyAlignment="1">
      <alignment horizontal="center"/>
    </xf>
    <xf numFmtId="0" fontId="9" fillId="14" borderId="0" xfId="0" applyFont="1" applyFill="1" applyAlignment="1">
      <alignment horizontal="center"/>
    </xf>
    <xf numFmtId="43" fontId="0" fillId="14" borderId="0" xfId="2" applyFont="1" applyFill="1"/>
    <xf numFmtId="9" fontId="0" fillId="0" borderId="0" xfId="0" applyNumberFormat="1"/>
    <xf numFmtId="9" fontId="9" fillId="0" borderId="0" xfId="0" applyNumberFormat="1" applyFont="1"/>
    <xf numFmtId="165" fontId="9" fillId="36" borderId="0" xfId="0" applyNumberFormat="1" applyFont="1" applyFill="1" applyAlignment="1">
      <alignment horizontal="center"/>
    </xf>
    <xf numFmtId="165" fontId="0" fillId="37" borderId="0" xfId="0" applyNumberFormat="1" applyFill="1"/>
    <xf numFmtId="165" fontId="10" fillId="14" borderId="0" xfId="0" applyNumberFormat="1" applyFont="1" applyFill="1"/>
    <xf numFmtId="165" fontId="10" fillId="36" borderId="0" xfId="0" applyNumberFormat="1" applyFont="1" applyFill="1" applyAlignment="1">
      <alignment horizontal="center"/>
    </xf>
    <xf numFmtId="0" fontId="22" fillId="36" borderId="0" xfId="0" applyFont="1" applyFill="1" applyAlignment="1">
      <alignment horizontal="center"/>
    </xf>
    <xf numFmtId="0" fontId="9" fillId="36" borderId="0" xfId="0" applyFont="1" applyFill="1" applyAlignment="1">
      <alignment horizontal="center"/>
    </xf>
    <xf numFmtId="9" fontId="10" fillId="0" borderId="0" xfId="0" applyNumberFormat="1" applyFont="1" applyAlignment="1">
      <alignment horizontal="center"/>
    </xf>
    <xf numFmtId="0" fontId="28" fillId="36" borderId="0" xfId="0" applyFont="1" applyFill="1" applyAlignment="1">
      <alignment horizontal="center"/>
    </xf>
    <xf numFmtId="165" fontId="9" fillId="39" borderId="4" xfId="0" applyNumberFormat="1" applyFont="1" applyFill="1" applyBorder="1" applyAlignment="1">
      <alignment horizontal="center"/>
    </xf>
    <xf numFmtId="165" fontId="10" fillId="36" borderId="4" xfId="0" applyNumberFormat="1" applyFont="1" applyFill="1" applyBorder="1" applyAlignment="1">
      <alignment horizontal="center"/>
    </xf>
    <xf numFmtId="43" fontId="22" fillId="14" borderId="0" xfId="2" applyFont="1" applyFill="1"/>
    <xf numFmtId="0" fontId="1" fillId="14" borderId="0" xfId="0" applyFont="1" applyFill="1" applyAlignment="1">
      <alignment horizontal="right"/>
    </xf>
    <xf numFmtId="9" fontId="10" fillId="14" borderId="0" xfId="0" applyNumberFormat="1" applyFont="1" applyFill="1"/>
    <xf numFmtId="165" fontId="10" fillId="38" borderId="0" xfId="0" applyNumberFormat="1" applyFont="1" applyFill="1" applyAlignment="1">
      <alignment horizontal="center"/>
    </xf>
    <xf numFmtId="0" fontId="28" fillId="14" borderId="0" xfId="0" applyFont="1" applyFill="1"/>
    <xf numFmtId="9" fontId="1" fillId="14" borderId="0" xfId="0" applyNumberFormat="1" applyFont="1" applyFill="1"/>
    <xf numFmtId="43" fontId="28" fillId="14" borderId="0" xfId="2" applyFont="1" applyFill="1" applyAlignment="1">
      <alignment horizontal="center"/>
    </xf>
    <xf numFmtId="0" fontId="1" fillId="14" borderId="0" xfId="0" applyFont="1" applyFill="1" applyAlignment="1">
      <alignment vertical="center"/>
    </xf>
    <xf numFmtId="0" fontId="1" fillId="14" borderId="7" xfId="0" applyFont="1" applyFill="1" applyBorder="1" applyAlignment="1">
      <alignment vertical="center"/>
    </xf>
    <xf numFmtId="9" fontId="10" fillId="14" borderId="5" xfId="0" applyNumberFormat="1" applyFont="1" applyFill="1" applyBorder="1" applyAlignment="1">
      <alignment horizontal="center" vertical="center"/>
    </xf>
    <xf numFmtId="9" fontId="2" fillId="14" borderId="6" xfId="0" applyNumberFormat="1" applyFont="1" applyFill="1" applyBorder="1" applyAlignment="1">
      <alignment horizontal="center"/>
    </xf>
    <xf numFmtId="0" fontId="2" fillId="14" borderId="6" xfId="0" applyFont="1" applyFill="1" applyBorder="1" applyAlignment="1">
      <alignment horizontal="center"/>
    </xf>
    <xf numFmtId="164" fontId="15" fillId="14" borderId="0" xfId="2" applyNumberFormat="1" applyFont="1" applyFill="1" applyAlignment="1">
      <alignment horizontal="center"/>
    </xf>
    <xf numFmtId="9" fontId="14" fillId="14" borderId="0" xfId="1" applyFont="1" applyFill="1"/>
    <xf numFmtId="9" fontId="14" fillId="40" borderId="0" xfId="1" applyFont="1" applyFill="1"/>
    <xf numFmtId="164" fontId="30" fillId="14" borderId="0" xfId="2" applyNumberFormat="1" applyFont="1" applyFill="1"/>
    <xf numFmtId="0" fontId="3" fillId="41" borderId="0" xfId="0" applyFont="1" applyFill="1"/>
    <xf numFmtId="0" fontId="3" fillId="14" borderId="0" xfId="0" applyFont="1" applyFill="1"/>
    <xf numFmtId="0" fontId="3" fillId="14" borderId="0" xfId="0" applyFont="1" applyFill="1" applyAlignment="1">
      <alignment horizontal="right"/>
    </xf>
    <xf numFmtId="0" fontId="3" fillId="21" borderId="0" xfId="0" applyFont="1" applyFill="1"/>
    <xf numFmtId="0" fontId="0" fillId="30" borderId="0" xfId="0" applyFill="1"/>
    <xf numFmtId="43" fontId="0" fillId="30" borderId="0" xfId="2" applyFont="1" applyFill="1"/>
    <xf numFmtId="168" fontId="3" fillId="14" borderId="0" xfId="0" applyNumberFormat="1" applyFont="1" applyFill="1"/>
    <xf numFmtId="0" fontId="8" fillId="21" borderId="0" xfId="0" applyFont="1" applyFill="1" applyAlignment="1">
      <alignment horizontal="right"/>
    </xf>
    <xf numFmtId="0" fontId="1" fillId="21" borderId="0" xfId="0" applyFont="1" applyFill="1"/>
    <xf numFmtId="169" fontId="8" fillId="43" borderId="1" xfId="0" applyNumberFormat="1" applyFont="1" applyFill="1" applyBorder="1" applyAlignment="1">
      <alignment horizontal="right"/>
    </xf>
    <xf numFmtId="0" fontId="8" fillId="43" borderId="2" xfId="0" applyFont="1" applyFill="1" applyBorder="1" applyAlignment="1">
      <alignment horizontal="right"/>
    </xf>
    <xf numFmtId="0" fontId="8" fillId="43" borderId="2" xfId="0" applyFont="1" applyFill="1" applyBorder="1"/>
    <xf numFmtId="0" fontId="8" fillId="43" borderId="3" xfId="0" applyFont="1" applyFill="1" applyBorder="1"/>
    <xf numFmtId="169" fontId="8" fillId="14" borderId="1" xfId="0" applyNumberFormat="1" applyFont="1" applyFill="1" applyBorder="1" applyAlignment="1">
      <alignment horizontal="right"/>
    </xf>
    <xf numFmtId="0" fontId="8" fillId="14" borderId="2" xfId="0" applyFont="1" applyFill="1" applyBorder="1" applyAlignment="1">
      <alignment horizontal="right"/>
    </xf>
    <xf numFmtId="0" fontId="8" fillId="14" borderId="2" xfId="0" applyFont="1" applyFill="1" applyBorder="1"/>
    <xf numFmtId="0" fontId="8" fillId="14" borderId="3" xfId="0" applyFont="1" applyFill="1" applyBorder="1"/>
    <xf numFmtId="0" fontId="8" fillId="14" borderId="3" xfId="0" applyFont="1" applyFill="1" applyBorder="1" applyAlignment="1">
      <alignment horizontal="right"/>
    </xf>
    <xf numFmtId="0" fontId="8" fillId="43" borderId="3" xfId="0" applyFont="1" applyFill="1" applyBorder="1" applyAlignment="1">
      <alignment horizontal="right"/>
    </xf>
    <xf numFmtId="167" fontId="3" fillId="44" borderId="0" xfId="0" applyNumberFormat="1" applyFont="1" applyFill="1" applyAlignment="1">
      <alignment horizontal="right"/>
    </xf>
    <xf numFmtId="0" fontId="8" fillId="44" borderId="0" xfId="0" applyFont="1" applyFill="1" applyAlignment="1">
      <alignment horizontal="right"/>
    </xf>
    <xf numFmtId="0" fontId="31" fillId="42" borderId="1" xfId="0" applyFont="1" applyFill="1" applyBorder="1"/>
    <xf numFmtId="0" fontId="31" fillId="42" borderId="2" xfId="0" applyFont="1" applyFill="1" applyBorder="1"/>
    <xf numFmtId="0" fontId="31" fillId="42" borderId="3" xfId="0" applyFont="1" applyFill="1" applyBorder="1"/>
    <xf numFmtId="165" fontId="32" fillId="14" borderId="0" xfId="0" applyNumberFormat="1" applyFont="1" applyFill="1" applyAlignment="1">
      <alignment horizontal="center"/>
    </xf>
    <xf numFmtId="165" fontId="28" fillId="14" borderId="0" xfId="0" applyNumberFormat="1" applyFont="1" applyFill="1" applyAlignment="1">
      <alignment horizontal="center"/>
    </xf>
    <xf numFmtId="0" fontId="2" fillId="14" borderId="0" xfId="0" applyFont="1" applyFill="1"/>
    <xf numFmtId="0" fontId="2" fillId="45" borderId="0" xfId="0" applyFont="1" applyFill="1" applyAlignment="1">
      <alignment horizontal="center"/>
    </xf>
    <xf numFmtId="165" fontId="2" fillId="45" borderId="0" xfId="0" applyNumberFormat="1" applyFont="1" applyFill="1" applyAlignment="1">
      <alignment horizontal="center"/>
    </xf>
    <xf numFmtId="43" fontId="28" fillId="14" borderId="9" xfId="2" applyFont="1" applyFill="1" applyBorder="1" applyAlignment="1">
      <alignment horizontal="center"/>
    </xf>
    <xf numFmtId="43" fontId="28" fillId="14" borderId="10" xfId="2" applyFont="1" applyFill="1" applyBorder="1" applyAlignment="1">
      <alignment horizontal="center"/>
    </xf>
    <xf numFmtId="43" fontId="28" fillId="14" borderId="11" xfId="2" applyFont="1" applyFill="1" applyBorder="1" applyAlignment="1">
      <alignment horizontal="center"/>
    </xf>
    <xf numFmtId="43" fontId="28" fillId="14" borderId="12" xfId="2" applyFont="1" applyFill="1" applyBorder="1" applyAlignment="1">
      <alignment horizontal="center"/>
    </xf>
    <xf numFmtId="43" fontId="28" fillId="14" borderId="13" xfId="2" applyFont="1" applyFill="1" applyBorder="1" applyAlignment="1">
      <alignment horizontal="center"/>
    </xf>
    <xf numFmtId="43" fontId="28" fillId="14" borderId="14" xfId="2" applyFont="1" applyFill="1" applyBorder="1" applyAlignment="1">
      <alignment horizontal="center"/>
    </xf>
    <xf numFmtId="43" fontId="28" fillId="14" borderId="8" xfId="2" applyFont="1" applyFill="1" applyBorder="1" applyAlignment="1">
      <alignment horizontal="center"/>
    </xf>
    <xf numFmtId="165" fontId="14" fillId="14" borderId="0" xfId="2" applyNumberFormat="1" applyFont="1" applyFill="1"/>
    <xf numFmtId="165" fontId="14" fillId="14" borderId="0" xfId="2" applyNumberFormat="1" applyFont="1" applyFill="1" applyAlignment="1">
      <alignment horizontal="center"/>
    </xf>
    <xf numFmtId="165" fontId="14" fillId="40" borderId="0" xfId="2" applyNumberFormat="1" applyFont="1" applyFill="1" applyAlignment="1">
      <alignment horizontal="center"/>
    </xf>
    <xf numFmtId="166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1" fillId="30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0" fillId="30" borderId="0" xfId="0" applyFill="1" applyAlignment="1">
      <alignment horizontal="center"/>
    </xf>
    <xf numFmtId="0" fontId="33" fillId="6" borderId="0" xfId="0" applyFont="1" applyFill="1" applyAlignment="1">
      <alignment horizontal="center"/>
    </xf>
    <xf numFmtId="0" fontId="33" fillId="46" borderId="0" xfId="0" applyFont="1" applyFill="1" applyAlignment="1">
      <alignment horizontal="center"/>
    </xf>
    <xf numFmtId="0" fontId="1" fillId="46" borderId="0" xfId="0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0" fontId="33" fillId="47" borderId="0" xfId="0" applyFont="1" applyFill="1" applyAlignment="1">
      <alignment horizontal="center"/>
    </xf>
    <xf numFmtId="4" fontId="11" fillId="47" borderId="0" xfId="0" applyNumberFormat="1" applyFont="1" applyFill="1" applyAlignment="1">
      <alignment horizontal="center"/>
    </xf>
    <xf numFmtId="0" fontId="1" fillId="47" borderId="0" xfId="0" applyFont="1" applyFill="1" applyAlignment="1">
      <alignment horizontal="center"/>
    </xf>
    <xf numFmtId="0" fontId="34" fillId="30" borderId="0" xfId="0" applyFont="1" applyFill="1"/>
    <xf numFmtId="0" fontId="10" fillId="14" borderId="0" xfId="0" applyFont="1" applyFill="1" applyAlignment="1">
      <alignment horizontal="center"/>
    </xf>
    <xf numFmtId="0" fontId="0" fillId="37" borderId="0" xfId="0" applyFill="1" applyAlignment="1">
      <alignment horizontal="center"/>
    </xf>
    <xf numFmtId="0" fontId="5" fillId="48" borderId="0" xfId="0" applyFont="1" applyFill="1" applyAlignment="1">
      <alignment horizontal="center"/>
    </xf>
    <xf numFmtId="1" fontId="5" fillId="48" borderId="0" xfId="2" applyNumberFormat="1" applyFont="1" applyFill="1" applyAlignment="1">
      <alignment horizontal="right"/>
    </xf>
    <xf numFmtId="1" fontId="0" fillId="14" borderId="0" xfId="2" applyNumberFormat="1" applyFont="1" applyFill="1"/>
    <xf numFmtId="1" fontId="4" fillId="48" borderId="0" xfId="2" applyNumberFormat="1" applyFont="1" applyFill="1" applyAlignment="1">
      <alignment horizontal="right"/>
    </xf>
    <xf numFmtId="0" fontId="35" fillId="48" borderId="0" xfId="0" applyFont="1" applyFill="1" applyAlignment="1">
      <alignment horizontal="center"/>
    </xf>
    <xf numFmtId="0" fontId="36" fillId="14" borderId="0" xfId="0" applyFont="1" applyFill="1" applyAlignment="1">
      <alignment horizontal="center"/>
    </xf>
    <xf numFmtId="0" fontId="37" fillId="48" borderId="0" xfId="0" applyFont="1" applyFill="1" applyAlignment="1">
      <alignment horizontal="center"/>
    </xf>
    <xf numFmtId="1" fontId="35" fillId="48" borderId="0" xfId="2" applyNumberFormat="1" applyFont="1" applyFill="1" applyAlignment="1">
      <alignment horizontal="center"/>
    </xf>
    <xf numFmtId="0" fontId="35" fillId="14" borderId="0" xfId="0" applyFont="1" applyFill="1" applyAlignment="1">
      <alignment horizontal="center"/>
    </xf>
    <xf numFmtId="1" fontId="36" fillId="14" borderId="0" xfId="2" applyNumberFormat="1" applyFont="1" applyFill="1" applyAlignment="1">
      <alignment horizontal="center"/>
    </xf>
    <xf numFmtId="1" fontId="37" fillId="48" borderId="0" xfId="2" applyNumberFormat="1" applyFont="1" applyFill="1" applyAlignment="1">
      <alignment horizontal="center"/>
    </xf>
    <xf numFmtId="165" fontId="1" fillId="14" borderId="0" xfId="0" applyNumberFormat="1" applyFont="1" applyFill="1"/>
    <xf numFmtId="0" fontId="9" fillId="14" borderId="0" xfId="0" applyFont="1" applyFill="1" applyAlignment="1">
      <alignment horizontal="right"/>
    </xf>
    <xf numFmtId="0" fontId="2" fillId="10" borderId="0" xfId="0" applyFont="1" applyFill="1"/>
    <xf numFmtId="165" fontId="2" fillId="10" borderId="0" xfId="0" applyNumberFormat="1" applyFont="1" applyFill="1"/>
    <xf numFmtId="2" fontId="0" fillId="37" borderId="0" xfId="0" applyNumberFormat="1" applyFill="1"/>
    <xf numFmtId="2" fontId="10" fillId="14" borderId="0" xfId="0" applyNumberFormat="1" applyFont="1" applyFill="1"/>
    <xf numFmtId="0" fontId="39" fillId="49" borderId="0" xfId="0" applyFont="1" applyFill="1"/>
    <xf numFmtId="165" fontId="39" fillId="49" borderId="0" xfId="0" applyNumberFormat="1" applyFont="1" applyFill="1" applyAlignment="1">
      <alignment horizontal="right"/>
    </xf>
    <xf numFmtId="43" fontId="3" fillId="5" borderId="0" xfId="2" applyFont="1" applyFill="1"/>
    <xf numFmtId="0" fontId="40" fillId="21" borderId="0" xfId="0" applyFont="1" applyFill="1"/>
    <xf numFmtId="0" fontId="41" fillId="14" borderId="0" xfId="0" applyFont="1" applyFill="1"/>
    <xf numFmtId="43" fontId="3" fillId="50" borderId="0" xfId="0" applyNumberFormat="1" applyFont="1" applyFill="1"/>
    <xf numFmtId="43" fontId="38" fillId="21" borderId="0" xfId="2" applyFont="1" applyFill="1"/>
    <xf numFmtId="43" fontId="3" fillId="21" borderId="0" xfId="2" applyFont="1" applyFill="1"/>
    <xf numFmtId="0" fontId="22" fillId="0" borderId="0" xfId="0" applyFont="1"/>
    <xf numFmtId="9" fontId="0" fillId="0" borderId="0" xfId="1" applyFont="1"/>
    <xf numFmtId="0" fontId="0" fillId="0" borderId="15" xfId="0" applyBorder="1"/>
    <xf numFmtId="0" fontId="42" fillId="0" borderId="16" xfId="0" applyFont="1" applyBorder="1" applyAlignment="1">
      <alignment horizontal="center"/>
    </xf>
    <xf numFmtId="0" fontId="42" fillId="0" borderId="16" xfId="0" applyFont="1" applyBorder="1" applyAlignment="1">
      <alignment horizontal="centerContinuous"/>
    </xf>
    <xf numFmtId="0" fontId="29" fillId="14" borderId="0" xfId="0" applyFont="1" applyFill="1" applyAlignment="1">
      <alignment horizontal="center"/>
    </xf>
    <xf numFmtId="0" fontId="27" fillId="14" borderId="0" xfId="0" applyFont="1" applyFill="1" applyAlignment="1">
      <alignment horizontal="center" vertical="center" wrapText="1"/>
    </xf>
    <xf numFmtId="0" fontId="29" fillId="36" borderId="0" xfId="0" applyFont="1" applyFill="1" applyAlignment="1">
      <alignment horizontal="center"/>
    </xf>
    <xf numFmtId="164" fontId="17" fillId="21" borderId="0" xfId="2" applyNumberFormat="1" applyFont="1" applyFill="1" applyAlignment="1">
      <alignment horizontal="center"/>
    </xf>
    <xf numFmtId="164" fontId="18" fillId="14" borderId="0" xfId="2" applyNumberFormat="1" applyFont="1" applyFill="1" applyAlignment="1">
      <alignment horizontal="center"/>
    </xf>
    <xf numFmtId="164" fontId="18" fillId="21" borderId="0" xfId="2" applyNumberFormat="1" applyFont="1" applyFill="1" applyAlignment="1">
      <alignment horizontal="center"/>
    </xf>
    <xf numFmtId="0" fontId="35" fillId="48" borderId="0" xfId="0" applyFont="1" applyFill="1" applyAlignment="1">
      <alignment horizontal="center"/>
    </xf>
    <xf numFmtId="0" fontId="0" fillId="51" borderId="0" xfId="0" applyFill="1"/>
  </cellXfs>
  <cellStyles count="3">
    <cellStyle name="Dziesiętny" xfId="2" builtinId="3"/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ilość poszczególnych szkód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'Koszty napraw'!$AM$1</c:f>
              <c:strCache>
                <c:ptCount val="1"/>
                <c:pt idx="0">
                  <c:v>liczba poszczególnych szkód</c:v>
                </c:pt>
              </c:strCache>
            </c:strRef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'Koszty napraw'!$AL$2:$AL$12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'Koszty napraw'!$AM$2:$AM$12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12</c:v>
                </c:pt>
                <c:pt idx="3">
                  <c:v>17</c:v>
                </c:pt>
                <c:pt idx="4">
                  <c:v>16</c:v>
                </c:pt>
                <c:pt idx="5">
                  <c:v>21</c:v>
                </c:pt>
                <c:pt idx="6">
                  <c:v>13</c:v>
                </c:pt>
                <c:pt idx="7">
                  <c:v>13</c:v>
                </c:pt>
                <c:pt idx="8">
                  <c:v>8</c:v>
                </c:pt>
                <c:pt idx="9">
                  <c:v>7</c:v>
                </c:pt>
                <c:pt idx="1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DB6-4732-BC31-993AD93B9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4468255"/>
        <c:axId val="593685476"/>
      </c:barChart>
      <c:catAx>
        <c:axId val="1964468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3685476"/>
        <c:crosses val="autoZero"/>
        <c:auto val="1"/>
        <c:lblAlgn val="ctr"/>
        <c:lblOffset val="100"/>
        <c:noMultiLvlLbl val="1"/>
      </c:catAx>
      <c:valAx>
        <c:axId val="5936854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ilość poszczególnych szkód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64468255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 rt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 dystrybuanty</a:t>
            </a:r>
            <a:r>
              <a:rPr lang="en-US" baseline="0"/>
              <a:t> szkód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'Koszty napraw'!$AL$1</c:f>
              <c:strCache>
                <c:ptCount val="1"/>
                <c:pt idx="0">
                  <c:v>Szkody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'Koszty napraw'!$AK$2:$AK$13</c:f>
              <c:numCache>
                <c:formatCode>General</c:formatCode>
                <c:ptCount val="12"/>
                <c:pt idx="0">
                  <c:v>7.0000000000000007E-2</c:v>
                </c:pt>
                <c:pt idx="1">
                  <c:v>0.09</c:v>
                </c:pt>
                <c:pt idx="2">
                  <c:v>0.11</c:v>
                </c:pt>
                <c:pt idx="3">
                  <c:v>0.13</c:v>
                </c:pt>
                <c:pt idx="4">
                  <c:v>0.15</c:v>
                </c:pt>
                <c:pt idx="5">
                  <c:v>0.13</c:v>
                </c:pt>
                <c:pt idx="6">
                  <c:v>0.11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0.03</c:v>
                </c:pt>
                <c:pt idx="11">
                  <c:v>1.0000000000000002</c:v>
                </c:pt>
              </c:numCache>
            </c:numRef>
          </c:cat>
          <c:val>
            <c:numRef>
              <c:f>'Koszty napraw'!$AL$2:$AL$13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1-4FA0-A10C-A8BDE0DB5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47395999"/>
        <c:axId val="637188160"/>
      </c:barChart>
      <c:catAx>
        <c:axId val="2147395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188160"/>
        <c:crosses val="autoZero"/>
        <c:auto val="1"/>
        <c:lblAlgn val="ctr"/>
        <c:lblOffset val="100"/>
        <c:noMultiLvlLbl val="0"/>
      </c:catAx>
      <c:valAx>
        <c:axId val="63718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39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800">
                <a:solidFill>
                  <a:schemeClr val="tx1"/>
                </a:solidFill>
              </a:rPr>
              <a:t>F(x)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'Koszty napraw'!$AI$1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'Koszty napraw'!$AL$2:$AL$12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'Koszty napraw'!$AI$2:$AI$12</c:f>
              <c:numCache>
                <c:formatCode>General</c:formatCode>
                <c:ptCount val="11"/>
                <c:pt idx="0">
                  <c:v>7.0000000000000007E-2</c:v>
                </c:pt>
                <c:pt idx="1">
                  <c:v>0.16</c:v>
                </c:pt>
                <c:pt idx="2">
                  <c:v>0.27</c:v>
                </c:pt>
                <c:pt idx="3">
                  <c:v>0.4</c:v>
                </c:pt>
                <c:pt idx="4">
                  <c:v>0.55000000000000004</c:v>
                </c:pt>
                <c:pt idx="5">
                  <c:v>0.68</c:v>
                </c:pt>
                <c:pt idx="6">
                  <c:v>0.79</c:v>
                </c:pt>
                <c:pt idx="7">
                  <c:v>0.8600000000000001</c:v>
                </c:pt>
                <c:pt idx="8">
                  <c:v>0.92000000000000015</c:v>
                </c:pt>
                <c:pt idx="9">
                  <c:v>0.9700000000000002</c:v>
                </c:pt>
                <c:pt idx="1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D-45BA-93C3-F3C4B065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277359"/>
        <c:axId val="1328265359"/>
      </c:lineChart>
      <c:catAx>
        <c:axId val="132827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8265359"/>
        <c:crosses val="autoZero"/>
        <c:auto val="1"/>
        <c:lblAlgn val="ctr"/>
        <c:lblOffset val="100"/>
        <c:noMultiLvlLbl val="0"/>
      </c:catAx>
      <c:valAx>
        <c:axId val="1328265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827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'Koszty napraw'!$AG$1</c:f>
              <c:strCache>
                <c:ptCount val="1"/>
                <c:pt idx="0">
                  <c:v>P(x)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'Koszty napraw'!$AL$2:$AL$12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'Koszty napraw'!$AG$2:$AG$12</c:f>
              <c:numCache>
                <c:formatCode>General</c:formatCode>
                <c:ptCount val="11"/>
                <c:pt idx="0">
                  <c:v>7.0000000000000007E-2</c:v>
                </c:pt>
                <c:pt idx="1">
                  <c:v>0.09</c:v>
                </c:pt>
                <c:pt idx="2">
                  <c:v>0.11000000000000001</c:v>
                </c:pt>
                <c:pt idx="3">
                  <c:v>0.13</c:v>
                </c:pt>
                <c:pt idx="4">
                  <c:v>0.15000000000000002</c:v>
                </c:pt>
                <c:pt idx="5">
                  <c:v>0.13</c:v>
                </c:pt>
                <c:pt idx="6">
                  <c:v>0.10999999999999999</c:v>
                </c:pt>
                <c:pt idx="7">
                  <c:v>7.0000000000000062E-2</c:v>
                </c:pt>
                <c:pt idx="8">
                  <c:v>6.0000000000000053E-2</c:v>
                </c:pt>
                <c:pt idx="9">
                  <c:v>5.0000000000000044E-2</c:v>
                </c:pt>
                <c:pt idx="10">
                  <c:v>3.0000000000000027E-2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D-4CAD-9F02-C1E80847E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294159"/>
        <c:axId val="1328300399"/>
      </c:lineChart>
      <c:catAx>
        <c:axId val="1328294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8300399"/>
        <c:crosses val="autoZero"/>
        <c:auto val="1"/>
        <c:lblAlgn val="ctr"/>
        <c:lblOffset val="100"/>
        <c:noMultiLvlLbl val="0"/>
      </c:catAx>
      <c:valAx>
        <c:axId val="132830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8294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Podsumowanie!$Z$25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31-4644-8984-7364A860C88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Podsumowanie!$Z$26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9-4346-BB77-0B94511607B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Podsumowanie!$Z$27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9-4346-BB77-0B94511607BB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Podsumowanie!$Z$28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9-4346-BB77-0B94511607B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Podsumowanie!$Z$29</c:f>
              <c:numCache>
                <c:formatCode>General</c:formatCode>
                <c:ptCount val="1"/>
                <c:pt idx="0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29-4346-BB77-0B94511607B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Podsumowanie!$Z$30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9-4346-BB77-0B94511607B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Podsumowanie!$Z$31</c:f>
              <c:numCache>
                <c:formatCode>General</c:formatCode>
                <c:ptCount val="1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29-4346-BB77-0B94511607B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Podsumowanie!$Z$32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29-4346-BB77-0B94511607B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Podsumowanie!$Z$33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29-4346-BB77-0B94511607B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29-4346-BB77-0B94511607B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29-4346-BB77-0B94511607B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29-4346-BB77-0B9451160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543759"/>
        <c:axId val="127544719"/>
      </c:barChart>
      <c:catAx>
        <c:axId val="1275437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544719"/>
        <c:crosses val="autoZero"/>
        <c:auto val="1"/>
        <c:lblAlgn val="ctr"/>
        <c:lblOffset val="100"/>
        <c:noMultiLvlLbl val="0"/>
      </c:catAx>
      <c:valAx>
        <c:axId val="12754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543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400">
                <a:solidFill>
                  <a:schemeClr val="tx1"/>
                </a:solidFill>
              </a:rPr>
              <a:t>Częstość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2.9061414514029979E-2"/>
          <c:y val="0.11611853366727329"/>
          <c:w val="0.9476068984242606"/>
          <c:h val="0.735570685958305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Podsumowanie!$AD$25:$AD$50</c:f>
              <c:numCache>
                <c:formatCode>General</c:formatCode>
                <c:ptCount val="26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28</c:v>
                </c:pt>
                <c:pt idx="25">
                  <c:v>30</c:v>
                </c:pt>
              </c:numCache>
            </c:numRef>
          </c:cat>
          <c:val>
            <c:numRef>
              <c:f>Podsumowanie!$AC$25:$AC$50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6</c:v>
                </c:pt>
                <c:pt idx="7">
                  <c:v>13</c:v>
                </c:pt>
                <c:pt idx="8">
                  <c:v>17</c:v>
                </c:pt>
                <c:pt idx="9">
                  <c:v>39</c:v>
                </c:pt>
                <c:pt idx="10">
                  <c:v>46</c:v>
                </c:pt>
                <c:pt idx="11">
                  <c:v>53</c:v>
                </c:pt>
                <c:pt idx="12">
                  <c:v>65</c:v>
                </c:pt>
                <c:pt idx="13">
                  <c:v>75</c:v>
                </c:pt>
                <c:pt idx="14">
                  <c:v>64</c:v>
                </c:pt>
                <c:pt idx="15">
                  <c:v>52</c:v>
                </c:pt>
                <c:pt idx="16">
                  <c:v>29</c:v>
                </c:pt>
                <c:pt idx="17">
                  <c:v>16</c:v>
                </c:pt>
                <c:pt idx="18">
                  <c:v>14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1-4419-9286-E8911E947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7846623"/>
        <c:axId val="1087849983"/>
      </c:barChart>
      <c:catAx>
        <c:axId val="1087846623"/>
        <c:scaling>
          <c:orientation val="minMax"/>
        </c:scaling>
        <c:delete val="0"/>
        <c:axPos val="b"/>
        <c:numFmt formatCode="#,##0&quot;mln&quot;\ [$zł-415]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7849983"/>
        <c:crosses val="autoZero"/>
        <c:auto val="1"/>
        <c:lblAlgn val="ctr"/>
        <c:lblOffset val="100"/>
        <c:noMultiLvlLbl val="0"/>
      </c:catAx>
      <c:valAx>
        <c:axId val="108784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784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Wynik finansowy wg. cen biletów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'Przychody z biletów + analiza'!$R$17:$AG$17</c:f>
              <c:numCache>
                <c:formatCode>0%</c:formatCode>
                <c:ptCount val="1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</c:numCache>
            </c:numRef>
          </c:cat>
          <c:val>
            <c:numRef>
              <c:f>'Przychody z biletów + analiza'!$R$13:$AG$13</c:f>
              <c:numCache>
                <c:formatCode>#\ ##0.00\ [$zł-415]</c:formatCode>
                <c:ptCount val="16"/>
                <c:pt idx="0">
                  <c:v>-35567770.125683375</c:v>
                </c:pt>
                <c:pt idx="1">
                  <c:v>-24803297.462124169</c:v>
                </c:pt>
                <c:pt idx="2">
                  <c:v>-15897754.140160024</c:v>
                </c:pt>
                <c:pt idx="3">
                  <c:v>-8127596.1268085446</c:v>
                </c:pt>
                <c:pt idx="4">
                  <c:v>-1246148.8587214549</c:v>
                </c:pt>
                <c:pt idx="5">
                  <c:v>3368561.1831759498</c:v>
                </c:pt>
                <c:pt idx="6">
                  <c:v>8019794.0977345072</c:v>
                </c:pt>
                <c:pt idx="7">
                  <c:v>10302334.87125941</c:v>
                </c:pt>
                <c:pt idx="8">
                  <c:v>11511101.641079709</c:v>
                </c:pt>
                <c:pt idx="9">
                  <c:v>11058658.711213378</c:v>
                </c:pt>
                <c:pt idx="10">
                  <c:v>9820816.5781203527</c:v>
                </c:pt>
                <c:pt idx="11">
                  <c:v>6712937.5157798603</c:v>
                </c:pt>
                <c:pt idx="12">
                  <c:v>2560493.0840451308</c:v>
                </c:pt>
                <c:pt idx="13">
                  <c:v>-3410644.3303057933</c:v>
                </c:pt>
                <c:pt idx="14">
                  <c:v>-10111195.933772508</c:v>
                </c:pt>
                <c:pt idx="15">
                  <c:v>-18562005.012532011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D-1F4A-9BFF-7953CA6994AF}"/>
            </c:ext>
          </c:extLst>
        </c:ser>
        <c:ser>
          <c:idx val="1"/>
          <c:order val="1"/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numRef>
              <c:f>'Przychody z biletów + analiza'!$R$17:$AG$17</c:f>
              <c:numCache>
                <c:formatCode>0%</c:formatCode>
                <c:ptCount val="1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</c:numCache>
            </c:numRef>
          </c:cat>
          <c:val>
            <c:numRef>
              <c:f>'Przychody z biletów + analiza'!$R$17:$AG$17</c:f>
              <c:numCache>
                <c:formatCode>0%</c:formatCode>
                <c:ptCount val="1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D-1F4A-9BFF-7953CA69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6959008"/>
        <c:axId val="1228320495"/>
      </c:barChart>
      <c:catAx>
        <c:axId val="5695900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pattFill prst="pct5">
            <a:fgClr>
              <a:schemeClr val="accent1"/>
            </a:fgClr>
            <a:bgClr>
              <a:schemeClr val="bg1"/>
            </a:bgClr>
          </a:pattFill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320495"/>
        <c:crosses val="autoZero"/>
        <c:auto val="1"/>
        <c:lblAlgn val="ctr"/>
        <c:lblOffset val="100"/>
        <c:noMultiLvlLbl val="0"/>
      </c:catAx>
      <c:valAx>
        <c:axId val="1228320495"/>
        <c:scaling>
          <c:orientation val="minMax"/>
        </c:scaling>
        <c:delete val="0"/>
        <c:axPos val="l"/>
        <c:numFmt formatCode="#\ ##0.00\ [$zł-415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ilość poszczególnych szkód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'Koszty napraw_old'!$AJ$1</c:f>
              <c:strCache>
                <c:ptCount val="1"/>
                <c:pt idx="0">
                  <c:v>liczba poszczególnych szkód</c:v>
                </c:pt>
              </c:strCache>
            </c:strRef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val>
            <c:numRef>
              <c:f>'Koszty napraw_old'!$AJ$2:$AJ$12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12</c:v>
                </c:pt>
                <c:pt idx="3">
                  <c:v>21</c:v>
                </c:pt>
                <c:pt idx="4">
                  <c:v>24</c:v>
                </c:pt>
                <c:pt idx="5">
                  <c:v>22</c:v>
                </c:pt>
                <c:pt idx="6">
                  <c:v>12</c:v>
                </c:pt>
                <c:pt idx="7">
                  <c:v>4</c:v>
                </c:pt>
                <c:pt idx="8">
                  <c:v>9</c:v>
                </c:pt>
                <c:pt idx="9">
                  <c:v>6</c:v>
                </c:pt>
                <c:pt idx="1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BA0-1840-8A0F-C53330EF5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4468255"/>
        <c:axId val="593685476"/>
      </c:barChart>
      <c:catAx>
        <c:axId val="1964468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3685476"/>
        <c:crosses val="autoZero"/>
        <c:auto val="1"/>
        <c:lblAlgn val="ctr"/>
        <c:lblOffset val="100"/>
        <c:noMultiLvlLbl val="1"/>
      </c:catAx>
      <c:valAx>
        <c:axId val="5936854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ilość poszczególnych szkód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64468255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 rt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 dystrybuanty</a:t>
            </a:r>
            <a:r>
              <a:rPr lang="en-US" baseline="0"/>
              <a:t> szkód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'Koszty napraw_old'!$AI$1</c:f>
              <c:strCache>
                <c:ptCount val="1"/>
                <c:pt idx="0">
                  <c:v>liczba szkód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'Koszty napraw_old'!$AH$2:$AH$13</c:f>
              <c:numCache>
                <c:formatCode>General</c:formatCode>
                <c:ptCount val="12"/>
                <c:pt idx="0">
                  <c:v>0</c:v>
                </c:pt>
                <c:pt idx="1">
                  <c:v>7.0000000000000007E-2</c:v>
                </c:pt>
                <c:pt idx="2">
                  <c:v>0.17</c:v>
                </c:pt>
                <c:pt idx="3">
                  <c:v>0.27</c:v>
                </c:pt>
                <c:pt idx="4">
                  <c:v>0.39</c:v>
                </c:pt>
                <c:pt idx="5">
                  <c:v>0.54</c:v>
                </c:pt>
                <c:pt idx="6">
                  <c:v>0.69</c:v>
                </c:pt>
                <c:pt idx="7">
                  <c:v>0.81</c:v>
                </c:pt>
                <c:pt idx="8">
                  <c:v>0.87</c:v>
                </c:pt>
                <c:pt idx="9">
                  <c:v>0.92</c:v>
                </c:pt>
                <c:pt idx="10">
                  <c:v>0.97</c:v>
                </c:pt>
                <c:pt idx="11">
                  <c:v>1</c:v>
                </c:pt>
              </c:numCache>
            </c:numRef>
          </c:cat>
          <c:val>
            <c:numRef>
              <c:f>'Koszty napraw_old'!$AI$2:$AI$13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9B4A-8FB5-42ADEBE47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47395999"/>
        <c:axId val="637188160"/>
      </c:barChart>
      <c:catAx>
        <c:axId val="2147395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188160"/>
        <c:crosses val="autoZero"/>
        <c:auto val="1"/>
        <c:lblAlgn val="ctr"/>
        <c:lblOffset val="100"/>
        <c:noMultiLvlLbl val="0"/>
      </c:catAx>
      <c:valAx>
        <c:axId val="63718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39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38</xdr:col>
      <xdr:colOff>1565506</xdr:colOff>
      <xdr:row>15</xdr:row>
      <xdr:rowOff>173291</xdr:rowOff>
    </xdr:from>
    <xdr:ext cx="5715000" cy="3533775"/>
    <xdr:graphicFrame macro="">
      <xdr:nvGraphicFramePr>
        <xdr:cNvPr id="5" name="Chart 1" title="Chart">
          <a:extLst>
            <a:ext uri="{FF2B5EF4-FFF2-40B4-BE49-F238E27FC236}">
              <a16:creationId xmlns:a16="http://schemas.microsoft.com/office/drawing/2014/main" id="{190A3A20-8342-4C93-B713-F5588B112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38</xdr:col>
      <xdr:colOff>1634003</xdr:colOff>
      <xdr:row>37</xdr:row>
      <xdr:rowOff>30700</xdr:rowOff>
    </xdr:from>
    <xdr:to>
      <xdr:col>43</xdr:col>
      <xdr:colOff>272091</xdr:colOff>
      <xdr:row>57</xdr:row>
      <xdr:rowOff>107268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314E74B1-C953-464B-B2A7-3C285E04C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620484</xdr:colOff>
      <xdr:row>36</xdr:row>
      <xdr:rowOff>0</xdr:rowOff>
    </xdr:from>
    <xdr:to>
      <xdr:col>38</xdr:col>
      <xdr:colOff>903514</xdr:colOff>
      <xdr:row>55</xdr:row>
      <xdr:rowOff>114300</xdr:rowOff>
    </xdr:to>
    <xdr:graphicFrame macro="">
      <xdr:nvGraphicFramePr>
        <xdr:cNvPr id="20" name="Wykres 1">
          <a:extLst>
            <a:ext uri="{FF2B5EF4-FFF2-40B4-BE49-F238E27FC236}">
              <a16:creationId xmlns:a16="http://schemas.microsoft.com/office/drawing/2014/main" id="{AA922DAF-92B8-D880-3D56-F25B5562F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566056</xdr:colOff>
      <xdr:row>16</xdr:row>
      <xdr:rowOff>163286</xdr:rowOff>
    </xdr:from>
    <xdr:to>
      <xdr:col>38</xdr:col>
      <xdr:colOff>751114</xdr:colOff>
      <xdr:row>34</xdr:row>
      <xdr:rowOff>38101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6A7C2B6-1F09-4A32-FF46-6EB893E98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207818</xdr:colOff>
      <xdr:row>59</xdr:row>
      <xdr:rowOff>96982</xdr:rowOff>
    </xdr:from>
    <xdr:to>
      <xdr:col>29</xdr:col>
      <xdr:colOff>207818</xdr:colOff>
      <xdr:row>76</xdr:row>
      <xdr:rowOff>13855</xdr:rowOff>
    </xdr:to>
    <xdr:graphicFrame macro="">
      <xdr:nvGraphicFramePr>
        <xdr:cNvPr id="11" name="Wykres 1">
          <a:extLst>
            <a:ext uri="{FF2B5EF4-FFF2-40B4-BE49-F238E27FC236}">
              <a16:creationId xmlns:a16="http://schemas.microsoft.com/office/drawing/2014/main" id="{C139ECD2-6BF3-A101-4D0C-FB506C5E3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508000</xdr:colOff>
      <xdr:row>52</xdr:row>
      <xdr:rowOff>193040</xdr:rowOff>
    </xdr:from>
    <xdr:to>
      <xdr:col>36</xdr:col>
      <xdr:colOff>193040</xdr:colOff>
      <xdr:row>78</xdr:row>
      <xdr:rowOff>81280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F80F102-3BC0-A600-20A7-2E86CD917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620888</xdr:colOff>
      <xdr:row>27</xdr:row>
      <xdr:rowOff>138287</xdr:rowOff>
    </xdr:from>
    <xdr:to>
      <xdr:col>15</xdr:col>
      <xdr:colOff>423333</xdr:colOff>
      <xdr:row>60</xdr:row>
      <xdr:rowOff>42333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C2951FEC-1CB2-871E-F96B-A64B46E1AF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35</xdr:col>
      <xdr:colOff>1565506</xdr:colOff>
      <xdr:row>15</xdr:row>
      <xdr:rowOff>173291</xdr:rowOff>
    </xdr:from>
    <xdr:ext cx="5715000" cy="3533775"/>
    <xdr:graphicFrame macro="">
      <xdr:nvGraphicFramePr>
        <xdr:cNvPr id="3" name="Chart 1" title="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35</xdr:col>
      <xdr:colOff>162854</xdr:colOff>
      <xdr:row>37</xdr:row>
      <xdr:rowOff>143712</xdr:rowOff>
    </xdr:from>
    <xdr:to>
      <xdr:col>38</xdr:col>
      <xdr:colOff>591930</xdr:colOff>
      <xdr:row>57</xdr:row>
      <xdr:rowOff>146657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id="{5059C0A5-DF75-932F-028A-C80F87E2D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951865</xdr:colOff>
      <xdr:row>3</xdr:row>
      <xdr:rowOff>100330</xdr:rowOff>
    </xdr:from>
    <xdr:ext cx="6048375" cy="2895600"/>
    <xdr:pic>
      <xdr:nvPicPr>
        <xdr:cNvPr id="2" name="image1.png" title="Obraz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057765" y="671830"/>
          <a:ext cx="6048375" cy="289560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8D36F-F60F-4ED1-A746-E467F0C034CC}">
  <sheetPr codeName="Arkusz5">
    <tabColor rgb="FFCC0000"/>
    <outlinePr summaryBelow="0" summaryRight="0"/>
  </sheetPr>
  <dimension ref="A1:AS274"/>
  <sheetViews>
    <sheetView topLeftCell="X1" zoomScale="69" zoomScaleNormal="70" workbookViewId="0">
      <selection activeCell="AN9" sqref="AN9"/>
    </sheetView>
  </sheetViews>
  <sheetFormatPr defaultColWidth="12.6640625" defaultRowHeight="15.75" customHeight="1"/>
  <cols>
    <col min="1" max="1" width="13.109375" style="50" customWidth="1"/>
    <col min="2" max="2" width="23" style="36" bestFit="1" customWidth="1"/>
    <col min="3" max="3" width="23" style="36" customWidth="1"/>
    <col min="4" max="4" width="14.6640625" style="36" customWidth="1"/>
    <col min="5" max="5" width="15.33203125" style="36" customWidth="1"/>
    <col min="6" max="6" width="12.6640625" style="36" bestFit="1"/>
    <col min="7" max="15" width="15.33203125" style="36" bestFit="1" customWidth="1"/>
    <col min="16" max="16" width="15.33203125" style="36" customWidth="1"/>
    <col min="17" max="17" width="16.33203125" style="36" bestFit="1" customWidth="1"/>
    <col min="18" max="18" width="12.6640625" style="36" bestFit="1"/>
    <col min="19" max="28" width="17" style="36" customWidth="1"/>
    <col min="29" max="29" width="20.6640625" style="36" bestFit="1" customWidth="1"/>
    <col min="30" max="30" width="15.77734375" style="36" customWidth="1"/>
    <col min="31" max="31" width="12.6640625" style="36" bestFit="1"/>
    <col min="32" max="32" width="12.6640625" style="36"/>
    <col min="33" max="33" width="12.6640625" style="36" bestFit="1"/>
    <col min="34" max="35" width="12.6640625" style="36"/>
    <col min="36" max="37" width="12.6640625" style="36" bestFit="1"/>
    <col min="38" max="38" width="14.44140625" style="36" bestFit="1" customWidth="1"/>
    <col min="39" max="39" width="26" style="36" bestFit="1" customWidth="1"/>
    <col min="40" max="40" width="26.109375" style="36" bestFit="1" customWidth="1"/>
    <col min="41" max="41" width="26.44140625" style="36" customWidth="1"/>
    <col min="42" max="16384" width="12.6640625" style="36"/>
  </cols>
  <sheetData>
    <row r="1" spans="1:45" s="167" customFormat="1" ht="15.75" customHeight="1">
      <c r="A1" s="32" t="s">
        <v>30</v>
      </c>
      <c r="B1" s="27" t="s">
        <v>31</v>
      </c>
      <c r="C1" s="45"/>
      <c r="D1" s="34" t="s">
        <v>32</v>
      </c>
      <c r="E1" s="37" t="s">
        <v>144</v>
      </c>
      <c r="F1" s="39" t="s">
        <v>33</v>
      </c>
      <c r="G1" s="39" t="s">
        <v>34</v>
      </c>
      <c r="H1" s="39" t="s">
        <v>35</v>
      </c>
      <c r="I1" s="39" t="s">
        <v>36</v>
      </c>
      <c r="J1" s="39" t="s">
        <v>37</v>
      </c>
      <c r="K1" s="39" t="s">
        <v>38</v>
      </c>
      <c r="L1" s="39" t="s">
        <v>39</v>
      </c>
      <c r="M1" s="39" t="s">
        <v>40</v>
      </c>
      <c r="N1" s="39" t="s">
        <v>41</v>
      </c>
      <c r="O1" s="39" t="s">
        <v>42</v>
      </c>
      <c r="P1" s="41"/>
      <c r="Q1" s="28" t="s">
        <v>43</v>
      </c>
      <c r="R1" s="28" t="s">
        <v>44</v>
      </c>
      <c r="S1" s="28" t="s">
        <v>45</v>
      </c>
      <c r="T1" s="28" t="s">
        <v>46</v>
      </c>
      <c r="U1" s="28" t="s">
        <v>47</v>
      </c>
      <c r="V1" s="28" t="s">
        <v>48</v>
      </c>
      <c r="W1" s="28" t="s">
        <v>49</v>
      </c>
      <c r="X1" s="28" t="s">
        <v>50</v>
      </c>
      <c r="Y1" s="28" t="s">
        <v>51</v>
      </c>
      <c r="Z1" s="28" t="s">
        <v>52</v>
      </c>
      <c r="AA1" s="43" t="s">
        <v>53</v>
      </c>
      <c r="AB1" s="34"/>
      <c r="AE1" s="166"/>
      <c r="AF1" s="166"/>
      <c r="AG1" s="172" t="s">
        <v>148</v>
      </c>
      <c r="AH1" s="172" t="s">
        <v>151</v>
      </c>
      <c r="AI1" s="172" t="s">
        <v>55</v>
      </c>
      <c r="AJ1" s="175" t="s">
        <v>149</v>
      </c>
      <c r="AK1" s="176" t="s">
        <v>150</v>
      </c>
      <c r="AL1" s="172" t="s">
        <v>147</v>
      </c>
      <c r="AM1" s="168" t="s">
        <v>143</v>
      </c>
    </row>
    <row r="2" spans="1:45" ht="15.75" customHeight="1">
      <c r="A2" s="33">
        <v>1</v>
      </c>
      <c r="B2" s="30">
        <v>40000</v>
      </c>
      <c r="C2" s="46"/>
      <c r="D2" s="35">
        <f t="shared" ref="D2:D33" ca="1" si="0">RAND()</f>
        <v>0.19677422810569767</v>
      </c>
      <c r="E2" s="38">
        <f ca="1">VLOOKUP(D2,$AH$2:$AL$12, 5, TRUE)</f>
        <v>2</v>
      </c>
      <c r="F2" s="40">
        <f t="shared" ref="F2:F33" ca="1" si="1">IF(E2&gt;=1,1,0)</f>
        <v>1</v>
      </c>
      <c r="G2" s="40">
        <f t="shared" ref="G2:G33" ca="1" si="2">IF(E2&gt;=2,1,0)</f>
        <v>1</v>
      </c>
      <c r="H2" s="40">
        <f t="shared" ref="H2:H33" ca="1" si="3">IF(E2&gt;=3,1,0)</f>
        <v>0</v>
      </c>
      <c r="I2" s="40">
        <f t="shared" ref="I2:I33" ca="1" si="4">IF(E2&gt;=4,1,0)</f>
        <v>0</v>
      </c>
      <c r="J2" s="40">
        <f t="shared" ref="J2:J33" ca="1" si="5">IF(E2&gt;=5,1,0)</f>
        <v>0</v>
      </c>
      <c r="K2" s="40">
        <f t="shared" ref="K2:K33" ca="1" si="6">IF(E2&gt;=6,1,0)</f>
        <v>0</v>
      </c>
      <c r="L2" s="40">
        <f t="shared" ref="L2:L38" ca="1" si="7">IF(E2&gt;=7,1,0)</f>
        <v>0</v>
      </c>
      <c r="M2" s="40">
        <f t="shared" ref="M2:M33" ca="1" si="8">IF(E2&gt;=8,1,0)</f>
        <v>0</v>
      </c>
      <c r="N2" s="40">
        <f t="shared" ref="N2:N33" ca="1" si="9">IF(E2&gt;=9,1,0)</f>
        <v>0</v>
      </c>
      <c r="O2" s="40">
        <f t="shared" ref="O2:O33" ca="1" si="10">IF(E2&gt;=10,1,0)</f>
        <v>0</v>
      </c>
      <c r="P2" s="42"/>
      <c r="Q2" s="31">
        <f t="shared" ref="Q2:Q33" ca="1" si="11">_xlfn.CHISQ.INV(RAND(),2)*$AO$4 *F2</f>
        <v>2591.258135882083</v>
      </c>
      <c r="R2" s="31">
        <f t="shared" ref="R2:R33" ca="1" si="12">_xlfn.CHISQ.INV(RAND(),2)*$AO$4 *G2</f>
        <v>5473.7846343787887</v>
      </c>
      <c r="S2" s="31">
        <f t="shared" ref="S2:S33" ca="1" si="13">_xlfn.CHISQ.INV(RAND(),2)*$AO$4 *H2</f>
        <v>0</v>
      </c>
      <c r="T2" s="31">
        <f t="shared" ref="T2:T33" ca="1" si="14">_xlfn.CHISQ.INV(RAND(),2)*$AO$4 *I2</f>
        <v>0</v>
      </c>
      <c r="U2" s="31">
        <f t="shared" ref="U2:U33" ca="1" si="15">_xlfn.CHISQ.INV(RAND(),2)*$AO$4 *J2</f>
        <v>0</v>
      </c>
      <c r="V2" s="31">
        <f t="shared" ref="V2:V33" ca="1" si="16">_xlfn.CHISQ.INV(RAND(),2)*$AO$4 *K2</f>
        <v>0</v>
      </c>
      <c r="W2" s="31">
        <f t="shared" ref="W2:W33" ca="1" si="17">_xlfn.CHISQ.INV(RAND(),2)*$AO$4 *L2</f>
        <v>0</v>
      </c>
      <c r="X2" s="31">
        <f t="shared" ref="X2:X33" ca="1" si="18">_xlfn.CHISQ.INV(RAND(),2)*$AO$4 *M2</f>
        <v>0</v>
      </c>
      <c r="Y2" s="31">
        <f t="shared" ref="Y2:Y33" ca="1" si="19">_xlfn.CHISQ.INV(RAND(),2)*$AO$4 *N2</f>
        <v>0</v>
      </c>
      <c r="Z2" s="31">
        <f t="shared" ref="Z2:Z33" ca="1" si="20">_xlfn.CHISQ.INV(RAND(),2)*$AO$4 *O2</f>
        <v>0</v>
      </c>
      <c r="AA2" s="44">
        <f t="shared" ref="AA2:AA33" ca="1" si="21">SUM(Q2:Z2)</f>
        <v>8065.0427702608722</v>
      </c>
      <c r="AB2" s="165"/>
      <c r="AC2" s="47" t="s">
        <v>56</v>
      </c>
      <c r="AD2" s="48">
        <f ca="1">SUM(R2:AA141) + 140 * 40000</f>
        <v>27725251.956513174</v>
      </c>
      <c r="AE2" s="166"/>
      <c r="AF2" s="166"/>
      <c r="AG2" s="173">
        <f>AI2</f>
        <v>7.0000000000000007E-2</v>
      </c>
      <c r="AH2" s="173">
        <v>0</v>
      </c>
      <c r="AI2" s="173">
        <f>POWER(AJ2,$AN$7)</f>
        <v>7.0000000000000007E-2</v>
      </c>
      <c r="AJ2" s="177">
        <f>AK2</f>
        <v>7.0000000000000007E-2</v>
      </c>
      <c r="AK2" s="177">
        <v>7.0000000000000007E-2</v>
      </c>
      <c r="AL2" s="173">
        <v>0</v>
      </c>
      <c r="AM2" s="169">
        <f ca="1">COUNTIF(E:E, "=0")</f>
        <v>10</v>
      </c>
      <c r="AN2" s="95"/>
      <c r="AO2" s="6" t="s">
        <v>57</v>
      </c>
    </row>
    <row r="3" spans="1:45" ht="15.75" customHeight="1">
      <c r="A3" s="33">
        <v>2</v>
      </c>
      <c r="B3" s="30">
        <v>40000</v>
      </c>
      <c r="C3" s="46"/>
      <c r="D3" s="35">
        <f t="shared" ca="1" si="0"/>
        <v>0.53760112823981265</v>
      </c>
      <c r="E3" s="38">
        <f t="shared" ref="E3:E66" ca="1" si="22">VLOOKUP(D3,$AH$2:$AL$12, 5, TRUE)</f>
        <v>4</v>
      </c>
      <c r="F3" s="40">
        <f t="shared" ca="1" si="1"/>
        <v>1</v>
      </c>
      <c r="G3" s="40">
        <f t="shared" ca="1" si="2"/>
        <v>1</v>
      </c>
      <c r="H3" s="40">
        <f t="shared" ca="1" si="3"/>
        <v>1</v>
      </c>
      <c r="I3" s="40">
        <f t="shared" ca="1" si="4"/>
        <v>1</v>
      </c>
      <c r="J3" s="40">
        <f t="shared" ca="1" si="5"/>
        <v>0</v>
      </c>
      <c r="K3" s="40">
        <f t="shared" ca="1" si="6"/>
        <v>0</v>
      </c>
      <c r="L3" s="40">
        <f t="shared" ca="1" si="7"/>
        <v>0</v>
      </c>
      <c r="M3" s="40">
        <f t="shared" ca="1" si="8"/>
        <v>0</v>
      </c>
      <c r="N3" s="40">
        <f t="shared" ca="1" si="9"/>
        <v>0</v>
      </c>
      <c r="O3" s="40">
        <f t="shared" ca="1" si="10"/>
        <v>0</v>
      </c>
      <c r="P3" s="42"/>
      <c r="Q3" s="31">
        <f t="shared" ca="1" si="11"/>
        <v>34055.422832143777</v>
      </c>
      <c r="R3" s="31">
        <f t="shared" ca="1" si="12"/>
        <v>22123.768235870055</v>
      </c>
      <c r="S3" s="31">
        <f t="shared" ca="1" si="13"/>
        <v>58312.557921568645</v>
      </c>
      <c r="T3" s="31">
        <f t="shared" ca="1" si="14"/>
        <v>1341.4620211920685</v>
      </c>
      <c r="U3" s="31">
        <f t="shared" ca="1" si="15"/>
        <v>0</v>
      </c>
      <c r="V3" s="31">
        <f t="shared" ca="1" si="16"/>
        <v>0</v>
      </c>
      <c r="W3" s="31">
        <f t="shared" ca="1" si="17"/>
        <v>0</v>
      </c>
      <c r="X3" s="31">
        <f t="shared" ca="1" si="18"/>
        <v>0</v>
      </c>
      <c r="Y3" s="31">
        <f t="shared" ca="1" si="19"/>
        <v>0</v>
      </c>
      <c r="Z3" s="31">
        <f t="shared" ca="1" si="20"/>
        <v>0</v>
      </c>
      <c r="AA3" s="44">
        <f t="shared" ca="1" si="21"/>
        <v>115833.21101077454</v>
      </c>
      <c r="AB3" s="165"/>
      <c r="AC3" s="47" t="s">
        <v>58</v>
      </c>
      <c r="AD3" s="48">
        <f ca="1">AVERAGE(AA2:AA141)</f>
        <v>88425.207264652505</v>
      </c>
      <c r="AE3" s="166"/>
      <c r="AF3" s="166"/>
      <c r="AG3" s="173">
        <f>AI3-AI2</f>
        <v>0.09</v>
      </c>
      <c r="AH3" s="173">
        <f>AI2</f>
        <v>7.0000000000000007E-2</v>
      </c>
      <c r="AI3" s="173">
        <f t="shared" ref="AI3:AI12" si="23">POWER(AJ3,$AN$7)</f>
        <v>0.16</v>
      </c>
      <c r="AJ3" s="177">
        <f>AJ2+AK3</f>
        <v>0.16</v>
      </c>
      <c r="AK3" s="177">
        <v>0.09</v>
      </c>
      <c r="AL3" s="173">
        <v>1</v>
      </c>
      <c r="AM3" s="169">
        <f ca="1">COUNTIF(E:E, "=1")</f>
        <v>17</v>
      </c>
      <c r="AN3" s="6" t="s">
        <v>59</v>
      </c>
      <c r="AO3" s="6">
        <f ca="1">_xlfn.CHISQ.INV(RAND(),2)</f>
        <v>2.3179273955896744</v>
      </c>
      <c r="AS3" s="70"/>
    </row>
    <row r="4" spans="1:45" ht="15.75" customHeight="1">
      <c r="A4" s="33">
        <v>3</v>
      </c>
      <c r="B4" s="30">
        <v>40000</v>
      </c>
      <c r="C4" s="46"/>
      <c r="D4" s="35">
        <f t="shared" ca="1" si="0"/>
        <v>0.88511438484058469</v>
      </c>
      <c r="E4" s="38">
        <f t="shared" ca="1" si="22"/>
        <v>8</v>
      </c>
      <c r="F4" s="40">
        <f t="shared" ca="1" si="1"/>
        <v>1</v>
      </c>
      <c r="G4" s="40">
        <f t="shared" ca="1" si="2"/>
        <v>1</v>
      </c>
      <c r="H4" s="40">
        <f t="shared" ca="1" si="3"/>
        <v>1</v>
      </c>
      <c r="I4" s="40">
        <f t="shared" ca="1" si="4"/>
        <v>1</v>
      </c>
      <c r="J4" s="40">
        <f t="shared" ca="1" si="5"/>
        <v>1</v>
      </c>
      <c r="K4" s="40">
        <f t="shared" ca="1" si="6"/>
        <v>1</v>
      </c>
      <c r="L4" s="40">
        <f t="shared" ca="1" si="7"/>
        <v>1</v>
      </c>
      <c r="M4" s="40">
        <f t="shared" ca="1" si="8"/>
        <v>1</v>
      </c>
      <c r="N4" s="40">
        <f t="shared" ca="1" si="9"/>
        <v>0</v>
      </c>
      <c r="O4" s="40">
        <f t="shared" ca="1" si="10"/>
        <v>0</v>
      </c>
      <c r="P4" s="42"/>
      <c r="Q4" s="31">
        <f t="shared" ca="1" si="11"/>
        <v>904.09757471561034</v>
      </c>
      <c r="R4" s="31">
        <f t="shared" ca="1" si="12"/>
        <v>24920.474236739567</v>
      </c>
      <c r="S4" s="31">
        <f t="shared" ca="1" si="13"/>
        <v>8363.5099145930162</v>
      </c>
      <c r="T4" s="31">
        <f t="shared" ca="1" si="14"/>
        <v>807.14805192088261</v>
      </c>
      <c r="U4" s="31">
        <f t="shared" ca="1" si="15"/>
        <v>3993.2878790220034</v>
      </c>
      <c r="V4" s="31">
        <f t="shared" ca="1" si="16"/>
        <v>10361.536974013867</v>
      </c>
      <c r="W4" s="31">
        <f t="shared" ca="1" si="17"/>
        <v>85.671163989644299</v>
      </c>
      <c r="X4" s="31">
        <f t="shared" ca="1" si="18"/>
        <v>15791.455308733317</v>
      </c>
      <c r="Y4" s="31">
        <f t="shared" ca="1" si="19"/>
        <v>0</v>
      </c>
      <c r="Z4" s="31">
        <f t="shared" ca="1" si="20"/>
        <v>0</v>
      </c>
      <c r="AA4" s="44">
        <f t="shared" ca="1" si="21"/>
        <v>65227.181103727919</v>
      </c>
      <c r="AB4" s="165"/>
      <c r="AC4" s="166" t="s">
        <v>10</v>
      </c>
      <c r="AD4" s="166" t="s">
        <v>10</v>
      </c>
      <c r="AE4" s="166"/>
      <c r="AF4" s="166"/>
      <c r="AG4" s="173">
        <f t="shared" ref="AG4:AG12" si="24">AI4-AI3</f>
        <v>0.11000000000000001</v>
      </c>
      <c r="AH4" s="173">
        <f t="shared" ref="AH4:AH12" si="25">AI3</f>
        <v>0.16</v>
      </c>
      <c r="AI4" s="173">
        <f t="shared" si="23"/>
        <v>0.27</v>
      </c>
      <c r="AJ4" s="177">
        <f t="shared" ref="AJ4:AJ12" si="26">AJ3+AK4</f>
        <v>0.27</v>
      </c>
      <c r="AK4" s="177">
        <v>0.11</v>
      </c>
      <c r="AL4" s="173">
        <v>2</v>
      </c>
      <c r="AM4" s="169">
        <f ca="1">COUNTIF(E:E, "=2")</f>
        <v>12</v>
      </c>
      <c r="AN4" s="6" t="s">
        <v>60</v>
      </c>
      <c r="AO4" s="6">
        <v>10000</v>
      </c>
    </row>
    <row r="5" spans="1:45" ht="15.75" customHeight="1">
      <c r="A5" s="33">
        <v>4</v>
      </c>
      <c r="B5" s="30">
        <v>40000</v>
      </c>
      <c r="C5" s="46"/>
      <c r="D5" s="35">
        <f t="shared" ca="1" si="0"/>
        <v>0.91559603336027029</v>
      </c>
      <c r="E5" s="38">
        <f t="shared" ca="1" si="22"/>
        <v>8</v>
      </c>
      <c r="F5" s="40">
        <f t="shared" ca="1" si="1"/>
        <v>1</v>
      </c>
      <c r="G5" s="40">
        <f t="shared" ca="1" si="2"/>
        <v>1</v>
      </c>
      <c r="H5" s="40">
        <f t="shared" ca="1" si="3"/>
        <v>1</v>
      </c>
      <c r="I5" s="40">
        <f t="shared" ca="1" si="4"/>
        <v>1</v>
      </c>
      <c r="J5" s="40">
        <f t="shared" ca="1" si="5"/>
        <v>1</v>
      </c>
      <c r="K5" s="40">
        <f t="shared" ca="1" si="6"/>
        <v>1</v>
      </c>
      <c r="L5" s="40">
        <f t="shared" ca="1" si="7"/>
        <v>1</v>
      </c>
      <c r="M5" s="40">
        <f t="shared" ca="1" si="8"/>
        <v>1</v>
      </c>
      <c r="N5" s="40">
        <f t="shared" ca="1" si="9"/>
        <v>0</v>
      </c>
      <c r="O5" s="40">
        <f t="shared" ca="1" si="10"/>
        <v>0</v>
      </c>
      <c r="P5" s="42"/>
      <c r="Q5" s="31">
        <f t="shared" ca="1" si="11"/>
        <v>20337.613249210699</v>
      </c>
      <c r="R5" s="31">
        <f t="shared" ca="1" si="12"/>
        <v>36500.415038455612</v>
      </c>
      <c r="S5" s="31">
        <f t="shared" ca="1" si="13"/>
        <v>10127.100493298511</v>
      </c>
      <c r="T5" s="31">
        <f t="shared" ca="1" si="14"/>
        <v>14585.142268568867</v>
      </c>
      <c r="U5" s="31">
        <f t="shared" ca="1" si="15"/>
        <v>2996.6214348601438</v>
      </c>
      <c r="V5" s="31">
        <f t="shared" ca="1" si="16"/>
        <v>60896.564533362965</v>
      </c>
      <c r="W5" s="31">
        <f t="shared" ca="1" si="17"/>
        <v>64554.59283415207</v>
      </c>
      <c r="X5" s="31">
        <f t="shared" ca="1" si="18"/>
        <v>27204.957665161008</v>
      </c>
      <c r="Y5" s="31">
        <f t="shared" ca="1" si="19"/>
        <v>0</v>
      </c>
      <c r="Z5" s="31">
        <f t="shared" ca="1" si="20"/>
        <v>0</v>
      </c>
      <c r="AA5" s="44">
        <f t="shared" ca="1" si="21"/>
        <v>237203.00751706987</v>
      </c>
      <c r="AB5" s="165"/>
      <c r="AC5" s="166" t="s">
        <v>154</v>
      </c>
      <c r="AD5" s="166">
        <f ca="1">Podsumowanie!J9</f>
        <v>4141962.804915458</v>
      </c>
      <c r="AE5" s="166"/>
      <c r="AF5" s="166"/>
      <c r="AG5" s="173">
        <f t="shared" si="24"/>
        <v>0.13</v>
      </c>
      <c r="AH5" s="173">
        <f t="shared" si="25"/>
        <v>0.27</v>
      </c>
      <c r="AI5" s="173">
        <f t="shared" si="23"/>
        <v>0.4</v>
      </c>
      <c r="AJ5" s="177">
        <f t="shared" si="26"/>
        <v>0.4</v>
      </c>
      <c r="AK5" s="177">
        <v>0.13</v>
      </c>
      <c r="AL5" s="173">
        <v>3</v>
      </c>
      <c r="AM5" s="169">
        <f ca="1">COUNTIF(E:E, "=3")</f>
        <v>17</v>
      </c>
      <c r="AN5" s="95"/>
      <c r="AO5" s="95"/>
    </row>
    <row r="6" spans="1:45" ht="15.75" customHeight="1">
      <c r="A6" s="33">
        <v>5</v>
      </c>
      <c r="B6" s="30">
        <v>40000</v>
      </c>
      <c r="C6" s="46"/>
      <c r="D6" s="35">
        <f t="shared" ca="1" si="0"/>
        <v>0.99819372088706138</v>
      </c>
      <c r="E6" s="38">
        <f t="shared" ca="1" si="22"/>
        <v>10</v>
      </c>
      <c r="F6" s="40">
        <f t="shared" ca="1" si="1"/>
        <v>1</v>
      </c>
      <c r="G6" s="40">
        <f t="shared" ca="1" si="2"/>
        <v>1</v>
      </c>
      <c r="H6" s="40">
        <f t="shared" ca="1" si="3"/>
        <v>1</v>
      </c>
      <c r="I6" s="40">
        <f t="shared" ca="1" si="4"/>
        <v>1</v>
      </c>
      <c r="J6" s="40">
        <f t="shared" ca="1" si="5"/>
        <v>1</v>
      </c>
      <c r="K6" s="40">
        <f t="shared" ca="1" si="6"/>
        <v>1</v>
      </c>
      <c r="L6" s="40">
        <f t="shared" ca="1" si="7"/>
        <v>1</v>
      </c>
      <c r="M6" s="40">
        <f t="shared" ca="1" si="8"/>
        <v>1</v>
      </c>
      <c r="N6" s="40">
        <f t="shared" ca="1" si="9"/>
        <v>1</v>
      </c>
      <c r="O6" s="40">
        <f t="shared" ca="1" si="10"/>
        <v>1</v>
      </c>
      <c r="P6" s="42"/>
      <c r="Q6" s="31">
        <f t="shared" ca="1" si="11"/>
        <v>4983.8509796864546</v>
      </c>
      <c r="R6" s="31">
        <f t="shared" ca="1" si="12"/>
        <v>1951.6673922750776</v>
      </c>
      <c r="S6" s="31">
        <f t="shared" ca="1" si="13"/>
        <v>91708.26795645908</v>
      </c>
      <c r="T6" s="31">
        <f t="shared" ca="1" si="14"/>
        <v>750.59996733774153</v>
      </c>
      <c r="U6" s="31">
        <f t="shared" ca="1" si="15"/>
        <v>5456.6818518036062</v>
      </c>
      <c r="V6" s="31">
        <f t="shared" ca="1" si="16"/>
        <v>11078.042282748995</v>
      </c>
      <c r="W6" s="31">
        <f t="shared" ca="1" si="17"/>
        <v>31376.595280795573</v>
      </c>
      <c r="X6" s="31">
        <f t="shared" ca="1" si="18"/>
        <v>29493.244656579387</v>
      </c>
      <c r="Y6" s="31">
        <f t="shared" ca="1" si="19"/>
        <v>31652.931911276697</v>
      </c>
      <c r="Z6" s="31">
        <f t="shared" ca="1" si="20"/>
        <v>5089.6802931537759</v>
      </c>
      <c r="AA6" s="44">
        <f t="shared" ca="1" si="21"/>
        <v>213541.56257211635</v>
      </c>
      <c r="AB6" s="165"/>
      <c r="AC6" s="166" t="s">
        <v>10</v>
      </c>
      <c r="AD6" s="166" t="s">
        <v>10</v>
      </c>
      <c r="AE6" s="166"/>
      <c r="AF6" s="166"/>
      <c r="AG6" s="173">
        <f t="shared" si="24"/>
        <v>0.15000000000000002</v>
      </c>
      <c r="AH6" s="173">
        <f t="shared" si="25"/>
        <v>0.4</v>
      </c>
      <c r="AI6" s="173">
        <f t="shared" si="23"/>
        <v>0.55000000000000004</v>
      </c>
      <c r="AJ6" s="177">
        <f t="shared" si="26"/>
        <v>0.55000000000000004</v>
      </c>
      <c r="AK6" s="177">
        <v>0.15</v>
      </c>
      <c r="AL6" s="173">
        <v>4</v>
      </c>
      <c r="AM6" s="169">
        <f ca="1">COUNTIF(E:E, "=4")</f>
        <v>16</v>
      </c>
      <c r="AN6" s="4" t="s">
        <v>141</v>
      </c>
      <c r="AO6" s="95"/>
    </row>
    <row r="7" spans="1:45" ht="15.75" customHeight="1">
      <c r="A7" s="33">
        <v>6</v>
      </c>
      <c r="B7" s="30">
        <v>40000</v>
      </c>
      <c r="C7" s="46"/>
      <c r="D7" s="35">
        <f t="shared" ca="1" si="0"/>
        <v>0.81748203734388436</v>
      </c>
      <c r="E7" s="38">
        <f t="shared" ca="1" si="22"/>
        <v>7</v>
      </c>
      <c r="F7" s="40">
        <f t="shared" ca="1" si="1"/>
        <v>1</v>
      </c>
      <c r="G7" s="40">
        <f t="shared" ca="1" si="2"/>
        <v>1</v>
      </c>
      <c r="H7" s="40">
        <f t="shared" ca="1" si="3"/>
        <v>1</v>
      </c>
      <c r="I7" s="40">
        <f t="shared" ca="1" si="4"/>
        <v>1</v>
      </c>
      <c r="J7" s="40">
        <f t="shared" ca="1" si="5"/>
        <v>1</v>
      </c>
      <c r="K7" s="40">
        <f t="shared" ca="1" si="6"/>
        <v>1</v>
      </c>
      <c r="L7" s="40">
        <f t="shared" ca="1" si="7"/>
        <v>1</v>
      </c>
      <c r="M7" s="40">
        <f t="shared" ca="1" si="8"/>
        <v>0</v>
      </c>
      <c r="N7" s="40">
        <f t="shared" ca="1" si="9"/>
        <v>0</v>
      </c>
      <c r="O7" s="40">
        <f t="shared" ca="1" si="10"/>
        <v>0</v>
      </c>
      <c r="P7" s="42"/>
      <c r="Q7" s="31">
        <f t="shared" ca="1" si="11"/>
        <v>58088.308614753245</v>
      </c>
      <c r="R7" s="31">
        <f t="shared" ca="1" si="12"/>
        <v>27038.051328967278</v>
      </c>
      <c r="S7" s="31">
        <f t="shared" ca="1" si="13"/>
        <v>18624.606736120131</v>
      </c>
      <c r="T7" s="31">
        <f t="shared" ca="1" si="14"/>
        <v>3517.8158591007382</v>
      </c>
      <c r="U7" s="31">
        <f t="shared" ca="1" si="15"/>
        <v>12661.57831225695</v>
      </c>
      <c r="V7" s="31">
        <f t="shared" ca="1" si="16"/>
        <v>16490.281785809733</v>
      </c>
      <c r="W7" s="31">
        <f t="shared" ca="1" si="17"/>
        <v>18081.590656437293</v>
      </c>
      <c r="X7" s="31">
        <f t="shared" ca="1" si="18"/>
        <v>0</v>
      </c>
      <c r="Y7" s="31">
        <f t="shared" ca="1" si="19"/>
        <v>0</v>
      </c>
      <c r="Z7" s="31">
        <f t="shared" ca="1" si="20"/>
        <v>0</v>
      </c>
      <c r="AA7" s="44">
        <f t="shared" ca="1" si="21"/>
        <v>154502.23329344537</v>
      </c>
      <c r="AB7" s="165"/>
      <c r="AC7" s="166" t="s">
        <v>10</v>
      </c>
      <c r="AD7" s="166" t="s">
        <v>10</v>
      </c>
      <c r="AE7" s="166"/>
      <c r="AF7" s="166"/>
      <c r="AG7" s="173">
        <f t="shared" si="24"/>
        <v>0.13</v>
      </c>
      <c r="AH7" s="173">
        <f t="shared" si="25"/>
        <v>0.55000000000000004</v>
      </c>
      <c r="AI7" s="173">
        <f t="shared" si="23"/>
        <v>0.68</v>
      </c>
      <c r="AJ7" s="177">
        <f t="shared" si="26"/>
        <v>0.68</v>
      </c>
      <c r="AK7" s="177">
        <v>0.13</v>
      </c>
      <c r="AL7" s="173">
        <v>5</v>
      </c>
      <c r="AM7" s="169">
        <f ca="1">COUNTIF(E:E, "=5")</f>
        <v>21</v>
      </c>
      <c r="AN7" s="5">
        <v>1</v>
      </c>
      <c r="AO7" s="95"/>
    </row>
    <row r="8" spans="1:45" ht="15.75" customHeight="1">
      <c r="A8" s="33">
        <v>7</v>
      </c>
      <c r="B8" s="30">
        <v>40000</v>
      </c>
      <c r="C8" s="46"/>
      <c r="D8" s="35">
        <f t="shared" ca="1" si="0"/>
        <v>0.83608029188604682</v>
      </c>
      <c r="E8" s="38">
        <f t="shared" ca="1" si="22"/>
        <v>7</v>
      </c>
      <c r="F8" s="40">
        <f t="shared" ca="1" si="1"/>
        <v>1</v>
      </c>
      <c r="G8" s="40">
        <f t="shared" ca="1" si="2"/>
        <v>1</v>
      </c>
      <c r="H8" s="40">
        <f t="shared" ca="1" si="3"/>
        <v>1</v>
      </c>
      <c r="I8" s="40">
        <f t="shared" ca="1" si="4"/>
        <v>1</v>
      </c>
      <c r="J8" s="40">
        <f t="shared" ca="1" si="5"/>
        <v>1</v>
      </c>
      <c r="K8" s="40">
        <f t="shared" ca="1" si="6"/>
        <v>1</v>
      </c>
      <c r="L8" s="40">
        <f t="shared" ca="1" si="7"/>
        <v>1</v>
      </c>
      <c r="M8" s="40">
        <f t="shared" ca="1" si="8"/>
        <v>0</v>
      </c>
      <c r="N8" s="40">
        <f t="shared" ca="1" si="9"/>
        <v>0</v>
      </c>
      <c r="O8" s="40">
        <f t="shared" ca="1" si="10"/>
        <v>0</v>
      </c>
      <c r="P8" s="42"/>
      <c r="Q8" s="31">
        <f t="shared" ca="1" si="11"/>
        <v>2343.3101968845499</v>
      </c>
      <c r="R8" s="31">
        <f t="shared" ca="1" si="12"/>
        <v>5819.9453294194427</v>
      </c>
      <c r="S8" s="31">
        <f t="shared" ca="1" si="13"/>
        <v>82741.364016716776</v>
      </c>
      <c r="T8" s="31">
        <f t="shared" ca="1" si="14"/>
        <v>17190.497897919991</v>
      </c>
      <c r="U8" s="31">
        <f t="shared" ca="1" si="15"/>
        <v>44247.760123196007</v>
      </c>
      <c r="V8" s="31">
        <f t="shared" ca="1" si="16"/>
        <v>45496.672628765424</v>
      </c>
      <c r="W8" s="31">
        <f t="shared" ca="1" si="17"/>
        <v>28351.935812104774</v>
      </c>
      <c r="X8" s="31">
        <f t="shared" ca="1" si="18"/>
        <v>0</v>
      </c>
      <c r="Y8" s="31">
        <f t="shared" ca="1" si="19"/>
        <v>0</v>
      </c>
      <c r="Z8" s="31">
        <f t="shared" ca="1" si="20"/>
        <v>0</v>
      </c>
      <c r="AA8" s="44">
        <f t="shared" ca="1" si="21"/>
        <v>226191.486005007</v>
      </c>
      <c r="AB8" s="165"/>
      <c r="AC8" s="166" t="s">
        <v>10</v>
      </c>
      <c r="AD8" s="166" t="s">
        <v>10</v>
      </c>
      <c r="AE8" s="166"/>
      <c r="AF8" s="166"/>
      <c r="AG8" s="173">
        <f t="shared" si="24"/>
        <v>0.10999999999999999</v>
      </c>
      <c r="AH8" s="173">
        <f t="shared" si="25"/>
        <v>0.68</v>
      </c>
      <c r="AI8" s="173">
        <f t="shared" si="23"/>
        <v>0.79</v>
      </c>
      <c r="AJ8" s="177">
        <f t="shared" si="26"/>
        <v>0.79</v>
      </c>
      <c r="AK8" s="177">
        <v>0.11</v>
      </c>
      <c r="AL8" s="173">
        <v>6</v>
      </c>
      <c r="AM8" s="169">
        <f ca="1">COUNTIF(E:E, "=6")</f>
        <v>13</v>
      </c>
      <c r="AN8" s="95"/>
      <c r="AO8" s="95"/>
    </row>
    <row r="9" spans="1:45" ht="15.75" customHeight="1">
      <c r="A9" s="33">
        <v>8</v>
      </c>
      <c r="B9" s="30">
        <v>40000</v>
      </c>
      <c r="C9" s="46"/>
      <c r="D9" s="35">
        <f t="shared" ca="1" si="0"/>
        <v>0.54798444339676733</v>
      </c>
      <c r="E9" s="38">
        <f t="shared" ca="1" si="22"/>
        <v>4</v>
      </c>
      <c r="F9" s="40">
        <f t="shared" ca="1" si="1"/>
        <v>1</v>
      </c>
      <c r="G9" s="40">
        <f t="shared" ca="1" si="2"/>
        <v>1</v>
      </c>
      <c r="H9" s="40">
        <f t="shared" ca="1" si="3"/>
        <v>1</v>
      </c>
      <c r="I9" s="40">
        <f t="shared" ca="1" si="4"/>
        <v>1</v>
      </c>
      <c r="J9" s="40">
        <f t="shared" ca="1" si="5"/>
        <v>0</v>
      </c>
      <c r="K9" s="40">
        <f t="shared" ca="1" si="6"/>
        <v>0</v>
      </c>
      <c r="L9" s="40">
        <f t="shared" ca="1" si="7"/>
        <v>0</v>
      </c>
      <c r="M9" s="40">
        <f t="shared" ca="1" si="8"/>
        <v>0</v>
      </c>
      <c r="N9" s="40">
        <f t="shared" ca="1" si="9"/>
        <v>0</v>
      </c>
      <c r="O9" s="40">
        <f t="shared" ca="1" si="10"/>
        <v>0</v>
      </c>
      <c r="P9" s="42"/>
      <c r="Q9" s="31">
        <f t="shared" ca="1" si="11"/>
        <v>11464.369235347003</v>
      </c>
      <c r="R9" s="31">
        <f t="shared" ca="1" si="12"/>
        <v>12063.081841179222</v>
      </c>
      <c r="S9" s="31">
        <f t="shared" ca="1" si="13"/>
        <v>1031.7692707866447</v>
      </c>
      <c r="T9" s="31">
        <f t="shared" ca="1" si="14"/>
        <v>1127.0011869131083</v>
      </c>
      <c r="U9" s="31">
        <f t="shared" ca="1" si="15"/>
        <v>0</v>
      </c>
      <c r="V9" s="31">
        <f t="shared" ca="1" si="16"/>
        <v>0</v>
      </c>
      <c r="W9" s="31">
        <f t="shared" ca="1" si="17"/>
        <v>0</v>
      </c>
      <c r="X9" s="31">
        <f t="shared" ca="1" si="18"/>
        <v>0</v>
      </c>
      <c r="Y9" s="31">
        <f t="shared" ca="1" si="19"/>
        <v>0</v>
      </c>
      <c r="Z9" s="31">
        <f t="shared" ca="1" si="20"/>
        <v>0</v>
      </c>
      <c r="AA9" s="44">
        <f t="shared" ca="1" si="21"/>
        <v>25686.221534225977</v>
      </c>
      <c r="AB9" s="165"/>
      <c r="AC9" s="166" t="s">
        <v>10</v>
      </c>
      <c r="AD9" s="166" t="s">
        <v>10</v>
      </c>
      <c r="AE9" s="166"/>
      <c r="AF9" s="166"/>
      <c r="AG9" s="173">
        <f t="shared" si="24"/>
        <v>7.0000000000000062E-2</v>
      </c>
      <c r="AH9" s="173">
        <f t="shared" si="25"/>
        <v>0.79</v>
      </c>
      <c r="AI9" s="173">
        <f>POWER(AJ9,$AN$7)</f>
        <v>0.8600000000000001</v>
      </c>
      <c r="AJ9" s="177">
        <f t="shared" si="26"/>
        <v>0.8600000000000001</v>
      </c>
      <c r="AK9" s="177">
        <v>7.0000000000000007E-2</v>
      </c>
      <c r="AL9" s="173">
        <v>7</v>
      </c>
      <c r="AM9" s="169">
        <f ca="1">COUNTIF(E:E, "=7")</f>
        <v>13</v>
      </c>
      <c r="AN9" s="95"/>
      <c r="AO9" s="95" t="s">
        <v>10</v>
      </c>
    </row>
    <row r="10" spans="1:45" ht="15.75" customHeight="1">
      <c r="A10" s="33">
        <v>9</v>
      </c>
      <c r="B10" s="30">
        <v>40000</v>
      </c>
      <c r="C10" s="46"/>
      <c r="D10" s="35">
        <f t="shared" ca="1" si="0"/>
        <v>0.57267233477139623</v>
      </c>
      <c r="E10" s="38">
        <f t="shared" ca="1" si="22"/>
        <v>5</v>
      </c>
      <c r="F10" s="40">
        <f t="shared" ca="1" si="1"/>
        <v>1</v>
      </c>
      <c r="G10" s="40">
        <f t="shared" ca="1" si="2"/>
        <v>1</v>
      </c>
      <c r="H10" s="40">
        <f t="shared" ca="1" si="3"/>
        <v>1</v>
      </c>
      <c r="I10" s="40">
        <f t="shared" ca="1" si="4"/>
        <v>1</v>
      </c>
      <c r="J10" s="40">
        <f t="shared" ca="1" si="5"/>
        <v>1</v>
      </c>
      <c r="K10" s="40">
        <f t="shared" ca="1" si="6"/>
        <v>0</v>
      </c>
      <c r="L10" s="40">
        <f t="shared" ca="1" si="7"/>
        <v>0</v>
      </c>
      <c r="M10" s="40">
        <f t="shared" ca="1" si="8"/>
        <v>0</v>
      </c>
      <c r="N10" s="40">
        <f t="shared" ca="1" si="9"/>
        <v>0</v>
      </c>
      <c r="O10" s="40">
        <f t="shared" ca="1" si="10"/>
        <v>0</v>
      </c>
      <c r="P10" s="42"/>
      <c r="Q10" s="31">
        <f t="shared" ca="1" si="11"/>
        <v>7234.2701002660506</v>
      </c>
      <c r="R10" s="31">
        <f t="shared" ca="1" si="12"/>
        <v>2604.0223298569099</v>
      </c>
      <c r="S10" s="31">
        <f t="shared" ca="1" si="13"/>
        <v>9536.2494324943364</v>
      </c>
      <c r="T10" s="31">
        <f t="shared" ca="1" si="14"/>
        <v>3717.3815614660771</v>
      </c>
      <c r="U10" s="31">
        <f t="shared" ca="1" si="15"/>
        <v>27055.762913088867</v>
      </c>
      <c r="V10" s="31">
        <f t="shared" ca="1" si="16"/>
        <v>0</v>
      </c>
      <c r="W10" s="31">
        <f t="shared" ca="1" si="17"/>
        <v>0</v>
      </c>
      <c r="X10" s="31">
        <f t="shared" ca="1" si="18"/>
        <v>0</v>
      </c>
      <c r="Y10" s="31">
        <f t="shared" ca="1" si="19"/>
        <v>0</v>
      </c>
      <c r="Z10" s="31">
        <f t="shared" ca="1" si="20"/>
        <v>0</v>
      </c>
      <c r="AA10" s="44">
        <f t="shared" ca="1" si="21"/>
        <v>50147.686337172243</v>
      </c>
      <c r="AB10" s="165"/>
      <c r="AC10" s="166" t="s">
        <v>10</v>
      </c>
      <c r="AD10" s="166" t="s">
        <v>10</v>
      </c>
      <c r="AE10" s="166"/>
      <c r="AF10" s="166"/>
      <c r="AG10" s="173">
        <f t="shared" si="24"/>
        <v>6.0000000000000053E-2</v>
      </c>
      <c r="AH10" s="173">
        <f t="shared" si="25"/>
        <v>0.8600000000000001</v>
      </c>
      <c r="AI10" s="173">
        <f t="shared" si="23"/>
        <v>0.92000000000000015</v>
      </c>
      <c r="AJ10" s="177">
        <f t="shared" si="26"/>
        <v>0.92000000000000015</v>
      </c>
      <c r="AK10" s="177">
        <v>0.06</v>
      </c>
      <c r="AL10" s="173">
        <v>8</v>
      </c>
      <c r="AM10" s="169">
        <f ca="1">COUNTIF(E:E, "=8")</f>
        <v>8</v>
      </c>
      <c r="AN10" s="96" t="s">
        <v>10</v>
      </c>
      <c r="AO10" s="95" t="s">
        <v>10</v>
      </c>
    </row>
    <row r="11" spans="1:45" ht="15.75" customHeight="1">
      <c r="A11" s="33">
        <v>10</v>
      </c>
      <c r="B11" s="30">
        <v>40000</v>
      </c>
      <c r="C11" s="46"/>
      <c r="D11" s="35">
        <f t="shared" ca="1" si="0"/>
        <v>8.7620319874452735E-2</v>
      </c>
      <c r="E11" s="38">
        <f t="shared" ca="1" si="22"/>
        <v>1</v>
      </c>
      <c r="F11" s="40">
        <f t="shared" ca="1" si="1"/>
        <v>1</v>
      </c>
      <c r="G11" s="40">
        <f t="shared" ca="1" si="2"/>
        <v>0</v>
      </c>
      <c r="H11" s="40">
        <f t="shared" ca="1" si="3"/>
        <v>0</v>
      </c>
      <c r="I11" s="40">
        <f t="shared" ca="1" si="4"/>
        <v>0</v>
      </c>
      <c r="J11" s="40">
        <f t="shared" ca="1" si="5"/>
        <v>0</v>
      </c>
      <c r="K11" s="40">
        <f t="shared" ca="1" si="6"/>
        <v>0</v>
      </c>
      <c r="L11" s="40">
        <f t="shared" ca="1" si="7"/>
        <v>0</v>
      </c>
      <c r="M11" s="40">
        <f t="shared" ca="1" si="8"/>
        <v>0</v>
      </c>
      <c r="N11" s="40">
        <f t="shared" ca="1" si="9"/>
        <v>0</v>
      </c>
      <c r="O11" s="40">
        <f t="shared" ca="1" si="10"/>
        <v>0</v>
      </c>
      <c r="P11" s="42"/>
      <c r="Q11" s="31">
        <f t="shared" ca="1" si="11"/>
        <v>67425.549885906745</v>
      </c>
      <c r="R11" s="31">
        <f t="shared" ca="1" si="12"/>
        <v>0</v>
      </c>
      <c r="S11" s="31">
        <f t="shared" ca="1" si="13"/>
        <v>0</v>
      </c>
      <c r="T11" s="31">
        <f t="shared" ca="1" si="14"/>
        <v>0</v>
      </c>
      <c r="U11" s="31">
        <f t="shared" ca="1" si="15"/>
        <v>0</v>
      </c>
      <c r="V11" s="31">
        <f t="shared" ca="1" si="16"/>
        <v>0</v>
      </c>
      <c r="W11" s="31">
        <f t="shared" ca="1" si="17"/>
        <v>0</v>
      </c>
      <c r="X11" s="31">
        <f t="shared" ca="1" si="18"/>
        <v>0</v>
      </c>
      <c r="Y11" s="31">
        <f t="shared" ca="1" si="19"/>
        <v>0</v>
      </c>
      <c r="Z11" s="31">
        <f t="shared" ca="1" si="20"/>
        <v>0</v>
      </c>
      <c r="AA11" s="44">
        <f t="shared" ca="1" si="21"/>
        <v>67425.549885906745</v>
      </c>
      <c r="AB11" s="165"/>
      <c r="AC11" s="166" t="s">
        <v>10</v>
      </c>
      <c r="AD11" s="166" t="s">
        <v>10</v>
      </c>
      <c r="AE11" s="166"/>
      <c r="AF11" s="166"/>
      <c r="AG11" s="173">
        <f t="shared" si="24"/>
        <v>5.0000000000000044E-2</v>
      </c>
      <c r="AH11" s="173">
        <f t="shared" si="25"/>
        <v>0.92000000000000015</v>
      </c>
      <c r="AI11" s="173">
        <f t="shared" si="23"/>
        <v>0.9700000000000002</v>
      </c>
      <c r="AJ11" s="177">
        <f t="shared" si="26"/>
        <v>0.9700000000000002</v>
      </c>
      <c r="AK11" s="177">
        <v>0.05</v>
      </c>
      <c r="AL11" s="173">
        <v>9</v>
      </c>
      <c r="AM11" s="169">
        <f ca="1">COUNTIF(E:E, "=9")</f>
        <v>7</v>
      </c>
      <c r="AN11" s="96" t="s">
        <v>10</v>
      </c>
      <c r="AO11" s="95" t="s">
        <v>10</v>
      </c>
    </row>
    <row r="12" spans="1:45" ht="15.75" customHeight="1">
      <c r="A12" s="33">
        <v>11</v>
      </c>
      <c r="B12" s="30">
        <v>40000</v>
      </c>
      <c r="C12" s="46"/>
      <c r="D12" s="35">
        <f t="shared" ca="1" si="0"/>
        <v>0.83673112241939351</v>
      </c>
      <c r="E12" s="38">
        <f t="shared" ca="1" si="22"/>
        <v>7</v>
      </c>
      <c r="F12" s="40">
        <f t="shared" ca="1" si="1"/>
        <v>1</v>
      </c>
      <c r="G12" s="40">
        <f t="shared" ca="1" si="2"/>
        <v>1</v>
      </c>
      <c r="H12" s="40">
        <f t="shared" ca="1" si="3"/>
        <v>1</v>
      </c>
      <c r="I12" s="40">
        <f t="shared" ca="1" si="4"/>
        <v>1</v>
      </c>
      <c r="J12" s="40">
        <f t="shared" ca="1" si="5"/>
        <v>1</v>
      </c>
      <c r="K12" s="40">
        <f t="shared" ca="1" si="6"/>
        <v>1</v>
      </c>
      <c r="L12" s="40">
        <f t="shared" ca="1" si="7"/>
        <v>1</v>
      </c>
      <c r="M12" s="40">
        <f t="shared" ca="1" si="8"/>
        <v>0</v>
      </c>
      <c r="N12" s="40">
        <f t="shared" ca="1" si="9"/>
        <v>0</v>
      </c>
      <c r="O12" s="40">
        <f t="shared" ca="1" si="10"/>
        <v>0</v>
      </c>
      <c r="P12" s="42"/>
      <c r="Q12" s="31">
        <f t="shared" ca="1" si="11"/>
        <v>23279.468988778637</v>
      </c>
      <c r="R12" s="31">
        <f t="shared" ca="1" si="12"/>
        <v>35803.262965411683</v>
      </c>
      <c r="S12" s="31">
        <f t="shared" ca="1" si="13"/>
        <v>32178.939675662303</v>
      </c>
      <c r="T12" s="31">
        <f t="shared" ca="1" si="14"/>
        <v>36625.684955295881</v>
      </c>
      <c r="U12" s="31">
        <f t="shared" ca="1" si="15"/>
        <v>8164.76219938541</v>
      </c>
      <c r="V12" s="31">
        <f t="shared" ca="1" si="16"/>
        <v>1733.3329768435647</v>
      </c>
      <c r="W12" s="31">
        <f t="shared" ca="1" si="17"/>
        <v>936.18869421139561</v>
      </c>
      <c r="X12" s="31">
        <f t="shared" ca="1" si="18"/>
        <v>0</v>
      </c>
      <c r="Y12" s="31">
        <f t="shared" ca="1" si="19"/>
        <v>0</v>
      </c>
      <c r="Z12" s="31">
        <f t="shared" ca="1" si="20"/>
        <v>0</v>
      </c>
      <c r="AA12" s="44">
        <f t="shared" ca="1" si="21"/>
        <v>138721.64045558884</v>
      </c>
      <c r="AB12" s="165"/>
      <c r="AC12" s="166" t="s">
        <v>10</v>
      </c>
      <c r="AD12" s="166" t="s">
        <v>10</v>
      </c>
      <c r="AE12" s="166"/>
      <c r="AF12" s="166"/>
      <c r="AG12" s="173">
        <f t="shared" si="24"/>
        <v>3.0000000000000027E-2</v>
      </c>
      <c r="AH12" s="173">
        <f t="shared" si="25"/>
        <v>0.9700000000000002</v>
      </c>
      <c r="AI12" s="173">
        <f t="shared" si="23"/>
        <v>1.0000000000000002</v>
      </c>
      <c r="AJ12" s="177">
        <f t="shared" si="26"/>
        <v>1.0000000000000002</v>
      </c>
      <c r="AK12" s="177">
        <v>0.03</v>
      </c>
      <c r="AL12" s="173">
        <v>10</v>
      </c>
      <c r="AM12" s="169">
        <f ca="1">COUNTIF(E:E, "=10")</f>
        <v>6</v>
      </c>
      <c r="AN12" s="96" t="s">
        <v>10</v>
      </c>
      <c r="AO12" s="95" t="s">
        <v>10</v>
      </c>
    </row>
    <row r="13" spans="1:45" ht="15.75" customHeight="1">
      <c r="A13" s="33">
        <v>12</v>
      </c>
      <c r="B13" s="30">
        <v>40000</v>
      </c>
      <c r="C13" s="46"/>
      <c r="D13" s="35">
        <f t="shared" ca="1" si="0"/>
        <v>0.72011967710139158</v>
      </c>
      <c r="E13" s="38">
        <f t="shared" ca="1" si="22"/>
        <v>6</v>
      </c>
      <c r="F13" s="40">
        <f t="shared" ca="1" si="1"/>
        <v>1</v>
      </c>
      <c r="G13" s="40">
        <f t="shared" ca="1" si="2"/>
        <v>1</v>
      </c>
      <c r="H13" s="40">
        <f t="shared" ca="1" si="3"/>
        <v>1</v>
      </c>
      <c r="I13" s="40">
        <f t="shared" ca="1" si="4"/>
        <v>1</v>
      </c>
      <c r="J13" s="40">
        <f t="shared" ca="1" si="5"/>
        <v>1</v>
      </c>
      <c r="K13" s="40">
        <f t="shared" ca="1" si="6"/>
        <v>1</v>
      </c>
      <c r="L13" s="40">
        <f t="shared" ca="1" si="7"/>
        <v>0</v>
      </c>
      <c r="M13" s="40">
        <f t="shared" ca="1" si="8"/>
        <v>0</v>
      </c>
      <c r="N13" s="40">
        <f t="shared" ca="1" si="9"/>
        <v>0</v>
      </c>
      <c r="O13" s="40">
        <f t="shared" ca="1" si="10"/>
        <v>0</v>
      </c>
      <c r="P13" s="42"/>
      <c r="Q13" s="31">
        <f t="shared" ca="1" si="11"/>
        <v>14298.542616129344</v>
      </c>
      <c r="R13" s="31">
        <f t="shared" ca="1" si="12"/>
        <v>18876.637293535045</v>
      </c>
      <c r="S13" s="31">
        <f t="shared" ca="1" si="13"/>
        <v>39488.962928298955</v>
      </c>
      <c r="T13" s="31">
        <f t="shared" ca="1" si="14"/>
        <v>46426.072796750064</v>
      </c>
      <c r="U13" s="31">
        <f t="shared" ca="1" si="15"/>
        <v>11178.38427159128</v>
      </c>
      <c r="V13" s="31">
        <f t="shared" ca="1" si="16"/>
        <v>10419.02440470187</v>
      </c>
      <c r="W13" s="31">
        <f t="shared" ca="1" si="17"/>
        <v>0</v>
      </c>
      <c r="X13" s="31">
        <f t="shared" ca="1" si="18"/>
        <v>0</v>
      </c>
      <c r="Y13" s="31">
        <f t="shared" ca="1" si="19"/>
        <v>0</v>
      </c>
      <c r="Z13" s="31">
        <f t="shared" ca="1" si="20"/>
        <v>0</v>
      </c>
      <c r="AA13" s="44">
        <f t="shared" ca="1" si="21"/>
        <v>140687.62431100657</v>
      </c>
      <c r="AB13" s="165"/>
      <c r="AC13" s="166" t="s">
        <v>10</v>
      </c>
      <c r="AD13" s="166" t="s">
        <v>10</v>
      </c>
      <c r="AE13" s="166"/>
      <c r="AF13" s="166"/>
      <c r="AG13" s="173"/>
      <c r="AH13" s="173"/>
      <c r="AI13" s="173"/>
      <c r="AJ13" s="177"/>
      <c r="AK13" s="177">
        <f ca="1">SUM(AK2:AK13)</f>
        <v>1.0000000000000002</v>
      </c>
      <c r="AL13" s="173"/>
      <c r="AM13" s="170"/>
      <c r="AN13" s="96" t="s">
        <v>10</v>
      </c>
      <c r="AO13" s="36" t="s">
        <v>10</v>
      </c>
    </row>
    <row r="14" spans="1:45" ht="15.75" customHeight="1">
      <c r="A14" s="33">
        <v>13</v>
      </c>
      <c r="B14" s="30">
        <v>40000</v>
      </c>
      <c r="C14" s="46"/>
      <c r="D14" s="35">
        <f t="shared" ca="1" si="0"/>
        <v>0.75580783637773008</v>
      </c>
      <c r="E14" s="38">
        <f t="shared" ca="1" si="22"/>
        <v>6</v>
      </c>
      <c r="F14" s="40">
        <f t="shared" ca="1" si="1"/>
        <v>1</v>
      </c>
      <c r="G14" s="40">
        <f t="shared" ca="1" si="2"/>
        <v>1</v>
      </c>
      <c r="H14" s="40">
        <f t="shared" ca="1" si="3"/>
        <v>1</v>
      </c>
      <c r="I14" s="40">
        <f t="shared" ca="1" si="4"/>
        <v>1</v>
      </c>
      <c r="J14" s="40">
        <f t="shared" ca="1" si="5"/>
        <v>1</v>
      </c>
      <c r="K14" s="40">
        <f t="shared" ca="1" si="6"/>
        <v>1</v>
      </c>
      <c r="L14" s="40">
        <f t="shared" ca="1" si="7"/>
        <v>0</v>
      </c>
      <c r="M14" s="40">
        <f t="shared" ca="1" si="8"/>
        <v>0</v>
      </c>
      <c r="N14" s="40">
        <f t="shared" ca="1" si="9"/>
        <v>0</v>
      </c>
      <c r="O14" s="40">
        <f t="shared" ca="1" si="10"/>
        <v>0</v>
      </c>
      <c r="P14" s="42"/>
      <c r="Q14" s="31">
        <f t="shared" ca="1" si="11"/>
        <v>24605.675090746005</v>
      </c>
      <c r="R14" s="31">
        <f t="shared" ca="1" si="12"/>
        <v>2271.8855647649848</v>
      </c>
      <c r="S14" s="31">
        <f t="shared" ca="1" si="13"/>
        <v>6392.8781705842939</v>
      </c>
      <c r="T14" s="31">
        <f t="shared" ca="1" si="14"/>
        <v>3121.0774275391414</v>
      </c>
      <c r="U14" s="31">
        <f t="shared" ca="1" si="15"/>
        <v>50594.713579604024</v>
      </c>
      <c r="V14" s="31">
        <f t="shared" ca="1" si="16"/>
        <v>14498.637858844257</v>
      </c>
      <c r="W14" s="31">
        <f t="shared" ca="1" si="17"/>
        <v>0</v>
      </c>
      <c r="X14" s="31">
        <f t="shared" ca="1" si="18"/>
        <v>0</v>
      </c>
      <c r="Y14" s="31">
        <f t="shared" ca="1" si="19"/>
        <v>0</v>
      </c>
      <c r="Z14" s="31">
        <f t="shared" ca="1" si="20"/>
        <v>0</v>
      </c>
      <c r="AA14" s="44">
        <f t="shared" ca="1" si="21"/>
        <v>101484.86769208271</v>
      </c>
      <c r="AB14" s="165"/>
      <c r="AC14" s="166" t="s">
        <v>10</v>
      </c>
      <c r="AD14" s="166"/>
      <c r="AE14" s="166"/>
      <c r="AF14" s="166"/>
      <c r="AG14" s="166"/>
      <c r="AH14" s="166"/>
      <c r="AI14" s="166"/>
      <c r="AJ14" s="173"/>
      <c r="AK14" s="130"/>
      <c r="AL14" s="173"/>
      <c r="AM14" s="169"/>
      <c r="AN14" s="166" t="s">
        <v>10</v>
      </c>
      <c r="AO14" s="36" t="s">
        <v>10</v>
      </c>
    </row>
    <row r="15" spans="1:45" ht="15.75" customHeight="1">
      <c r="A15" s="33">
        <v>14</v>
      </c>
      <c r="B15" s="30">
        <v>40000</v>
      </c>
      <c r="C15" s="46"/>
      <c r="D15" s="35">
        <f t="shared" ca="1" si="0"/>
        <v>0.8869361590149758</v>
      </c>
      <c r="E15" s="38">
        <f t="shared" ca="1" si="22"/>
        <v>8</v>
      </c>
      <c r="F15" s="40">
        <f t="shared" ca="1" si="1"/>
        <v>1</v>
      </c>
      <c r="G15" s="40">
        <f t="shared" ca="1" si="2"/>
        <v>1</v>
      </c>
      <c r="H15" s="40">
        <f t="shared" ca="1" si="3"/>
        <v>1</v>
      </c>
      <c r="I15" s="40">
        <f t="shared" ca="1" si="4"/>
        <v>1</v>
      </c>
      <c r="J15" s="40">
        <f t="shared" ca="1" si="5"/>
        <v>1</v>
      </c>
      <c r="K15" s="40">
        <f t="shared" ca="1" si="6"/>
        <v>1</v>
      </c>
      <c r="L15" s="40">
        <f t="shared" ca="1" si="7"/>
        <v>1</v>
      </c>
      <c r="M15" s="40">
        <f t="shared" ca="1" si="8"/>
        <v>1</v>
      </c>
      <c r="N15" s="40">
        <f t="shared" ca="1" si="9"/>
        <v>0</v>
      </c>
      <c r="O15" s="40">
        <f t="shared" ca="1" si="10"/>
        <v>0</v>
      </c>
      <c r="P15" s="42"/>
      <c r="Q15" s="31">
        <f t="shared" ca="1" si="11"/>
        <v>9381.2199389959642</v>
      </c>
      <c r="R15" s="31">
        <f t="shared" ca="1" si="12"/>
        <v>11044.478329470148</v>
      </c>
      <c r="S15" s="31">
        <f t="shared" ca="1" si="13"/>
        <v>4236.3174354493058</v>
      </c>
      <c r="T15" s="31">
        <f t="shared" ca="1" si="14"/>
        <v>648.69297610767524</v>
      </c>
      <c r="U15" s="31">
        <f t="shared" ca="1" si="15"/>
        <v>42011.665501985968</v>
      </c>
      <c r="V15" s="31">
        <f t="shared" ca="1" si="16"/>
        <v>3571.0828253588993</v>
      </c>
      <c r="W15" s="31">
        <f t="shared" ca="1" si="17"/>
        <v>10618.19327934461</v>
      </c>
      <c r="X15" s="31">
        <f t="shared" ca="1" si="18"/>
        <v>10820.766558390318</v>
      </c>
      <c r="Y15" s="31">
        <f t="shared" ca="1" si="19"/>
        <v>0</v>
      </c>
      <c r="Z15" s="31">
        <f t="shared" ca="1" si="20"/>
        <v>0</v>
      </c>
      <c r="AA15" s="44">
        <f t="shared" ca="1" si="21"/>
        <v>92332.416845102882</v>
      </c>
      <c r="AB15" s="165"/>
      <c r="AC15" s="166" t="s">
        <v>10</v>
      </c>
      <c r="AD15" s="166" t="s">
        <v>10</v>
      </c>
      <c r="AE15" s="95"/>
      <c r="AF15" s="95"/>
      <c r="AG15" s="95"/>
      <c r="AH15" s="95"/>
      <c r="AI15" s="95"/>
      <c r="AJ15" s="95"/>
      <c r="AK15" s="95"/>
      <c r="AL15" s="95"/>
      <c r="AM15" s="166" t="s">
        <v>10</v>
      </c>
      <c r="AN15" s="166" t="s">
        <v>10</v>
      </c>
      <c r="AO15" s="36" t="s">
        <v>10</v>
      </c>
    </row>
    <row r="16" spans="1:45" ht="15.75" customHeight="1">
      <c r="A16" s="33">
        <v>15</v>
      </c>
      <c r="B16" s="30">
        <v>40000</v>
      </c>
      <c r="C16" s="46"/>
      <c r="D16" s="35">
        <f t="shared" ca="1" si="0"/>
        <v>0.79997177942591602</v>
      </c>
      <c r="E16" s="38">
        <f t="shared" ca="1" si="22"/>
        <v>7</v>
      </c>
      <c r="F16" s="40">
        <f t="shared" ca="1" si="1"/>
        <v>1</v>
      </c>
      <c r="G16" s="40">
        <f t="shared" ca="1" si="2"/>
        <v>1</v>
      </c>
      <c r="H16" s="40">
        <f t="shared" ca="1" si="3"/>
        <v>1</v>
      </c>
      <c r="I16" s="40">
        <f t="shared" ca="1" si="4"/>
        <v>1</v>
      </c>
      <c r="J16" s="40">
        <f t="shared" ca="1" si="5"/>
        <v>1</v>
      </c>
      <c r="K16" s="40">
        <f t="shared" ca="1" si="6"/>
        <v>1</v>
      </c>
      <c r="L16" s="40">
        <f t="shared" ca="1" si="7"/>
        <v>1</v>
      </c>
      <c r="M16" s="40">
        <f t="shared" ca="1" si="8"/>
        <v>0</v>
      </c>
      <c r="N16" s="40">
        <f t="shared" ca="1" si="9"/>
        <v>0</v>
      </c>
      <c r="O16" s="40">
        <f t="shared" ca="1" si="10"/>
        <v>0</v>
      </c>
      <c r="P16" s="42"/>
      <c r="Q16" s="31">
        <f t="shared" ca="1" si="11"/>
        <v>24695.790611978304</v>
      </c>
      <c r="R16" s="31">
        <f t="shared" ca="1" si="12"/>
        <v>4073.246841099909</v>
      </c>
      <c r="S16" s="31">
        <f t="shared" ca="1" si="13"/>
        <v>29065.907851463096</v>
      </c>
      <c r="T16" s="31">
        <f t="shared" ca="1" si="14"/>
        <v>29398.305466143898</v>
      </c>
      <c r="U16" s="31">
        <f t="shared" ca="1" si="15"/>
        <v>1139.2576775345053</v>
      </c>
      <c r="V16" s="31">
        <f t="shared" ca="1" si="16"/>
        <v>1253.0448012704931</v>
      </c>
      <c r="W16" s="31">
        <f t="shared" ca="1" si="17"/>
        <v>18661.760813177742</v>
      </c>
      <c r="X16" s="31">
        <f t="shared" ca="1" si="18"/>
        <v>0</v>
      </c>
      <c r="Y16" s="31">
        <f t="shared" ca="1" si="19"/>
        <v>0</v>
      </c>
      <c r="Z16" s="31">
        <f t="shared" ca="1" si="20"/>
        <v>0</v>
      </c>
      <c r="AA16" s="44">
        <f t="shared" ca="1" si="21"/>
        <v>108287.31406266794</v>
      </c>
      <c r="AB16" s="165"/>
      <c r="AC16" s="166" t="s">
        <v>11</v>
      </c>
      <c r="AD16" s="166" t="s">
        <v>10</v>
      </c>
      <c r="AE16" s="166" t="s">
        <v>10</v>
      </c>
      <c r="AF16" s="166"/>
      <c r="AG16" s="166"/>
      <c r="AH16" s="166"/>
      <c r="AI16" s="166"/>
      <c r="AJ16" s="95"/>
      <c r="AK16" s="95"/>
      <c r="AL16" s="95"/>
      <c r="AM16" s="166" t="s">
        <v>10</v>
      </c>
      <c r="AN16" s="166" t="s">
        <v>10</v>
      </c>
    </row>
    <row r="17" spans="1:41" ht="15.75" customHeight="1">
      <c r="A17" s="33">
        <v>16</v>
      </c>
      <c r="B17" s="30">
        <v>40000</v>
      </c>
      <c r="C17" s="46"/>
      <c r="D17" s="35">
        <f t="shared" ca="1" si="0"/>
        <v>0.75015439840558118</v>
      </c>
      <c r="E17" s="38">
        <f t="shared" ca="1" si="22"/>
        <v>6</v>
      </c>
      <c r="F17" s="40">
        <f t="shared" ca="1" si="1"/>
        <v>1</v>
      </c>
      <c r="G17" s="40">
        <f t="shared" ca="1" si="2"/>
        <v>1</v>
      </c>
      <c r="H17" s="40">
        <f t="shared" ca="1" si="3"/>
        <v>1</v>
      </c>
      <c r="I17" s="40">
        <f t="shared" ca="1" si="4"/>
        <v>1</v>
      </c>
      <c r="J17" s="40">
        <f t="shared" ca="1" si="5"/>
        <v>1</v>
      </c>
      <c r="K17" s="40">
        <f t="shared" ca="1" si="6"/>
        <v>1</v>
      </c>
      <c r="L17" s="40">
        <f t="shared" ca="1" si="7"/>
        <v>0</v>
      </c>
      <c r="M17" s="40">
        <f t="shared" ca="1" si="8"/>
        <v>0</v>
      </c>
      <c r="N17" s="40">
        <f t="shared" ca="1" si="9"/>
        <v>0</v>
      </c>
      <c r="O17" s="40">
        <f t="shared" ca="1" si="10"/>
        <v>0</v>
      </c>
      <c r="P17" s="42"/>
      <c r="Q17" s="31">
        <f t="shared" ca="1" si="11"/>
        <v>36411.479319053913</v>
      </c>
      <c r="R17" s="31">
        <f t="shared" ca="1" si="12"/>
        <v>6903.7395233529442</v>
      </c>
      <c r="S17" s="31">
        <f t="shared" ca="1" si="13"/>
        <v>19510.620904454972</v>
      </c>
      <c r="T17" s="31">
        <f t="shared" ca="1" si="14"/>
        <v>22028.974082446799</v>
      </c>
      <c r="U17" s="31">
        <f t="shared" ca="1" si="15"/>
        <v>34969.1745674821</v>
      </c>
      <c r="V17" s="31">
        <f t="shared" ca="1" si="16"/>
        <v>51135.005522028267</v>
      </c>
      <c r="W17" s="31">
        <f t="shared" ca="1" si="17"/>
        <v>0</v>
      </c>
      <c r="X17" s="31">
        <f t="shared" ca="1" si="18"/>
        <v>0</v>
      </c>
      <c r="Y17" s="31">
        <f t="shared" ca="1" si="19"/>
        <v>0</v>
      </c>
      <c r="Z17" s="31">
        <f t="shared" ca="1" si="20"/>
        <v>0</v>
      </c>
      <c r="AA17" s="44">
        <f t="shared" ca="1" si="21"/>
        <v>170958.993918819</v>
      </c>
      <c r="AB17" s="165"/>
      <c r="AC17" s="166" t="s">
        <v>10</v>
      </c>
      <c r="AD17" s="166" t="s">
        <v>10</v>
      </c>
      <c r="AE17" s="166" t="s">
        <v>10</v>
      </c>
      <c r="AF17" s="166"/>
      <c r="AG17" s="166"/>
      <c r="AH17" s="166"/>
      <c r="AI17" s="166"/>
      <c r="AJ17" s="95"/>
      <c r="AK17" s="95"/>
      <c r="AL17" s="95"/>
      <c r="AM17" s="166" t="s">
        <v>10</v>
      </c>
      <c r="AN17" s="166" t="s">
        <v>10</v>
      </c>
    </row>
    <row r="18" spans="1:41" ht="15.75" customHeight="1">
      <c r="A18" s="33">
        <v>17</v>
      </c>
      <c r="B18" s="30">
        <v>40000</v>
      </c>
      <c r="C18" s="46"/>
      <c r="D18" s="35">
        <f t="shared" ca="1" si="0"/>
        <v>0.58921300182022907</v>
      </c>
      <c r="E18" s="38">
        <f t="shared" ca="1" si="22"/>
        <v>5</v>
      </c>
      <c r="F18" s="40">
        <f t="shared" ca="1" si="1"/>
        <v>1</v>
      </c>
      <c r="G18" s="40">
        <f t="shared" ca="1" si="2"/>
        <v>1</v>
      </c>
      <c r="H18" s="40">
        <f t="shared" ca="1" si="3"/>
        <v>1</v>
      </c>
      <c r="I18" s="40">
        <f t="shared" ca="1" si="4"/>
        <v>1</v>
      </c>
      <c r="J18" s="40">
        <f t="shared" ca="1" si="5"/>
        <v>1</v>
      </c>
      <c r="K18" s="40">
        <f t="shared" ca="1" si="6"/>
        <v>0</v>
      </c>
      <c r="L18" s="40">
        <f t="shared" ca="1" si="7"/>
        <v>0</v>
      </c>
      <c r="M18" s="40">
        <f t="shared" ca="1" si="8"/>
        <v>0</v>
      </c>
      <c r="N18" s="40">
        <f t="shared" ca="1" si="9"/>
        <v>0</v>
      </c>
      <c r="O18" s="40">
        <f t="shared" ca="1" si="10"/>
        <v>0</v>
      </c>
      <c r="P18" s="42"/>
      <c r="Q18" s="31">
        <f t="shared" ca="1" si="11"/>
        <v>26910.999550882825</v>
      </c>
      <c r="R18" s="31">
        <f t="shared" ca="1" si="12"/>
        <v>9322.7406613501262</v>
      </c>
      <c r="S18" s="31">
        <f t="shared" ca="1" si="13"/>
        <v>11602.765659130491</v>
      </c>
      <c r="T18" s="31">
        <f t="shared" ca="1" si="14"/>
        <v>36633.102604873551</v>
      </c>
      <c r="U18" s="31">
        <f t="shared" ca="1" si="15"/>
        <v>15776.204734310208</v>
      </c>
      <c r="V18" s="31">
        <f t="shared" ca="1" si="16"/>
        <v>0</v>
      </c>
      <c r="W18" s="31">
        <f t="shared" ca="1" si="17"/>
        <v>0</v>
      </c>
      <c r="X18" s="31">
        <f t="shared" ca="1" si="18"/>
        <v>0</v>
      </c>
      <c r="Y18" s="31">
        <f t="shared" ca="1" si="19"/>
        <v>0</v>
      </c>
      <c r="Z18" s="31">
        <f t="shared" ca="1" si="20"/>
        <v>0</v>
      </c>
      <c r="AA18" s="44">
        <f t="shared" ca="1" si="21"/>
        <v>100245.81321054719</v>
      </c>
      <c r="AB18" s="165"/>
      <c r="AC18" s="166" t="s">
        <v>10</v>
      </c>
      <c r="AD18" s="166" t="s">
        <v>10</v>
      </c>
      <c r="AE18" s="95"/>
      <c r="AF18" s="95"/>
      <c r="AG18" s="95"/>
      <c r="AH18" s="95"/>
      <c r="AI18" s="95"/>
      <c r="AJ18" s="95"/>
      <c r="AK18" s="95"/>
      <c r="AL18" s="95"/>
      <c r="AM18" s="166" t="s">
        <v>10</v>
      </c>
      <c r="AN18" s="166" t="s">
        <v>10</v>
      </c>
    </row>
    <row r="19" spans="1:41" ht="15.75" customHeight="1">
      <c r="A19" s="33">
        <v>18</v>
      </c>
      <c r="B19" s="30">
        <v>40000</v>
      </c>
      <c r="C19" s="46"/>
      <c r="D19" s="35">
        <f t="shared" ca="1" si="0"/>
        <v>0.75168071022284422</v>
      </c>
      <c r="E19" s="38">
        <f t="shared" ca="1" si="22"/>
        <v>6</v>
      </c>
      <c r="F19" s="40">
        <f t="shared" ca="1" si="1"/>
        <v>1</v>
      </c>
      <c r="G19" s="40">
        <f t="shared" ca="1" si="2"/>
        <v>1</v>
      </c>
      <c r="H19" s="40">
        <f t="shared" ca="1" si="3"/>
        <v>1</v>
      </c>
      <c r="I19" s="40">
        <f t="shared" ca="1" si="4"/>
        <v>1</v>
      </c>
      <c r="J19" s="40">
        <f t="shared" ca="1" si="5"/>
        <v>1</v>
      </c>
      <c r="K19" s="40">
        <f t="shared" ca="1" si="6"/>
        <v>1</v>
      </c>
      <c r="L19" s="40">
        <f t="shared" ca="1" si="7"/>
        <v>0</v>
      </c>
      <c r="M19" s="40">
        <f t="shared" ca="1" si="8"/>
        <v>0</v>
      </c>
      <c r="N19" s="40">
        <f t="shared" ca="1" si="9"/>
        <v>0</v>
      </c>
      <c r="O19" s="40">
        <f t="shared" ca="1" si="10"/>
        <v>0</v>
      </c>
      <c r="P19" s="42"/>
      <c r="Q19" s="31">
        <f t="shared" ca="1" si="11"/>
        <v>654.65447601200435</v>
      </c>
      <c r="R19" s="31">
        <f t="shared" ca="1" si="12"/>
        <v>37471.214017574515</v>
      </c>
      <c r="S19" s="31">
        <f t="shared" ca="1" si="13"/>
        <v>1077.9699425876158</v>
      </c>
      <c r="T19" s="31">
        <f t="shared" ca="1" si="14"/>
        <v>21889.352257096947</v>
      </c>
      <c r="U19" s="31">
        <f t="shared" ca="1" si="15"/>
        <v>5654.0319217999195</v>
      </c>
      <c r="V19" s="31">
        <f t="shared" ca="1" si="16"/>
        <v>16778.954433245624</v>
      </c>
      <c r="W19" s="31">
        <f t="shared" ca="1" si="17"/>
        <v>0</v>
      </c>
      <c r="X19" s="31">
        <f t="shared" ca="1" si="18"/>
        <v>0</v>
      </c>
      <c r="Y19" s="31">
        <f t="shared" ca="1" si="19"/>
        <v>0</v>
      </c>
      <c r="Z19" s="31">
        <f t="shared" ca="1" si="20"/>
        <v>0</v>
      </c>
      <c r="AA19" s="44">
        <f t="shared" ca="1" si="21"/>
        <v>83526.177048316633</v>
      </c>
      <c r="AB19" s="165"/>
      <c r="AC19" s="166" t="s">
        <v>10</v>
      </c>
      <c r="AD19" s="166" t="s">
        <v>10</v>
      </c>
      <c r="AE19" s="95"/>
      <c r="AF19" s="95"/>
      <c r="AG19" s="95"/>
      <c r="AH19" s="95"/>
      <c r="AI19" s="95"/>
      <c r="AJ19" s="95"/>
      <c r="AK19" s="95"/>
      <c r="AL19" s="95"/>
      <c r="AM19" s="166" t="s">
        <v>10</v>
      </c>
      <c r="AN19" s="166" t="s">
        <v>10</v>
      </c>
      <c r="AO19" s="166"/>
    </row>
    <row r="20" spans="1:41" ht="15.75" customHeight="1">
      <c r="A20" s="33">
        <v>19</v>
      </c>
      <c r="B20" s="30">
        <v>40000</v>
      </c>
      <c r="C20" s="46"/>
      <c r="D20" s="35">
        <f t="shared" ca="1" si="0"/>
        <v>0.90679945810527629</v>
      </c>
      <c r="E20" s="38">
        <f t="shared" ca="1" si="22"/>
        <v>8</v>
      </c>
      <c r="F20" s="40">
        <f t="shared" ca="1" si="1"/>
        <v>1</v>
      </c>
      <c r="G20" s="40">
        <f t="shared" ca="1" si="2"/>
        <v>1</v>
      </c>
      <c r="H20" s="40">
        <f t="shared" ca="1" si="3"/>
        <v>1</v>
      </c>
      <c r="I20" s="40">
        <f t="shared" ca="1" si="4"/>
        <v>1</v>
      </c>
      <c r="J20" s="40">
        <f t="shared" ca="1" si="5"/>
        <v>1</v>
      </c>
      <c r="K20" s="40">
        <f t="shared" ca="1" si="6"/>
        <v>1</v>
      </c>
      <c r="L20" s="40">
        <f t="shared" ca="1" si="7"/>
        <v>1</v>
      </c>
      <c r="M20" s="40">
        <f t="shared" ca="1" si="8"/>
        <v>1</v>
      </c>
      <c r="N20" s="40">
        <f t="shared" ca="1" si="9"/>
        <v>0</v>
      </c>
      <c r="O20" s="40">
        <f t="shared" ca="1" si="10"/>
        <v>0</v>
      </c>
      <c r="P20" s="42"/>
      <c r="Q20" s="31">
        <f t="shared" ca="1" si="11"/>
        <v>550.47937715972</v>
      </c>
      <c r="R20" s="31">
        <f t="shared" ca="1" si="12"/>
        <v>67312.243798839554</v>
      </c>
      <c r="S20" s="31">
        <f t="shared" ca="1" si="13"/>
        <v>1154.4984852000762</v>
      </c>
      <c r="T20" s="31">
        <f t="shared" ca="1" si="14"/>
        <v>7148.1725519682414</v>
      </c>
      <c r="U20" s="31">
        <f t="shared" ca="1" si="15"/>
        <v>15467.329393692451</v>
      </c>
      <c r="V20" s="31">
        <f t="shared" ca="1" si="16"/>
        <v>12451.915740372477</v>
      </c>
      <c r="W20" s="31">
        <f t="shared" ca="1" si="17"/>
        <v>5411.5056659594366</v>
      </c>
      <c r="X20" s="31">
        <f t="shared" ca="1" si="18"/>
        <v>3095.5260442694789</v>
      </c>
      <c r="Y20" s="31">
        <f t="shared" ca="1" si="19"/>
        <v>0</v>
      </c>
      <c r="Z20" s="31">
        <f t="shared" ca="1" si="20"/>
        <v>0</v>
      </c>
      <c r="AA20" s="44">
        <f t="shared" ca="1" si="21"/>
        <v>112591.67105746144</v>
      </c>
      <c r="AB20" s="165"/>
      <c r="AC20" s="166" t="s">
        <v>10</v>
      </c>
      <c r="AD20" s="96" t="s">
        <v>10</v>
      </c>
      <c r="AE20" s="95"/>
      <c r="AF20" s="95"/>
      <c r="AG20" s="95"/>
      <c r="AH20" s="95"/>
      <c r="AI20" s="95"/>
      <c r="AJ20" s="95"/>
      <c r="AK20" s="95"/>
      <c r="AL20" s="95"/>
      <c r="AM20" s="166" t="s">
        <v>10</v>
      </c>
      <c r="AN20" s="166" t="s">
        <v>10</v>
      </c>
    </row>
    <row r="21" spans="1:41" ht="15.75" customHeight="1">
      <c r="A21" s="33">
        <v>20</v>
      </c>
      <c r="B21" s="30">
        <v>40000</v>
      </c>
      <c r="C21" s="46"/>
      <c r="D21" s="35">
        <f t="shared" ca="1" si="0"/>
        <v>0.1567691216534014</v>
      </c>
      <c r="E21" s="38">
        <f t="shared" ca="1" si="22"/>
        <v>1</v>
      </c>
      <c r="F21" s="40">
        <f t="shared" ca="1" si="1"/>
        <v>1</v>
      </c>
      <c r="G21" s="40">
        <f t="shared" ca="1" si="2"/>
        <v>0</v>
      </c>
      <c r="H21" s="40">
        <f t="shared" ca="1" si="3"/>
        <v>0</v>
      </c>
      <c r="I21" s="40">
        <f t="shared" ca="1" si="4"/>
        <v>0</v>
      </c>
      <c r="J21" s="40">
        <f t="shared" ca="1" si="5"/>
        <v>0</v>
      </c>
      <c r="K21" s="40">
        <f t="shared" ca="1" si="6"/>
        <v>0</v>
      </c>
      <c r="L21" s="40">
        <f t="shared" ca="1" si="7"/>
        <v>0</v>
      </c>
      <c r="M21" s="40">
        <f t="shared" ca="1" si="8"/>
        <v>0</v>
      </c>
      <c r="N21" s="40">
        <f t="shared" ca="1" si="9"/>
        <v>0</v>
      </c>
      <c r="O21" s="40">
        <f t="shared" ca="1" si="10"/>
        <v>0</v>
      </c>
      <c r="P21" s="42"/>
      <c r="Q21" s="31">
        <f t="shared" ca="1" si="11"/>
        <v>31832.012377288844</v>
      </c>
      <c r="R21" s="31">
        <f t="shared" ca="1" si="12"/>
        <v>0</v>
      </c>
      <c r="S21" s="31">
        <f t="shared" ca="1" si="13"/>
        <v>0</v>
      </c>
      <c r="T21" s="31">
        <f t="shared" ca="1" si="14"/>
        <v>0</v>
      </c>
      <c r="U21" s="31">
        <f t="shared" ca="1" si="15"/>
        <v>0</v>
      </c>
      <c r="V21" s="31">
        <f t="shared" ca="1" si="16"/>
        <v>0</v>
      </c>
      <c r="W21" s="31">
        <f t="shared" ca="1" si="17"/>
        <v>0</v>
      </c>
      <c r="X21" s="31">
        <f t="shared" ca="1" si="18"/>
        <v>0</v>
      </c>
      <c r="Y21" s="31">
        <f t="shared" ca="1" si="19"/>
        <v>0</v>
      </c>
      <c r="Z21" s="31">
        <f t="shared" ca="1" si="20"/>
        <v>0</v>
      </c>
      <c r="AA21" s="44">
        <f t="shared" ca="1" si="21"/>
        <v>31832.012377288844</v>
      </c>
      <c r="AB21" s="165"/>
      <c r="AC21" s="166" t="s">
        <v>10</v>
      </c>
      <c r="AD21" s="95"/>
      <c r="AE21" s="95"/>
      <c r="AF21" s="95"/>
      <c r="AG21" s="95"/>
      <c r="AH21" s="95"/>
      <c r="AI21" s="95"/>
      <c r="AJ21" s="95"/>
      <c r="AK21" s="166" t="s">
        <v>10</v>
      </c>
      <c r="AL21" t="s">
        <v>10</v>
      </c>
      <c r="AM21" s="166" t="s">
        <v>10</v>
      </c>
      <c r="AN21" s="166" t="s">
        <v>10</v>
      </c>
    </row>
    <row r="22" spans="1:41" ht="15.75" customHeight="1">
      <c r="A22" s="33">
        <v>21</v>
      </c>
      <c r="B22" s="30">
        <v>40000</v>
      </c>
      <c r="C22" s="46"/>
      <c r="D22" s="35">
        <f t="shared" ca="1" si="0"/>
        <v>0.83328013934164924</v>
      </c>
      <c r="E22" s="38">
        <f t="shared" ca="1" si="22"/>
        <v>7</v>
      </c>
      <c r="F22" s="40">
        <f t="shared" ca="1" si="1"/>
        <v>1</v>
      </c>
      <c r="G22" s="40">
        <f t="shared" ca="1" si="2"/>
        <v>1</v>
      </c>
      <c r="H22" s="40">
        <f t="shared" ca="1" si="3"/>
        <v>1</v>
      </c>
      <c r="I22" s="40">
        <f t="shared" ca="1" si="4"/>
        <v>1</v>
      </c>
      <c r="J22" s="40">
        <f t="shared" ca="1" si="5"/>
        <v>1</v>
      </c>
      <c r="K22" s="40">
        <f t="shared" ca="1" si="6"/>
        <v>1</v>
      </c>
      <c r="L22" s="40">
        <f t="shared" ca="1" si="7"/>
        <v>1</v>
      </c>
      <c r="M22" s="40">
        <f t="shared" ca="1" si="8"/>
        <v>0</v>
      </c>
      <c r="N22" s="40">
        <f t="shared" ca="1" si="9"/>
        <v>0</v>
      </c>
      <c r="O22" s="40">
        <f t="shared" ca="1" si="10"/>
        <v>0</v>
      </c>
      <c r="P22" s="42"/>
      <c r="Q22" s="31">
        <f t="shared" ca="1" si="11"/>
        <v>4131.402630451882</v>
      </c>
      <c r="R22" s="31">
        <f t="shared" ca="1" si="12"/>
        <v>6962.5174270123698</v>
      </c>
      <c r="S22" s="31">
        <f t="shared" ca="1" si="13"/>
        <v>1749.2467342390451</v>
      </c>
      <c r="T22" s="31">
        <f t="shared" ca="1" si="14"/>
        <v>12752.766091109545</v>
      </c>
      <c r="U22" s="31">
        <f t="shared" ca="1" si="15"/>
        <v>11088.329031133128</v>
      </c>
      <c r="V22" s="31">
        <f t="shared" ca="1" si="16"/>
        <v>1037.3983151048533</v>
      </c>
      <c r="W22" s="31">
        <f t="shared" ca="1" si="17"/>
        <v>6604.4268965874662</v>
      </c>
      <c r="X22" s="31">
        <f t="shared" ca="1" si="18"/>
        <v>0</v>
      </c>
      <c r="Y22" s="31">
        <f t="shared" ca="1" si="19"/>
        <v>0</v>
      </c>
      <c r="Z22" s="31">
        <f t="shared" ca="1" si="20"/>
        <v>0</v>
      </c>
      <c r="AA22" s="44">
        <f t="shared" ca="1" si="21"/>
        <v>44326.087125638289</v>
      </c>
      <c r="AB22" s="165"/>
      <c r="AC22" s="166" t="s">
        <v>10</v>
      </c>
      <c r="AD22" s="95"/>
      <c r="AE22" s="95"/>
      <c r="AF22" s="95"/>
      <c r="AG22" s="95"/>
      <c r="AH22" s="95"/>
      <c r="AI22" s="95"/>
      <c r="AJ22" s="95"/>
      <c r="AK22" s="95"/>
      <c r="AL22" s="95"/>
      <c r="AM22" s="166" t="s">
        <v>10</v>
      </c>
      <c r="AN22" s="166" t="s">
        <v>10</v>
      </c>
    </row>
    <row r="23" spans="1:41" ht="15.75" customHeight="1">
      <c r="A23" s="33">
        <v>22</v>
      </c>
      <c r="B23" s="30">
        <v>40000</v>
      </c>
      <c r="C23" s="46"/>
      <c r="D23" s="35">
        <f t="shared" ca="1" si="0"/>
        <v>0.74652374807092614</v>
      </c>
      <c r="E23" s="38">
        <f t="shared" ca="1" si="22"/>
        <v>6</v>
      </c>
      <c r="F23" s="40">
        <f t="shared" ca="1" si="1"/>
        <v>1</v>
      </c>
      <c r="G23" s="40">
        <f t="shared" ca="1" si="2"/>
        <v>1</v>
      </c>
      <c r="H23" s="40">
        <f t="shared" ca="1" si="3"/>
        <v>1</v>
      </c>
      <c r="I23" s="40">
        <f t="shared" ca="1" si="4"/>
        <v>1</v>
      </c>
      <c r="J23" s="40">
        <f t="shared" ca="1" si="5"/>
        <v>1</v>
      </c>
      <c r="K23" s="40">
        <f t="shared" ca="1" si="6"/>
        <v>1</v>
      </c>
      <c r="L23" s="40">
        <f t="shared" ca="1" si="7"/>
        <v>0</v>
      </c>
      <c r="M23" s="40">
        <f t="shared" ca="1" si="8"/>
        <v>0</v>
      </c>
      <c r="N23" s="40">
        <f t="shared" ca="1" si="9"/>
        <v>0</v>
      </c>
      <c r="O23" s="40">
        <f t="shared" ca="1" si="10"/>
        <v>0</v>
      </c>
      <c r="P23" s="42"/>
      <c r="Q23" s="31">
        <f t="shared" ca="1" si="11"/>
        <v>37944.549499287597</v>
      </c>
      <c r="R23" s="31">
        <f t="shared" ca="1" si="12"/>
        <v>19934.861609050084</v>
      </c>
      <c r="S23" s="31">
        <f t="shared" ca="1" si="13"/>
        <v>17205.180613937606</v>
      </c>
      <c r="T23" s="31">
        <f t="shared" ca="1" si="14"/>
        <v>13784.109438368705</v>
      </c>
      <c r="U23" s="31">
        <f t="shared" ca="1" si="15"/>
        <v>4119.9357454546353</v>
      </c>
      <c r="V23" s="31">
        <f t="shared" ca="1" si="16"/>
        <v>37286.756911339391</v>
      </c>
      <c r="W23" s="31">
        <f t="shared" ca="1" si="17"/>
        <v>0</v>
      </c>
      <c r="X23" s="31">
        <f t="shared" ca="1" si="18"/>
        <v>0</v>
      </c>
      <c r="Y23" s="31">
        <f t="shared" ca="1" si="19"/>
        <v>0</v>
      </c>
      <c r="Z23" s="31">
        <f t="shared" ca="1" si="20"/>
        <v>0</v>
      </c>
      <c r="AA23" s="44">
        <f t="shared" ca="1" si="21"/>
        <v>130275.39381743802</v>
      </c>
      <c r="AB23" s="165"/>
      <c r="AC23" s="166" t="s">
        <v>10</v>
      </c>
      <c r="AD23" s="95"/>
      <c r="AE23" s="95"/>
      <c r="AF23" s="95"/>
      <c r="AG23" s="95"/>
      <c r="AH23" s="95"/>
      <c r="AI23" s="95"/>
      <c r="AJ23" s="95"/>
      <c r="AK23" s="166" t="s">
        <v>10</v>
      </c>
      <c r="AL23" s="95"/>
      <c r="AM23" s="166" t="s">
        <v>10</v>
      </c>
      <c r="AN23" s="166" t="s">
        <v>10</v>
      </c>
    </row>
    <row r="24" spans="1:41" ht="15.75" customHeight="1">
      <c r="A24" s="33">
        <v>23</v>
      </c>
      <c r="B24" s="30">
        <v>40000</v>
      </c>
      <c r="C24" s="46"/>
      <c r="D24" s="35">
        <f t="shared" ca="1" si="0"/>
        <v>0.63916355741015685</v>
      </c>
      <c r="E24" s="38">
        <f t="shared" ca="1" si="22"/>
        <v>5</v>
      </c>
      <c r="F24" s="40">
        <f t="shared" ca="1" si="1"/>
        <v>1</v>
      </c>
      <c r="G24" s="40">
        <f t="shared" ca="1" si="2"/>
        <v>1</v>
      </c>
      <c r="H24" s="40">
        <f t="shared" ca="1" si="3"/>
        <v>1</v>
      </c>
      <c r="I24" s="40">
        <f t="shared" ca="1" si="4"/>
        <v>1</v>
      </c>
      <c r="J24" s="40">
        <f t="shared" ca="1" si="5"/>
        <v>1</v>
      </c>
      <c r="K24" s="40">
        <f t="shared" ca="1" si="6"/>
        <v>0</v>
      </c>
      <c r="L24" s="40">
        <f t="shared" ca="1" si="7"/>
        <v>0</v>
      </c>
      <c r="M24" s="40">
        <f t="shared" ca="1" si="8"/>
        <v>0</v>
      </c>
      <c r="N24" s="40">
        <f t="shared" ca="1" si="9"/>
        <v>0</v>
      </c>
      <c r="O24" s="40">
        <f t="shared" ca="1" si="10"/>
        <v>0</v>
      </c>
      <c r="P24" s="42"/>
      <c r="Q24" s="31">
        <f t="shared" ca="1" si="11"/>
        <v>2855.364527685982</v>
      </c>
      <c r="R24" s="31">
        <f t="shared" ca="1" si="12"/>
        <v>30331.3962523964</v>
      </c>
      <c r="S24" s="31">
        <f t="shared" ca="1" si="13"/>
        <v>26595.011250913441</v>
      </c>
      <c r="T24" s="31">
        <f t="shared" ca="1" si="14"/>
        <v>47757.319204245388</v>
      </c>
      <c r="U24" s="31">
        <f t="shared" ca="1" si="15"/>
        <v>13759.755244308455</v>
      </c>
      <c r="V24" s="31">
        <f t="shared" ca="1" si="16"/>
        <v>0</v>
      </c>
      <c r="W24" s="31">
        <f t="shared" ca="1" si="17"/>
        <v>0</v>
      </c>
      <c r="X24" s="31">
        <f t="shared" ca="1" si="18"/>
        <v>0</v>
      </c>
      <c r="Y24" s="31">
        <f t="shared" ca="1" si="19"/>
        <v>0</v>
      </c>
      <c r="Z24" s="31">
        <f t="shared" ca="1" si="20"/>
        <v>0</v>
      </c>
      <c r="AA24" s="44">
        <f t="shared" ca="1" si="21"/>
        <v>121298.84647954967</v>
      </c>
      <c r="AB24" s="165"/>
      <c r="AC24" s="166" t="s">
        <v>10</v>
      </c>
      <c r="AD24" s="166" t="s">
        <v>10</v>
      </c>
      <c r="AE24" s="95"/>
      <c r="AF24" s="95"/>
      <c r="AG24" s="95"/>
      <c r="AH24" s="95"/>
      <c r="AI24" s="95"/>
      <c r="AJ24" s="95"/>
      <c r="AK24" s="166" t="s">
        <v>10</v>
      </c>
      <c r="AL24" s="95"/>
      <c r="AM24" s="166" t="s">
        <v>10</v>
      </c>
      <c r="AN24" s="166" t="s">
        <v>10</v>
      </c>
    </row>
    <row r="25" spans="1:41" ht="15.75" customHeight="1">
      <c r="A25" s="33">
        <v>24</v>
      </c>
      <c r="B25" s="30">
        <v>40000</v>
      </c>
      <c r="C25" s="46"/>
      <c r="D25" s="35">
        <f t="shared" ca="1" si="0"/>
        <v>0.40869584962008665</v>
      </c>
      <c r="E25" s="38">
        <f t="shared" ca="1" si="22"/>
        <v>4</v>
      </c>
      <c r="F25" s="40">
        <f t="shared" ca="1" si="1"/>
        <v>1</v>
      </c>
      <c r="G25" s="40">
        <f t="shared" ca="1" si="2"/>
        <v>1</v>
      </c>
      <c r="H25" s="40">
        <f t="shared" ca="1" si="3"/>
        <v>1</v>
      </c>
      <c r="I25" s="40">
        <f t="shared" ca="1" si="4"/>
        <v>1</v>
      </c>
      <c r="J25" s="40">
        <f t="shared" ca="1" si="5"/>
        <v>0</v>
      </c>
      <c r="K25" s="40">
        <f t="shared" ca="1" si="6"/>
        <v>0</v>
      </c>
      <c r="L25" s="40">
        <f t="shared" ca="1" si="7"/>
        <v>0</v>
      </c>
      <c r="M25" s="40">
        <f t="shared" ca="1" si="8"/>
        <v>0</v>
      </c>
      <c r="N25" s="40">
        <f t="shared" ca="1" si="9"/>
        <v>0</v>
      </c>
      <c r="O25" s="40">
        <f t="shared" ca="1" si="10"/>
        <v>0</v>
      </c>
      <c r="P25" s="42"/>
      <c r="Q25" s="31">
        <f t="shared" ca="1" si="11"/>
        <v>23824.433168934709</v>
      </c>
      <c r="R25" s="31">
        <f t="shared" ca="1" si="12"/>
        <v>6583.7269936256153</v>
      </c>
      <c r="S25" s="31">
        <f t="shared" ca="1" si="13"/>
        <v>4451.6752716177525</v>
      </c>
      <c r="T25" s="31">
        <f t="shared" ca="1" si="14"/>
        <v>11115.803327419777</v>
      </c>
      <c r="U25" s="31">
        <f t="shared" ca="1" si="15"/>
        <v>0</v>
      </c>
      <c r="V25" s="31">
        <f t="shared" ca="1" si="16"/>
        <v>0</v>
      </c>
      <c r="W25" s="31">
        <f t="shared" ca="1" si="17"/>
        <v>0</v>
      </c>
      <c r="X25" s="31">
        <f t="shared" ca="1" si="18"/>
        <v>0</v>
      </c>
      <c r="Y25" s="31">
        <f t="shared" ca="1" si="19"/>
        <v>0</v>
      </c>
      <c r="Z25" s="31">
        <f t="shared" ca="1" si="20"/>
        <v>0</v>
      </c>
      <c r="AA25" s="44">
        <f t="shared" ca="1" si="21"/>
        <v>45975.63876159786</v>
      </c>
      <c r="AB25" s="165"/>
      <c r="AC25" s="73" t="s">
        <v>10</v>
      </c>
      <c r="AD25" s="166" t="s">
        <v>10</v>
      </c>
      <c r="AE25" s="95"/>
      <c r="AF25" s="95"/>
      <c r="AG25" s="95"/>
      <c r="AH25" s="95"/>
      <c r="AI25" s="95"/>
      <c r="AJ25" s="95"/>
      <c r="AK25" s="166" t="s">
        <v>10</v>
      </c>
      <c r="AL25" t="s">
        <v>10</v>
      </c>
      <c r="AM25" s="166" t="s">
        <v>10</v>
      </c>
      <c r="AN25" s="166" t="s">
        <v>10</v>
      </c>
    </row>
    <row r="26" spans="1:41" ht="15.75" customHeight="1">
      <c r="A26" s="33">
        <v>25</v>
      </c>
      <c r="B26" s="30">
        <v>40000</v>
      </c>
      <c r="C26" s="46"/>
      <c r="D26" s="35">
        <f t="shared" ca="1" si="0"/>
        <v>2.142993432521878E-2</v>
      </c>
      <c r="E26" s="38">
        <f t="shared" ca="1" si="22"/>
        <v>0</v>
      </c>
      <c r="F26" s="40">
        <f t="shared" ca="1" si="1"/>
        <v>0</v>
      </c>
      <c r="G26" s="40">
        <f t="shared" ca="1" si="2"/>
        <v>0</v>
      </c>
      <c r="H26" s="40">
        <f t="shared" ca="1" si="3"/>
        <v>0</v>
      </c>
      <c r="I26" s="40">
        <f t="shared" ca="1" si="4"/>
        <v>0</v>
      </c>
      <c r="J26" s="40">
        <f t="shared" ca="1" si="5"/>
        <v>0</v>
      </c>
      <c r="K26" s="40">
        <f t="shared" ca="1" si="6"/>
        <v>0</v>
      </c>
      <c r="L26" s="40">
        <f t="shared" ca="1" si="7"/>
        <v>0</v>
      </c>
      <c r="M26" s="40">
        <f t="shared" ca="1" si="8"/>
        <v>0</v>
      </c>
      <c r="N26" s="40">
        <f t="shared" ca="1" si="9"/>
        <v>0</v>
      </c>
      <c r="O26" s="40">
        <f t="shared" ca="1" si="10"/>
        <v>0</v>
      </c>
      <c r="P26" s="42"/>
      <c r="Q26" s="31">
        <f t="shared" ca="1" si="11"/>
        <v>0</v>
      </c>
      <c r="R26" s="31">
        <f t="shared" ca="1" si="12"/>
        <v>0</v>
      </c>
      <c r="S26" s="31">
        <f t="shared" ca="1" si="13"/>
        <v>0</v>
      </c>
      <c r="T26" s="31">
        <f t="shared" ca="1" si="14"/>
        <v>0</v>
      </c>
      <c r="U26" s="31">
        <f t="shared" ca="1" si="15"/>
        <v>0</v>
      </c>
      <c r="V26" s="31">
        <f t="shared" ca="1" si="16"/>
        <v>0</v>
      </c>
      <c r="W26" s="31">
        <f t="shared" ca="1" si="17"/>
        <v>0</v>
      </c>
      <c r="X26" s="31">
        <f t="shared" ca="1" si="18"/>
        <v>0</v>
      </c>
      <c r="Y26" s="31">
        <f t="shared" ca="1" si="19"/>
        <v>0</v>
      </c>
      <c r="Z26" s="31">
        <f t="shared" ca="1" si="20"/>
        <v>0</v>
      </c>
      <c r="AA26" s="44">
        <f t="shared" ca="1" si="21"/>
        <v>0</v>
      </c>
      <c r="AB26" s="165"/>
      <c r="AC26" s="73" t="s">
        <v>10</v>
      </c>
      <c r="AD26" s="166" t="s">
        <v>10</v>
      </c>
      <c r="AE26" s="95"/>
      <c r="AF26" s="95"/>
      <c r="AG26" s="95"/>
      <c r="AH26" s="95"/>
      <c r="AI26" s="95"/>
      <c r="AJ26" s="95"/>
      <c r="AK26" s="166" t="s">
        <v>10</v>
      </c>
      <c r="AL26" t="s">
        <v>10</v>
      </c>
      <c r="AM26" s="166" t="s">
        <v>10</v>
      </c>
      <c r="AN26" s="166" t="s">
        <v>10</v>
      </c>
    </row>
    <row r="27" spans="1:41" ht="15.75" customHeight="1">
      <c r="A27" s="33">
        <v>26</v>
      </c>
      <c r="B27" s="30">
        <v>40000</v>
      </c>
      <c r="C27" s="46"/>
      <c r="D27" s="35">
        <f t="shared" ca="1" si="0"/>
        <v>6.2067465226901319E-2</v>
      </c>
      <c r="E27" s="38">
        <f t="shared" ca="1" si="22"/>
        <v>0</v>
      </c>
      <c r="F27" s="40">
        <f t="shared" ca="1" si="1"/>
        <v>0</v>
      </c>
      <c r="G27" s="40">
        <f t="shared" ca="1" si="2"/>
        <v>0</v>
      </c>
      <c r="H27" s="40">
        <f t="shared" ca="1" si="3"/>
        <v>0</v>
      </c>
      <c r="I27" s="40">
        <f t="shared" ca="1" si="4"/>
        <v>0</v>
      </c>
      <c r="J27" s="40">
        <f t="shared" ca="1" si="5"/>
        <v>0</v>
      </c>
      <c r="K27" s="40">
        <f t="shared" ca="1" si="6"/>
        <v>0</v>
      </c>
      <c r="L27" s="40">
        <f t="shared" ca="1" si="7"/>
        <v>0</v>
      </c>
      <c r="M27" s="40">
        <f t="shared" ca="1" si="8"/>
        <v>0</v>
      </c>
      <c r="N27" s="40">
        <f t="shared" ca="1" si="9"/>
        <v>0</v>
      </c>
      <c r="O27" s="40">
        <f t="shared" ca="1" si="10"/>
        <v>0</v>
      </c>
      <c r="P27" s="42"/>
      <c r="Q27" s="31">
        <f t="shared" ca="1" si="11"/>
        <v>0</v>
      </c>
      <c r="R27" s="31">
        <f t="shared" ca="1" si="12"/>
        <v>0</v>
      </c>
      <c r="S27" s="31">
        <f t="shared" ca="1" si="13"/>
        <v>0</v>
      </c>
      <c r="T27" s="31">
        <f t="shared" ca="1" si="14"/>
        <v>0</v>
      </c>
      <c r="U27" s="31">
        <f t="shared" ca="1" si="15"/>
        <v>0</v>
      </c>
      <c r="V27" s="31">
        <f t="shared" ca="1" si="16"/>
        <v>0</v>
      </c>
      <c r="W27" s="31">
        <f t="shared" ca="1" si="17"/>
        <v>0</v>
      </c>
      <c r="X27" s="31">
        <f t="shared" ca="1" si="18"/>
        <v>0</v>
      </c>
      <c r="Y27" s="31">
        <f t="shared" ca="1" si="19"/>
        <v>0</v>
      </c>
      <c r="Z27" s="31">
        <f t="shared" ca="1" si="20"/>
        <v>0</v>
      </c>
      <c r="AA27" s="44">
        <f t="shared" ca="1" si="21"/>
        <v>0</v>
      </c>
      <c r="AB27" s="165"/>
      <c r="AC27" s="73" t="s">
        <v>10</v>
      </c>
      <c r="AD27" s="166" t="s">
        <v>10</v>
      </c>
      <c r="AE27" s="95"/>
      <c r="AF27" s="95"/>
      <c r="AG27" s="95"/>
      <c r="AH27" s="95"/>
      <c r="AI27" s="95"/>
      <c r="AJ27" s="95"/>
      <c r="AK27" s="166" t="s">
        <v>10</v>
      </c>
      <c r="AL27" s="95"/>
      <c r="AM27" s="166" t="s">
        <v>10</v>
      </c>
      <c r="AN27" s="166" t="s">
        <v>10</v>
      </c>
    </row>
    <row r="28" spans="1:41" ht="15.75" customHeight="1">
      <c r="A28" s="33">
        <v>27</v>
      </c>
      <c r="B28" s="30">
        <v>40000</v>
      </c>
      <c r="C28" s="46"/>
      <c r="D28" s="35">
        <f t="shared" ca="1" si="0"/>
        <v>0.43831164847158677</v>
      </c>
      <c r="E28" s="38">
        <f t="shared" ca="1" si="22"/>
        <v>4</v>
      </c>
      <c r="F28" s="40">
        <f t="shared" ca="1" si="1"/>
        <v>1</v>
      </c>
      <c r="G28" s="40">
        <f t="shared" ca="1" si="2"/>
        <v>1</v>
      </c>
      <c r="H28" s="40">
        <f t="shared" ca="1" si="3"/>
        <v>1</v>
      </c>
      <c r="I28" s="40">
        <f t="shared" ca="1" si="4"/>
        <v>1</v>
      </c>
      <c r="J28" s="40">
        <f t="shared" ca="1" si="5"/>
        <v>0</v>
      </c>
      <c r="K28" s="40">
        <f t="shared" ca="1" si="6"/>
        <v>0</v>
      </c>
      <c r="L28" s="40">
        <f ca="1">IF(E28&gt;=7,1,0)</f>
        <v>0</v>
      </c>
      <c r="M28" s="40">
        <f t="shared" ca="1" si="8"/>
        <v>0</v>
      </c>
      <c r="N28" s="40">
        <f t="shared" ca="1" si="9"/>
        <v>0</v>
      </c>
      <c r="O28" s="40">
        <f t="shared" ca="1" si="10"/>
        <v>0</v>
      </c>
      <c r="P28" s="42"/>
      <c r="Q28" s="31">
        <f t="shared" ca="1" si="11"/>
        <v>446.69144700722336</v>
      </c>
      <c r="R28" s="31">
        <f t="shared" ca="1" si="12"/>
        <v>2115.864308321236</v>
      </c>
      <c r="S28" s="31">
        <f t="shared" ca="1" si="13"/>
        <v>6952.0210410156906</v>
      </c>
      <c r="T28" s="31">
        <f t="shared" ca="1" si="14"/>
        <v>102836.30958195098</v>
      </c>
      <c r="U28" s="31">
        <f t="shared" ca="1" si="15"/>
        <v>0</v>
      </c>
      <c r="V28" s="31">
        <f t="shared" ca="1" si="16"/>
        <v>0</v>
      </c>
      <c r="W28" s="31">
        <f t="shared" ca="1" si="17"/>
        <v>0</v>
      </c>
      <c r="X28" s="31">
        <f t="shared" ca="1" si="18"/>
        <v>0</v>
      </c>
      <c r="Y28" s="31">
        <f t="shared" ca="1" si="19"/>
        <v>0</v>
      </c>
      <c r="Z28" s="31">
        <f t="shared" ca="1" si="20"/>
        <v>0</v>
      </c>
      <c r="AA28" s="44">
        <f t="shared" ca="1" si="21"/>
        <v>112350.88637829512</v>
      </c>
      <c r="AB28" s="165"/>
      <c r="AC28" s="73" t="s">
        <v>10</v>
      </c>
      <c r="AD28" s="166" t="s">
        <v>10</v>
      </c>
      <c r="AE28" s="95"/>
      <c r="AF28" s="95"/>
      <c r="AG28" s="95"/>
      <c r="AH28" s="95"/>
      <c r="AI28" s="95"/>
      <c r="AJ28" s="95"/>
      <c r="AK28" s="166" t="s">
        <v>10</v>
      </c>
      <c r="AL28" s="95"/>
      <c r="AM28" s="166" t="s">
        <v>10</v>
      </c>
      <c r="AN28" s="95"/>
    </row>
    <row r="29" spans="1:41" ht="15.75" customHeight="1">
      <c r="A29" s="33">
        <v>28</v>
      </c>
      <c r="B29" s="30">
        <v>40000</v>
      </c>
      <c r="C29" s="46"/>
      <c r="D29" s="35">
        <f t="shared" ca="1" si="0"/>
        <v>0.71596512786041122</v>
      </c>
      <c r="E29" s="38">
        <f t="shared" ca="1" si="22"/>
        <v>6</v>
      </c>
      <c r="F29" s="40">
        <f t="shared" ca="1" si="1"/>
        <v>1</v>
      </c>
      <c r="G29" s="40">
        <f t="shared" ca="1" si="2"/>
        <v>1</v>
      </c>
      <c r="H29" s="40">
        <f t="shared" ca="1" si="3"/>
        <v>1</v>
      </c>
      <c r="I29" s="40">
        <f t="shared" ca="1" si="4"/>
        <v>1</v>
      </c>
      <c r="J29" s="40">
        <f t="shared" ca="1" si="5"/>
        <v>1</v>
      </c>
      <c r="K29" s="40">
        <f t="shared" ca="1" si="6"/>
        <v>1</v>
      </c>
      <c r="L29" s="40">
        <f t="shared" ca="1" si="7"/>
        <v>0</v>
      </c>
      <c r="M29" s="40">
        <f t="shared" ca="1" si="8"/>
        <v>0</v>
      </c>
      <c r="N29" s="40">
        <f t="shared" ca="1" si="9"/>
        <v>0</v>
      </c>
      <c r="O29" s="40">
        <f t="shared" ca="1" si="10"/>
        <v>0</v>
      </c>
      <c r="P29" s="42"/>
      <c r="Q29" s="31">
        <f t="shared" ca="1" si="11"/>
        <v>48576.089370046284</v>
      </c>
      <c r="R29" s="31">
        <f t="shared" ca="1" si="12"/>
        <v>48714.338492138711</v>
      </c>
      <c r="S29" s="31">
        <f t="shared" ca="1" si="13"/>
        <v>8576.3363109485472</v>
      </c>
      <c r="T29" s="31">
        <f t="shared" ca="1" si="14"/>
        <v>23483.896739254506</v>
      </c>
      <c r="U29" s="31">
        <f t="shared" ca="1" si="15"/>
        <v>333.96648460360382</v>
      </c>
      <c r="V29" s="31">
        <f t="shared" ca="1" si="16"/>
        <v>17081.897618792755</v>
      </c>
      <c r="W29" s="31">
        <f t="shared" ca="1" si="17"/>
        <v>0</v>
      </c>
      <c r="X29" s="31">
        <f t="shared" ca="1" si="18"/>
        <v>0</v>
      </c>
      <c r="Y29" s="31">
        <f t="shared" ca="1" si="19"/>
        <v>0</v>
      </c>
      <c r="Z29" s="31">
        <f t="shared" ca="1" si="20"/>
        <v>0</v>
      </c>
      <c r="AA29" s="44">
        <f t="shared" ca="1" si="21"/>
        <v>146766.5250157844</v>
      </c>
      <c r="AB29" s="165"/>
      <c r="AC29" s="73" t="s">
        <v>10</v>
      </c>
      <c r="AD29" s="166" t="s">
        <v>10</v>
      </c>
      <c r="AE29" s="95"/>
      <c r="AF29" s="95"/>
      <c r="AG29" s="174" t="s">
        <v>10</v>
      </c>
      <c r="AH29" s="174"/>
      <c r="AI29" s="95"/>
      <c r="AJ29" s="95"/>
      <c r="AK29" s="166" t="s">
        <v>10</v>
      </c>
      <c r="AL29" s="95"/>
      <c r="AM29" s="166" t="s">
        <v>10</v>
      </c>
      <c r="AN29" s="95"/>
    </row>
    <row r="30" spans="1:41" ht="15.75" customHeight="1">
      <c r="A30" s="33">
        <v>29</v>
      </c>
      <c r="B30" s="30">
        <v>40000</v>
      </c>
      <c r="C30" s="46"/>
      <c r="D30" s="35">
        <f t="shared" ca="1" si="0"/>
        <v>0.97513289580416873</v>
      </c>
      <c r="E30" s="38">
        <f t="shared" ca="1" si="22"/>
        <v>10</v>
      </c>
      <c r="F30" s="40">
        <f t="shared" ca="1" si="1"/>
        <v>1</v>
      </c>
      <c r="G30" s="40">
        <f t="shared" ca="1" si="2"/>
        <v>1</v>
      </c>
      <c r="H30" s="40">
        <f t="shared" ca="1" si="3"/>
        <v>1</v>
      </c>
      <c r="I30" s="40">
        <f t="shared" ca="1" si="4"/>
        <v>1</v>
      </c>
      <c r="J30" s="40">
        <f t="shared" ca="1" si="5"/>
        <v>1</v>
      </c>
      <c r="K30" s="40">
        <f t="shared" ca="1" si="6"/>
        <v>1</v>
      </c>
      <c r="L30" s="40">
        <f t="shared" ca="1" si="7"/>
        <v>1</v>
      </c>
      <c r="M30" s="40">
        <f t="shared" ca="1" si="8"/>
        <v>1</v>
      </c>
      <c r="N30" s="40">
        <f t="shared" ca="1" si="9"/>
        <v>1</v>
      </c>
      <c r="O30" s="40">
        <f t="shared" ca="1" si="10"/>
        <v>1</v>
      </c>
      <c r="P30" s="42"/>
      <c r="Q30" s="31">
        <f t="shared" ca="1" si="11"/>
        <v>21340.596794634446</v>
      </c>
      <c r="R30" s="31">
        <f t="shared" ca="1" si="12"/>
        <v>28041.190668257219</v>
      </c>
      <c r="S30" s="31">
        <f t="shared" ca="1" si="13"/>
        <v>5726.3110725127626</v>
      </c>
      <c r="T30" s="31">
        <f t="shared" ca="1" si="14"/>
        <v>19171.502153741283</v>
      </c>
      <c r="U30" s="31">
        <f t="shared" ca="1" si="15"/>
        <v>11819.907238452473</v>
      </c>
      <c r="V30" s="31">
        <f t="shared" ca="1" si="16"/>
        <v>19856.536082595594</v>
      </c>
      <c r="W30" s="31">
        <f t="shared" ca="1" si="17"/>
        <v>54949.235669159854</v>
      </c>
      <c r="X30" s="31">
        <f t="shared" ca="1" si="18"/>
        <v>5293.6309406206847</v>
      </c>
      <c r="Y30" s="31">
        <f t="shared" ca="1" si="19"/>
        <v>10659.298500294892</v>
      </c>
      <c r="Z30" s="31">
        <f t="shared" ca="1" si="20"/>
        <v>1217.9848070292057</v>
      </c>
      <c r="AA30" s="44">
        <f t="shared" ca="1" si="21"/>
        <v>178076.19392729839</v>
      </c>
      <c r="AB30" s="165"/>
      <c r="AC30" s="73" t="s">
        <v>10</v>
      </c>
      <c r="AD30" s="166" t="s">
        <v>10</v>
      </c>
      <c r="AE30" s="95"/>
      <c r="AF30" s="95"/>
      <c r="AG30" s="174" t="s">
        <v>10</v>
      </c>
      <c r="AH30" s="174"/>
      <c r="AI30" s="95"/>
      <c r="AJ30" s="95"/>
      <c r="AK30" s="166" t="s">
        <v>10</v>
      </c>
      <c r="AL30" s="95"/>
      <c r="AM30" s="166" t="s">
        <v>10</v>
      </c>
      <c r="AN30" s="95"/>
    </row>
    <row r="31" spans="1:41" ht="15.75" customHeight="1">
      <c r="A31" s="33">
        <v>30</v>
      </c>
      <c r="B31" s="30">
        <v>40000</v>
      </c>
      <c r="C31" s="46"/>
      <c r="D31" s="35">
        <f t="shared" ca="1" si="0"/>
        <v>0.60705463338049337</v>
      </c>
      <c r="E31" s="38">
        <f t="shared" ca="1" si="22"/>
        <v>5</v>
      </c>
      <c r="F31" s="40">
        <f t="shared" ca="1" si="1"/>
        <v>1</v>
      </c>
      <c r="G31" s="40">
        <f t="shared" ca="1" si="2"/>
        <v>1</v>
      </c>
      <c r="H31" s="40">
        <f t="shared" ca="1" si="3"/>
        <v>1</v>
      </c>
      <c r="I31" s="40">
        <f t="shared" ca="1" si="4"/>
        <v>1</v>
      </c>
      <c r="J31" s="40">
        <f t="shared" ca="1" si="5"/>
        <v>1</v>
      </c>
      <c r="K31" s="40">
        <f t="shared" ca="1" si="6"/>
        <v>0</v>
      </c>
      <c r="L31" s="40">
        <f t="shared" ca="1" si="7"/>
        <v>0</v>
      </c>
      <c r="M31" s="40">
        <f t="shared" ca="1" si="8"/>
        <v>0</v>
      </c>
      <c r="N31" s="40">
        <f t="shared" ca="1" si="9"/>
        <v>0</v>
      </c>
      <c r="O31" s="40">
        <f t="shared" ca="1" si="10"/>
        <v>0</v>
      </c>
      <c r="P31" s="42"/>
      <c r="Q31" s="31">
        <f t="shared" ca="1" si="11"/>
        <v>30566.164812803996</v>
      </c>
      <c r="R31" s="31">
        <f t="shared" ca="1" si="12"/>
        <v>11601.85851544266</v>
      </c>
      <c r="S31" s="31">
        <f t="shared" ca="1" si="13"/>
        <v>13685.412197304744</v>
      </c>
      <c r="T31" s="31">
        <f t="shared" ca="1" si="14"/>
        <v>7280.9452379049799</v>
      </c>
      <c r="U31" s="31">
        <f t="shared" ca="1" si="15"/>
        <v>10857.118911171066</v>
      </c>
      <c r="V31" s="31">
        <f t="shared" ca="1" si="16"/>
        <v>0</v>
      </c>
      <c r="W31" s="31">
        <f t="shared" ca="1" si="17"/>
        <v>0</v>
      </c>
      <c r="X31" s="31">
        <f t="shared" ca="1" si="18"/>
        <v>0</v>
      </c>
      <c r="Y31" s="31">
        <f t="shared" ca="1" si="19"/>
        <v>0</v>
      </c>
      <c r="Z31" s="31">
        <f t="shared" ca="1" si="20"/>
        <v>0</v>
      </c>
      <c r="AA31" s="44">
        <f t="shared" ca="1" si="21"/>
        <v>73991.499674627456</v>
      </c>
      <c r="AB31" s="165"/>
      <c r="AC31" s="96" t="s">
        <v>11</v>
      </c>
      <c r="AD31" s="95"/>
      <c r="AE31" s="95"/>
      <c r="AF31" s="95"/>
      <c r="AG31" s="174" t="s">
        <v>10</v>
      </c>
      <c r="AH31" s="174"/>
      <c r="AI31" s="95"/>
      <c r="AJ31" s="95"/>
      <c r="AK31" s="166" t="s">
        <v>10</v>
      </c>
      <c r="AL31" s="95"/>
      <c r="AM31" s="166" t="s">
        <v>10</v>
      </c>
      <c r="AN31" s="95"/>
    </row>
    <row r="32" spans="1:41" ht="15.75" customHeight="1">
      <c r="A32" s="33">
        <v>31</v>
      </c>
      <c r="B32" s="30">
        <v>40000</v>
      </c>
      <c r="C32" s="46"/>
      <c r="D32" s="35">
        <f t="shared" ca="1" si="0"/>
        <v>0.30692623696244725</v>
      </c>
      <c r="E32" s="38">
        <f t="shared" ca="1" si="22"/>
        <v>3</v>
      </c>
      <c r="F32" s="40">
        <f t="shared" ca="1" si="1"/>
        <v>1</v>
      </c>
      <c r="G32" s="40">
        <f t="shared" ca="1" si="2"/>
        <v>1</v>
      </c>
      <c r="H32" s="40">
        <f t="shared" ca="1" si="3"/>
        <v>1</v>
      </c>
      <c r="I32" s="40">
        <f t="shared" ca="1" si="4"/>
        <v>0</v>
      </c>
      <c r="J32" s="40">
        <f t="shared" ca="1" si="5"/>
        <v>0</v>
      </c>
      <c r="K32" s="40">
        <f t="shared" ca="1" si="6"/>
        <v>0</v>
      </c>
      <c r="L32" s="40">
        <f t="shared" ca="1" si="7"/>
        <v>0</v>
      </c>
      <c r="M32" s="40">
        <f t="shared" ca="1" si="8"/>
        <v>0</v>
      </c>
      <c r="N32" s="40">
        <f t="shared" ca="1" si="9"/>
        <v>0</v>
      </c>
      <c r="O32" s="40">
        <f t="shared" ca="1" si="10"/>
        <v>0</v>
      </c>
      <c r="P32" s="42"/>
      <c r="Q32" s="31">
        <f t="shared" ca="1" si="11"/>
        <v>44479.790415228643</v>
      </c>
      <c r="R32" s="31">
        <f t="shared" ca="1" si="12"/>
        <v>20046.970153860457</v>
      </c>
      <c r="S32" s="31">
        <f t="shared" ca="1" si="13"/>
        <v>5973.7556973504734</v>
      </c>
      <c r="T32" s="31">
        <f t="shared" ca="1" si="14"/>
        <v>0</v>
      </c>
      <c r="U32" s="31">
        <f t="shared" ca="1" si="15"/>
        <v>0</v>
      </c>
      <c r="V32" s="31">
        <f t="shared" ca="1" si="16"/>
        <v>0</v>
      </c>
      <c r="W32" s="31">
        <f t="shared" ca="1" si="17"/>
        <v>0</v>
      </c>
      <c r="X32" s="31">
        <f t="shared" ca="1" si="18"/>
        <v>0</v>
      </c>
      <c r="Y32" s="31">
        <f t="shared" ca="1" si="19"/>
        <v>0</v>
      </c>
      <c r="Z32" s="31">
        <f t="shared" ca="1" si="20"/>
        <v>0</v>
      </c>
      <c r="AA32" s="44">
        <f t="shared" ca="1" si="21"/>
        <v>70500.516266439576</v>
      </c>
      <c r="AB32" s="165"/>
      <c r="AC32" s="95"/>
      <c r="AD32" s="95"/>
      <c r="AE32" s="95"/>
      <c r="AF32" s="95"/>
      <c r="AG32" s="174" t="s">
        <v>10</v>
      </c>
      <c r="AH32" s="174"/>
      <c r="AI32" s="95"/>
      <c r="AJ32" s="95"/>
      <c r="AK32" s="166" t="s">
        <v>10</v>
      </c>
      <c r="AL32" s="95"/>
      <c r="AM32" s="166" t="s">
        <v>10</v>
      </c>
      <c r="AN32" s="95"/>
    </row>
    <row r="33" spans="1:41" ht="15.75" customHeight="1">
      <c r="A33" s="33">
        <v>32</v>
      </c>
      <c r="B33" s="30">
        <v>40000</v>
      </c>
      <c r="C33" s="46"/>
      <c r="D33" s="35">
        <f t="shared" ca="1" si="0"/>
        <v>0.95941870674564189</v>
      </c>
      <c r="E33" s="38">
        <f t="shared" ca="1" si="22"/>
        <v>9</v>
      </c>
      <c r="F33" s="40">
        <f t="shared" ca="1" si="1"/>
        <v>1</v>
      </c>
      <c r="G33" s="40">
        <f t="shared" ca="1" si="2"/>
        <v>1</v>
      </c>
      <c r="H33" s="40">
        <f t="shared" ca="1" si="3"/>
        <v>1</v>
      </c>
      <c r="I33" s="40">
        <f t="shared" ca="1" si="4"/>
        <v>1</v>
      </c>
      <c r="J33" s="40">
        <f t="shared" ca="1" si="5"/>
        <v>1</v>
      </c>
      <c r="K33" s="40">
        <f t="shared" ca="1" si="6"/>
        <v>1</v>
      </c>
      <c r="L33" s="40">
        <f t="shared" ca="1" si="7"/>
        <v>1</v>
      </c>
      <c r="M33" s="40">
        <f t="shared" ca="1" si="8"/>
        <v>1</v>
      </c>
      <c r="N33" s="40">
        <f t="shared" ca="1" si="9"/>
        <v>1</v>
      </c>
      <c r="O33" s="40">
        <f t="shared" ca="1" si="10"/>
        <v>0</v>
      </c>
      <c r="P33" s="42"/>
      <c r="Q33" s="31">
        <f t="shared" ca="1" si="11"/>
        <v>9967.9447630037284</v>
      </c>
      <c r="R33" s="31">
        <f t="shared" ca="1" si="12"/>
        <v>1433.5126003317052</v>
      </c>
      <c r="S33" s="31">
        <f t="shared" ca="1" si="13"/>
        <v>15874.930963326384</v>
      </c>
      <c r="T33" s="31">
        <f t="shared" ca="1" si="14"/>
        <v>6550.043802029475</v>
      </c>
      <c r="U33" s="31">
        <f t="shared" ca="1" si="15"/>
        <v>9336.5786775835677</v>
      </c>
      <c r="V33" s="31">
        <f t="shared" ca="1" si="16"/>
        <v>10295.9129717707</v>
      </c>
      <c r="W33" s="31">
        <f t="shared" ca="1" si="17"/>
        <v>18666.844885942141</v>
      </c>
      <c r="X33" s="31">
        <f t="shared" ca="1" si="18"/>
        <v>20285.628910351603</v>
      </c>
      <c r="Y33" s="31">
        <f t="shared" ca="1" si="19"/>
        <v>1706.2025861932727</v>
      </c>
      <c r="Z33" s="31">
        <f t="shared" ca="1" si="20"/>
        <v>0</v>
      </c>
      <c r="AA33" s="44">
        <f t="shared" ca="1" si="21"/>
        <v>94117.600160532573</v>
      </c>
      <c r="AB33" s="165"/>
      <c r="AC33" s="96" t="s">
        <v>10</v>
      </c>
      <c r="AD33" s="95"/>
      <c r="AE33" s="95"/>
      <c r="AF33" s="95"/>
      <c r="AG33" s="174" t="s">
        <v>10</v>
      </c>
      <c r="AH33" s="174"/>
      <c r="AI33" s="95"/>
      <c r="AJ33" s="95"/>
      <c r="AK33" s="166" t="s">
        <v>10</v>
      </c>
      <c r="AL33" s="95"/>
      <c r="AM33" s="166" t="s">
        <v>10</v>
      </c>
      <c r="AN33" s="95"/>
    </row>
    <row r="34" spans="1:41" ht="15.75" customHeight="1">
      <c r="A34" s="33">
        <v>33</v>
      </c>
      <c r="B34" s="30">
        <v>40000</v>
      </c>
      <c r="C34" s="46"/>
      <c r="D34" s="35">
        <f t="shared" ref="D34:D65" ca="1" si="27">RAND()</f>
        <v>0.49435121416660832</v>
      </c>
      <c r="E34" s="38">
        <f t="shared" ca="1" si="22"/>
        <v>4</v>
      </c>
      <c r="F34" s="40">
        <f t="shared" ref="F34:F65" ca="1" si="28">IF(E34&gt;=1,1,0)</f>
        <v>1</v>
      </c>
      <c r="G34" s="40">
        <f t="shared" ref="G34:G65" ca="1" si="29">IF(E34&gt;=2,1,0)</f>
        <v>1</v>
      </c>
      <c r="H34" s="40">
        <f t="shared" ref="H34:H65" ca="1" si="30">IF(E34&gt;=3,1,0)</f>
        <v>1</v>
      </c>
      <c r="I34" s="40">
        <f t="shared" ref="I34:I65" ca="1" si="31">IF(E34&gt;=4,1,0)</f>
        <v>1</v>
      </c>
      <c r="J34" s="40">
        <f t="shared" ref="J34:J65" ca="1" si="32">IF(E34&gt;=5,1,0)</f>
        <v>0</v>
      </c>
      <c r="K34" s="40">
        <f t="shared" ref="K34:K65" ca="1" si="33">IF(E34&gt;=6,1,0)</f>
        <v>0</v>
      </c>
      <c r="L34" s="40">
        <f t="shared" ca="1" si="7"/>
        <v>0</v>
      </c>
      <c r="M34" s="40">
        <f ca="1">IF(E34&gt;=8,1,0)</f>
        <v>0</v>
      </c>
      <c r="N34" s="40">
        <f t="shared" ref="N34:N65" ca="1" si="34">IF(E34&gt;=9,1,0)</f>
        <v>0</v>
      </c>
      <c r="O34" s="40">
        <f t="shared" ref="O34:O65" ca="1" si="35">IF(E34&gt;=10,1,0)</f>
        <v>0</v>
      </c>
      <c r="P34" s="42"/>
      <c r="Q34" s="31">
        <f t="shared" ref="Q34:Q65" ca="1" si="36">_xlfn.CHISQ.INV(RAND(),2)*$AO$4 *F34</f>
        <v>7336.0545446855449</v>
      </c>
      <c r="R34" s="31">
        <f t="shared" ref="R34:R65" ca="1" si="37">_xlfn.CHISQ.INV(RAND(),2)*$AO$4 *G34</f>
        <v>1358.671688140827</v>
      </c>
      <c r="S34" s="31">
        <f t="shared" ref="S34:S65" ca="1" si="38">_xlfn.CHISQ.INV(RAND(),2)*$AO$4 *H34</f>
        <v>22027.804057424848</v>
      </c>
      <c r="T34" s="31">
        <f t="shared" ref="T34:T65" ca="1" si="39">_xlfn.CHISQ.INV(RAND(),2)*$AO$4 *I34</f>
        <v>16712.809591767058</v>
      </c>
      <c r="U34" s="31">
        <f t="shared" ref="U34:U65" ca="1" si="40">_xlfn.CHISQ.INV(RAND(),2)*$AO$4 *J34</f>
        <v>0</v>
      </c>
      <c r="V34" s="31">
        <f t="shared" ref="V34:V65" ca="1" si="41">_xlfn.CHISQ.INV(RAND(),2)*$AO$4 *K34</f>
        <v>0</v>
      </c>
      <c r="W34" s="31">
        <f t="shared" ref="W34:W65" ca="1" si="42">_xlfn.CHISQ.INV(RAND(),2)*$AO$4 *L34</f>
        <v>0</v>
      </c>
      <c r="X34" s="31">
        <f t="shared" ref="X34:X65" ca="1" si="43">_xlfn.CHISQ.INV(RAND(),2)*$AO$4 *M34</f>
        <v>0</v>
      </c>
      <c r="Y34" s="31">
        <f t="shared" ref="Y34:Y65" ca="1" si="44">_xlfn.CHISQ.INV(RAND(),2)*$AO$4 *N34</f>
        <v>0</v>
      </c>
      <c r="Z34" s="31">
        <f t="shared" ref="Z34:Z65" ca="1" si="45">_xlfn.CHISQ.INV(RAND(),2)*$AO$4 *O34</f>
        <v>0</v>
      </c>
      <c r="AA34" s="44">
        <f t="shared" ref="AA34:AA65" ca="1" si="46">SUM(Q34:Z34)</f>
        <v>47435.339882018277</v>
      </c>
      <c r="AB34" s="165"/>
      <c r="AC34" s="96" t="s">
        <v>11</v>
      </c>
      <c r="AD34" s="95"/>
      <c r="AE34" s="95"/>
      <c r="AF34" s="95"/>
      <c r="AG34" s="95"/>
      <c r="AH34" s="95"/>
      <c r="AI34" s="95"/>
      <c r="AJ34" s="95"/>
      <c r="AK34" s="166" t="s">
        <v>10</v>
      </c>
      <c r="AL34" s="95"/>
      <c r="AM34" s="166" t="s">
        <v>10</v>
      </c>
      <c r="AN34" s="95"/>
    </row>
    <row r="35" spans="1:41" ht="15.75" customHeight="1">
      <c r="A35" s="33">
        <v>34</v>
      </c>
      <c r="B35" s="30">
        <v>40000</v>
      </c>
      <c r="C35" s="46"/>
      <c r="D35" s="35">
        <f t="shared" ca="1" si="27"/>
        <v>0.65943534862654862</v>
      </c>
      <c r="E35" s="38">
        <f t="shared" ca="1" si="22"/>
        <v>5</v>
      </c>
      <c r="F35" s="40">
        <f t="shared" ca="1" si="28"/>
        <v>1</v>
      </c>
      <c r="G35" s="40">
        <f t="shared" ca="1" si="29"/>
        <v>1</v>
      </c>
      <c r="H35" s="40">
        <f t="shared" ca="1" si="30"/>
        <v>1</v>
      </c>
      <c r="I35" s="40">
        <f t="shared" ca="1" si="31"/>
        <v>1</v>
      </c>
      <c r="J35" s="40">
        <f t="shared" ca="1" si="32"/>
        <v>1</v>
      </c>
      <c r="K35" s="40">
        <f t="shared" ca="1" si="33"/>
        <v>0</v>
      </c>
      <c r="L35" s="40">
        <f t="shared" ca="1" si="7"/>
        <v>0</v>
      </c>
      <c r="M35" s="40">
        <f t="shared" ref="M35:M65" ca="1" si="47">IF(E35&gt;=8,1,0)</f>
        <v>0</v>
      </c>
      <c r="N35" s="40">
        <f t="shared" ca="1" si="34"/>
        <v>0</v>
      </c>
      <c r="O35" s="40">
        <f t="shared" ca="1" si="35"/>
        <v>0</v>
      </c>
      <c r="P35" s="42"/>
      <c r="Q35" s="31">
        <f t="shared" ca="1" si="36"/>
        <v>27378.129482017161</v>
      </c>
      <c r="R35" s="31">
        <f t="shared" ca="1" si="37"/>
        <v>8933.5629831644783</v>
      </c>
      <c r="S35" s="31">
        <f t="shared" ca="1" si="38"/>
        <v>10000.576527446205</v>
      </c>
      <c r="T35" s="31">
        <f t="shared" ca="1" si="39"/>
        <v>20478.896784501114</v>
      </c>
      <c r="U35" s="31">
        <f t="shared" ca="1" si="40"/>
        <v>11421.347295717816</v>
      </c>
      <c r="V35" s="31">
        <f t="shared" ca="1" si="41"/>
        <v>0</v>
      </c>
      <c r="W35" s="31">
        <f t="shared" ca="1" si="42"/>
        <v>0</v>
      </c>
      <c r="X35" s="31">
        <f t="shared" ca="1" si="43"/>
        <v>0</v>
      </c>
      <c r="Y35" s="31">
        <f t="shared" ca="1" si="44"/>
        <v>0</v>
      </c>
      <c r="Z35" s="31">
        <f t="shared" ca="1" si="45"/>
        <v>0</v>
      </c>
      <c r="AA35" s="44">
        <f t="shared" ca="1" si="46"/>
        <v>78212.513072846763</v>
      </c>
      <c r="AB35" s="165"/>
      <c r="AC35" s="96" t="s">
        <v>10</v>
      </c>
      <c r="AD35" s="95"/>
      <c r="AE35" s="95"/>
      <c r="AF35" s="95"/>
      <c r="AG35" s="95"/>
      <c r="AH35" s="95"/>
      <c r="AI35" s="95"/>
      <c r="AJ35" s="95"/>
      <c r="AK35" s="166" t="s">
        <v>10</v>
      </c>
      <c r="AL35" s="95"/>
      <c r="AM35" s="166" t="s">
        <v>10</v>
      </c>
      <c r="AN35" s="95"/>
    </row>
    <row r="36" spans="1:41" ht="15.75" customHeight="1">
      <c r="A36" s="33">
        <v>35</v>
      </c>
      <c r="B36" s="30">
        <v>40000</v>
      </c>
      <c r="C36" s="46"/>
      <c r="D36" s="35">
        <f t="shared" ca="1" si="27"/>
        <v>0.85790177184365635</v>
      </c>
      <c r="E36" s="38">
        <f t="shared" ca="1" si="22"/>
        <v>7</v>
      </c>
      <c r="F36" s="40">
        <f t="shared" ca="1" si="28"/>
        <v>1</v>
      </c>
      <c r="G36" s="40">
        <f t="shared" ca="1" si="29"/>
        <v>1</v>
      </c>
      <c r="H36" s="40">
        <f t="shared" ca="1" si="30"/>
        <v>1</v>
      </c>
      <c r="I36" s="40">
        <f t="shared" ca="1" si="31"/>
        <v>1</v>
      </c>
      <c r="J36" s="40">
        <f t="shared" ca="1" si="32"/>
        <v>1</v>
      </c>
      <c r="K36" s="40">
        <f t="shared" ca="1" si="33"/>
        <v>1</v>
      </c>
      <c r="L36" s="40">
        <f t="shared" ca="1" si="7"/>
        <v>1</v>
      </c>
      <c r="M36" s="40">
        <f t="shared" ca="1" si="47"/>
        <v>0</v>
      </c>
      <c r="N36" s="40">
        <f t="shared" ca="1" si="34"/>
        <v>0</v>
      </c>
      <c r="O36" s="40">
        <f t="shared" ca="1" si="35"/>
        <v>0</v>
      </c>
      <c r="P36" s="42"/>
      <c r="Q36" s="31">
        <f t="shared" ca="1" si="36"/>
        <v>56939.731179524068</v>
      </c>
      <c r="R36" s="31">
        <f t="shared" ca="1" si="37"/>
        <v>3287.6841420906007</v>
      </c>
      <c r="S36" s="31">
        <f t="shared" ca="1" si="38"/>
        <v>11609.189916111402</v>
      </c>
      <c r="T36" s="31">
        <f t="shared" ca="1" si="39"/>
        <v>38356.869271227959</v>
      </c>
      <c r="U36" s="31">
        <f t="shared" ca="1" si="40"/>
        <v>3907.738367645537</v>
      </c>
      <c r="V36" s="31">
        <f t="shared" ca="1" si="41"/>
        <v>40054.445284225774</v>
      </c>
      <c r="W36" s="31">
        <f t="shared" ca="1" si="42"/>
        <v>29194.804491602601</v>
      </c>
      <c r="X36" s="31">
        <f t="shared" ca="1" si="43"/>
        <v>0</v>
      </c>
      <c r="Y36" s="31">
        <f t="shared" ca="1" si="44"/>
        <v>0</v>
      </c>
      <c r="Z36" s="31">
        <f t="shared" ca="1" si="45"/>
        <v>0</v>
      </c>
      <c r="AA36" s="44">
        <f t="shared" ca="1" si="46"/>
        <v>183350.46265242793</v>
      </c>
      <c r="AB36" s="165"/>
      <c r="AC36" s="96" t="s">
        <v>10</v>
      </c>
      <c r="AD36" s="95"/>
      <c r="AE36" s="95"/>
      <c r="AF36" s="95"/>
      <c r="AG36" s="95"/>
      <c r="AH36" s="95"/>
      <c r="AI36" s="95"/>
      <c r="AJ36" s="95"/>
      <c r="AK36" s="166" t="s">
        <v>10</v>
      </c>
      <c r="AL36" s="95"/>
      <c r="AM36" s="166" t="s">
        <v>10</v>
      </c>
      <c r="AN36" s="95"/>
    </row>
    <row r="37" spans="1:41" ht="15.75" customHeight="1">
      <c r="A37" s="33">
        <v>36</v>
      </c>
      <c r="B37" s="30">
        <v>40000</v>
      </c>
      <c r="C37" s="46"/>
      <c r="D37" s="35">
        <f t="shared" ca="1" si="27"/>
        <v>3.1551047529853382E-2</v>
      </c>
      <c r="E37" s="38">
        <f t="shared" ca="1" si="22"/>
        <v>0</v>
      </c>
      <c r="F37" s="40">
        <f t="shared" ca="1" si="28"/>
        <v>0</v>
      </c>
      <c r="G37" s="40">
        <f t="shared" ca="1" si="29"/>
        <v>0</v>
      </c>
      <c r="H37" s="40">
        <f t="shared" ca="1" si="30"/>
        <v>0</v>
      </c>
      <c r="I37" s="40">
        <f t="shared" ca="1" si="31"/>
        <v>0</v>
      </c>
      <c r="J37" s="40">
        <f t="shared" ca="1" si="32"/>
        <v>0</v>
      </c>
      <c r="K37" s="40">
        <f t="shared" ca="1" si="33"/>
        <v>0</v>
      </c>
      <c r="L37" s="40">
        <f t="shared" ca="1" si="7"/>
        <v>0</v>
      </c>
      <c r="M37" s="40">
        <f t="shared" ca="1" si="47"/>
        <v>0</v>
      </c>
      <c r="N37" s="40">
        <f t="shared" ca="1" si="34"/>
        <v>0</v>
      </c>
      <c r="O37" s="40">
        <f t="shared" ca="1" si="35"/>
        <v>0</v>
      </c>
      <c r="P37" s="42"/>
      <c r="Q37" s="31">
        <f t="shared" ca="1" si="36"/>
        <v>0</v>
      </c>
      <c r="R37" s="31">
        <f t="shared" ca="1" si="37"/>
        <v>0</v>
      </c>
      <c r="S37" s="31">
        <f t="shared" ca="1" si="38"/>
        <v>0</v>
      </c>
      <c r="T37" s="31">
        <f t="shared" ca="1" si="39"/>
        <v>0</v>
      </c>
      <c r="U37" s="31">
        <f t="shared" ca="1" si="40"/>
        <v>0</v>
      </c>
      <c r="V37" s="31">
        <f t="shared" ca="1" si="41"/>
        <v>0</v>
      </c>
      <c r="W37" s="31">
        <f t="shared" ca="1" si="42"/>
        <v>0</v>
      </c>
      <c r="X37" s="31">
        <f t="shared" ca="1" si="43"/>
        <v>0</v>
      </c>
      <c r="Y37" s="31">
        <f t="shared" ca="1" si="44"/>
        <v>0</v>
      </c>
      <c r="Z37" s="31">
        <f t="shared" ca="1" si="45"/>
        <v>0</v>
      </c>
      <c r="AA37" s="44">
        <f t="shared" ca="1" si="46"/>
        <v>0</v>
      </c>
      <c r="AB37" s="165"/>
      <c r="AC37" s="95"/>
      <c r="AD37" s="95"/>
      <c r="AE37" s="95"/>
      <c r="AF37" s="95"/>
      <c r="AG37" s="95"/>
      <c r="AH37" s="95"/>
      <c r="AI37" s="95"/>
      <c r="AJ37" s="95"/>
      <c r="AK37" s="166" t="s">
        <v>10</v>
      </c>
      <c r="AL37" s="95"/>
      <c r="AM37" s="95"/>
      <c r="AN37" s="95"/>
    </row>
    <row r="38" spans="1:41" ht="15.75" customHeight="1">
      <c r="A38" s="33">
        <v>37</v>
      </c>
      <c r="B38" s="30">
        <v>40000</v>
      </c>
      <c r="C38" s="46"/>
      <c r="D38" s="35">
        <f t="shared" ca="1" si="27"/>
        <v>0.46483341810870082</v>
      </c>
      <c r="E38" s="38">
        <f t="shared" ca="1" si="22"/>
        <v>4</v>
      </c>
      <c r="F38" s="40">
        <f t="shared" ca="1" si="28"/>
        <v>1</v>
      </c>
      <c r="G38" s="40">
        <f t="shared" ca="1" si="29"/>
        <v>1</v>
      </c>
      <c r="H38" s="40">
        <f t="shared" ca="1" si="30"/>
        <v>1</v>
      </c>
      <c r="I38" s="40">
        <f t="shared" ca="1" si="31"/>
        <v>1</v>
      </c>
      <c r="J38" s="40">
        <f t="shared" ca="1" si="32"/>
        <v>0</v>
      </c>
      <c r="K38" s="40">
        <f t="shared" ca="1" si="33"/>
        <v>0</v>
      </c>
      <c r="L38" s="40">
        <f t="shared" ca="1" si="7"/>
        <v>0</v>
      </c>
      <c r="M38" s="40">
        <f t="shared" ca="1" si="47"/>
        <v>0</v>
      </c>
      <c r="N38" s="40">
        <f t="shared" ca="1" si="34"/>
        <v>0</v>
      </c>
      <c r="O38" s="40">
        <f t="shared" ca="1" si="35"/>
        <v>0</v>
      </c>
      <c r="P38" s="42"/>
      <c r="Q38" s="31">
        <f t="shared" ca="1" si="36"/>
        <v>22723.196796154967</v>
      </c>
      <c r="R38" s="31">
        <f t="shared" ca="1" si="37"/>
        <v>10627.208182538981</v>
      </c>
      <c r="S38" s="31">
        <f t="shared" ca="1" si="38"/>
        <v>36643.59568173685</v>
      </c>
      <c r="T38" s="31">
        <f t="shared" ca="1" si="39"/>
        <v>4995.5193748886404</v>
      </c>
      <c r="U38" s="31">
        <f t="shared" ca="1" si="40"/>
        <v>0</v>
      </c>
      <c r="V38" s="31">
        <f t="shared" ca="1" si="41"/>
        <v>0</v>
      </c>
      <c r="W38" s="31">
        <f t="shared" ca="1" si="42"/>
        <v>0</v>
      </c>
      <c r="X38" s="31">
        <f t="shared" ca="1" si="43"/>
        <v>0</v>
      </c>
      <c r="Y38" s="31">
        <f t="shared" ca="1" si="44"/>
        <v>0</v>
      </c>
      <c r="Z38" s="31">
        <f t="shared" ca="1" si="45"/>
        <v>0</v>
      </c>
      <c r="AA38" s="44">
        <f t="shared" ca="1" si="46"/>
        <v>74989.520035319438</v>
      </c>
      <c r="AB38" s="165"/>
      <c r="AC38" s="95"/>
      <c r="AD38" s="95"/>
      <c r="AE38" s="95"/>
      <c r="AF38" s="95"/>
      <c r="AG38" s="95"/>
      <c r="AH38" s="95"/>
      <c r="AI38" s="95"/>
      <c r="AJ38" s="95"/>
      <c r="AK38" s="166" t="s">
        <v>10</v>
      </c>
      <c r="AL38" s="95"/>
      <c r="AM38" s="95"/>
      <c r="AN38" s="95"/>
    </row>
    <row r="39" spans="1:41" ht="15.75" customHeight="1">
      <c r="A39" s="33">
        <v>38</v>
      </c>
      <c r="B39" s="30">
        <v>40000</v>
      </c>
      <c r="C39" s="46"/>
      <c r="D39" s="35">
        <f t="shared" ca="1" si="27"/>
        <v>0.2948488199644812</v>
      </c>
      <c r="E39" s="38">
        <f t="shared" ca="1" si="22"/>
        <v>3</v>
      </c>
      <c r="F39" s="40">
        <f t="shared" ca="1" si="28"/>
        <v>1</v>
      </c>
      <c r="G39" s="40">
        <f t="shared" ca="1" si="29"/>
        <v>1</v>
      </c>
      <c r="H39" s="40">
        <f t="shared" ca="1" si="30"/>
        <v>1</v>
      </c>
      <c r="I39" s="40">
        <f t="shared" ca="1" si="31"/>
        <v>0</v>
      </c>
      <c r="J39" s="40">
        <f t="shared" ca="1" si="32"/>
        <v>0</v>
      </c>
      <c r="K39" s="40">
        <f ca="1">IF(E39&gt;=6,1,0)</f>
        <v>0</v>
      </c>
      <c r="L39" s="40">
        <f ca="1">IF(E39&gt;=7,1,0)</f>
        <v>0</v>
      </c>
      <c r="M39" s="40">
        <f t="shared" ca="1" si="47"/>
        <v>0</v>
      </c>
      <c r="N39" s="40">
        <f t="shared" ca="1" si="34"/>
        <v>0</v>
      </c>
      <c r="O39" s="40">
        <f t="shared" ca="1" si="35"/>
        <v>0</v>
      </c>
      <c r="P39" s="42"/>
      <c r="Q39" s="31">
        <f t="shared" ca="1" si="36"/>
        <v>119949.30406778252</v>
      </c>
      <c r="R39" s="31">
        <f t="shared" ca="1" si="37"/>
        <v>14170.081691147114</v>
      </c>
      <c r="S39" s="31">
        <f t="shared" ca="1" si="38"/>
        <v>63043.081819100604</v>
      </c>
      <c r="T39" s="31">
        <f t="shared" ca="1" si="39"/>
        <v>0</v>
      </c>
      <c r="U39" s="31">
        <f t="shared" ca="1" si="40"/>
        <v>0</v>
      </c>
      <c r="V39" s="31">
        <f t="shared" ca="1" si="41"/>
        <v>0</v>
      </c>
      <c r="W39" s="31">
        <f t="shared" ca="1" si="42"/>
        <v>0</v>
      </c>
      <c r="X39" s="31">
        <f t="shared" ca="1" si="43"/>
        <v>0</v>
      </c>
      <c r="Y39" s="31">
        <f t="shared" ca="1" si="44"/>
        <v>0</v>
      </c>
      <c r="Z39" s="31">
        <f t="shared" ca="1" si="45"/>
        <v>0</v>
      </c>
      <c r="AA39" s="44">
        <f t="shared" ca="1" si="46"/>
        <v>197162.46757803022</v>
      </c>
      <c r="AB39" s="165"/>
      <c r="AC39" s="95"/>
      <c r="AD39" s="95"/>
      <c r="AE39" s="95"/>
      <c r="AF39" s="95"/>
      <c r="AG39" s="95"/>
      <c r="AH39" s="95"/>
      <c r="AI39" s="95"/>
      <c r="AJ39" s="95"/>
      <c r="AK39" s="166" t="s">
        <v>10</v>
      </c>
      <c r="AL39" s="95"/>
      <c r="AM39" s="95"/>
      <c r="AN39" s="95"/>
    </row>
    <row r="40" spans="1:41" ht="15.75" customHeight="1">
      <c r="A40" s="33">
        <v>39</v>
      </c>
      <c r="B40" s="30">
        <v>40000</v>
      </c>
      <c r="C40" s="46"/>
      <c r="D40" s="35">
        <f t="shared" ca="1" si="27"/>
        <v>0.99211788839522386</v>
      </c>
      <c r="E40" s="38">
        <f t="shared" ca="1" si="22"/>
        <v>10</v>
      </c>
      <c r="F40" s="40">
        <f t="shared" ca="1" si="28"/>
        <v>1</v>
      </c>
      <c r="G40" s="40">
        <f t="shared" ca="1" si="29"/>
        <v>1</v>
      </c>
      <c r="H40" s="40">
        <f t="shared" ca="1" si="30"/>
        <v>1</v>
      </c>
      <c r="I40" s="40">
        <f t="shared" ca="1" si="31"/>
        <v>1</v>
      </c>
      <c r="J40" s="40">
        <f t="shared" ca="1" si="32"/>
        <v>1</v>
      </c>
      <c r="K40" s="40">
        <f t="shared" ca="1" si="33"/>
        <v>1</v>
      </c>
      <c r="L40" s="40">
        <f t="shared" ref="L40:L71" ca="1" si="48">IF(E40&gt;=7,1,0)</f>
        <v>1</v>
      </c>
      <c r="M40" s="40">
        <f t="shared" ca="1" si="47"/>
        <v>1</v>
      </c>
      <c r="N40" s="40">
        <f t="shared" ca="1" si="34"/>
        <v>1</v>
      </c>
      <c r="O40" s="40">
        <f t="shared" ca="1" si="35"/>
        <v>1</v>
      </c>
      <c r="P40" s="42"/>
      <c r="Q40" s="31">
        <f t="shared" ca="1" si="36"/>
        <v>8325.9320778187812</v>
      </c>
      <c r="R40" s="31">
        <f t="shared" ca="1" si="37"/>
        <v>14772.68345015601</v>
      </c>
      <c r="S40" s="31">
        <f t="shared" ca="1" si="38"/>
        <v>7602.7605821905572</v>
      </c>
      <c r="T40" s="31">
        <f t="shared" ca="1" si="39"/>
        <v>55478.393791691822</v>
      </c>
      <c r="U40" s="31">
        <f t="shared" ca="1" si="40"/>
        <v>6183.141498398476</v>
      </c>
      <c r="V40" s="31">
        <f t="shared" ca="1" si="41"/>
        <v>53019.91116886805</v>
      </c>
      <c r="W40" s="31">
        <f t="shared" ca="1" si="42"/>
        <v>38633.852153302374</v>
      </c>
      <c r="X40" s="31">
        <f t="shared" ca="1" si="43"/>
        <v>23397.917677862239</v>
      </c>
      <c r="Y40" s="31">
        <f t="shared" ca="1" si="44"/>
        <v>6602.1186873098541</v>
      </c>
      <c r="Z40" s="31">
        <f t="shared" ca="1" si="45"/>
        <v>12316.744311286862</v>
      </c>
      <c r="AA40" s="44">
        <f t="shared" ca="1" si="46"/>
        <v>226333.45539888504</v>
      </c>
      <c r="AB40" s="165"/>
      <c r="AC40" s="95"/>
      <c r="AD40" s="95"/>
      <c r="AE40" s="95"/>
      <c r="AF40" s="95"/>
      <c r="AG40" s="95"/>
      <c r="AH40" s="95"/>
      <c r="AI40" s="95"/>
      <c r="AJ40" s="95"/>
      <c r="AK40" s="166" t="s">
        <v>10</v>
      </c>
      <c r="AL40" s="95"/>
      <c r="AM40" s="95"/>
      <c r="AN40" s="95"/>
    </row>
    <row r="41" spans="1:41" ht="15.75" customHeight="1">
      <c r="A41" s="33">
        <v>40</v>
      </c>
      <c r="B41" s="30">
        <v>40000</v>
      </c>
      <c r="C41" s="46"/>
      <c r="D41" s="35">
        <f t="shared" ca="1" si="27"/>
        <v>0.13897396554423747</v>
      </c>
      <c r="E41" s="38">
        <f t="shared" ca="1" si="22"/>
        <v>1</v>
      </c>
      <c r="F41" s="40">
        <f t="shared" ca="1" si="28"/>
        <v>1</v>
      </c>
      <c r="G41" s="40">
        <f t="shared" ca="1" si="29"/>
        <v>0</v>
      </c>
      <c r="H41" s="40">
        <f t="shared" ca="1" si="30"/>
        <v>0</v>
      </c>
      <c r="I41" s="40">
        <f t="shared" ca="1" si="31"/>
        <v>0</v>
      </c>
      <c r="J41" s="40">
        <f ca="1">IF(E41&gt;=5,1,0)</f>
        <v>0</v>
      </c>
      <c r="K41" s="40">
        <f ca="1">IF(E41&gt;=6,1,0)</f>
        <v>0</v>
      </c>
      <c r="L41" s="40">
        <f t="shared" ca="1" si="48"/>
        <v>0</v>
      </c>
      <c r="M41" s="40">
        <f t="shared" ca="1" si="47"/>
        <v>0</v>
      </c>
      <c r="N41" s="40">
        <f t="shared" ca="1" si="34"/>
        <v>0</v>
      </c>
      <c r="O41" s="40">
        <f t="shared" ca="1" si="35"/>
        <v>0</v>
      </c>
      <c r="P41" s="42"/>
      <c r="Q41" s="31">
        <f t="shared" ca="1" si="36"/>
        <v>34979.552177400117</v>
      </c>
      <c r="R41" s="31">
        <f t="shared" ca="1" si="37"/>
        <v>0</v>
      </c>
      <c r="S41" s="31">
        <f t="shared" ca="1" si="38"/>
        <v>0</v>
      </c>
      <c r="T41" s="31">
        <f t="shared" ca="1" si="39"/>
        <v>0</v>
      </c>
      <c r="U41" s="31">
        <f t="shared" ca="1" si="40"/>
        <v>0</v>
      </c>
      <c r="V41" s="31">
        <f t="shared" ca="1" si="41"/>
        <v>0</v>
      </c>
      <c r="W41" s="31">
        <f t="shared" ca="1" si="42"/>
        <v>0</v>
      </c>
      <c r="X41" s="31">
        <f t="shared" ca="1" si="43"/>
        <v>0</v>
      </c>
      <c r="Y41" s="31">
        <f t="shared" ca="1" si="44"/>
        <v>0</v>
      </c>
      <c r="Z41" s="31">
        <f t="shared" ca="1" si="45"/>
        <v>0</v>
      </c>
      <c r="AA41" s="44">
        <f t="shared" ca="1" si="46"/>
        <v>34979.552177400117</v>
      </c>
      <c r="AB41" s="165"/>
      <c r="AC41" s="95"/>
      <c r="AD41" s="95"/>
      <c r="AE41" s="95"/>
      <c r="AF41" s="95"/>
      <c r="AG41" s="95"/>
      <c r="AH41" s="95"/>
      <c r="AI41" s="95"/>
      <c r="AJ41" s="95"/>
      <c r="AK41" s="166" t="s">
        <v>10</v>
      </c>
      <c r="AL41" s="95"/>
      <c r="AM41" s="95"/>
      <c r="AN41" s="95"/>
      <c r="AO41" s="95"/>
    </row>
    <row r="42" spans="1:41" ht="15.75" customHeight="1">
      <c r="A42" s="33">
        <v>41</v>
      </c>
      <c r="B42" s="30">
        <v>40000</v>
      </c>
      <c r="C42" s="46"/>
      <c r="D42" s="35">
        <f t="shared" ca="1" si="27"/>
        <v>0.25701319361086616</v>
      </c>
      <c r="E42" s="38">
        <f t="shared" ca="1" si="22"/>
        <v>2</v>
      </c>
      <c r="F42" s="40">
        <f t="shared" ca="1" si="28"/>
        <v>1</v>
      </c>
      <c r="G42" s="40">
        <f t="shared" ca="1" si="29"/>
        <v>1</v>
      </c>
      <c r="H42" s="40">
        <f t="shared" ca="1" si="30"/>
        <v>0</v>
      </c>
      <c r="I42" s="40">
        <f t="shared" ca="1" si="31"/>
        <v>0</v>
      </c>
      <c r="J42" s="40">
        <f t="shared" ca="1" si="32"/>
        <v>0</v>
      </c>
      <c r="K42" s="40">
        <f t="shared" ca="1" si="33"/>
        <v>0</v>
      </c>
      <c r="L42" s="40">
        <f t="shared" ca="1" si="48"/>
        <v>0</v>
      </c>
      <c r="M42" s="40">
        <f ca="1">IF(E42&gt;=8,1,0)</f>
        <v>0</v>
      </c>
      <c r="N42" s="40">
        <f t="shared" ca="1" si="34"/>
        <v>0</v>
      </c>
      <c r="O42" s="40">
        <f t="shared" ca="1" si="35"/>
        <v>0</v>
      </c>
      <c r="P42" s="42"/>
      <c r="Q42" s="31">
        <f t="shared" ca="1" si="36"/>
        <v>8374.4157861452331</v>
      </c>
      <c r="R42" s="31">
        <f t="shared" ca="1" si="37"/>
        <v>13971.609622482323</v>
      </c>
      <c r="S42" s="31">
        <f t="shared" ca="1" si="38"/>
        <v>0</v>
      </c>
      <c r="T42" s="31">
        <f t="shared" ca="1" si="39"/>
        <v>0</v>
      </c>
      <c r="U42" s="31">
        <f t="shared" ca="1" si="40"/>
        <v>0</v>
      </c>
      <c r="V42" s="31">
        <f t="shared" ca="1" si="41"/>
        <v>0</v>
      </c>
      <c r="W42" s="31">
        <f t="shared" ca="1" si="42"/>
        <v>0</v>
      </c>
      <c r="X42" s="31">
        <f t="shared" ca="1" si="43"/>
        <v>0</v>
      </c>
      <c r="Y42" s="31">
        <f t="shared" ca="1" si="44"/>
        <v>0</v>
      </c>
      <c r="Z42" s="31">
        <f t="shared" ca="1" si="45"/>
        <v>0</v>
      </c>
      <c r="AA42" s="44">
        <f t="shared" ca="1" si="46"/>
        <v>22346.025408627556</v>
      </c>
      <c r="AB42" s="16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</row>
    <row r="43" spans="1:41" ht="15.75" customHeight="1">
      <c r="A43" s="33">
        <v>42</v>
      </c>
      <c r="B43" s="30">
        <v>40000</v>
      </c>
      <c r="C43" s="46"/>
      <c r="D43" s="35">
        <f t="shared" ca="1" si="27"/>
        <v>0.67604423734472974</v>
      </c>
      <c r="E43" s="38">
        <f t="shared" ca="1" si="22"/>
        <v>5</v>
      </c>
      <c r="F43" s="40">
        <f t="shared" ca="1" si="28"/>
        <v>1</v>
      </c>
      <c r="G43" s="40">
        <f t="shared" ca="1" si="29"/>
        <v>1</v>
      </c>
      <c r="H43" s="40">
        <f t="shared" ca="1" si="30"/>
        <v>1</v>
      </c>
      <c r="I43" s="40">
        <f t="shared" ca="1" si="31"/>
        <v>1</v>
      </c>
      <c r="J43" s="40">
        <f t="shared" ca="1" si="32"/>
        <v>1</v>
      </c>
      <c r="K43" s="40">
        <f t="shared" ca="1" si="33"/>
        <v>0</v>
      </c>
      <c r="L43" s="40">
        <f t="shared" ca="1" si="48"/>
        <v>0</v>
      </c>
      <c r="M43" s="40">
        <f t="shared" ca="1" si="47"/>
        <v>0</v>
      </c>
      <c r="N43" s="40">
        <f t="shared" ca="1" si="34"/>
        <v>0</v>
      </c>
      <c r="O43" s="40">
        <f t="shared" ca="1" si="35"/>
        <v>0</v>
      </c>
      <c r="P43" s="42"/>
      <c r="Q43" s="31">
        <f t="shared" ca="1" si="36"/>
        <v>34321.610614068872</v>
      </c>
      <c r="R43" s="31">
        <f t="shared" ca="1" si="37"/>
        <v>10878.736323425539</v>
      </c>
      <c r="S43" s="31">
        <f t="shared" ca="1" si="38"/>
        <v>35678.54064106851</v>
      </c>
      <c r="T43" s="31">
        <f t="shared" ca="1" si="39"/>
        <v>29369.441195396841</v>
      </c>
      <c r="U43" s="31">
        <f t="shared" ca="1" si="40"/>
        <v>35273.630468476484</v>
      </c>
      <c r="V43" s="31">
        <f t="shared" ca="1" si="41"/>
        <v>0</v>
      </c>
      <c r="W43" s="31">
        <f t="shared" ca="1" si="42"/>
        <v>0</v>
      </c>
      <c r="X43" s="31">
        <f t="shared" ca="1" si="43"/>
        <v>0</v>
      </c>
      <c r="Y43" s="31">
        <f t="shared" ca="1" si="44"/>
        <v>0</v>
      </c>
      <c r="Z43" s="31">
        <f t="shared" ca="1" si="45"/>
        <v>0</v>
      </c>
      <c r="AA43" s="44">
        <f t="shared" ca="1" si="46"/>
        <v>145521.95924243625</v>
      </c>
      <c r="AB43" s="16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</row>
    <row r="44" spans="1:41" ht="15.75" customHeight="1">
      <c r="A44" s="33">
        <v>43</v>
      </c>
      <c r="B44" s="30">
        <v>40000</v>
      </c>
      <c r="C44" s="46"/>
      <c r="D44" s="35">
        <f t="shared" ca="1" si="27"/>
        <v>0.12738537015348439</v>
      </c>
      <c r="E44" s="38">
        <f t="shared" ca="1" si="22"/>
        <v>1</v>
      </c>
      <c r="F44" s="40">
        <f t="shared" ca="1" si="28"/>
        <v>1</v>
      </c>
      <c r="G44" s="40">
        <f t="shared" ca="1" si="29"/>
        <v>0</v>
      </c>
      <c r="H44" s="40">
        <f t="shared" ca="1" si="30"/>
        <v>0</v>
      </c>
      <c r="I44" s="40">
        <f t="shared" ca="1" si="31"/>
        <v>0</v>
      </c>
      <c r="J44" s="40">
        <f t="shared" ca="1" si="32"/>
        <v>0</v>
      </c>
      <c r="K44" s="40">
        <f t="shared" ca="1" si="33"/>
        <v>0</v>
      </c>
      <c r="L44" s="40">
        <f t="shared" ca="1" si="48"/>
        <v>0</v>
      </c>
      <c r="M44" s="40">
        <f t="shared" ca="1" si="47"/>
        <v>0</v>
      </c>
      <c r="N44" s="40">
        <f t="shared" ca="1" si="34"/>
        <v>0</v>
      </c>
      <c r="O44" s="40">
        <f t="shared" ca="1" si="35"/>
        <v>0</v>
      </c>
      <c r="P44" s="42"/>
      <c r="Q44" s="31">
        <f t="shared" ca="1" si="36"/>
        <v>34325.741712736832</v>
      </c>
      <c r="R44" s="31">
        <f t="shared" ca="1" si="37"/>
        <v>0</v>
      </c>
      <c r="S44" s="31">
        <f t="shared" ca="1" si="38"/>
        <v>0</v>
      </c>
      <c r="T44" s="31">
        <f t="shared" ca="1" si="39"/>
        <v>0</v>
      </c>
      <c r="U44" s="31">
        <f t="shared" ca="1" si="40"/>
        <v>0</v>
      </c>
      <c r="V44" s="31">
        <f t="shared" ca="1" si="41"/>
        <v>0</v>
      </c>
      <c r="W44" s="31">
        <f t="shared" ca="1" si="42"/>
        <v>0</v>
      </c>
      <c r="X44" s="31">
        <f t="shared" ca="1" si="43"/>
        <v>0</v>
      </c>
      <c r="Y44" s="31">
        <f t="shared" ca="1" si="44"/>
        <v>0</v>
      </c>
      <c r="Z44" s="31">
        <f t="shared" ca="1" si="45"/>
        <v>0</v>
      </c>
      <c r="AA44" s="44">
        <f t="shared" ca="1" si="46"/>
        <v>34325.741712736832</v>
      </c>
      <c r="AB44" s="16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</row>
    <row r="45" spans="1:41" ht="15.75" customHeight="1">
      <c r="A45" s="33">
        <v>44</v>
      </c>
      <c r="B45" s="30">
        <v>40000</v>
      </c>
      <c r="C45" s="46"/>
      <c r="D45" s="35">
        <f t="shared" ca="1" si="27"/>
        <v>0.21695138455192942</v>
      </c>
      <c r="E45" s="38">
        <f t="shared" ca="1" si="22"/>
        <v>2</v>
      </c>
      <c r="F45" s="40">
        <f t="shared" ca="1" si="28"/>
        <v>1</v>
      </c>
      <c r="G45" s="40">
        <f t="shared" ca="1" si="29"/>
        <v>1</v>
      </c>
      <c r="H45" s="40">
        <f t="shared" ca="1" si="30"/>
        <v>0</v>
      </c>
      <c r="I45" s="40">
        <f t="shared" ca="1" si="31"/>
        <v>0</v>
      </c>
      <c r="J45" s="40">
        <f t="shared" ca="1" si="32"/>
        <v>0</v>
      </c>
      <c r="K45" s="40">
        <f t="shared" ca="1" si="33"/>
        <v>0</v>
      </c>
      <c r="L45" s="40">
        <f t="shared" ca="1" si="48"/>
        <v>0</v>
      </c>
      <c r="M45" s="40">
        <f t="shared" ca="1" si="47"/>
        <v>0</v>
      </c>
      <c r="N45" s="40">
        <f t="shared" ca="1" si="34"/>
        <v>0</v>
      </c>
      <c r="O45" s="40">
        <f t="shared" ca="1" si="35"/>
        <v>0</v>
      </c>
      <c r="P45" s="42"/>
      <c r="Q45" s="31">
        <f t="shared" ca="1" si="36"/>
        <v>26025.781589502771</v>
      </c>
      <c r="R45" s="31">
        <f t="shared" ca="1" si="37"/>
        <v>640.13545753062851</v>
      </c>
      <c r="S45" s="31">
        <f t="shared" ca="1" si="38"/>
        <v>0</v>
      </c>
      <c r="T45" s="31">
        <f t="shared" ca="1" si="39"/>
        <v>0</v>
      </c>
      <c r="U45" s="31">
        <f t="shared" ca="1" si="40"/>
        <v>0</v>
      </c>
      <c r="V45" s="31">
        <f t="shared" ca="1" si="41"/>
        <v>0</v>
      </c>
      <c r="W45" s="31">
        <f t="shared" ca="1" si="42"/>
        <v>0</v>
      </c>
      <c r="X45" s="31">
        <f t="shared" ca="1" si="43"/>
        <v>0</v>
      </c>
      <c r="Y45" s="31">
        <f t="shared" ca="1" si="44"/>
        <v>0</v>
      </c>
      <c r="Z45" s="31">
        <f t="shared" ca="1" si="45"/>
        <v>0</v>
      </c>
      <c r="AA45" s="44">
        <f t="shared" ca="1" si="46"/>
        <v>26665.917047033399</v>
      </c>
      <c r="AB45" s="16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</row>
    <row r="46" spans="1:41" ht="15.75" customHeight="1">
      <c r="A46" s="33">
        <v>45</v>
      </c>
      <c r="B46" s="30">
        <v>40000</v>
      </c>
      <c r="C46" s="46"/>
      <c r="D46" s="35">
        <f t="shared" ca="1" si="27"/>
        <v>0.17207856241625463</v>
      </c>
      <c r="E46" s="38">
        <f t="shared" ca="1" si="22"/>
        <v>2</v>
      </c>
      <c r="F46" s="40">
        <f t="shared" ca="1" si="28"/>
        <v>1</v>
      </c>
      <c r="G46" s="40">
        <f t="shared" ca="1" si="29"/>
        <v>1</v>
      </c>
      <c r="H46" s="40">
        <f t="shared" ca="1" si="30"/>
        <v>0</v>
      </c>
      <c r="I46" s="40">
        <f t="shared" ca="1" si="31"/>
        <v>0</v>
      </c>
      <c r="J46" s="40">
        <f t="shared" ca="1" si="32"/>
        <v>0</v>
      </c>
      <c r="K46" s="40">
        <f t="shared" ca="1" si="33"/>
        <v>0</v>
      </c>
      <c r="L46" s="40">
        <f t="shared" ca="1" si="48"/>
        <v>0</v>
      </c>
      <c r="M46" s="40">
        <f t="shared" ca="1" si="47"/>
        <v>0</v>
      </c>
      <c r="N46" s="40">
        <f t="shared" ca="1" si="34"/>
        <v>0</v>
      </c>
      <c r="O46" s="40">
        <f t="shared" ca="1" si="35"/>
        <v>0</v>
      </c>
      <c r="P46" s="42"/>
      <c r="Q46" s="31">
        <f t="shared" ca="1" si="36"/>
        <v>3287.2347569856438</v>
      </c>
      <c r="R46" s="31">
        <f t="shared" ca="1" si="37"/>
        <v>46584.123303715016</v>
      </c>
      <c r="S46" s="31">
        <f t="shared" ca="1" si="38"/>
        <v>0</v>
      </c>
      <c r="T46" s="31">
        <f t="shared" ca="1" si="39"/>
        <v>0</v>
      </c>
      <c r="U46" s="31">
        <f t="shared" ca="1" si="40"/>
        <v>0</v>
      </c>
      <c r="V46" s="31">
        <f t="shared" ca="1" si="41"/>
        <v>0</v>
      </c>
      <c r="W46" s="31">
        <f t="shared" ca="1" si="42"/>
        <v>0</v>
      </c>
      <c r="X46" s="31">
        <f t="shared" ca="1" si="43"/>
        <v>0</v>
      </c>
      <c r="Y46" s="31">
        <f t="shared" ca="1" si="44"/>
        <v>0</v>
      </c>
      <c r="Z46" s="31">
        <f t="shared" ca="1" si="45"/>
        <v>0</v>
      </c>
      <c r="AA46" s="44">
        <f t="shared" ca="1" si="46"/>
        <v>49871.358060700659</v>
      </c>
      <c r="AB46" s="16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36" t="s">
        <v>10</v>
      </c>
      <c r="AN46" s="95"/>
      <c r="AO46" s="95"/>
    </row>
    <row r="47" spans="1:41" ht="15.75" customHeight="1">
      <c r="A47" s="33">
        <v>46</v>
      </c>
      <c r="B47" s="30">
        <v>40000</v>
      </c>
      <c r="C47" s="46"/>
      <c r="D47" s="35">
        <f t="shared" ca="1" si="27"/>
        <v>0.99301615619618788</v>
      </c>
      <c r="E47" s="38">
        <f t="shared" ca="1" si="22"/>
        <v>10</v>
      </c>
      <c r="F47" s="40">
        <f t="shared" ca="1" si="28"/>
        <v>1</v>
      </c>
      <c r="G47" s="40">
        <f t="shared" ca="1" si="29"/>
        <v>1</v>
      </c>
      <c r="H47" s="40">
        <f t="shared" ca="1" si="30"/>
        <v>1</v>
      </c>
      <c r="I47" s="40">
        <f t="shared" ca="1" si="31"/>
        <v>1</v>
      </c>
      <c r="J47" s="40">
        <f t="shared" ca="1" si="32"/>
        <v>1</v>
      </c>
      <c r="K47" s="40">
        <f ca="1">IF(E47&gt;=6,1,0)</f>
        <v>1</v>
      </c>
      <c r="L47" s="40">
        <f t="shared" ca="1" si="48"/>
        <v>1</v>
      </c>
      <c r="M47" s="40">
        <f t="shared" ca="1" si="47"/>
        <v>1</v>
      </c>
      <c r="N47" s="40">
        <f t="shared" ca="1" si="34"/>
        <v>1</v>
      </c>
      <c r="O47" s="40">
        <f t="shared" ca="1" si="35"/>
        <v>1</v>
      </c>
      <c r="P47" s="42"/>
      <c r="Q47" s="31">
        <f t="shared" ca="1" si="36"/>
        <v>3247.4413566254834</v>
      </c>
      <c r="R47" s="31">
        <f t="shared" ca="1" si="37"/>
        <v>46338.204504826266</v>
      </c>
      <c r="S47" s="31">
        <f t="shared" ca="1" si="38"/>
        <v>35849.682981320162</v>
      </c>
      <c r="T47" s="31">
        <f t="shared" ca="1" si="39"/>
        <v>46767.374274669324</v>
      </c>
      <c r="U47" s="31">
        <f t="shared" ca="1" si="40"/>
        <v>33955.639301360519</v>
      </c>
      <c r="V47" s="31">
        <f t="shared" ca="1" si="41"/>
        <v>5072.4287366483813</v>
      </c>
      <c r="W47" s="31">
        <f t="shared" ca="1" si="42"/>
        <v>6382.3357457569127</v>
      </c>
      <c r="X47" s="31">
        <f t="shared" ca="1" si="43"/>
        <v>8335.7859869375443</v>
      </c>
      <c r="Y47" s="31">
        <f t="shared" ca="1" si="44"/>
        <v>63827.195696622111</v>
      </c>
      <c r="Z47" s="31">
        <f t="shared" ca="1" si="45"/>
        <v>4677.254092236386</v>
      </c>
      <c r="AA47" s="44">
        <f t="shared" ca="1" si="46"/>
        <v>254453.34267700312</v>
      </c>
      <c r="AB47" s="16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36" t="s">
        <v>10</v>
      </c>
      <c r="AN47" s="95"/>
      <c r="AO47" s="95"/>
    </row>
    <row r="48" spans="1:41" ht="15.75" customHeight="1">
      <c r="A48" s="33">
        <v>47</v>
      </c>
      <c r="B48" s="30">
        <v>40000</v>
      </c>
      <c r="C48" s="46"/>
      <c r="D48" s="35">
        <f t="shared" ca="1" si="27"/>
        <v>0.74059927802221681</v>
      </c>
      <c r="E48" s="38">
        <f t="shared" ca="1" si="22"/>
        <v>6</v>
      </c>
      <c r="F48" s="40">
        <f t="shared" ca="1" si="28"/>
        <v>1</v>
      </c>
      <c r="G48" s="40">
        <f t="shared" ca="1" si="29"/>
        <v>1</v>
      </c>
      <c r="H48" s="40">
        <f t="shared" ca="1" si="30"/>
        <v>1</v>
      </c>
      <c r="I48" s="40">
        <f t="shared" ca="1" si="31"/>
        <v>1</v>
      </c>
      <c r="J48" s="40">
        <f t="shared" ca="1" si="32"/>
        <v>1</v>
      </c>
      <c r="K48" s="40">
        <f t="shared" ca="1" si="33"/>
        <v>1</v>
      </c>
      <c r="L48" s="40">
        <f t="shared" ca="1" si="48"/>
        <v>0</v>
      </c>
      <c r="M48" s="40">
        <f t="shared" ca="1" si="47"/>
        <v>0</v>
      </c>
      <c r="N48" s="40">
        <f t="shared" ca="1" si="34"/>
        <v>0</v>
      </c>
      <c r="O48" s="40">
        <f t="shared" ca="1" si="35"/>
        <v>0</v>
      </c>
      <c r="P48" s="42"/>
      <c r="Q48" s="31">
        <f t="shared" ca="1" si="36"/>
        <v>43391.525785771766</v>
      </c>
      <c r="R48" s="31">
        <f t="shared" ca="1" si="37"/>
        <v>10290.159041229643</v>
      </c>
      <c r="S48" s="31">
        <f t="shared" ca="1" si="38"/>
        <v>20859.568595844805</v>
      </c>
      <c r="T48" s="31">
        <f t="shared" ca="1" si="39"/>
        <v>67791.005211668424</v>
      </c>
      <c r="U48" s="31">
        <f t="shared" ca="1" si="40"/>
        <v>6491.6021678228053</v>
      </c>
      <c r="V48" s="31">
        <f t="shared" ca="1" si="41"/>
        <v>7739.8161793444997</v>
      </c>
      <c r="W48" s="31">
        <f t="shared" ca="1" si="42"/>
        <v>0</v>
      </c>
      <c r="X48" s="31">
        <f t="shared" ca="1" si="43"/>
        <v>0</v>
      </c>
      <c r="Y48" s="31">
        <f t="shared" ca="1" si="44"/>
        <v>0</v>
      </c>
      <c r="Z48" s="31">
        <f t="shared" ca="1" si="45"/>
        <v>0</v>
      </c>
      <c r="AA48" s="44">
        <f t="shared" ca="1" si="46"/>
        <v>156563.67698168193</v>
      </c>
      <c r="AB48" s="16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36" t="s">
        <v>10</v>
      </c>
      <c r="AN48" s="95"/>
      <c r="AO48" s="95"/>
    </row>
    <row r="49" spans="1:41" ht="13.2">
      <c r="A49" s="33">
        <v>48</v>
      </c>
      <c r="B49" s="30">
        <v>40000</v>
      </c>
      <c r="C49" s="46"/>
      <c r="D49" s="35">
        <f t="shared" ca="1" si="27"/>
        <v>0.35926462852230057</v>
      </c>
      <c r="E49" s="38">
        <f t="shared" ca="1" si="22"/>
        <v>3</v>
      </c>
      <c r="F49" s="40">
        <f t="shared" ca="1" si="28"/>
        <v>1</v>
      </c>
      <c r="G49" s="40">
        <f t="shared" ca="1" si="29"/>
        <v>1</v>
      </c>
      <c r="H49" s="40">
        <f t="shared" ca="1" si="30"/>
        <v>1</v>
      </c>
      <c r="I49" s="40">
        <f t="shared" ca="1" si="31"/>
        <v>0</v>
      </c>
      <c r="J49" s="40">
        <f t="shared" ca="1" si="32"/>
        <v>0</v>
      </c>
      <c r="K49" s="40">
        <f t="shared" ca="1" si="33"/>
        <v>0</v>
      </c>
      <c r="L49" s="40">
        <f t="shared" ca="1" si="48"/>
        <v>0</v>
      </c>
      <c r="M49" s="40">
        <f t="shared" ca="1" si="47"/>
        <v>0</v>
      </c>
      <c r="N49" s="40">
        <f t="shared" ca="1" si="34"/>
        <v>0</v>
      </c>
      <c r="O49" s="40">
        <f t="shared" ca="1" si="35"/>
        <v>0</v>
      </c>
      <c r="P49" s="42"/>
      <c r="Q49" s="31">
        <f t="shared" ca="1" si="36"/>
        <v>2682.6632560622947</v>
      </c>
      <c r="R49" s="31">
        <f t="shared" ca="1" si="37"/>
        <v>58708.184770972373</v>
      </c>
      <c r="S49" s="31">
        <f t="shared" ca="1" si="38"/>
        <v>4751.5821513738592</v>
      </c>
      <c r="T49" s="31">
        <f t="shared" ca="1" si="39"/>
        <v>0</v>
      </c>
      <c r="U49" s="31">
        <f t="shared" ca="1" si="40"/>
        <v>0</v>
      </c>
      <c r="V49" s="31">
        <f t="shared" ca="1" si="41"/>
        <v>0</v>
      </c>
      <c r="W49" s="31">
        <f t="shared" ca="1" si="42"/>
        <v>0</v>
      </c>
      <c r="X49" s="31">
        <f t="shared" ca="1" si="43"/>
        <v>0</v>
      </c>
      <c r="Y49" s="31">
        <f t="shared" ca="1" si="44"/>
        <v>0</v>
      </c>
      <c r="Z49" s="31">
        <f t="shared" ca="1" si="45"/>
        <v>0</v>
      </c>
      <c r="AA49" s="44">
        <f t="shared" ca="1" si="46"/>
        <v>66142.430178408526</v>
      </c>
      <c r="AB49" s="16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36" t="s">
        <v>10</v>
      </c>
      <c r="AN49" s="95"/>
      <c r="AO49" s="95"/>
    </row>
    <row r="50" spans="1:41" ht="13.2">
      <c r="A50" s="33">
        <v>49</v>
      </c>
      <c r="B50" s="30">
        <v>40000</v>
      </c>
      <c r="C50" s="46"/>
      <c r="D50" s="35">
        <f t="shared" ca="1" si="27"/>
        <v>0.30665003261599022</v>
      </c>
      <c r="E50" s="38">
        <f t="shared" ca="1" si="22"/>
        <v>3</v>
      </c>
      <c r="F50" s="40">
        <f t="shared" ca="1" si="28"/>
        <v>1</v>
      </c>
      <c r="G50" s="40">
        <f t="shared" ca="1" si="29"/>
        <v>1</v>
      </c>
      <c r="H50" s="40">
        <f t="shared" ca="1" si="30"/>
        <v>1</v>
      </c>
      <c r="I50" s="40">
        <f t="shared" ca="1" si="31"/>
        <v>0</v>
      </c>
      <c r="J50" s="40">
        <f t="shared" ca="1" si="32"/>
        <v>0</v>
      </c>
      <c r="K50" s="40">
        <f t="shared" ca="1" si="33"/>
        <v>0</v>
      </c>
      <c r="L50" s="40">
        <f t="shared" ca="1" si="48"/>
        <v>0</v>
      </c>
      <c r="M50" s="40">
        <f t="shared" ca="1" si="47"/>
        <v>0</v>
      </c>
      <c r="N50" s="40">
        <f t="shared" ca="1" si="34"/>
        <v>0</v>
      </c>
      <c r="O50" s="40">
        <f t="shared" ca="1" si="35"/>
        <v>0</v>
      </c>
      <c r="P50" s="42"/>
      <c r="Q50" s="31">
        <f t="shared" ca="1" si="36"/>
        <v>5302.1620194967445</v>
      </c>
      <c r="R50" s="31">
        <f t="shared" ca="1" si="37"/>
        <v>13394.882801512342</v>
      </c>
      <c r="S50" s="31">
        <f t="shared" ca="1" si="38"/>
        <v>22137.967417601492</v>
      </c>
      <c r="T50" s="31">
        <f t="shared" ca="1" si="39"/>
        <v>0</v>
      </c>
      <c r="U50" s="31">
        <f t="shared" ca="1" si="40"/>
        <v>0</v>
      </c>
      <c r="V50" s="31">
        <f t="shared" ca="1" si="41"/>
        <v>0</v>
      </c>
      <c r="W50" s="31">
        <f t="shared" ca="1" si="42"/>
        <v>0</v>
      </c>
      <c r="X50" s="31">
        <f t="shared" ca="1" si="43"/>
        <v>0</v>
      </c>
      <c r="Y50" s="31">
        <f t="shared" ca="1" si="44"/>
        <v>0</v>
      </c>
      <c r="Z50" s="31">
        <f t="shared" ca="1" si="45"/>
        <v>0</v>
      </c>
      <c r="AA50" s="44">
        <f t="shared" ca="1" si="46"/>
        <v>40835.01223861058</v>
      </c>
      <c r="AB50" s="16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36" t="s">
        <v>10</v>
      </c>
      <c r="AN50" s="95"/>
      <c r="AO50" s="95"/>
    </row>
    <row r="51" spans="1:41" ht="13.2">
      <c r="A51" s="33">
        <v>50</v>
      </c>
      <c r="B51" s="30">
        <v>40000</v>
      </c>
      <c r="C51" s="46"/>
      <c r="D51" s="35">
        <f t="shared" ca="1" si="27"/>
        <v>0.6897867978341673</v>
      </c>
      <c r="E51" s="38">
        <f t="shared" ca="1" si="22"/>
        <v>6</v>
      </c>
      <c r="F51" s="40">
        <f t="shared" ca="1" si="28"/>
        <v>1</v>
      </c>
      <c r="G51" s="40">
        <f t="shared" ca="1" si="29"/>
        <v>1</v>
      </c>
      <c r="H51" s="40">
        <f t="shared" ca="1" si="30"/>
        <v>1</v>
      </c>
      <c r="I51" s="40">
        <f t="shared" ca="1" si="31"/>
        <v>1</v>
      </c>
      <c r="J51" s="40">
        <f t="shared" ca="1" si="32"/>
        <v>1</v>
      </c>
      <c r="K51" s="40">
        <f t="shared" ca="1" si="33"/>
        <v>1</v>
      </c>
      <c r="L51" s="40">
        <f t="shared" ca="1" si="48"/>
        <v>0</v>
      </c>
      <c r="M51" s="40">
        <f t="shared" ca="1" si="47"/>
        <v>0</v>
      </c>
      <c r="N51" s="40">
        <f t="shared" ca="1" si="34"/>
        <v>0</v>
      </c>
      <c r="O51" s="40">
        <f t="shared" ca="1" si="35"/>
        <v>0</v>
      </c>
      <c r="P51" s="42"/>
      <c r="Q51" s="31">
        <f t="shared" ca="1" si="36"/>
        <v>19823.726823218989</v>
      </c>
      <c r="R51" s="31">
        <f t="shared" ca="1" si="37"/>
        <v>51718.448472861826</v>
      </c>
      <c r="S51" s="31">
        <f t="shared" ca="1" si="38"/>
        <v>4357.6947986144587</v>
      </c>
      <c r="T51" s="31">
        <f t="shared" ca="1" si="39"/>
        <v>6405.7237514578801</v>
      </c>
      <c r="U51" s="31">
        <f t="shared" ca="1" si="40"/>
        <v>2217.6518081074928</v>
      </c>
      <c r="V51" s="31">
        <f t="shared" ca="1" si="41"/>
        <v>11422.425711690201</v>
      </c>
      <c r="W51" s="31">
        <f t="shared" ca="1" si="42"/>
        <v>0</v>
      </c>
      <c r="X51" s="31">
        <f t="shared" ca="1" si="43"/>
        <v>0</v>
      </c>
      <c r="Y51" s="31">
        <f t="shared" ca="1" si="44"/>
        <v>0</v>
      </c>
      <c r="Z51" s="31">
        <f t="shared" ca="1" si="45"/>
        <v>0</v>
      </c>
      <c r="AA51" s="44">
        <f t="shared" ca="1" si="46"/>
        <v>95945.671365950839</v>
      </c>
      <c r="AB51" s="16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36" t="s">
        <v>10</v>
      </c>
      <c r="AN51" s="95"/>
      <c r="AO51" s="95"/>
    </row>
    <row r="52" spans="1:41" ht="13.2">
      <c r="A52" s="33">
        <v>51</v>
      </c>
      <c r="B52" s="30">
        <v>40000</v>
      </c>
      <c r="C52" s="46"/>
      <c r="D52" s="35">
        <f t="shared" ca="1" si="27"/>
        <v>0.8082924810812584</v>
      </c>
      <c r="E52" s="38">
        <f t="shared" ca="1" si="22"/>
        <v>7</v>
      </c>
      <c r="F52" s="40">
        <f t="shared" ca="1" si="28"/>
        <v>1</v>
      </c>
      <c r="G52" s="40">
        <f t="shared" ca="1" si="29"/>
        <v>1</v>
      </c>
      <c r="H52" s="40">
        <f t="shared" ca="1" si="30"/>
        <v>1</v>
      </c>
      <c r="I52" s="40">
        <f t="shared" ca="1" si="31"/>
        <v>1</v>
      </c>
      <c r="J52" s="40">
        <f t="shared" ca="1" si="32"/>
        <v>1</v>
      </c>
      <c r="K52" s="40">
        <f t="shared" ca="1" si="33"/>
        <v>1</v>
      </c>
      <c r="L52" s="40">
        <f t="shared" ca="1" si="48"/>
        <v>1</v>
      </c>
      <c r="M52" s="40">
        <f t="shared" ca="1" si="47"/>
        <v>0</v>
      </c>
      <c r="N52" s="40">
        <f t="shared" ca="1" si="34"/>
        <v>0</v>
      </c>
      <c r="O52" s="40">
        <f t="shared" ca="1" si="35"/>
        <v>0</v>
      </c>
      <c r="P52" s="42"/>
      <c r="Q52" s="31">
        <f t="shared" ca="1" si="36"/>
        <v>9134.8145936044475</v>
      </c>
      <c r="R52" s="31">
        <f t="shared" ca="1" si="37"/>
        <v>13121.073042958495</v>
      </c>
      <c r="S52" s="31">
        <f t="shared" ca="1" si="38"/>
        <v>29841.921182577305</v>
      </c>
      <c r="T52" s="31">
        <f t="shared" ca="1" si="39"/>
        <v>13644.315352315327</v>
      </c>
      <c r="U52" s="31">
        <f t="shared" ca="1" si="40"/>
        <v>35359.573076013861</v>
      </c>
      <c r="V52" s="31">
        <f t="shared" ca="1" si="41"/>
        <v>12621.79981787183</v>
      </c>
      <c r="W52" s="31">
        <f t="shared" ca="1" si="42"/>
        <v>15591.951274907318</v>
      </c>
      <c r="X52" s="31">
        <f t="shared" ca="1" si="43"/>
        <v>0</v>
      </c>
      <c r="Y52" s="31">
        <f t="shared" ca="1" si="44"/>
        <v>0</v>
      </c>
      <c r="Z52" s="31">
        <f t="shared" ca="1" si="45"/>
        <v>0</v>
      </c>
      <c r="AA52" s="44">
        <f t="shared" ca="1" si="46"/>
        <v>129315.44834024859</v>
      </c>
      <c r="AB52" s="16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36" t="s">
        <v>10</v>
      </c>
      <c r="AN52" s="95"/>
      <c r="AO52" s="95"/>
    </row>
    <row r="53" spans="1:41" ht="13.2">
      <c r="A53" s="33">
        <v>52</v>
      </c>
      <c r="B53" s="30">
        <v>40000</v>
      </c>
      <c r="C53" s="46"/>
      <c r="D53" s="35">
        <f t="shared" ca="1" si="27"/>
        <v>0.22810152065523748</v>
      </c>
      <c r="E53" s="38">
        <f t="shared" ca="1" si="22"/>
        <v>2</v>
      </c>
      <c r="F53" s="40">
        <f t="shared" ca="1" si="28"/>
        <v>1</v>
      </c>
      <c r="G53" s="40">
        <f t="shared" ca="1" si="29"/>
        <v>1</v>
      </c>
      <c r="H53" s="40">
        <f t="shared" ca="1" si="30"/>
        <v>0</v>
      </c>
      <c r="I53" s="40">
        <f t="shared" ca="1" si="31"/>
        <v>0</v>
      </c>
      <c r="J53" s="40">
        <f t="shared" ca="1" si="32"/>
        <v>0</v>
      </c>
      <c r="K53" s="40">
        <f t="shared" ca="1" si="33"/>
        <v>0</v>
      </c>
      <c r="L53" s="40">
        <f t="shared" ca="1" si="48"/>
        <v>0</v>
      </c>
      <c r="M53" s="40">
        <f t="shared" ca="1" si="47"/>
        <v>0</v>
      </c>
      <c r="N53" s="40">
        <f t="shared" ca="1" si="34"/>
        <v>0</v>
      </c>
      <c r="O53" s="40">
        <f t="shared" ca="1" si="35"/>
        <v>0</v>
      </c>
      <c r="P53" s="42"/>
      <c r="Q53" s="31">
        <f t="shared" ca="1" si="36"/>
        <v>1311.7981367974055</v>
      </c>
      <c r="R53" s="31">
        <f t="shared" ca="1" si="37"/>
        <v>44244.913919195191</v>
      </c>
      <c r="S53" s="31">
        <f t="shared" ca="1" si="38"/>
        <v>0</v>
      </c>
      <c r="T53" s="31">
        <f t="shared" ca="1" si="39"/>
        <v>0</v>
      </c>
      <c r="U53" s="31">
        <f t="shared" ca="1" si="40"/>
        <v>0</v>
      </c>
      <c r="V53" s="31">
        <f t="shared" ca="1" si="41"/>
        <v>0</v>
      </c>
      <c r="W53" s="31">
        <f t="shared" ca="1" si="42"/>
        <v>0</v>
      </c>
      <c r="X53" s="31">
        <f t="shared" ca="1" si="43"/>
        <v>0</v>
      </c>
      <c r="Y53" s="31">
        <f t="shared" ca="1" si="44"/>
        <v>0</v>
      </c>
      <c r="Z53" s="31">
        <f t="shared" ca="1" si="45"/>
        <v>0</v>
      </c>
      <c r="AA53" s="44">
        <f t="shared" ca="1" si="46"/>
        <v>45556.712055992597</v>
      </c>
      <c r="AB53" s="16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36" t="s">
        <v>10</v>
      </c>
      <c r="AN53" s="95"/>
      <c r="AO53" s="95"/>
    </row>
    <row r="54" spans="1:41" ht="13.2">
      <c r="A54" s="33">
        <v>53</v>
      </c>
      <c r="B54" s="30">
        <v>40000</v>
      </c>
      <c r="C54" s="46"/>
      <c r="D54" s="35">
        <f t="shared" ca="1" si="27"/>
        <v>0.57364072230393282</v>
      </c>
      <c r="E54" s="38">
        <f t="shared" ca="1" si="22"/>
        <v>5</v>
      </c>
      <c r="F54" s="40">
        <f t="shared" ca="1" si="28"/>
        <v>1</v>
      </c>
      <c r="G54" s="40">
        <f t="shared" ca="1" si="29"/>
        <v>1</v>
      </c>
      <c r="H54" s="40">
        <f t="shared" ca="1" si="30"/>
        <v>1</v>
      </c>
      <c r="I54" s="40">
        <f t="shared" ca="1" si="31"/>
        <v>1</v>
      </c>
      <c r="J54" s="40">
        <f t="shared" ca="1" si="32"/>
        <v>1</v>
      </c>
      <c r="K54" s="40">
        <f t="shared" ca="1" si="33"/>
        <v>0</v>
      </c>
      <c r="L54" s="40">
        <f t="shared" ca="1" si="48"/>
        <v>0</v>
      </c>
      <c r="M54" s="40">
        <f t="shared" ca="1" si="47"/>
        <v>0</v>
      </c>
      <c r="N54" s="40">
        <f t="shared" ca="1" si="34"/>
        <v>0</v>
      </c>
      <c r="O54" s="40">
        <f t="shared" ca="1" si="35"/>
        <v>0</v>
      </c>
      <c r="P54" s="42"/>
      <c r="Q54" s="31">
        <f t="shared" ca="1" si="36"/>
        <v>11466.468055591393</v>
      </c>
      <c r="R54" s="31">
        <f t="shared" ca="1" si="37"/>
        <v>1116.9114713650324</v>
      </c>
      <c r="S54" s="31">
        <f t="shared" ca="1" si="38"/>
        <v>1501.0471238701007</v>
      </c>
      <c r="T54" s="31">
        <f t="shared" ca="1" si="39"/>
        <v>4900.2193352250124</v>
      </c>
      <c r="U54" s="31">
        <f t="shared" ca="1" si="40"/>
        <v>1408.1522602526161</v>
      </c>
      <c r="V54" s="31">
        <f t="shared" ca="1" si="41"/>
        <v>0</v>
      </c>
      <c r="W54" s="31">
        <f t="shared" ca="1" si="42"/>
        <v>0</v>
      </c>
      <c r="X54" s="31">
        <f t="shared" ca="1" si="43"/>
        <v>0</v>
      </c>
      <c r="Y54" s="31">
        <f t="shared" ca="1" si="44"/>
        <v>0</v>
      </c>
      <c r="Z54" s="31">
        <f t="shared" ca="1" si="45"/>
        <v>0</v>
      </c>
      <c r="AA54" s="44">
        <f t="shared" ca="1" si="46"/>
        <v>20392.798246304155</v>
      </c>
      <c r="AB54" s="16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</row>
    <row r="55" spans="1:41" ht="13.2">
      <c r="A55" s="33">
        <v>54</v>
      </c>
      <c r="B55" s="30">
        <v>40000</v>
      </c>
      <c r="C55" s="46"/>
      <c r="D55" s="35">
        <f t="shared" ca="1" si="27"/>
        <v>0.23818533720775825</v>
      </c>
      <c r="E55" s="38">
        <f t="shared" ca="1" si="22"/>
        <v>2</v>
      </c>
      <c r="F55" s="40">
        <f t="shared" ca="1" si="28"/>
        <v>1</v>
      </c>
      <c r="G55" s="40">
        <f t="shared" ca="1" si="29"/>
        <v>1</v>
      </c>
      <c r="H55" s="40">
        <f t="shared" ca="1" si="30"/>
        <v>0</v>
      </c>
      <c r="I55" s="40">
        <f t="shared" ca="1" si="31"/>
        <v>0</v>
      </c>
      <c r="J55" s="40">
        <f t="shared" ca="1" si="32"/>
        <v>0</v>
      </c>
      <c r="K55" s="40">
        <f t="shared" ca="1" si="33"/>
        <v>0</v>
      </c>
      <c r="L55" s="40">
        <f t="shared" ca="1" si="48"/>
        <v>0</v>
      </c>
      <c r="M55" s="40">
        <f t="shared" ca="1" si="47"/>
        <v>0</v>
      </c>
      <c r="N55" s="40">
        <f t="shared" ca="1" si="34"/>
        <v>0</v>
      </c>
      <c r="O55" s="40">
        <f t="shared" ca="1" si="35"/>
        <v>0</v>
      </c>
      <c r="P55" s="42"/>
      <c r="Q55" s="31">
        <f t="shared" ca="1" si="36"/>
        <v>5920.8560240356264</v>
      </c>
      <c r="R55" s="31">
        <f t="shared" ca="1" si="37"/>
        <v>7034.7386273137254</v>
      </c>
      <c r="S55" s="31">
        <f t="shared" ca="1" si="38"/>
        <v>0</v>
      </c>
      <c r="T55" s="31">
        <f t="shared" ca="1" si="39"/>
        <v>0</v>
      </c>
      <c r="U55" s="31">
        <f t="shared" ca="1" si="40"/>
        <v>0</v>
      </c>
      <c r="V55" s="31">
        <f t="shared" ca="1" si="41"/>
        <v>0</v>
      </c>
      <c r="W55" s="31">
        <f t="shared" ca="1" si="42"/>
        <v>0</v>
      </c>
      <c r="X55" s="31">
        <f t="shared" ca="1" si="43"/>
        <v>0</v>
      </c>
      <c r="Y55" s="31">
        <f t="shared" ca="1" si="44"/>
        <v>0</v>
      </c>
      <c r="Z55" s="31">
        <f t="shared" ca="1" si="45"/>
        <v>0</v>
      </c>
      <c r="AA55" s="44">
        <f t="shared" ca="1" si="46"/>
        <v>12955.594651349351</v>
      </c>
      <c r="AB55" s="165"/>
      <c r="AC55" s="95"/>
      <c r="AD55" s="95"/>
      <c r="AE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/>
    </row>
    <row r="56" spans="1:41" ht="13.2">
      <c r="A56" s="33">
        <v>55</v>
      </c>
      <c r="B56" s="30">
        <v>40000</v>
      </c>
      <c r="C56" s="46"/>
      <c r="D56" s="35">
        <f t="shared" ca="1" si="27"/>
        <v>0.87184399463847539</v>
      </c>
      <c r="E56" s="38">
        <f t="shared" ca="1" si="22"/>
        <v>8</v>
      </c>
      <c r="F56" s="40">
        <f t="shared" ca="1" si="28"/>
        <v>1</v>
      </c>
      <c r="G56" s="40">
        <f t="shared" ca="1" si="29"/>
        <v>1</v>
      </c>
      <c r="H56" s="40">
        <f t="shared" ca="1" si="30"/>
        <v>1</v>
      </c>
      <c r="I56" s="40">
        <f t="shared" ca="1" si="31"/>
        <v>1</v>
      </c>
      <c r="J56" s="40">
        <f t="shared" ca="1" si="32"/>
        <v>1</v>
      </c>
      <c r="K56" s="40">
        <f t="shared" ca="1" si="33"/>
        <v>1</v>
      </c>
      <c r="L56" s="40">
        <f t="shared" ca="1" si="48"/>
        <v>1</v>
      </c>
      <c r="M56" s="40">
        <f t="shared" ca="1" si="47"/>
        <v>1</v>
      </c>
      <c r="N56" s="40">
        <f t="shared" ca="1" si="34"/>
        <v>0</v>
      </c>
      <c r="O56" s="40">
        <f t="shared" ca="1" si="35"/>
        <v>0</v>
      </c>
      <c r="P56" s="42"/>
      <c r="Q56" s="31">
        <f t="shared" ca="1" si="36"/>
        <v>15326.52861193018</v>
      </c>
      <c r="R56" s="31">
        <f t="shared" ca="1" si="37"/>
        <v>16280.098387135444</v>
      </c>
      <c r="S56" s="31">
        <f t="shared" ca="1" si="38"/>
        <v>1775.2743891815262</v>
      </c>
      <c r="T56" s="31">
        <f t="shared" ca="1" si="39"/>
        <v>11713.298493056338</v>
      </c>
      <c r="U56" s="31">
        <f t="shared" ca="1" si="40"/>
        <v>60852.725443539588</v>
      </c>
      <c r="V56" s="31">
        <f t="shared" ca="1" si="41"/>
        <v>10021.905401527045</v>
      </c>
      <c r="W56" s="31">
        <f t="shared" ca="1" si="42"/>
        <v>39143.955403209206</v>
      </c>
      <c r="X56" s="31">
        <f t="shared" ca="1" si="43"/>
        <v>10446.918544024878</v>
      </c>
      <c r="Y56" s="31">
        <f t="shared" ca="1" si="44"/>
        <v>0</v>
      </c>
      <c r="Z56" s="31">
        <f t="shared" ca="1" si="45"/>
        <v>0</v>
      </c>
      <c r="AA56" s="44">
        <f t="shared" ca="1" si="46"/>
        <v>165560.7046736042</v>
      </c>
      <c r="AB56" s="16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</row>
    <row r="57" spans="1:41" ht="13.2">
      <c r="A57" s="33">
        <v>56</v>
      </c>
      <c r="B57" s="30">
        <v>40000</v>
      </c>
      <c r="C57" s="46"/>
      <c r="D57" s="35">
        <f t="shared" ca="1" si="27"/>
        <v>0.27920760582103066</v>
      </c>
      <c r="E57" s="38">
        <f t="shared" ca="1" si="22"/>
        <v>3</v>
      </c>
      <c r="F57" s="40">
        <f t="shared" ca="1" si="28"/>
        <v>1</v>
      </c>
      <c r="G57" s="40">
        <f t="shared" ca="1" si="29"/>
        <v>1</v>
      </c>
      <c r="H57" s="40">
        <f t="shared" ca="1" si="30"/>
        <v>1</v>
      </c>
      <c r="I57" s="40">
        <f t="shared" ca="1" si="31"/>
        <v>0</v>
      </c>
      <c r="J57" s="40">
        <f t="shared" ca="1" si="32"/>
        <v>0</v>
      </c>
      <c r="K57" s="40">
        <f t="shared" ca="1" si="33"/>
        <v>0</v>
      </c>
      <c r="L57" s="40">
        <f t="shared" ca="1" si="48"/>
        <v>0</v>
      </c>
      <c r="M57" s="40">
        <f t="shared" ca="1" si="47"/>
        <v>0</v>
      </c>
      <c r="N57" s="40">
        <f t="shared" ca="1" si="34"/>
        <v>0</v>
      </c>
      <c r="O57" s="40">
        <f t="shared" ca="1" si="35"/>
        <v>0</v>
      </c>
      <c r="P57" s="42"/>
      <c r="Q57" s="31">
        <f t="shared" ca="1" si="36"/>
        <v>2203.5116597761453</v>
      </c>
      <c r="R57" s="31">
        <f t="shared" ca="1" si="37"/>
        <v>20851.8519794569</v>
      </c>
      <c r="S57" s="31">
        <f t="shared" ca="1" si="38"/>
        <v>28767.918441428497</v>
      </c>
      <c r="T57" s="31">
        <f t="shared" ca="1" si="39"/>
        <v>0</v>
      </c>
      <c r="U57" s="31">
        <f t="shared" ca="1" si="40"/>
        <v>0</v>
      </c>
      <c r="V57" s="31">
        <f t="shared" ca="1" si="41"/>
        <v>0</v>
      </c>
      <c r="W57" s="31">
        <f t="shared" ca="1" si="42"/>
        <v>0</v>
      </c>
      <c r="X57" s="31">
        <f t="shared" ca="1" si="43"/>
        <v>0</v>
      </c>
      <c r="Y57" s="31">
        <f t="shared" ca="1" si="44"/>
        <v>0</v>
      </c>
      <c r="Z57" s="31">
        <f t="shared" ca="1" si="45"/>
        <v>0</v>
      </c>
      <c r="AA57" s="44">
        <f t="shared" ca="1" si="46"/>
        <v>51823.282080661542</v>
      </c>
      <c r="AB57" s="16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</row>
    <row r="58" spans="1:41" ht="13.2">
      <c r="A58" s="33">
        <v>57</v>
      </c>
      <c r="B58" s="30">
        <v>40000</v>
      </c>
      <c r="C58" s="46"/>
      <c r="D58" s="35">
        <f t="shared" ca="1" si="27"/>
        <v>6.3088257597476938E-2</v>
      </c>
      <c r="E58" s="38">
        <f t="shared" ca="1" si="22"/>
        <v>0</v>
      </c>
      <c r="F58" s="40">
        <f t="shared" ca="1" si="28"/>
        <v>0</v>
      </c>
      <c r="G58" s="40">
        <f t="shared" ca="1" si="29"/>
        <v>0</v>
      </c>
      <c r="H58" s="40">
        <f t="shared" ca="1" si="30"/>
        <v>0</v>
      </c>
      <c r="I58" s="40">
        <f t="shared" ca="1" si="31"/>
        <v>0</v>
      </c>
      <c r="J58" s="40">
        <f t="shared" ca="1" si="32"/>
        <v>0</v>
      </c>
      <c r="K58" s="40">
        <f t="shared" ca="1" si="33"/>
        <v>0</v>
      </c>
      <c r="L58" s="40">
        <f t="shared" ca="1" si="48"/>
        <v>0</v>
      </c>
      <c r="M58" s="40">
        <f t="shared" ca="1" si="47"/>
        <v>0</v>
      </c>
      <c r="N58" s="40">
        <f t="shared" ca="1" si="34"/>
        <v>0</v>
      </c>
      <c r="O58" s="40">
        <f t="shared" ca="1" si="35"/>
        <v>0</v>
      </c>
      <c r="P58" s="42"/>
      <c r="Q58" s="31">
        <f t="shared" ca="1" si="36"/>
        <v>0</v>
      </c>
      <c r="R58" s="31">
        <f t="shared" ca="1" si="37"/>
        <v>0</v>
      </c>
      <c r="S58" s="31">
        <f t="shared" ca="1" si="38"/>
        <v>0</v>
      </c>
      <c r="T58" s="31">
        <f t="shared" ca="1" si="39"/>
        <v>0</v>
      </c>
      <c r="U58" s="31">
        <f t="shared" ca="1" si="40"/>
        <v>0</v>
      </c>
      <c r="V58" s="31">
        <f t="shared" ca="1" si="41"/>
        <v>0</v>
      </c>
      <c r="W58" s="31">
        <f t="shared" ca="1" si="42"/>
        <v>0</v>
      </c>
      <c r="X58" s="31">
        <f t="shared" ca="1" si="43"/>
        <v>0</v>
      </c>
      <c r="Y58" s="31">
        <f t="shared" ca="1" si="44"/>
        <v>0</v>
      </c>
      <c r="Z58" s="31">
        <f t="shared" ca="1" si="45"/>
        <v>0</v>
      </c>
      <c r="AA58" s="44">
        <f t="shared" ca="1" si="46"/>
        <v>0</v>
      </c>
      <c r="AB58" s="16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</row>
    <row r="59" spans="1:41" ht="13.2">
      <c r="A59" s="33">
        <v>58</v>
      </c>
      <c r="B59" s="30">
        <v>40000</v>
      </c>
      <c r="C59" s="46"/>
      <c r="D59" s="35">
        <f t="shared" ca="1" si="27"/>
        <v>0.53750344985180032</v>
      </c>
      <c r="E59" s="38">
        <f t="shared" ca="1" si="22"/>
        <v>4</v>
      </c>
      <c r="F59" s="40">
        <f t="shared" ca="1" si="28"/>
        <v>1</v>
      </c>
      <c r="G59" s="40">
        <f t="shared" ca="1" si="29"/>
        <v>1</v>
      </c>
      <c r="H59" s="40">
        <f t="shared" ca="1" si="30"/>
        <v>1</v>
      </c>
      <c r="I59" s="40">
        <f t="shared" ca="1" si="31"/>
        <v>1</v>
      </c>
      <c r="J59" s="40">
        <f t="shared" ca="1" si="32"/>
        <v>0</v>
      </c>
      <c r="K59" s="40">
        <f t="shared" ca="1" si="33"/>
        <v>0</v>
      </c>
      <c r="L59" s="40">
        <f t="shared" ca="1" si="48"/>
        <v>0</v>
      </c>
      <c r="M59" s="40">
        <f t="shared" ca="1" si="47"/>
        <v>0</v>
      </c>
      <c r="N59" s="40">
        <f t="shared" ca="1" si="34"/>
        <v>0</v>
      </c>
      <c r="O59" s="40">
        <f t="shared" ca="1" si="35"/>
        <v>0</v>
      </c>
      <c r="P59" s="42"/>
      <c r="Q59" s="31">
        <f t="shared" ca="1" si="36"/>
        <v>21786.121227851996</v>
      </c>
      <c r="R59" s="31">
        <f t="shared" ca="1" si="37"/>
        <v>3176.7109657980864</v>
      </c>
      <c r="S59" s="31">
        <f t="shared" ca="1" si="38"/>
        <v>17789.910666308577</v>
      </c>
      <c r="T59" s="31">
        <f t="shared" ca="1" si="39"/>
        <v>5184.55467198728</v>
      </c>
      <c r="U59" s="31">
        <f t="shared" ca="1" si="40"/>
        <v>0</v>
      </c>
      <c r="V59" s="31">
        <f t="shared" ca="1" si="41"/>
        <v>0</v>
      </c>
      <c r="W59" s="31">
        <f t="shared" ca="1" si="42"/>
        <v>0</v>
      </c>
      <c r="X59" s="31">
        <f t="shared" ca="1" si="43"/>
        <v>0</v>
      </c>
      <c r="Y59" s="31">
        <f t="shared" ca="1" si="44"/>
        <v>0</v>
      </c>
      <c r="Z59" s="31">
        <f t="shared" ca="1" si="45"/>
        <v>0</v>
      </c>
      <c r="AA59" s="44">
        <f t="shared" ca="1" si="46"/>
        <v>47937.297531945936</v>
      </c>
      <c r="AB59" s="16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</row>
    <row r="60" spans="1:41" ht="13.2">
      <c r="A60" s="33">
        <v>59</v>
      </c>
      <c r="B60" s="30">
        <v>40000</v>
      </c>
      <c r="C60" s="46"/>
      <c r="D60" s="35">
        <f t="shared" ca="1" si="27"/>
        <v>0.17807659954599764</v>
      </c>
      <c r="E60" s="38">
        <f t="shared" ca="1" si="22"/>
        <v>2</v>
      </c>
      <c r="F60" s="40">
        <f t="shared" ca="1" si="28"/>
        <v>1</v>
      </c>
      <c r="G60" s="40">
        <f t="shared" ca="1" si="29"/>
        <v>1</v>
      </c>
      <c r="H60" s="40">
        <f t="shared" ca="1" si="30"/>
        <v>0</v>
      </c>
      <c r="I60" s="40">
        <f t="shared" ca="1" si="31"/>
        <v>0</v>
      </c>
      <c r="J60" s="40">
        <f t="shared" ca="1" si="32"/>
        <v>0</v>
      </c>
      <c r="K60" s="40">
        <f t="shared" ca="1" si="33"/>
        <v>0</v>
      </c>
      <c r="L60" s="40">
        <f t="shared" ca="1" si="48"/>
        <v>0</v>
      </c>
      <c r="M60" s="40">
        <f t="shared" ca="1" si="47"/>
        <v>0</v>
      </c>
      <c r="N60" s="40">
        <f t="shared" ca="1" si="34"/>
        <v>0</v>
      </c>
      <c r="O60" s="40">
        <f t="shared" ca="1" si="35"/>
        <v>0</v>
      </c>
      <c r="P60" s="42"/>
      <c r="Q60" s="31">
        <f t="shared" ca="1" si="36"/>
        <v>37997.657947386775</v>
      </c>
      <c r="R60" s="31">
        <f t="shared" ca="1" si="37"/>
        <v>934.65826114443917</v>
      </c>
      <c r="S60" s="31">
        <f t="shared" ca="1" si="38"/>
        <v>0</v>
      </c>
      <c r="T60" s="31">
        <f t="shared" ca="1" si="39"/>
        <v>0</v>
      </c>
      <c r="U60" s="31">
        <f t="shared" ca="1" si="40"/>
        <v>0</v>
      </c>
      <c r="V60" s="31">
        <f t="shared" ca="1" si="41"/>
        <v>0</v>
      </c>
      <c r="W60" s="31">
        <f t="shared" ca="1" si="42"/>
        <v>0</v>
      </c>
      <c r="X60" s="31">
        <f t="shared" ca="1" si="43"/>
        <v>0</v>
      </c>
      <c r="Y60" s="31">
        <f t="shared" ca="1" si="44"/>
        <v>0</v>
      </c>
      <c r="Z60" s="31">
        <f t="shared" ca="1" si="45"/>
        <v>0</v>
      </c>
      <c r="AA60" s="44">
        <f t="shared" ca="1" si="46"/>
        <v>38932.316208531214</v>
      </c>
      <c r="AB60" s="16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</row>
    <row r="61" spans="1:41" ht="13.2">
      <c r="A61" s="33">
        <v>60</v>
      </c>
      <c r="B61" s="30">
        <v>40000</v>
      </c>
      <c r="C61" s="46"/>
      <c r="D61" s="35">
        <f t="shared" ca="1" si="27"/>
        <v>0.44190360914227589</v>
      </c>
      <c r="E61" s="38">
        <f t="shared" ca="1" si="22"/>
        <v>4</v>
      </c>
      <c r="F61" s="40">
        <f t="shared" ca="1" si="28"/>
        <v>1</v>
      </c>
      <c r="G61" s="40">
        <f t="shared" ca="1" si="29"/>
        <v>1</v>
      </c>
      <c r="H61" s="40">
        <f t="shared" ca="1" si="30"/>
        <v>1</v>
      </c>
      <c r="I61" s="40">
        <f t="shared" ca="1" si="31"/>
        <v>1</v>
      </c>
      <c r="J61" s="40">
        <f t="shared" ca="1" si="32"/>
        <v>0</v>
      </c>
      <c r="K61" s="40">
        <f t="shared" ca="1" si="33"/>
        <v>0</v>
      </c>
      <c r="L61" s="40">
        <f t="shared" ca="1" si="48"/>
        <v>0</v>
      </c>
      <c r="M61" s="40">
        <f t="shared" ca="1" si="47"/>
        <v>0</v>
      </c>
      <c r="N61" s="40">
        <f t="shared" ca="1" si="34"/>
        <v>0</v>
      </c>
      <c r="O61" s="40">
        <f t="shared" ca="1" si="35"/>
        <v>0</v>
      </c>
      <c r="P61" s="42"/>
      <c r="Q61" s="31">
        <f t="shared" ca="1" si="36"/>
        <v>52570.638658867298</v>
      </c>
      <c r="R61" s="31">
        <f t="shared" ca="1" si="37"/>
        <v>47922.998127381921</v>
      </c>
      <c r="S61" s="31">
        <f t="shared" ca="1" si="38"/>
        <v>10367.963657509667</v>
      </c>
      <c r="T61" s="31">
        <f t="shared" ca="1" si="39"/>
        <v>10843.406691918812</v>
      </c>
      <c r="U61" s="31">
        <f t="shared" ca="1" si="40"/>
        <v>0</v>
      </c>
      <c r="V61" s="31">
        <f t="shared" ca="1" si="41"/>
        <v>0</v>
      </c>
      <c r="W61" s="31">
        <f t="shared" ca="1" si="42"/>
        <v>0</v>
      </c>
      <c r="X61" s="31">
        <f t="shared" ca="1" si="43"/>
        <v>0</v>
      </c>
      <c r="Y61" s="31">
        <f t="shared" ca="1" si="44"/>
        <v>0</v>
      </c>
      <c r="Z61" s="31">
        <f t="shared" ca="1" si="45"/>
        <v>0</v>
      </c>
      <c r="AA61" s="44">
        <f t="shared" ca="1" si="46"/>
        <v>121705.0071356777</v>
      </c>
      <c r="AB61" s="16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</row>
    <row r="62" spans="1:41" ht="13.2">
      <c r="A62" s="33">
        <v>61</v>
      </c>
      <c r="B62" s="30">
        <v>40000</v>
      </c>
      <c r="C62" s="46"/>
      <c r="D62" s="35">
        <f t="shared" ca="1" si="27"/>
        <v>0.40897967479513364</v>
      </c>
      <c r="E62" s="38">
        <f t="shared" ca="1" si="22"/>
        <v>4</v>
      </c>
      <c r="F62" s="40">
        <f t="shared" ca="1" si="28"/>
        <v>1</v>
      </c>
      <c r="G62" s="40">
        <f t="shared" ca="1" si="29"/>
        <v>1</v>
      </c>
      <c r="H62" s="40">
        <f t="shared" ca="1" si="30"/>
        <v>1</v>
      </c>
      <c r="I62" s="40">
        <f t="shared" ca="1" si="31"/>
        <v>1</v>
      </c>
      <c r="J62" s="40">
        <f t="shared" ca="1" si="32"/>
        <v>0</v>
      </c>
      <c r="K62" s="40">
        <f t="shared" ca="1" si="33"/>
        <v>0</v>
      </c>
      <c r="L62" s="40">
        <f t="shared" ca="1" si="48"/>
        <v>0</v>
      </c>
      <c r="M62" s="40">
        <f t="shared" ca="1" si="47"/>
        <v>0</v>
      </c>
      <c r="N62" s="40">
        <f t="shared" ca="1" si="34"/>
        <v>0</v>
      </c>
      <c r="O62" s="40">
        <f t="shared" ca="1" si="35"/>
        <v>0</v>
      </c>
      <c r="P62" s="42"/>
      <c r="Q62" s="31">
        <f t="shared" ca="1" si="36"/>
        <v>50252.792023823873</v>
      </c>
      <c r="R62" s="31">
        <f t="shared" ca="1" si="37"/>
        <v>36895.925089098237</v>
      </c>
      <c r="S62" s="31">
        <f t="shared" ca="1" si="38"/>
        <v>21294.127250312304</v>
      </c>
      <c r="T62" s="31">
        <f t="shared" ca="1" si="39"/>
        <v>13940.997416656173</v>
      </c>
      <c r="U62" s="31">
        <f t="shared" ca="1" si="40"/>
        <v>0</v>
      </c>
      <c r="V62" s="31">
        <f t="shared" ca="1" si="41"/>
        <v>0</v>
      </c>
      <c r="W62" s="31">
        <f t="shared" ca="1" si="42"/>
        <v>0</v>
      </c>
      <c r="X62" s="31">
        <f t="shared" ca="1" si="43"/>
        <v>0</v>
      </c>
      <c r="Y62" s="31">
        <f t="shared" ca="1" si="44"/>
        <v>0</v>
      </c>
      <c r="Z62" s="31">
        <f t="shared" ca="1" si="45"/>
        <v>0</v>
      </c>
      <c r="AA62" s="44">
        <f t="shared" ca="1" si="46"/>
        <v>122383.84177989059</v>
      </c>
      <c r="AB62" s="16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</row>
    <row r="63" spans="1:41" ht="13.2">
      <c r="A63" s="33">
        <v>62</v>
      </c>
      <c r="B63" s="30">
        <v>40000</v>
      </c>
      <c r="C63" s="46"/>
      <c r="D63" s="35">
        <f t="shared" ca="1" si="27"/>
        <v>0.10309221834912519</v>
      </c>
      <c r="E63" s="38">
        <f t="shared" ca="1" si="22"/>
        <v>1</v>
      </c>
      <c r="F63" s="40">
        <f t="shared" ca="1" si="28"/>
        <v>1</v>
      </c>
      <c r="G63" s="40">
        <f t="shared" ca="1" si="29"/>
        <v>0</v>
      </c>
      <c r="H63" s="40">
        <f t="shared" ca="1" si="30"/>
        <v>0</v>
      </c>
      <c r="I63" s="40">
        <f t="shared" ca="1" si="31"/>
        <v>0</v>
      </c>
      <c r="J63" s="40">
        <f t="shared" ca="1" si="32"/>
        <v>0</v>
      </c>
      <c r="K63" s="40">
        <f t="shared" ca="1" si="33"/>
        <v>0</v>
      </c>
      <c r="L63" s="40">
        <f t="shared" ca="1" si="48"/>
        <v>0</v>
      </c>
      <c r="M63" s="40">
        <f t="shared" ca="1" si="47"/>
        <v>0</v>
      </c>
      <c r="N63" s="40">
        <f t="shared" ca="1" si="34"/>
        <v>0</v>
      </c>
      <c r="O63" s="40">
        <f t="shared" ca="1" si="35"/>
        <v>0</v>
      </c>
      <c r="P63" s="42"/>
      <c r="Q63" s="31">
        <f t="shared" ca="1" si="36"/>
        <v>19530.060034721966</v>
      </c>
      <c r="R63" s="31">
        <f t="shared" ca="1" si="37"/>
        <v>0</v>
      </c>
      <c r="S63" s="31">
        <f t="shared" ca="1" si="38"/>
        <v>0</v>
      </c>
      <c r="T63" s="31">
        <f t="shared" ca="1" si="39"/>
        <v>0</v>
      </c>
      <c r="U63" s="31">
        <f t="shared" ca="1" si="40"/>
        <v>0</v>
      </c>
      <c r="V63" s="31">
        <f t="shared" ca="1" si="41"/>
        <v>0</v>
      </c>
      <c r="W63" s="31">
        <f t="shared" ca="1" si="42"/>
        <v>0</v>
      </c>
      <c r="X63" s="31">
        <f t="shared" ca="1" si="43"/>
        <v>0</v>
      </c>
      <c r="Y63" s="31">
        <f t="shared" ca="1" si="44"/>
        <v>0</v>
      </c>
      <c r="Z63" s="31">
        <f t="shared" ca="1" si="45"/>
        <v>0</v>
      </c>
      <c r="AA63" s="44">
        <f t="shared" ca="1" si="46"/>
        <v>19530.060034721966</v>
      </c>
      <c r="AB63" s="16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</row>
    <row r="64" spans="1:41" ht="13.2">
      <c r="A64" s="33">
        <v>63</v>
      </c>
      <c r="B64" s="30">
        <v>40000</v>
      </c>
      <c r="C64" s="46"/>
      <c r="D64" s="35">
        <f t="shared" ca="1" si="27"/>
        <v>0.37198405292860715</v>
      </c>
      <c r="E64" s="38">
        <f t="shared" ca="1" si="22"/>
        <v>3</v>
      </c>
      <c r="F64" s="40">
        <f t="shared" ca="1" si="28"/>
        <v>1</v>
      </c>
      <c r="G64" s="40">
        <f t="shared" ca="1" si="29"/>
        <v>1</v>
      </c>
      <c r="H64" s="40">
        <f t="shared" ca="1" si="30"/>
        <v>1</v>
      </c>
      <c r="I64" s="40">
        <f t="shared" ca="1" si="31"/>
        <v>0</v>
      </c>
      <c r="J64" s="40">
        <f t="shared" ca="1" si="32"/>
        <v>0</v>
      </c>
      <c r="K64" s="40">
        <f t="shared" ca="1" si="33"/>
        <v>0</v>
      </c>
      <c r="L64" s="40">
        <f t="shared" ca="1" si="48"/>
        <v>0</v>
      </c>
      <c r="M64" s="40">
        <f t="shared" ca="1" si="47"/>
        <v>0</v>
      </c>
      <c r="N64" s="40">
        <f t="shared" ca="1" si="34"/>
        <v>0</v>
      </c>
      <c r="O64" s="40">
        <f t="shared" ca="1" si="35"/>
        <v>0</v>
      </c>
      <c r="P64" s="42"/>
      <c r="Q64" s="31">
        <f t="shared" ca="1" si="36"/>
        <v>10486.096570774405</v>
      </c>
      <c r="R64" s="31">
        <f t="shared" ca="1" si="37"/>
        <v>1219.9907285320755</v>
      </c>
      <c r="S64" s="31">
        <f t="shared" ca="1" si="38"/>
        <v>38877.349241054093</v>
      </c>
      <c r="T64" s="31">
        <f t="shared" ca="1" si="39"/>
        <v>0</v>
      </c>
      <c r="U64" s="31">
        <f t="shared" ca="1" si="40"/>
        <v>0</v>
      </c>
      <c r="V64" s="31">
        <f t="shared" ca="1" si="41"/>
        <v>0</v>
      </c>
      <c r="W64" s="31">
        <f t="shared" ca="1" si="42"/>
        <v>0</v>
      </c>
      <c r="X64" s="31">
        <f t="shared" ca="1" si="43"/>
        <v>0</v>
      </c>
      <c r="Y64" s="31">
        <f t="shared" ca="1" si="44"/>
        <v>0</v>
      </c>
      <c r="Z64" s="31">
        <f t="shared" ca="1" si="45"/>
        <v>0</v>
      </c>
      <c r="AA64" s="44">
        <f t="shared" ca="1" si="46"/>
        <v>50583.436540360577</v>
      </c>
      <c r="AB64" s="165"/>
      <c r="AC64" s="95"/>
      <c r="AD64" s="95"/>
      <c r="AE64" s="95"/>
      <c r="AF64" s="95"/>
      <c r="AG64" s="95"/>
      <c r="AH64" s="95"/>
      <c r="AI64" s="95"/>
      <c r="AJ64" s="95"/>
      <c r="AK64" s="96" t="s">
        <v>10</v>
      </c>
      <c r="AL64" s="95"/>
      <c r="AM64" s="95"/>
      <c r="AN64" s="95"/>
      <c r="AO64" s="95"/>
    </row>
    <row r="65" spans="1:41" ht="13.2">
      <c r="A65" s="33">
        <v>64</v>
      </c>
      <c r="B65" s="30">
        <v>40000</v>
      </c>
      <c r="C65" s="46"/>
      <c r="D65" s="35">
        <f t="shared" ca="1" si="27"/>
        <v>7.8178924662720806E-2</v>
      </c>
      <c r="E65" s="38">
        <f t="shared" ca="1" si="22"/>
        <v>1</v>
      </c>
      <c r="F65" s="40">
        <f t="shared" ca="1" si="28"/>
        <v>1</v>
      </c>
      <c r="G65" s="40">
        <f t="shared" ca="1" si="29"/>
        <v>0</v>
      </c>
      <c r="H65" s="40">
        <f t="shared" ca="1" si="30"/>
        <v>0</v>
      </c>
      <c r="I65" s="40">
        <f t="shared" ca="1" si="31"/>
        <v>0</v>
      </c>
      <c r="J65" s="40">
        <f t="shared" ca="1" si="32"/>
        <v>0</v>
      </c>
      <c r="K65" s="40">
        <f t="shared" ca="1" si="33"/>
        <v>0</v>
      </c>
      <c r="L65" s="40">
        <f t="shared" ca="1" si="48"/>
        <v>0</v>
      </c>
      <c r="M65" s="40">
        <f t="shared" ca="1" si="47"/>
        <v>0</v>
      </c>
      <c r="N65" s="40">
        <f t="shared" ca="1" si="34"/>
        <v>0</v>
      </c>
      <c r="O65" s="40">
        <f t="shared" ca="1" si="35"/>
        <v>0</v>
      </c>
      <c r="P65" s="42"/>
      <c r="Q65" s="31">
        <f t="shared" ca="1" si="36"/>
        <v>1170.5303896661321</v>
      </c>
      <c r="R65" s="31">
        <f t="shared" ca="1" si="37"/>
        <v>0</v>
      </c>
      <c r="S65" s="31">
        <f t="shared" ca="1" si="38"/>
        <v>0</v>
      </c>
      <c r="T65" s="31">
        <f t="shared" ca="1" si="39"/>
        <v>0</v>
      </c>
      <c r="U65" s="31">
        <f t="shared" ca="1" si="40"/>
        <v>0</v>
      </c>
      <c r="V65" s="31">
        <f t="shared" ca="1" si="41"/>
        <v>0</v>
      </c>
      <c r="W65" s="31">
        <f t="shared" ca="1" si="42"/>
        <v>0</v>
      </c>
      <c r="X65" s="31">
        <f t="shared" ca="1" si="43"/>
        <v>0</v>
      </c>
      <c r="Y65" s="31">
        <f t="shared" ca="1" si="44"/>
        <v>0</v>
      </c>
      <c r="Z65" s="31">
        <f t="shared" ca="1" si="45"/>
        <v>0</v>
      </c>
      <c r="AA65" s="44">
        <f t="shared" ca="1" si="46"/>
        <v>1170.5303896661321</v>
      </c>
      <c r="AB65" s="16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</row>
    <row r="66" spans="1:41" ht="13.2">
      <c r="A66" s="33">
        <v>65</v>
      </c>
      <c r="B66" s="30">
        <v>40000</v>
      </c>
      <c r="C66" s="46"/>
      <c r="D66" s="35">
        <f t="shared" ref="D66:D97" ca="1" si="49">RAND()</f>
        <v>0.66832639436795294</v>
      </c>
      <c r="E66" s="38">
        <f t="shared" ca="1" si="22"/>
        <v>5</v>
      </c>
      <c r="F66" s="40">
        <f t="shared" ref="F66:F97" ca="1" si="50">IF(E66&gt;=1,1,0)</f>
        <v>1</v>
      </c>
      <c r="G66" s="40">
        <f t="shared" ref="G66:G97" ca="1" si="51">IF(E66&gt;=2,1,0)</f>
        <v>1</v>
      </c>
      <c r="H66" s="40">
        <f t="shared" ref="H66:H97" ca="1" si="52">IF(E66&gt;=3,1,0)</f>
        <v>1</v>
      </c>
      <c r="I66" s="40">
        <f t="shared" ref="I66:I97" ca="1" si="53">IF(E66&gt;=4,1,0)</f>
        <v>1</v>
      </c>
      <c r="J66" s="40">
        <f t="shared" ref="J66:J97" ca="1" si="54">IF(E66&gt;=5,1,0)</f>
        <v>1</v>
      </c>
      <c r="K66" s="40">
        <f t="shared" ref="K66:K97" ca="1" si="55">IF(E66&gt;=6,1,0)</f>
        <v>0</v>
      </c>
      <c r="L66" s="40">
        <f t="shared" ca="1" si="48"/>
        <v>0</v>
      </c>
      <c r="M66" s="40">
        <f t="shared" ref="M66:M97" ca="1" si="56">IF(E66&gt;=8,1,0)</f>
        <v>0</v>
      </c>
      <c r="N66" s="40">
        <f t="shared" ref="N66:N97" ca="1" si="57">IF(E66&gt;=9,1,0)</f>
        <v>0</v>
      </c>
      <c r="O66" s="40">
        <f t="shared" ref="O66:O97" ca="1" si="58">IF(E66&gt;=10,1,0)</f>
        <v>0</v>
      </c>
      <c r="P66" s="42"/>
      <c r="Q66" s="31">
        <f t="shared" ref="Q66:Q97" ca="1" si="59">_xlfn.CHISQ.INV(RAND(),2)*$AO$4 *F66</f>
        <v>17588.685816381705</v>
      </c>
      <c r="R66" s="31">
        <f t="shared" ref="R66:R97" ca="1" si="60">_xlfn.CHISQ.INV(RAND(),2)*$AO$4 *G66</f>
        <v>3686.8555847455586</v>
      </c>
      <c r="S66" s="31">
        <f t="shared" ref="S66:S97" ca="1" si="61">_xlfn.CHISQ.INV(RAND(),2)*$AO$4 *H66</f>
        <v>90227.586431170334</v>
      </c>
      <c r="T66" s="31">
        <f t="shared" ref="T66:T97" ca="1" si="62">_xlfn.CHISQ.INV(RAND(),2)*$AO$4 *I66</f>
        <v>7482.3237780219388</v>
      </c>
      <c r="U66" s="31">
        <f t="shared" ref="U66:U97" ca="1" si="63">_xlfn.CHISQ.INV(RAND(),2)*$AO$4 *J66</f>
        <v>17007.986634736564</v>
      </c>
      <c r="V66" s="31">
        <f t="shared" ref="V66:V97" ca="1" si="64">_xlfn.CHISQ.INV(RAND(),2)*$AO$4 *K66</f>
        <v>0</v>
      </c>
      <c r="W66" s="31">
        <f t="shared" ref="W66:W97" ca="1" si="65">_xlfn.CHISQ.INV(RAND(),2)*$AO$4 *L66</f>
        <v>0</v>
      </c>
      <c r="X66" s="31">
        <f t="shared" ref="X66:X97" ca="1" si="66">_xlfn.CHISQ.INV(RAND(),2)*$AO$4 *M66</f>
        <v>0</v>
      </c>
      <c r="Y66" s="31">
        <f t="shared" ref="Y66:Y97" ca="1" si="67">_xlfn.CHISQ.INV(RAND(),2)*$AO$4 *N66</f>
        <v>0</v>
      </c>
      <c r="Z66" s="31">
        <f t="shared" ref="Z66:Z97" ca="1" si="68">_xlfn.CHISQ.INV(RAND(),2)*$AO$4 *O66</f>
        <v>0</v>
      </c>
      <c r="AA66" s="44">
        <f t="shared" ref="AA66:AA97" ca="1" si="69">SUM(Q66:Z66)</f>
        <v>135993.43824505611</v>
      </c>
      <c r="AB66" s="16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</row>
    <row r="67" spans="1:41" ht="13.2">
      <c r="A67" s="33">
        <v>66</v>
      </c>
      <c r="B67" s="30">
        <v>40000</v>
      </c>
      <c r="C67" s="46"/>
      <c r="D67" s="35">
        <f t="shared" ca="1" si="49"/>
        <v>0.36820797883834178</v>
      </c>
      <c r="E67" s="38">
        <f t="shared" ref="E67:E130" ca="1" si="70">VLOOKUP(D67,$AH$2:$AL$12, 5, TRUE)</f>
        <v>3</v>
      </c>
      <c r="F67" s="40">
        <f t="shared" ca="1" si="50"/>
        <v>1</v>
      </c>
      <c r="G67" s="40">
        <f t="shared" ca="1" si="51"/>
        <v>1</v>
      </c>
      <c r="H67" s="40">
        <f t="shared" ca="1" si="52"/>
        <v>1</v>
      </c>
      <c r="I67" s="40">
        <f t="shared" ca="1" si="53"/>
        <v>0</v>
      </c>
      <c r="J67" s="40">
        <f t="shared" ca="1" si="54"/>
        <v>0</v>
      </c>
      <c r="K67" s="40">
        <f t="shared" ca="1" si="55"/>
        <v>0</v>
      </c>
      <c r="L67" s="40">
        <f t="shared" ca="1" si="48"/>
        <v>0</v>
      </c>
      <c r="M67" s="40">
        <f t="shared" ca="1" si="56"/>
        <v>0</v>
      </c>
      <c r="N67" s="40">
        <f t="shared" ca="1" si="57"/>
        <v>0</v>
      </c>
      <c r="O67" s="40">
        <f t="shared" ca="1" si="58"/>
        <v>0</v>
      </c>
      <c r="P67" s="42"/>
      <c r="Q67" s="31">
        <f t="shared" ca="1" si="59"/>
        <v>16108.73402509185</v>
      </c>
      <c r="R67" s="31">
        <f t="shared" ca="1" si="60"/>
        <v>22812.630305976283</v>
      </c>
      <c r="S67" s="31">
        <f t="shared" ca="1" si="61"/>
        <v>7107.7375073282083</v>
      </c>
      <c r="T67" s="31">
        <f t="shared" ca="1" si="62"/>
        <v>0</v>
      </c>
      <c r="U67" s="31">
        <f t="shared" ca="1" si="63"/>
        <v>0</v>
      </c>
      <c r="V67" s="31">
        <f t="shared" ca="1" si="64"/>
        <v>0</v>
      </c>
      <c r="W67" s="31">
        <f t="shared" ca="1" si="65"/>
        <v>0</v>
      </c>
      <c r="X67" s="31">
        <f t="shared" ca="1" si="66"/>
        <v>0</v>
      </c>
      <c r="Y67" s="31">
        <f t="shared" ca="1" si="67"/>
        <v>0</v>
      </c>
      <c r="Z67" s="31">
        <f t="shared" ca="1" si="68"/>
        <v>0</v>
      </c>
      <c r="AA67" s="44">
        <f t="shared" ca="1" si="69"/>
        <v>46029.101838396346</v>
      </c>
      <c r="AB67" s="16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</row>
    <row r="68" spans="1:41" ht="13.2">
      <c r="A68" s="33">
        <v>67</v>
      </c>
      <c r="B68" s="30">
        <v>40000</v>
      </c>
      <c r="C68" s="46"/>
      <c r="D68" s="35">
        <f t="shared" ca="1" si="49"/>
        <v>0.79255426515663341</v>
      </c>
      <c r="E68" s="38">
        <f t="shared" ca="1" si="70"/>
        <v>7</v>
      </c>
      <c r="F68" s="40">
        <f t="shared" ca="1" si="50"/>
        <v>1</v>
      </c>
      <c r="G68" s="40">
        <f t="shared" ca="1" si="51"/>
        <v>1</v>
      </c>
      <c r="H68" s="40">
        <f t="shared" ca="1" si="52"/>
        <v>1</v>
      </c>
      <c r="I68" s="40">
        <f t="shared" ca="1" si="53"/>
        <v>1</v>
      </c>
      <c r="J68" s="40">
        <f t="shared" ca="1" si="54"/>
        <v>1</v>
      </c>
      <c r="K68" s="40">
        <f t="shared" ca="1" si="55"/>
        <v>1</v>
      </c>
      <c r="L68" s="40">
        <f t="shared" ca="1" si="48"/>
        <v>1</v>
      </c>
      <c r="M68" s="40">
        <f t="shared" ca="1" si="56"/>
        <v>0</v>
      </c>
      <c r="N68" s="40">
        <f t="shared" ca="1" si="57"/>
        <v>0</v>
      </c>
      <c r="O68" s="40">
        <f t="shared" ca="1" si="58"/>
        <v>0</v>
      </c>
      <c r="P68" s="42"/>
      <c r="Q68" s="31">
        <f t="shared" ca="1" si="59"/>
        <v>51929.406052480757</v>
      </c>
      <c r="R68" s="31">
        <f t="shared" ca="1" si="60"/>
        <v>24322.84446985559</v>
      </c>
      <c r="S68" s="31">
        <f t="shared" ca="1" si="61"/>
        <v>37416.310784896959</v>
      </c>
      <c r="T68" s="31">
        <f t="shared" ca="1" si="62"/>
        <v>36421.791346485486</v>
      </c>
      <c r="U68" s="31">
        <f t="shared" ca="1" si="63"/>
        <v>7815.6154573091453</v>
      </c>
      <c r="V68" s="31">
        <f t="shared" ca="1" si="64"/>
        <v>23489.275798350223</v>
      </c>
      <c r="W68" s="31">
        <f t="shared" ca="1" si="65"/>
        <v>4413.2344073362956</v>
      </c>
      <c r="X68" s="31">
        <f t="shared" ca="1" si="66"/>
        <v>0</v>
      </c>
      <c r="Y68" s="31">
        <f t="shared" ca="1" si="67"/>
        <v>0</v>
      </c>
      <c r="Z68" s="31">
        <f t="shared" ca="1" si="68"/>
        <v>0</v>
      </c>
      <c r="AA68" s="44">
        <f t="shared" ca="1" si="69"/>
        <v>185808.47831671446</v>
      </c>
      <c r="AB68" s="16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</row>
    <row r="69" spans="1:41" ht="13.2">
      <c r="A69" s="33">
        <v>68</v>
      </c>
      <c r="B69" s="30">
        <v>40000</v>
      </c>
      <c r="C69" s="46"/>
      <c r="D69" s="35">
        <f t="shared" ca="1" si="49"/>
        <v>0.59013101060253748</v>
      </c>
      <c r="E69" s="38">
        <f t="shared" ca="1" si="70"/>
        <v>5</v>
      </c>
      <c r="F69" s="40">
        <f t="shared" ca="1" si="50"/>
        <v>1</v>
      </c>
      <c r="G69" s="40">
        <f t="shared" ca="1" si="51"/>
        <v>1</v>
      </c>
      <c r="H69" s="40">
        <f t="shared" ca="1" si="52"/>
        <v>1</v>
      </c>
      <c r="I69" s="40">
        <f t="shared" ca="1" si="53"/>
        <v>1</v>
      </c>
      <c r="J69" s="40">
        <f t="shared" ca="1" si="54"/>
        <v>1</v>
      </c>
      <c r="K69" s="40">
        <f t="shared" ca="1" si="55"/>
        <v>0</v>
      </c>
      <c r="L69" s="40">
        <f t="shared" ca="1" si="48"/>
        <v>0</v>
      </c>
      <c r="M69" s="40">
        <f t="shared" ca="1" si="56"/>
        <v>0</v>
      </c>
      <c r="N69" s="40">
        <f t="shared" ca="1" si="57"/>
        <v>0</v>
      </c>
      <c r="O69" s="40">
        <f t="shared" ca="1" si="58"/>
        <v>0</v>
      </c>
      <c r="P69" s="42"/>
      <c r="Q69" s="31">
        <f t="shared" ca="1" si="59"/>
        <v>22047.711403851448</v>
      </c>
      <c r="R69" s="31">
        <f t="shared" ca="1" si="60"/>
        <v>505.56984833463406</v>
      </c>
      <c r="S69" s="31">
        <f t="shared" ca="1" si="61"/>
        <v>3221.2370116209336</v>
      </c>
      <c r="T69" s="31">
        <f t="shared" ca="1" si="62"/>
        <v>3792.2534484011712</v>
      </c>
      <c r="U69" s="31">
        <f t="shared" ca="1" si="63"/>
        <v>2976.9801187580902</v>
      </c>
      <c r="V69" s="31">
        <f t="shared" ca="1" si="64"/>
        <v>0</v>
      </c>
      <c r="W69" s="31">
        <f t="shared" ca="1" si="65"/>
        <v>0</v>
      </c>
      <c r="X69" s="31">
        <f t="shared" ca="1" si="66"/>
        <v>0</v>
      </c>
      <c r="Y69" s="31">
        <f t="shared" ca="1" si="67"/>
        <v>0</v>
      </c>
      <c r="Z69" s="31">
        <f t="shared" ca="1" si="68"/>
        <v>0</v>
      </c>
      <c r="AA69" s="44">
        <f t="shared" ca="1" si="69"/>
        <v>32543.751830966277</v>
      </c>
      <c r="AB69" s="16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</row>
    <row r="70" spans="1:41" ht="13.2">
      <c r="A70" s="33">
        <v>69</v>
      </c>
      <c r="B70" s="30">
        <v>40000</v>
      </c>
      <c r="C70" s="46"/>
      <c r="D70" s="35">
        <f t="shared" ca="1" si="49"/>
        <v>4.6509046312058766E-3</v>
      </c>
      <c r="E70" s="38">
        <f t="shared" ca="1" si="70"/>
        <v>0</v>
      </c>
      <c r="F70" s="40">
        <f t="shared" ca="1" si="50"/>
        <v>0</v>
      </c>
      <c r="G70" s="40">
        <f t="shared" ca="1" si="51"/>
        <v>0</v>
      </c>
      <c r="H70" s="40">
        <f t="shared" ca="1" si="52"/>
        <v>0</v>
      </c>
      <c r="I70" s="40">
        <f t="shared" ca="1" si="53"/>
        <v>0</v>
      </c>
      <c r="J70" s="40">
        <f t="shared" ca="1" si="54"/>
        <v>0</v>
      </c>
      <c r="K70" s="40">
        <f t="shared" ca="1" si="55"/>
        <v>0</v>
      </c>
      <c r="L70" s="40">
        <f t="shared" ca="1" si="48"/>
        <v>0</v>
      </c>
      <c r="M70" s="40">
        <f t="shared" ca="1" si="56"/>
        <v>0</v>
      </c>
      <c r="N70" s="40">
        <f t="shared" ca="1" si="57"/>
        <v>0</v>
      </c>
      <c r="O70" s="40">
        <f t="shared" ca="1" si="58"/>
        <v>0</v>
      </c>
      <c r="P70" s="42"/>
      <c r="Q70" s="31">
        <f t="shared" ca="1" si="59"/>
        <v>0</v>
      </c>
      <c r="R70" s="31">
        <f t="shared" ca="1" si="60"/>
        <v>0</v>
      </c>
      <c r="S70" s="31">
        <f t="shared" ca="1" si="61"/>
        <v>0</v>
      </c>
      <c r="T70" s="31">
        <f t="shared" ca="1" si="62"/>
        <v>0</v>
      </c>
      <c r="U70" s="31">
        <f t="shared" ca="1" si="63"/>
        <v>0</v>
      </c>
      <c r="V70" s="31">
        <f t="shared" ca="1" si="64"/>
        <v>0</v>
      </c>
      <c r="W70" s="31">
        <f t="shared" ca="1" si="65"/>
        <v>0</v>
      </c>
      <c r="X70" s="31">
        <f t="shared" ca="1" si="66"/>
        <v>0</v>
      </c>
      <c r="Y70" s="31">
        <f t="shared" ca="1" si="67"/>
        <v>0</v>
      </c>
      <c r="Z70" s="31">
        <f t="shared" ca="1" si="68"/>
        <v>0</v>
      </c>
      <c r="AA70" s="44">
        <f t="shared" ca="1" si="69"/>
        <v>0</v>
      </c>
      <c r="AB70" s="165"/>
      <c r="AC70" s="95"/>
      <c r="AD70" s="96" t="s">
        <v>122</v>
      </c>
      <c r="AE70" s="95">
        <f>AVERAGE(AE75:AE274)</f>
        <v>7111684.905831147</v>
      </c>
      <c r="AF70" s="95">
        <f t="shared" ref="AF70:AM70" si="71">AVERAGE(AF75:AF274)</f>
        <v>5938088.4281954421</v>
      </c>
      <c r="AG70" s="95">
        <f t="shared" si="71"/>
        <v>5275315.9499713695</v>
      </c>
      <c r="AH70" s="95">
        <f t="shared" si="71"/>
        <v>4039285.3275897633</v>
      </c>
      <c r="AI70" s="95">
        <f t="shared" si="71"/>
        <v>3224058.0587448496</v>
      </c>
      <c r="AJ70" s="95">
        <f t="shared" si="71"/>
        <v>1451456.2840168579</v>
      </c>
      <c r="AK70" s="95">
        <f t="shared" si="71"/>
        <v>1862810.342859034</v>
      </c>
      <c r="AL70" s="95">
        <f t="shared" si="71"/>
        <v>-256151.79584527313</v>
      </c>
      <c r="AM70" s="95">
        <f t="shared" si="71"/>
        <v>-979213.0640292376</v>
      </c>
      <c r="AN70" s="95"/>
      <c r="AO70" s="95"/>
    </row>
    <row r="71" spans="1:41" ht="13.2">
      <c r="A71" s="33">
        <v>70</v>
      </c>
      <c r="B71" s="30">
        <v>40000</v>
      </c>
      <c r="C71" s="46"/>
      <c r="D71" s="35">
        <f t="shared" ca="1" si="49"/>
        <v>0.85118264213279882</v>
      </c>
      <c r="E71" s="38">
        <f t="shared" ca="1" si="70"/>
        <v>7</v>
      </c>
      <c r="F71" s="40">
        <f t="shared" ca="1" si="50"/>
        <v>1</v>
      </c>
      <c r="G71" s="40">
        <f t="shared" ca="1" si="51"/>
        <v>1</v>
      </c>
      <c r="H71" s="40">
        <f t="shared" ca="1" si="52"/>
        <v>1</v>
      </c>
      <c r="I71" s="40">
        <f t="shared" ca="1" si="53"/>
        <v>1</v>
      </c>
      <c r="J71" s="40">
        <f t="shared" ca="1" si="54"/>
        <v>1</v>
      </c>
      <c r="K71" s="40">
        <f t="shared" ca="1" si="55"/>
        <v>1</v>
      </c>
      <c r="L71" s="40">
        <f t="shared" ca="1" si="48"/>
        <v>1</v>
      </c>
      <c r="M71" s="40">
        <f t="shared" ca="1" si="56"/>
        <v>0</v>
      </c>
      <c r="N71" s="40">
        <f t="shared" ca="1" si="57"/>
        <v>0</v>
      </c>
      <c r="O71" s="40">
        <f t="shared" ca="1" si="58"/>
        <v>0</v>
      </c>
      <c r="P71" s="42"/>
      <c r="Q71" s="31">
        <f t="shared" ca="1" si="59"/>
        <v>7082.739072589663</v>
      </c>
      <c r="R71" s="31">
        <f t="shared" ca="1" si="60"/>
        <v>1064.0250678934328</v>
      </c>
      <c r="S71" s="31">
        <f t="shared" ca="1" si="61"/>
        <v>67436.975162446572</v>
      </c>
      <c r="T71" s="31">
        <f t="shared" ca="1" si="62"/>
        <v>14215.277431486757</v>
      </c>
      <c r="U71" s="31">
        <f t="shared" ca="1" si="63"/>
        <v>9193.7491163772738</v>
      </c>
      <c r="V71" s="31">
        <f t="shared" ca="1" si="64"/>
        <v>11114.481437926001</v>
      </c>
      <c r="W71" s="31">
        <f t="shared" ca="1" si="65"/>
        <v>762.22613994219785</v>
      </c>
      <c r="X71" s="31">
        <f t="shared" ca="1" si="66"/>
        <v>0</v>
      </c>
      <c r="Y71" s="31">
        <f t="shared" ca="1" si="67"/>
        <v>0</v>
      </c>
      <c r="Z71" s="31">
        <f t="shared" ca="1" si="68"/>
        <v>0</v>
      </c>
      <c r="AA71" s="44">
        <f t="shared" ca="1" si="69"/>
        <v>110869.47342866191</v>
      </c>
      <c r="AB71" s="16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</row>
    <row r="72" spans="1:41" ht="13.2">
      <c r="A72" s="33">
        <v>71</v>
      </c>
      <c r="B72" s="30">
        <v>40000</v>
      </c>
      <c r="C72" s="46"/>
      <c r="D72" s="35">
        <f t="shared" ca="1" si="49"/>
        <v>0.70549119420949957</v>
      </c>
      <c r="E72" s="38">
        <f t="shared" ca="1" si="70"/>
        <v>6</v>
      </c>
      <c r="F72" s="40">
        <f t="shared" ca="1" si="50"/>
        <v>1</v>
      </c>
      <c r="G72" s="40">
        <f t="shared" ca="1" si="51"/>
        <v>1</v>
      </c>
      <c r="H72" s="40">
        <f t="shared" ca="1" si="52"/>
        <v>1</v>
      </c>
      <c r="I72" s="40">
        <f t="shared" ca="1" si="53"/>
        <v>1</v>
      </c>
      <c r="J72" s="40">
        <f t="shared" ca="1" si="54"/>
        <v>1</v>
      </c>
      <c r="K72" s="40">
        <f t="shared" ca="1" si="55"/>
        <v>1</v>
      </c>
      <c r="L72" s="40">
        <f t="shared" ref="L72:L103" ca="1" si="72">IF(E72&gt;=7,1,0)</f>
        <v>0</v>
      </c>
      <c r="M72" s="40">
        <f t="shared" ca="1" si="56"/>
        <v>0</v>
      </c>
      <c r="N72" s="40">
        <f t="shared" ca="1" si="57"/>
        <v>0</v>
      </c>
      <c r="O72" s="40">
        <f t="shared" ca="1" si="58"/>
        <v>0</v>
      </c>
      <c r="P72" s="42"/>
      <c r="Q72" s="31">
        <f t="shared" ca="1" si="59"/>
        <v>12264.435171460493</v>
      </c>
      <c r="R72" s="31">
        <f t="shared" ca="1" si="60"/>
        <v>35417.215564659644</v>
      </c>
      <c r="S72" s="31">
        <f t="shared" ca="1" si="61"/>
        <v>17171.320608567545</v>
      </c>
      <c r="T72" s="31">
        <f t="shared" ca="1" si="62"/>
        <v>1705.9542509730463</v>
      </c>
      <c r="U72" s="31">
        <f t="shared" ca="1" si="63"/>
        <v>6878.2690416038058</v>
      </c>
      <c r="V72" s="31">
        <f t="shared" ca="1" si="64"/>
        <v>13355.898075575018</v>
      </c>
      <c r="W72" s="31">
        <f t="shared" ca="1" si="65"/>
        <v>0</v>
      </c>
      <c r="X72" s="31">
        <f t="shared" ca="1" si="66"/>
        <v>0</v>
      </c>
      <c r="Y72" s="31">
        <f t="shared" ca="1" si="67"/>
        <v>0</v>
      </c>
      <c r="Z72" s="31">
        <f t="shared" ca="1" si="68"/>
        <v>0</v>
      </c>
      <c r="AA72" s="44">
        <f t="shared" ca="1" si="69"/>
        <v>86793.092712839571</v>
      </c>
      <c r="AB72" s="165"/>
      <c r="AC72" s="166" t="s">
        <v>10</v>
      </c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</row>
    <row r="73" spans="1:41" ht="13.2">
      <c r="A73" s="33">
        <v>72</v>
      </c>
      <c r="B73" s="30">
        <v>40000</v>
      </c>
      <c r="C73" s="46"/>
      <c r="D73" s="35">
        <f t="shared" ca="1" si="49"/>
        <v>0.88761832061464796</v>
      </c>
      <c r="E73" s="38">
        <f t="shared" ca="1" si="70"/>
        <v>8</v>
      </c>
      <c r="F73" s="40">
        <f t="shared" ca="1" si="50"/>
        <v>1</v>
      </c>
      <c r="G73" s="40">
        <f t="shared" ca="1" si="51"/>
        <v>1</v>
      </c>
      <c r="H73" s="40">
        <f t="shared" ca="1" si="52"/>
        <v>1</v>
      </c>
      <c r="I73" s="40">
        <f t="shared" ca="1" si="53"/>
        <v>1</v>
      </c>
      <c r="J73" s="40">
        <f t="shared" ca="1" si="54"/>
        <v>1</v>
      </c>
      <c r="K73" s="40">
        <f t="shared" ca="1" si="55"/>
        <v>1</v>
      </c>
      <c r="L73" s="40">
        <f t="shared" ca="1" si="72"/>
        <v>1</v>
      </c>
      <c r="M73" s="40">
        <f t="shared" ca="1" si="56"/>
        <v>1</v>
      </c>
      <c r="N73" s="40">
        <f t="shared" ca="1" si="57"/>
        <v>0</v>
      </c>
      <c r="O73" s="40">
        <f t="shared" ca="1" si="58"/>
        <v>0</v>
      </c>
      <c r="P73" s="42"/>
      <c r="Q73" s="31">
        <f t="shared" ca="1" si="59"/>
        <v>7481.0805602418814</v>
      </c>
      <c r="R73" s="31">
        <f t="shared" ca="1" si="60"/>
        <v>20899.324228908717</v>
      </c>
      <c r="S73" s="31">
        <f t="shared" ca="1" si="61"/>
        <v>6860.8987964566622</v>
      </c>
      <c r="T73" s="31">
        <f t="shared" ca="1" si="62"/>
        <v>1604.6286228603037</v>
      </c>
      <c r="U73" s="31">
        <f t="shared" ca="1" si="63"/>
        <v>54615.405217992884</v>
      </c>
      <c r="V73" s="31">
        <f t="shared" ca="1" si="64"/>
        <v>42032.908325149547</v>
      </c>
      <c r="W73" s="31">
        <f t="shared" ca="1" si="65"/>
        <v>15832.89176010508</v>
      </c>
      <c r="X73" s="31">
        <f t="shared" ca="1" si="66"/>
        <v>15605.835445903502</v>
      </c>
      <c r="Y73" s="31">
        <f t="shared" ca="1" si="67"/>
        <v>0</v>
      </c>
      <c r="Z73" s="31">
        <f t="shared" ca="1" si="68"/>
        <v>0</v>
      </c>
      <c r="AA73" s="44">
        <f t="shared" ca="1" si="69"/>
        <v>164932.97295761859</v>
      </c>
      <c r="AB73" s="165"/>
      <c r="AC73" s="166" t="s">
        <v>10</v>
      </c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</row>
    <row r="74" spans="1:41" ht="13.2">
      <c r="A74" s="33">
        <v>73</v>
      </c>
      <c r="B74" s="30">
        <v>40000</v>
      </c>
      <c r="C74" s="46"/>
      <c r="D74" s="35">
        <f t="shared" ca="1" si="49"/>
        <v>0.95175283360091312</v>
      </c>
      <c r="E74" s="38">
        <f t="shared" ca="1" si="70"/>
        <v>9</v>
      </c>
      <c r="F74" s="40">
        <f t="shared" ca="1" si="50"/>
        <v>1</v>
      </c>
      <c r="G74" s="40">
        <f t="shared" ca="1" si="51"/>
        <v>1</v>
      </c>
      <c r="H74" s="40">
        <f t="shared" ca="1" si="52"/>
        <v>1</v>
      </c>
      <c r="I74" s="40">
        <f t="shared" ca="1" si="53"/>
        <v>1</v>
      </c>
      <c r="J74" s="40">
        <f t="shared" ca="1" si="54"/>
        <v>1</v>
      </c>
      <c r="K74" s="40">
        <f t="shared" ca="1" si="55"/>
        <v>1</v>
      </c>
      <c r="L74" s="40">
        <f t="shared" ca="1" si="72"/>
        <v>1</v>
      </c>
      <c r="M74" s="40">
        <f t="shared" ca="1" si="56"/>
        <v>1</v>
      </c>
      <c r="N74" s="40">
        <f t="shared" ca="1" si="57"/>
        <v>1</v>
      </c>
      <c r="O74" s="40">
        <f t="shared" ca="1" si="58"/>
        <v>0</v>
      </c>
      <c r="P74" s="42"/>
      <c r="Q74" s="31">
        <f t="shared" ca="1" si="59"/>
        <v>481.88047338814698</v>
      </c>
      <c r="R74" s="31">
        <f t="shared" ca="1" si="60"/>
        <v>31512.455456530857</v>
      </c>
      <c r="S74" s="31">
        <f t="shared" ca="1" si="61"/>
        <v>42744.164985014089</v>
      </c>
      <c r="T74" s="31">
        <f t="shared" ca="1" si="62"/>
        <v>24840.737617026363</v>
      </c>
      <c r="U74" s="31">
        <f t="shared" ca="1" si="63"/>
        <v>32990.373841461333</v>
      </c>
      <c r="V74" s="31">
        <f t="shared" ca="1" si="64"/>
        <v>4818.8076988846951</v>
      </c>
      <c r="W74" s="31">
        <f t="shared" ca="1" si="65"/>
        <v>4588.0387546912852</v>
      </c>
      <c r="X74" s="31">
        <f t="shared" ca="1" si="66"/>
        <v>4389.6645352182777</v>
      </c>
      <c r="Y74" s="31">
        <f t="shared" ca="1" si="67"/>
        <v>44925.517179143266</v>
      </c>
      <c r="Z74" s="31">
        <f t="shared" ca="1" si="68"/>
        <v>0</v>
      </c>
      <c r="AA74" s="44">
        <f t="shared" ca="1" si="69"/>
        <v>191291.6405413583</v>
      </c>
      <c r="AB74" s="165"/>
      <c r="AC74" s="166" t="s">
        <v>10</v>
      </c>
      <c r="AD74" s="180">
        <f ca="1">AD5</f>
        <v>4141962.804915458</v>
      </c>
      <c r="AE74" s="179">
        <v>24000000</v>
      </c>
      <c r="AF74" s="179">
        <v>25000000</v>
      </c>
      <c r="AG74" s="179">
        <v>26000000</v>
      </c>
      <c r="AH74" s="179">
        <v>27000000</v>
      </c>
      <c r="AI74" s="179">
        <v>28000000</v>
      </c>
      <c r="AJ74" s="179">
        <v>29000000</v>
      </c>
      <c r="AK74" s="179">
        <v>30000000</v>
      </c>
      <c r="AL74" s="179">
        <v>31000000</v>
      </c>
      <c r="AM74" s="179">
        <v>32000000</v>
      </c>
      <c r="AN74" s="95"/>
      <c r="AO74" s="95"/>
    </row>
    <row r="75" spans="1:41" ht="13.2">
      <c r="A75" s="33">
        <v>74</v>
      </c>
      <c r="B75" s="30">
        <v>40000</v>
      </c>
      <c r="C75" s="46"/>
      <c r="D75" s="35">
        <f t="shared" ca="1" si="49"/>
        <v>0.29328363155927084</v>
      </c>
      <c r="E75" s="38">
        <f t="shared" ca="1" si="70"/>
        <v>3</v>
      </c>
      <c r="F75" s="40">
        <f t="shared" ca="1" si="50"/>
        <v>1</v>
      </c>
      <c r="G75" s="40">
        <f t="shared" ca="1" si="51"/>
        <v>1</v>
      </c>
      <c r="H75" s="40">
        <f t="shared" ca="1" si="52"/>
        <v>1</v>
      </c>
      <c r="I75" s="40">
        <f t="shared" ca="1" si="53"/>
        <v>0</v>
      </c>
      <c r="J75" s="40">
        <f t="shared" ca="1" si="54"/>
        <v>0</v>
      </c>
      <c r="K75" s="40">
        <f t="shared" ca="1" si="55"/>
        <v>0</v>
      </c>
      <c r="L75" s="40">
        <f t="shared" ca="1" si="72"/>
        <v>0</v>
      </c>
      <c r="M75" s="40">
        <f t="shared" ca="1" si="56"/>
        <v>0</v>
      </c>
      <c r="N75" s="40">
        <f t="shared" ca="1" si="57"/>
        <v>0</v>
      </c>
      <c r="O75" s="40">
        <f t="shared" ca="1" si="58"/>
        <v>0</v>
      </c>
      <c r="P75" s="42"/>
      <c r="Q75" s="31">
        <f t="shared" ca="1" si="59"/>
        <v>14762.338653069635</v>
      </c>
      <c r="R75" s="31">
        <f t="shared" ca="1" si="60"/>
        <v>23062.055556317584</v>
      </c>
      <c r="S75" s="31">
        <f t="shared" ca="1" si="61"/>
        <v>7522.3628869297818</v>
      </c>
      <c r="T75" s="31">
        <f t="shared" ca="1" si="62"/>
        <v>0</v>
      </c>
      <c r="U75" s="31">
        <f t="shared" ca="1" si="63"/>
        <v>0</v>
      </c>
      <c r="V75" s="31">
        <f t="shared" ca="1" si="64"/>
        <v>0</v>
      </c>
      <c r="W75" s="31">
        <f t="shared" ca="1" si="65"/>
        <v>0</v>
      </c>
      <c r="X75" s="31">
        <f t="shared" ca="1" si="66"/>
        <v>0</v>
      </c>
      <c r="Y75" s="31">
        <f t="shared" ca="1" si="67"/>
        <v>0</v>
      </c>
      <c r="Z75" s="31">
        <f t="shared" ca="1" si="68"/>
        <v>0</v>
      </c>
      <c r="AA75" s="44">
        <f t="shared" ca="1" si="69"/>
        <v>45346.757096317</v>
      </c>
      <c r="AB75" s="165"/>
      <c r="AC75" s="166" t="s">
        <v>10</v>
      </c>
      <c r="AD75" s="95">
        <v>1</v>
      </c>
      <c r="AE75" s="95">
        <f t="dataTable" ref="AE75:AM274" dt2D="1" dtr="1" r1="AD2" r2="AD20" ca="1"/>
        <v>2643224.1405311525</v>
      </c>
      <c r="AF75" s="95">
        <v>-3940789.8963047713</v>
      </c>
      <c r="AG75" s="95">
        <v>9557020.8065421581</v>
      </c>
      <c r="AH75" s="95">
        <v>7124256.9258160591</v>
      </c>
      <c r="AI75" s="95">
        <v>-4596095.0098059624</v>
      </c>
      <c r="AJ75" s="95">
        <v>-4181274.6854236126</v>
      </c>
      <c r="AK75" s="95">
        <v>-4116749.9487233311</v>
      </c>
      <c r="AL75" s="95">
        <v>-2031389.4536789209</v>
      </c>
      <c r="AM75" s="95">
        <v>2073026.3155249655</v>
      </c>
      <c r="AN75" s="95"/>
      <c r="AO75" s="95"/>
    </row>
    <row r="76" spans="1:41" ht="13.2">
      <c r="A76" s="33">
        <v>75</v>
      </c>
      <c r="B76" s="30">
        <v>40000</v>
      </c>
      <c r="C76" s="46"/>
      <c r="D76" s="35">
        <f t="shared" ca="1" si="49"/>
        <v>0.15104599867341806</v>
      </c>
      <c r="E76" s="38">
        <f t="shared" ca="1" si="70"/>
        <v>1</v>
      </c>
      <c r="F76" s="40">
        <f t="shared" ca="1" si="50"/>
        <v>1</v>
      </c>
      <c r="G76" s="40">
        <f t="shared" ca="1" si="51"/>
        <v>0</v>
      </c>
      <c r="H76" s="40">
        <f t="shared" ca="1" si="52"/>
        <v>0</v>
      </c>
      <c r="I76" s="40">
        <f t="shared" ca="1" si="53"/>
        <v>0</v>
      </c>
      <c r="J76" s="40">
        <f t="shared" ca="1" si="54"/>
        <v>0</v>
      </c>
      <c r="K76" s="40">
        <f t="shared" ca="1" si="55"/>
        <v>0</v>
      </c>
      <c r="L76" s="40">
        <f t="shared" ca="1" si="72"/>
        <v>0</v>
      </c>
      <c r="M76" s="40">
        <f t="shared" ca="1" si="56"/>
        <v>0</v>
      </c>
      <c r="N76" s="40">
        <f t="shared" ca="1" si="57"/>
        <v>0</v>
      </c>
      <c r="O76" s="40">
        <f t="shared" ca="1" si="58"/>
        <v>0</v>
      </c>
      <c r="P76" s="42"/>
      <c r="Q76" s="31">
        <f t="shared" ca="1" si="59"/>
        <v>37527.101326321979</v>
      </c>
      <c r="R76" s="31">
        <f t="shared" ca="1" si="60"/>
        <v>0</v>
      </c>
      <c r="S76" s="31">
        <f t="shared" ca="1" si="61"/>
        <v>0</v>
      </c>
      <c r="T76" s="31">
        <f t="shared" ca="1" si="62"/>
        <v>0</v>
      </c>
      <c r="U76" s="31">
        <f t="shared" ca="1" si="63"/>
        <v>0</v>
      </c>
      <c r="V76" s="31">
        <f t="shared" ca="1" si="64"/>
        <v>0</v>
      </c>
      <c r="W76" s="31">
        <f t="shared" ca="1" si="65"/>
        <v>0</v>
      </c>
      <c r="X76" s="31">
        <f t="shared" ca="1" si="66"/>
        <v>0</v>
      </c>
      <c r="Y76" s="31">
        <f t="shared" ca="1" si="67"/>
        <v>0</v>
      </c>
      <c r="Z76" s="31">
        <f t="shared" ca="1" si="68"/>
        <v>0</v>
      </c>
      <c r="AA76" s="44">
        <f t="shared" ca="1" si="69"/>
        <v>37527.101326321979</v>
      </c>
      <c r="AB76" s="165"/>
      <c r="AC76" s="166" t="s">
        <v>10</v>
      </c>
      <c r="AD76" s="95">
        <v>2</v>
      </c>
      <c r="AE76" s="95">
        <v>7729244.4474260211</v>
      </c>
      <c r="AF76" s="95">
        <v>1857466.2285671979</v>
      </c>
      <c r="AG76" s="95">
        <v>16232022.299325883</v>
      </c>
      <c r="AH76" s="95">
        <v>6509339.7021499574</v>
      </c>
      <c r="AI76" s="95">
        <v>4831465.3936384767</v>
      </c>
      <c r="AJ76" s="95">
        <v>2537943.6242082268</v>
      </c>
      <c r="AK76" s="95">
        <v>3231416.9776939899</v>
      </c>
      <c r="AL76" s="95">
        <v>5865670.6641761065</v>
      </c>
      <c r="AM76" s="95">
        <v>4358906.0074245632</v>
      </c>
      <c r="AN76" s="95"/>
      <c r="AO76" s="95"/>
    </row>
    <row r="77" spans="1:41" ht="13.2">
      <c r="A77" s="33">
        <v>76</v>
      </c>
      <c r="B77" s="30">
        <v>40000</v>
      </c>
      <c r="C77" s="46"/>
      <c r="D77" s="35">
        <f t="shared" ca="1" si="49"/>
        <v>0.41026365429244516</v>
      </c>
      <c r="E77" s="38">
        <f t="shared" ca="1" si="70"/>
        <v>4</v>
      </c>
      <c r="F77" s="40">
        <f t="shared" ca="1" si="50"/>
        <v>1</v>
      </c>
      <c r="G77" s="40">
        <f t="shared" ca="1" si="51"/>
        <v>1</v>
      </c>
      <c r="H77" s="40">
        <f t="shared" ca="1" si="52"/>
        <v>1</v>
      </c>
      <c r="I77" s="40">
        <f t="shared" ca="1" si="53"/>
        <v>1</v>
      </c>
      <c r="J77" s="40">
        <f t="shared" ca="1" si="54"/>
        <v>0</v>
      </c>
      <c r="K77" s="40">
        <f t="shared" ca="1" si="55"/>
        <v>0</v>
      </c>
      <c r="L77" s="40">
        <f t="shared" ca="1" si="72"/>
        <v>0</v>
      </c>
      <c r="M77" s="40">
        <f t="shared" ca="1" si="56"/>
        <v>0</v>
      </c>
      <c r="N77" s="40">
        <f t="shared" ca="1" si="57"/>
        <v>0</v>
      </c>
      <c r="O77" s="40">
        <f t="shared" ca="1" si="58"/>
        <v>0</v>
      </c>
      <c r="P77" s="42"/>
      <c r="Q77" s="31">
        <f t="shared" ca="1" si="59"/>
        <v>38305.153725993514</v>
      </c>
      <c r="R77" s="31">
        <f t="shared" ca="1" si="60"/>
        <v>2823.5540420705147</v>
      </c>
      <c r="S77" s="31">
        <f t="shared" ca="1" si="61"/>
        <v>8572.418639051737</v>
      </c>
      <c r="T77" s="31">
        <f t="shared" ca="1" si="62"/>
        <v>2763.0662878850721</v>
      </c>
      <c r="U77" s="31">
        <f t="shared" ca="1" si="63"/>
        <v>0</v>
      </c>
      <c r="V77" s="31">
        <f t="shared" ca="1" si="64"/>
        <v>0</v>
      </c>
      <c r="W77" s="31">
        <f t="shared" ca="1" si="65"/>
        <v>0</v>
      </c>
      <c r="X77" s="31">
        <f t="shared" ca="1" si="66"/>
        <v>0</v>
      </c>
      <c r="Y77" s="31">
        <f t="shared" ca="1" si="67"/>
        <v>0</v>
      </c>
      <c r="Z77" s="31">
        <f t="shared" ca="1" si="68"/>
        <v>0</v>
      </c>
      <c r="AA77" s="44">
        <f t="shared" ca="1" si="69"/>
        <v>52464.192695000835</v>
      </c>
      <c r="AB77" s="165"/>
      <c r="AC77" s="166" t="s">
        <v>10</v>
      </c>
      <c r="AD77" s="95">
        <v>3</v>
      </c>
      <c r="AE77" s="95">
        <v>2131853.0203342885</v>
      </c>
      <c r="AF77" s="95">
        <v>-2038892.3746407628</v>
      </c>
      <c r="AG77" s="95">
        <v>-7487602.907617256</v>
      </c>
      <c r="AH77" s="95">
        <v>15134612.908827737</v>
      </c>
      <c r="AI77" s="95">
        <v>-1426674.9538578093</v>
      </c>
      <c r="AJ77" s="95">
        <v>-3387051.2568478733</v>
      </c>
      <c r="AK77" s="95">
        <v>-6129617.6057829559</v>
      </c>
      <c r="AL77" s="95">
        <v>4046240.5277334005</v>
      </c>
      <c r="AM77" s="95">
        <v>1203839.9323359728</v>
      </c>
      <c r="AN77" s="95"/>
      <c r="AO77" s="95"/>
    </row>
    <row r="78" spans="1:41" ht="13.2">
      <c r="A78" s="33">
        <v>77</v>
      </c>
      <c r="B78" s="30">
        <v>40000</v>
      </c>
      <c r="C78" s="46"/>
      <c r="D78" s="35">
        <f t="shared" ca="1" si="49"/>
        <v>0.15574923366758053</v>
      </c>
      <c r="E78" s="38">
        <f t="shared" ca="1" si="70"/>
        <v>1</v>
      </c>
      <c r="F78" s="40">
        <f t="shared" ca="1" si="50"/>
        <v>1</v>
      </c>
      <c r="G78" s="40">
        <f t="shared" ca="1" si="51"/>
        <v>0</v>
      </c>
      <c r="H78" s="40">
        <f t="shared" ca="1" si="52"/>
        <v>0</v>
      </c>
      <c r="I78" s="40">
        <f t="shared" ca="1" si="53"/>
        <v>0</v>
      </c>
      <c r="J78" s="40">
        <f t="shared" ca="1" si="54"/>
        <v>0</v>
      </c>
      <c r="K78" s="40">
        <f t="shared" ca="1" si="55"/>
        <v>0</v>
      </c>
      <c r="L78" s="40">
        <f t="shared" ca="1" si="72"/>
        <v>0</v>
      </c>
      <c r="M78" s="40">
        <f t="shared" ca="1" si="56"/>
        <v>0</v>
      </c>
      <c r="N78" s="40">
        <f t="shared" ca="1" si="57"/>
        <v>0</v>
      </c>
      <c r="O78" s="40">
        <f t="shared" ca="1" si="58"/>
        <v>0</v>
      </c>
      <c r="P78" s="42"/>
      <c r="Q78" s="31">
        <f t="shared" ca="1" si="59"/>
        <v>17601.500081775539</v>
      </c>
      <c r="R78" s="31">
        <f t="shared" ca="1" si="60"/>
        <v>0</v>
      </c>
      <c r="S78" s="31">
        <f t="shared" ca="1" si="61"/>
        <v>0</v>
      </c>
      <c r="T78" s="31">
        <f t="shared" ca="1" si="62"/>
        <v>0</v>
      </c>
      <c r="U78" s="31">
        <f t="shared" ca="1" si="63"/>
        <v>0</v>
      </c>
      <c r="V78" s="31">
        <f t="shared" ca="1" si="64"/>
        <v>0</v>
      </c>
      <c r="W78" s="31">
        <f t="shared" ca="1" si="65"/>
        <v>0</v>
      </c>
      <c r="X78" s="31">
        <f t="shared" ca="1" si="66"/>
        <v>0</v>
      </c>
      <c r="Y78" s="31">
        <f t="shared" ca="1" si="67"/>
        <v>0</v>
      </c>
      <c r="Z78" s="31">
        <f t="shared" ca="1" si="68"/>
        <v>0</v>
      </c>
      <c r="AA78" s="44">
        <f t="shared" ca="1" si="69"/>
        <v>17601.500081775539</v>
      </c>
      <c r="AB78" s="165"/>
      <c r="AC78" s="95"/>
      <c r="AD78" s="95">
        <v>4</v>
      </c>
      <c r="AE78" s="95">
        <v>9398041.5093311071</v>
      </c>
      <c r="AF78" s="95">
        <v>-2034726.0053610653</v>
      </c>
      <c r="AG78" s="95">
        <v>10064745.810464799</v>
      </c>
      <c r="AH78" s="95">
        <v>-4639326.157664448</v>
      </c>
      <c r="AI78" s="95">
        <v>13365868.184844553</v>
      </c>
      <c r="AJ78" s="95">
        <v>16972044.281087458</v>
      </c>
      <c r="AK78" s="95">
        <v>-1624033.8763788342</v>
      </c>
      <c r="AL78" s="95">
        <v>6447451.6212747097</v>
      </c>
      <c r="AM78" s="95">
        <v>1317993.8664344847</v>
      </c>
      <c r="AN78" s="95"/>
      <c r="AO78" s="95"/>
    </row>
    <row r="79" spans="1:41" ht="13.2">
      <c r="A79" s="33">
        <v>78</v>
      </c>
      <c r="B79" s="30">
        <v>40000</v>
      </c>
      <c r="C79" s="46"/>
      <c r="D79" s="35">
        <f t="shared" ca="1" si="49"/>
        <v>0.90342923761649807</v>
      </c>
      <c r="E79" s="38">
        <f t="shared" ca="1" si="70"/>
        <v>8</v>
      </c>
      <c r="F79" s="40">
        <f t="shared" ca="1" si="50"/>
        <v>1</v>
      </c>
      <c r="G79" s="40">
        <f t="shared" ca="1" si="51"/>
        <v>1</v>
      </c>
      <c r="H79" s="40">
        <f t="shared" ca="1" si="52"/>
        <v>1</v>
      </c>
      <c r="I79" s="40">
        <f t="shared" ca="1" si="53"/>
        <v>1</v>
      </c>
      <c r="J79" s="40">
        <f t="shared" ca="1" si="54"/>
        <v>1</v>
      </c>
      <c r="K79" s="40">
        <f t="shared" ca="1" si="55"/>
        <v>1</v>
      </c>
      <c r="L79" s="40">
        <f t="shared" ca="1" si="72"/>
        <v>1</v>
      </c>
      <c r="M79" s="40">
        <f t="shared" ca="1" si="56"/>
        <v>1</v>
      </c>
      <c r="N79" s="40">
        <f t="shared" ca="1" si="57"/>
        <v>0</v>
      </c>
      <c r="O79" s="40">
        <f t="shared" ca="1" si="58"/>
        <v>0</v>
      </c>
      <c r="P79" s="42"/>
      <c r="Q79" s="31">
        <f t="shared" ca="1" si="59"/>
        <v>4288.4509932992423</v>
      </c>
      <c r="R79" s="31">
        <f t="shared" ca="1" si="60"/>
        <v>690.20912264869605</v>
      </c>
      <c r="S79" s="31">
        <f t="shared" ca="1" si="61"/>
        <v>10319.983509284539</v>
      </c>
      <c r="T79" s="31">
        <f t="shared" ca="1" si="62"/>
        <v>10797.131412969158</v>
      </c>
      <c r="U79" s="31">
        <f t="shared" ca="1" si="63"/>
        <v>1133.0164401010575</v>
      </c>
      <c r="V79" s="31">
        <f t="shared" ca="1" si="64"/>
        <v>32398.070610882023</v>
      </c>
      <c r="W79" s="31">
        <f t="shared" ca="1" si="65"/>
        <v>12718.711670114568</v>
      </c>
      <c r="X79" s="31">
        <f t="shared" ca="1" si="66"/>
        <v>17683.906557584491</v>
      </c>
      <c r="Y79" s="31">
        <f t="shared" ca="1" si="67"/>
        <v>0</v>
      </c>
      <c r="Z79" s="31">
        <f t="shared" ca="1" si="68"/>
        <v>0</v>
      </c>
      <c r="AA79" s="44">
        <f t="shared" ca="1" si="69"/>
        <v>90029.480316883783</v>
      </c>
      <c r="AB79" s="165"/>
      <c r="AC79" s="95"/>
      <c r="AD79" s="95">
        <v>5</v>
      </c>
      <c r="AE79" s="95">
        <v>-2345922.9127428979</v>
      </c>
      <c r="AF79" s="95">
        <v>6239629.8014592379</v>
      </c>
      <c r="AG79" s="95">
        <v>8148155.9550296515</v>
      </c>
      <c r="AH79" s="95">
        <v>-5390670.7680310011</v>
      </c>
      <c r="AI79" s="95">
        <v>4801045.9975327253</v>
      </c>
      <c r="AJ79" s="95">
        <v>8830164.1699059606</v>
      </c>
      <c r="AK79" s="95">
        <v>3269257.0388044417</v>
      </c>
      <c r="AL79" s="95">
        <v>5601968.1944503188</v>
      </c>
      <c r="AM79" s="95">
        <v>-3718209.3517513275</v>
      </c>
      <c r="AN79" s="95"/>
      <c r="AO79" s="95"/>
    </row>
    <row r="80" spans="1:41" ht="13.2">
      <c r="A80" s="33">
        <v>79</v>
      </c>
      <c r="B80" s="30">
        <v>40000</v>
      </c>
      <c r="C80" s="46"/>
      <c r="D80" s="35">
        <f t="shared" ca="1" si="49"/>
        <v>0.38223072251329238</v>
      </c>
      <c r="E80" s="38">
        <f t="shared" ca="1" si="70"/>
        <v>3</v>
      </c>
      <c r="F80" s="40">
        <f t="shared" ca="1" si="50"/>
        <v>1</v>
      </c>
      <c r="G80" s="40">
        <f t="shared" ca="1" si="51"/>
        <v>1</v>
      </c>
      <c r="H80" s="40">
        <f t="shared" ca="1" si="52"/>
        <v>1</v>
      </c>
      <c r="I80" s="40">
        <f t="shared" ca="1" si="53"/>
        <v>0</v>
      </c>
      <c r="J80" s="40">
        <f t="shared" ca="1" si="54"/>
        <v>0</v>
      </c>
      <c r="K80" s="40">
        <f t="shared" ca="1" si="55"/>
        <v>0</v>
      </c>
      <c r="L80" s="40">
        <f t="shared" ca="1" si="72"/>
        <v>0</v>
      </c>
      <c r="M80" s="40">
        <f t="shared" ca="1" si="56"/>
        <v>0</v>
      </c>
      <c r="N80" s="40">
        <f t="shared" ca="1" si="57"/>
        <v>0</v>
      </c>
      <c r="O80" s="40">
        <f t="shared" ca="1" si="58"/>
        <v>0</v>
      </c>
      <c r="P80" s="42"/>
      <c r="Q80" s="31">
        <f t="shared" ca="1" si="59"/>
        <v>52166.183239405778</v>
      </c>
      <c r="R80" s="31">
        <f t="shared" ca="1" si="60"/>
        <v>20987.256250264578</v>
      </c>
      <c r="S80" s="31">
        <f t="shared" ca="1" si="61"/>
        <v>20141.346118531492</v>
      </c>
      <c r="T80" s="31">
        <f t="shared" ca="1" si="62"/>
        <v>0</v>
      </c>
      <c r="U80" s="31">
        <f t="shared" ca="1" si="63"/>
        <v>0</v>
      </c>
      <c r="V80" s="31">
        <f t="shared" ca="1" si="64"/>
        <v>0</v>
      </c>
      <c r="W80" s="31">
        <f t="shared" ca="1" si="65"/>
        <v>0</v>
      </c>
      <c r="X80" s="31">
        <f t="shared" ca="1" si="66"/>
        <v>0</v>
      </c>
      <c r="Y80" s="31">
        <f t="shared" ca="1" si="67"/>
        <v>0</v>
      </c>
      <c r="Z80" s="31">
        <f t="shared" ca="1" si="68"/>
        <v>0</v>
      </c>
      <c r="AA80" s="44">
        <f t="shared" ca="1" si="69"/>
        <v>93294.785608201855</v>
      </c>
      <c r="AB80" s="165"/>
      <c r="AC80" s="95"/>
      <c r="AD80" s="95">
        <v>6</v>
      </c>
      <c r="AE80" s="95">
        <v>7092528.9163365215</v>
      </c>
      <c r="AF80" s="95">
        <v>7027452.840270862</v>
      </c>
      <c r="AG80" s="95">
        <v>10721317.649284661</v>
      </c>
      <c r="AH80" s="95">
        <v>-2719595.0379361361</v>
      </c>
      <c r="AI80" s="95">
        <v>-419769.14104118943</v>
      </c>
      <c r="AJ80" s="95">
        <v>4107985.8521365672</v>
      </c>
      <c r="AK80" s="95">
        <v>4361599.1669223607</v>
      </c>
      <c r="AL80" s="95">
        <v>-4351945.4564135969</v>
      </c>
      <c r="AM80" s="95">
        <v>-2497250.5527808666</v>
      </c>
      <c r="AN80" s="95"/>
      <c r="AO80" s="95"/>
    </row>
    <row r="81" spans="1:41" ht="13.2">
      <c r="A81" s="33">
        <v>80</v>
      </c>
      <c r="B81" s="30">
        <v>40000</v>
      </c>
      <c r="C81" s="46"/>
      <c r="D81" s="35">
        <f t="shared" ca="1" si="49"/>
        <v>0.82792384573772526</v>
      </c>
      <c r="E81" s="38">
        <f t="shared" ca="1" si="70"/>
        <v>7</v>
      </c>
      <c r="F81" s="40">
        <f t="shared" ca="1" si="50"/>
        <v>1</v>
      </c>
      <c r="G81" s="40">
        <f t="shared" ca="1" si="51"/>
        <v>1</v>
      </c>
      <c r="H81" s="40">
        <f t="shared" ca="1" si="52"/>
        <v>1</v>
      </c>
      <c r="I81" s="40">
        <f t="shared" ca="1" si="53"/>
        <v>1</v>
      </c>
      <c r="J81" s="40">
        <f t="shared" ca="1" si="54"/>
        <v>1</v>
      </c>
      <c r="K81" s="40">
        <f t="shared" ca="1" si="55"/>
        <v>1</v>
      </c>
      <c r="L81" s="40">
        <f t="shared" ca="1" si="72"/>
        <v>1</v>
      </c>
      <c r="M81" s="40">
        <f t="shared" ca="1" si="56"/>
        <v>0</v>
      </c>
      <c r="N81" s="40">
        <f t="shared" ca="1" si="57"/>
        <v>0</v>
      </c>
      <c r="O81" s="40">
        <f t="shared" ca="1" si="58"/>
        <v>0</v>
      </c>
      <c r="P81" s="42"/>
      <c r="Q81" s="31">
        <f t="shared" ca="1" si="59"/>
        <v>12319.683580258914</v>
      </c>
      <c r="R81" s="31">
        <f t="shared" ca="1" si="60"/>
        <v>34916.09225118973</v>
      </c>
      <c r="S81" s="31">
        <f t="shared" ca="1" si="61"/>
        <v>101.48392804221699</v>
      </c>
      <c r="T81" s="31">
        <f t="shared" ca="1" si="62"/>
        <v>37204.098654508613</v>
      </c>
      <c r="U81" s="31">
        <f t="shared" ca="1" si="63"/>
        <v>16354.446484063579</v>
      </c>
      <c r="V81" s="31">
        <f t="shared" ca="1" si="64"/>
        <v>20965.214776938144</v>
      </c>
      <c r="W81" s="31">
        <f t="shared" ca="1" si="65"/>
        <v>12480.124723981355</v>
      </c>
      <c r="X81" s="31">
        <f t="shared" ca="1" si="66"/>
        <v>0</v>
      </c>
      <c r="Y81" s="31">
        <f t="shared" ca="1" si="67"/>
        <v>0</v>
      </c>
      <c r="Z81" s="31">
        <f t="shared" ca="1" si="68"/>
        <v>0</v>
      </c>
      <c r="AA81" s="44">
        <f t="shared" ca="1" si="69"/>
        <v>134341.14439898255</v>
      </c>
      <c r="AB81" s="165"/>
      <c r="AC81" s="95"/>
      <c r="AD81" s="95">
        <v>7</v>
      </c>
      <c r="AE81" s="95">
        <v>8981465.8456879556</v>
      </c>
      <c r="AF81" s="95">
        <v>7651650.0652717352</v>
      </c>
      <c r="AG81" s="95">
        <v>5414153.2863002121</v>
      </c>
      <c r="AH81" s="95">
        <v>5466008.0352301002</v>
      </c>
      <c r="AI81" s="95">
        <v>-3233351.5844425857</v>
      </c>
      <c r="AJ81" s="95">
        <v>7839019.5264592469</v>
      </c>
      <c r="AK81" s="95">
        <v>10120555.91176863</v>
      </c>
      <c r="AL81" s="95">
        <v>-14148037.005660594</v>
      </c>
      <c r="AM81" s="95">
        <v>2165377.1048262417</v>
      </c>
      <c r="AN81" s="95"/>
      <c r="AO81" s="95"/>
    </row>
    <row r="82" spans="1:41" ht="13.2">
      <c r="A82" s="33">
        <v>81</v>
      </c>
      <c r="B82" s="30">
        <v>40000</v>
      </c>
      <c r="C82" s="46"/>
      <c r="D82" s="35">
        <f t="shared" ca="1" si="49"/>
        <v>0.33206639977760721</v>
      </c>
      <c r="E82" s="38">
        <f t="shared" ca="1" si="70"/>
        <v>3</v>
      </c>
      <c r="F82" s="40">
        <f t="shared" ca="1" si="50"/>
        <v>1</v>
      </c>
      <c r="G82" s="40">
        <f t="shared" ca="1" si="51"/>
        <v>1</v>
      </c>
      <c r="H82" s="40">
        <f t="shared" ca="1" si="52"/>
        <v>1</v>
      </c>
      <c r="I82" s="40">
        <f t="shared" ca="1" si="53"/>
        <v>0</v>
      </c>
      <c r="J82" s="40">
        <f t="shared" ca="1" si="54"/>
        <v>0</v>
      </c>
      <c r="K82" s="40">
        <f t="shared" ca="1" si="55"/>
        <v>0</v>
      </c>
      <c r="L82" s="40">
        <f t="shared" ca="1" si="72"/>
        <v>0</v>
      </c>
      <c r="M82" s="40">
        <f t="shared" ca="1" si="56"/>
        <v>0</v>
      </c>
      <c r="N82" s="40">
        <f t="shared" ca="1" si="57"/>
        <v>0</v>
      </c>
      <c r="O82" s="40">
        <f t="shared" ca="1" si="58"/>
        <v>0</v>
      </c>
      <c r="P82" s="42"/>
      <c r="Q82" s="31">
        <f t="shared" ca="1" si="59"/>
        <v>81118.202185657981</v>
      </c>
      <c r="R82" s="31">
        <f t="shared" ca="1" si="60"/>
        <v>20528.396282780937</v>
      </c>
      <c r="S82" s="31">
        <f t="shared" ca="1" si="61"/>
        <v>5314.5082209116372</v>
      </c>
      <c r="T82" s="31">
        <f t="shared" ca="1" si="62"/>
        <v>0</v>
      </c>
      <c r="U82" s="31">
        <f t="shared" ca="1" si="63"/>
        <v>0</v>
      </c>
      <c r="V82" s="31">
        <f t="shared" ca="1" si="64"/>
        <v>0</v>
      </c>
      <c r="W82" s="31">
        <f t="shared" ca="1" si="65"/>
        <v>0</v>
      </c>
      <c r="X82" s="31">
        <f t="shared" ca="1" si="66"/>
        <v>0</v>
      </c>
      <c r="Y82" s="31">
        <f t="shared" ca="1" si="67"/>
        <v>0</v>
      </c>
      <c r="Z82" s="31">
        <f t="shared" ca="1" si="68"/>
        <v>0</v>
      </c>
      <c r="AA82" s="44">
        <f t="shared" ca="1" si="69"/>
        <v>106961.10668935056</v>
      </c>
      <c r="AB82" s="165"/>
      <c r="AC82" s="95"/>
      <c r="AD82" s="95">
        <v>8</v>
      </c>
      <c r="AE82" s="95">
        <v>1311359.8778786808</v>
      </c>
      <c r="AF82" s="95">
        <v>13925913.440297648</v>
      </c>
      <c r="AG82" s="95">
        <v>4402436.9038308412</v>
      </c>
      <c r="AH82" s="95">
        <v>4803202.8595700562</v>
      </c>
      <c r="AI82" s="95">
        <v>10374423.604267448</v>
      </c>
      <c r="AJ82" s="95">
        <v>2221534.2720839679</v>
      </c>
      <c r="AK82" s="95">
        <v>10370788.994386315</v>
      </c>
      <c r="AL82" s="95">
        <v>-8189916.8562597334</v>
      </c>
      <c r="AM82" s="95">
        <v>294283.80099847913</v>
      </c>
      <c r="AN82" s="95"/>
      <c r="AO82" s="95"/>
    </row>
    <row r="83" spans="1:41" ht="13.2">
      <c r="A83" s="33">
        <v>82</v>
      </c>
      <c r="B83" s="30">
        <v>40000</v>
      </c>
      <c r="C83" s="46"/>
      <c r="D83" s="35">
        <f t="shared" ca="1" si="49"/>
        <v>0.23579195207282566</v>
      </c>
      <c r="E83" s="38">
        <f t="shared" ca="1" si="70"/>
        <v>2</v>
      </c>
      <c r="F83" s="40">
        <f t="shared" ca="1" si="50"/>
        <v>1</v>
      </c>
      <c r="G83" s="40">
        <f t="shared" ca="1" si="51"/>
        <v>1</v>
      </c>
      <c r="H83" s="40">
        <f t="shared" ca="1" si="52"/>
        <v>0</v>
      </c>
      <c r="I83" s="40">
        <f t="shared" ca="1" si="53"/>
        <v>0</v>
      </c>
      <c r="J83" s="40">
        <f t="shared" ca="1" si="54"/>
        <v>0</v>
      </c>
      <c r="K83" s="40">
        <f t="shared" ca="1" si="55"/>
        <v>0</v>
      </c>
      <c r="L83" s="40">
        <f t="shared" ca="1" si="72"/>
        <v>0</v>
      </c>
      <c r="M83" s="40">
        <f t="shared" ca="1" si="56"/>
        <v>0</v>
      </c>
      <c r="N83" s="40">
        <f t="shared" ca="1" si="57"/>
        <v>0</v>
      </c>
      <c r="O83" s="40">
        <f t="shared" ca="1" si="58"/>
        <v>0</v>
      </c>
      <c r="P83" s="42"/>
      <c r="Q83" s="31">
        <f t="shared" ca="1" si="59"/>
        <v>30253.274948607144</v>
      </c>
      <c r="R83" s="31">
        <f t="shared" ca="1" si="60"/>
        <v>20017.80356723021</v>
      </c>
      <c r="S83" s="31">
        <f t="shared" ca="1" si="61"/>
        <v>0</v>
      </c>
      <c r="T83" s="31">
        <f t="shared" ca="1" si="62"/>
        <v>0</v>
      </c>
      <c r="U83" s="31">
        <f t="shared" ca="1" si="63"/>
        <v>0</v>
      </c>
      <c r="V83" s="31">
        <f t="shared" ca="1" si="64"/>
        <v>0</v>
      </c>
      <c r="W83" s="31">
        <f t="shared" ca="1" si="65"/>
        <v>0</v>
      </c>
      <c r="X83" s="31">
        <f t="shared" ca="1" si="66"/>
        <v>0</v>
      </c>
      <c r="Y83" s="31">
        <f t="shared" ca="1" si="67"/>
        <v>0</v>
      </c>
      <c r="Z83" s="31">
        <f t="shared" ca="1" si="68"/>
        <v>0</v>
      </c>
      <c r="AA83" s="44">
        <f t="shared" ca="1" si="69"/>
        <v>50271.078515837355</v>
      </c>
      <c r="AB83" s="165"/>
      <c r="AC83" s="95"/>
      <c r="AD83" s="95">
        <v>9</v>
      </c>
      <c r="AE83" s="95">
        <v>3677567.2643396705</v>
      </c>
      <c r="AF83" s="95">
        <v>6557967.9948156327</v>
      </c>
      <c r="AG83" s="95">
        <v>23786329.263693452</v>
      </c>
      <c r="AH83" s="95">
        <v>10947117.509923324</v>
      </c>
      <c r="AI83" s="95">
        <v>-2100559.8321442753</v>
      </c>
      <c r="AJ83" s="95">
        <v>-16487.891843020916</v>
      </c>
      <c r="AK83" s="95">
        <v>17125111.021945119</v>
      </c>
      <c r="AL83" s="95">
        <v>6244945.3957216889</v>
      </c>
      <c r="AM83" s="95">
        <v>-9452576.2791099995</v>
      </c>
      <c r="AN83" s="95"/>
      <c r="AO83" s="95"/>
    </row>
    <row r="84" spans="1:41" ht="13.2">
      <c r="A84" s="33">
        <v>83</v>
      </c>
      <c r="B84" s="30">
        <v>40000</v>
      </c>
      <c r="C84" s="46"/>
      <c r="D84" s="35">
        <f t="shared" ca="1" si="49"/>
        <v>0.35210575203066896</v>
      </c>
      <c r="E84" s="38">
        <f t="shared" ca="1" si="70"/>
        <v>3</v>
      </c>
      <c r="F84" s="40">
        <f t="shared" ca="1" si="50"/>
        <v>1</v>
      </c>
      <c r="G84" s="40">
        <f t="shared" ca="1" si="51"/>
        <v>1</v>
      </c>
      <c r="H84" s="40">
        <f t="shared" ca="1" si="52"/>
        <v>1</v>
      </c>
      <c r="I84" s="40">
        <f t="shared" ca="1" si="53"/>
        <v>0</v>
      </c>
      <c r="J84" s="40">
        <f t="shared" ca="1" si="54"/>
        <v>0</v>
      </c>
      <c r="K84" s="40">
        <f t="shared" ca="1" si="55"/>
        <v>0</v>
      </c>
      <c r="L84" s="40">
        <f t="shared" ca="1" si="72"/>
        <v>0</v>
      </c>
      <c r="M84" s="40">
        <f t="shared" ca="1" si="56"/>
        <v>0</v>
      </c>
      <c r="N84" s="40">
        <f t="shared" ca="1" si="57"/>
        <v>0</v>
      </c>
      <c r="O84" s="40">
        <f t="shared" ca="1" si="58"/>
        <v>0</v>
      </c>
      <c r="P84" s="42"/>
      <c r="Q84" s="31">
        <f t="shared" ca="1" si="59"/>
        <v>14456.722927069297</v>
      </c>
      <c r="R84" s="31">
        <f t="shared" ca="1" si="60"/>
        <v>18329.932819365582</v>
      </c>
      <c r="S84" s="31">
        <f t="shared" ca="1" si="61"/>
        <v>12501.871223266786</v>
      </c>
      <c r="T84" s="31">
        <f t="shared" ca="1" si="62"/>
        <v>0</v>
      </c>
      <c r="U84" s="31">
        <f t="shared" ca="1" si="63"/>
        <v>0</v>
      </c>
      <c r="V84" s="31">
        <f t="shared" ca="1" si="64"/>
        <v>0</v>
      </c>
      <c r="W84" s="31">
        <f t="shared" ca="1" si="65"/>
        <v>0</v>
      </c>
      <c r="X84" s="31">
        <f t="shared" ca="1" si="66"/>
        <v>0</v>
      </c>
      <c r="Y84" s="31">
        <f t="shared" ca="1" si="67"/>
        <v>0</v>
      </c>
      <c r="Z84" s="31">
        <f t="shared" ca="1" si="68"/>
        <v>0</v>
      </c>
      <c r="AA84" s="44">
        <f t="shared" ca="1" si="69"/>
        <v>45288.526969701663</v>
      </c>
      <c r="AB84" s="165"/>
      <c r="AC84" s="95"/>
      <c r="AD84" s="95">
        <v>10</v>
      </c>
      <c r="AE84" s="95">
        <v>5318558.7046476305</v>
      </c>
      <c r="AF84" s="95">
        <v>7193943.0569209009</v>
      </c>
      <c r="AG84" s="95">
        <v>-3729109.0322433561</v>
      </c>
      <c r="AH84" s="95">
        <v>7279195.7442418337</v>
      </c>
      <c r="AI84" s="95">
        <v>9376945.3355858028</v>
      </c>
      <c r="AJ84" s="95">
        <v>-2958943.1695607305</v>
      </c>
      <c r="AK84" s="95">
        <v>745253.99122954905</v>
      </c>
      <c r="AL84" s="95">
        <v>-9133693.0823551118</v>
      </c>
      <c r="AM84" s="95">
        <v>-6992605.568015635</v>
      </c>
      <c r="AN84" s="95"/>
      <c r="AO84" s="95"/>
    </row>
    <row r="85" spans="1:41" ht="13.2">
      <c r="A85" s="33">
        <v>84</v>
      </c>
      <c r="B85" s="30">
        <v>40000</v>
      </c>
      <c r="C85" s="46"/>
      <c r="D85" s="35">
        <f t="shared" ca="1" si="49"/>
        <v>2.662513969862168E-3</v>
      </c>
      <c r="E85" s="38">
        <f t="shared" ca="1" si="70"/>
        <v>0</v>
      </c>
      <c r="F85" s="40">
        <f t="shared" ca="1" si="50"/>
        <v>0</v>
      </c>
      <c r="G85" s="40">
        <f t="shared" ca="1" si="51"/>
        <v>0</v>
      </c>
      <c r="H85" s="40">
        <f t="shared" ca="1" si="52"/>
        <v>0</v>
      </c>
      <c r="I85" s="40">
        <f t="shared" ca="1" si="53"/>
        <v>0</v>
      </c>
      <c r="J85" s="40">
        <f t="shared" ca="1" si="54"/>
        <v>0</v>
      </c>
      <c r="K85" s="40">
        <f t="shared" ca="1" si="55"/>
        <v>0</v>
      </c>
      <c r="L85" s="40">
        <f t="shared" ca="1" si="72"/>
        <v>0</v>
      </c>
      <c r="M85" s="40">
        <f t="shared" ca="1" si="56"/>
        <v>0</v>
      </c>
      <c r="N85" s="40">
        <f t="shared" ca="1" si="57"/>
        <v>0</v>
      </c>
      <c r="O85" s="40">
        <f t="shared" ca="1" si="58"/>
        <v>0</v>
      </c>
      <c r="P85" s="42"/>
      <c r="Q85" s="31">
        <f t="shared" ca="1" si="59"/>
        <v>0</v>
      </c>
      <c r="R85" s="31">
        <f t="shared" ca="1" si="60"/>
        <v>0</v>
      </c>
      <c r="S85" s="31">
        <f t="shared" ca="1" si="61"/>
        <v>0</v>
      </c>
      <c r="T85" s="31">
        <f t="shared" ca="1" si="62"/>
        <v>0</v>
      </c>
      <c r="U85" s="31">
        <f t="shared" ca="1" si="63"/>
        <v>0</v>
      </c>
      <c r="V85" s="31">
        <f t="shared" ca="1" si="64"/>
        <v>0</v>
      </c>
      <c r="W85" s="31">
        <f t="shared" ca="1" si="65"/>
        <v>0</v>
      </c>
      <c r="X85" s="31">
        <f t="shared" ca="1" si="66"/>
        <v>0</v>
      </c>
      <c r="Y85" s="31">
        <f t="shared" ca="1" si="67"/>
        <v>0</v>
      </c>
      <c r="Z85" s="31">
        <f t="shared" ca="1" si="68"/>
        <v>0</v>
      </c>
      <c r="AA85" s="44">
        <f t="shared" ca="1" si="69"/>
        <v>0</v>
      </c>
      <c r="AB85" s="165"/>
      <c r="AC85" s="95"/>
      <c r="AD85" s="95">
        <v>11</v>
      </c>
      <c r="AE85" s="95">
        <v>11499623.463349178</v>
      </c>
      <c r="AF85" s="95">
        <v>3435523.4125902653</v>
      </c>
      <c r="AG85" s="95">
        <v>15276331.057106331</v>
      </c>
      <c r="AH85" s="95">
        <v>8787293.6775267571</v>
      </c>
      <c r="AI85" s="95">
        <v>6383318.3235754669</v>
      </c>
      <c r="AJ85" s="95">
        <v>2471311.0716557503</v>
      </c>
      <c r="AK85" s="95">
        <v>4079610.4350574464</v>
      </c>
      <c r="AL85" s="95">
        <v>-4461899.3909282386</v>
      </c>
      <c r="AM85" s="95">
        <v>6600732.90714854</v>
      </c>
      <c r="AN85" s="95"/>
      <c r="AO85" s="95"/>
    </row>
    <row r="86" spans="1:41" ht="13.2">
      <c r="A86" s="33">
        <v>85</v>
      </c>
      <c r="B86" s="30">
        <v>40000</v>
      </c>
      <c r="C86" s="46"/>
      <c r="D86" s="35">
        <f t="shared" ca="1" si="49"/>
        <v>0.77752581539812515</v>
      </c>
      <c r="E86" s="38">
        <f t="shared" ca="1" si="70"/>
        <v>6</v>
      </c>
      <c r="F86" s="40">
        <f t="shared" ca="1" si="50"/>
        <v>1</v>
      </c>
      <c r="G86" s="40">
        <f t="shared" ca="1" si="51"/>
        <v>1</v>
      </c>
      <c r="H86" s="40">
        <f t="shared" ca="1" si="52"/>
        <v>1</v>
      </c>
      <c r="I86" s="40">
        <f t="shared" ca="1" si="53"/>
        <v>1</v>
      </c>
      <c r="J86" s="40">
        <f t="shared" ca="1" si="54"/>
        <v>1</v>
      </c>
      <c r="K86" s="40">
        <f t="shared" ca="1" si="55"/>
        <v>1</v>
      </c>
      <c r="L86" s="40">
        <f t="shared" ca="1" si="72"/>
        <v>0</v>
      </c>
      <c r="M86" s="40">
        <f t="shared" ca="1" si="56"/>
        <v>0</v>
      </c>
      <c r="N86" s="40">
        <f t="shared" ca="1" si="57"/>
        <v>0</v>
      </c>
      <c r="O86" s="40">
        <f t="shared" ca="1" si="58"/>
        <v>0</v>
      </c>
      <c r="P86" s="42"/>
      <c r="Q86" s="31">
        <f t="shared" ca="1" si="59"/>
        <v>29472.742131278672</v>
      </c>
      <c r="R86" s="31">
        <f t="shared" ca="1" si="60"/>
        <v>7848.9354807072941</v>
      </c>
      <c r="S86" s="31">
        <f t="shared" ca="1" si="61"/>
        <v>1267.5524290446551</v>
      </c>
      <c r="T86" s="31">
        <f t="shared" ca="1" si="62"/>
        <v>24552.967070597122</v>
      </c>
      <c r="U86" s="31">
        <f t="shared" ca="1" si="63"/>
        <v>3897.9521866938135</v>
      </c>
      <c r="V86" s="31">
        <f t="shared" ca="1" si="64"/>
        <v>27024.006285645031</v>
      </c>
      <c r="W86" s="31">
        <f t="shared" ca="1" si="65"/>
        <v>0</v>
      </c>
      <c r="X86" s="31">
        <f t="shared" ca="1" si="66"/>
        <v>0</v>
      </c>
      <c r="Y86" s="31">
        <f t="shared" ca="1" si="67"/>
        <v>0</v>
      </c>
      <c r="Z86" s="31">
        <f t="shared" ca="1" si="68"/>
        <v>0</v>
      </c>
      <c r="AA86" s="44">
        <f t="shared" ca="1" si="69"/>
        <v>94064.155583966582</v>
      </c>
      <c r="AB86" s="165"/>
      <c r="AC86" s="95"/>
      <c r="AD86" s="95">
        <v>12</v>
      </c>
      <c r="AE86" s="95">
        <v>15908957.407531083</v>
      </c>
      <c r="AF86" s="95">
        <v>5874367.2625899911</v>
      </c>
      <c r="AG86" s="95">
        <v>6945402.0279110819</v>
      </c>
      <c r="AH86" s="95">
        <v>12845182.224290356</v>
      </c>
      <c r="AI86" s="95">
        <v>10868748.217187226</v>
      </c>
      <c r="AJ86" s="95">
        <v>4993254.7065065801</v>
      </c>
      <c r="AK86" s="95">
        <v>3261429.7765460759</v>
      </c>
      <c r="AL86" s="95">
        <v>-5461348.8864958137</v>
      </c>
      <c r="AM86" s="95">
        <v>4438167.1454853117</v>
      </c>
      <c r="AN86" s="95"/>
      <c r="AO86" s="95"/>
    </row>
    <row r="87" spans="1:41" ht="13.2">
      <c r="A87" s="33">
        <v>86</v>
      </c>
      <c r="B87" s="30">
        <v>40000</v>
      </c>
      <c r="C87" s="46"/>
      <c r="D87" s="35">
        <f t="shared" ca="1" si="49"/>
        <v>0.4922199129900231</v>
      </c>
      <c r="E87" s="38">
        <f t="shared" ca="1" si="70"/>
        <v>4</v>
      </c>
      <c r="F87" s="40">
        <f t="shared" ca="1" si="50"/>
        <v>1</v>
      </c>
      <c r="G87" s="40">
        <f t="shared" ca="1" si="51"/>
        <v>1</v>
      </c>
      <c r="H87" s="40">
        <f t="shared" ca="1" si="52"/>
        <v>1</v>
      </c>
      <c r="I87" s="40">
        <f t="shared" ca="1" si="53"/>
        <v>1</v>
      </c>
      <c r="J87" s="40">
        <f t="shared" ca="1" si="54"/>
        <v>0</v>
      </c>
      <c r="K87" s="40">
        <f t="shared" ca="1" si="55"/>
        <v>0</v>
      </c>
      <c r="L87" s="40">
        <f t="shared" ca="1" si="72"/>
        <v>0</v>
      </c>
      <c r="M87" s="40">
        <f t="shared" ca="1" si="56"/>
        <v>0</v>
      </c>
      <c r="N87" s="40">
        <f t="shared" ca="1" si="57"/>
        <v>0</v>
      </c>
      <c r="O87" s="40">
        <f t="shared" ca="1" si="58"/>
        <v>0</v>
      </c>
      <c r="P87" s="42"/>
      <c r="Q87" s="31">
        <f t="shared" ca="1" si="59"/>
        <v>23333.043061257657</v>
      </c>
      <c r="R87" s="31">
        <f t="shared" ca="1" si="60"/>
        <v>2451.5357586453474</v>
      </c>
      <c r="S87" s="31">
        <f t="shared" ca="1" si="61"/>
        <v>28578.142088612753</v>
      </c>
      <c r="T87" s="31">
        <f t="shared" ca="1" si="62"/>
        <v>41383.772351690459</v>
      </c>
      <c r="U87" s="31">
        <f t="shared" ca="1" si="63"/>
        <v>0</v>
      </c>
      <c r="V87" s="31">
        <f t="shared" ca="1" si="64"/>
        <v>0</v>
      </c>
      <c r="W87" s="31">
        <f t="shared" ca="1" si="65"/>
        <v>0</v>
      </c>
      <c r="X87" s="31">
        <f t="shared" ca="1" si="66"/>
        <v>0</v>
      </c>
      <c r="Y87" s="31">
        <f t="shared" ca="1" si="67"/>
        <v>0</v>
      </c>
      <c r="Z87" s="31">
        <f t="shared" ca="1" si="68"/>
        <v>0</v>
      </c>
      <c r="AA87" s="44">
        <f t="shared" ca="1" si="69"/>
        <v>95746.493260206218</v>
      </c>
      <c r="AB87" s="165"/>
      <c r="AC87" s="95"/>
      <c r="AD87" s="95">
        <v>13</v>
      </c>
      <c r="AE87" s="95">
        <v>1935232.2769490182</v>
      </c>
      <c r="AF87" s="95">
        <v>375506.09019839764</v>
      </c>
      <c r="AG87" s="95">
        <v>12634930.870345443</v>
      </c>
      <c r="AH87" s="95">
        <v>652698.58343227208</v>
      </c>
      <c r="AI87" s="95">
        <v>-394036.12788417935</v>
      </c>
      <c r="AJ87" s="95">
        <v>-930907.75064443052</v>
      </c>
      <c r="AK87" s="95">
        <v>-3236136.8752167821</v>
      </c>
      <c r="AL87" s="95">
        <v>3465837.060797587</v>
      </c>
      <c r="AM87" s="95">
        <v>3333137.7191179991</v>
      </c>
      <c r="AN87" s="95"/>
      <c r="AO87" s="95"/>
    </row>
    <row r="88" spans="1:41" ht="13.2">
      <c r="A88" s="33">
        <v>87</v>
      </c>
      <c r="B88" s="30">
        <v>40000</v>
      </c>
      <c r="C88" s="46"/>
      <c r="D88" s="35">
        <f t="shared" ca="1" si="49"/>
        <v>0.7008412145501357</v>
      </c>
      <c r="E88" s="38">
        <f t="shared" ca="1" si="70"/>
        <v>6</v>
      </c>
      <c r="F88" s="40">
        <f t="shared" ca="1" si="50"/>
        <v>1</v>
      </c>
      <c r="G88" s="40">
        <f t="shared" ca="1" si="51"/>
        <v>1</v>
      </c>
      <c r="H88" s="40">
        <f t="shared" ca="1" si="52"/>
        <v>1</v>
      </c>
      <c r="I88" s="40">
        <f t="shared" ca="1" si="53"/>
        <v>1</v>
      </c>
      <c r="J88" s="40">
        <f t="shared" ca="1" si="54"/>
        <v>1</v>
      </c>
      <c r="K88" s="40">
        <f t="shared" ca="1" si="55"/>
        <v>1</v>
      </c>
      <c r="L88" s="40">
        <f t="shared" ca="1" si="72"/>
        <v>0</v>
      </c>
      <c r="M88" s="40">
        <f t="shared" ca="1" si="56"/>
        <v>0</v>
      </c>
      <c r="N88" s="40">
        <f t="shared" ca="1" si="57"/>
        <v>0</v>
      </c>
      <c r="O88" s="40">
        <f t="shared" ca="1" si="58"/>
        <v>0</v>
      </c>
      <c r="P88" s="42"/>
      <c r="Q88" s="31">
        <f t="shared" ca="1" si="59"/>
        <v>52013.651668591629</v>
      </c>
      <c r="R88" s="31">
        <f t="shared" ca="1" si="60"/>
        <v>15352.29789038198</v>
      </c>
      <c r="S88" s="31">
        <f t="shared" ca="1" si="61"/>
        <v>8664.3762415065976</v>
      </c>
      <c r="T88" s="31">
        <f t="shared" ca="1" si="62"/>
        <v>32445.83458202277</v>
      </c>
      <c r="U88" s="31">
        <f t="shared" ca="1" si="63"/>
        <v>130867.12201823306</v>
      </c>
      <c r="V88" s="31">
        <f t="shared" ca="1" si="64"/>
        <v>11853.376643273505</v>
      </c>
      <c r="W88" s="31">
        <f t="shared" ca="1" si="65"/>
        <v>0</v>
      </c>
      <c r="X88" s="31">
        <f t="shared" ca="1" si="66"/>
        <v>0</v>
      </c>
      <c r="Y88" s="31">
        <f t="shared" ca="1" si="67"/>
        <v>0</v>
      </c>
      <c r="Z88" s="31">
        <f t="shared" ca="1" si="68"/>
        <v>0</v>
      </c>
      <c r="AA88" s="44">
        <f t="shared" ca="1" si="69"/>
        <v>251196.65904400955</v>
      </c>
      <c r="AB88" s="165"/>
      <c r="AC88" s="95"/>
      <c r="AD88" s="95">
        <v>14</v>
      </c>
      <c r="AE88" s="95">
        <v>6517038.4739213884</v>
      </c>
      <c r="AF88" s="95">
        <v>6113088.2557300627</v>
      </c>
      <c r="AG88" s="95">
        <v>8719062.0708921403</v>
      </c>
      <c r="AH88" s="95">
        <v>-1677126.8197823018</v>
      </c>
      <c r="AI88" s="95">
        <v>1535658.9769802392</v>
      </c>
      <c r="AJ88" s="95">
        <v>-2831107.956407249</v>
      </c>
      <c r="AK88" s="95">
        <v>7848093.7589816153</v>
      </c>
      <c r="AL88" s="95">
        <v>-10599628.515013412</v>
      </c>
      <c r="AM88" s="95">
        <v>-3655648.3383512795</v>
      </c>
      <c r="AN88" s="95"/>
      <c r="AO88" s="95"/>
    </row>
    <row r="89" spans="1:41" ht="13.2">
      <c r="A89" s="33">
        <v>88</v>
      </c>
      <c r="B89" s="30">
        <v>40000</v>
      </c>
      <c r="C89" s="46"/>
      <c r="D89" s="35">
        <f t="shared" ca="1" si="49"/>
        <v>0.63709239857322986</v>
      </c>
      <c r="E89" s="38">
        <f t="shared" ca="1" si="70"/>
        <v>5</v>
      </c>
      <c r="F89" s="40">
        <f t="shared" ca="1" si="50"/>
        <v>1</v>
      </c>
      <c r="G89" s="40">
        <f t="shared" ca="1" si="51"/>
        <v>1</v>
      </c>
      <c r="H89" s="40">
        <f t="shared" ca="1" si="52"/>
        <v>1</v>
      </c>
      <c r="I89" s="40">
        <f t="shared" ca="1" si="53"/>
        <v>1</v>
      </c>
      <c r="J89" s="40">
        <f t="shared" ca="1" si="54"/>
        <v>1</v>
      </c>
      <c r="K89" s="40">
        <f t="shared" ca="1" si="55"/>
        <v>0</v>
      </c>
      <c r="L89" s="40">
        <f t="shared" ca="1" si="72"/>
        <v>0</v>
      </c>
      <c r="M89" s="40">
        <f t="shared" ca="1" si="56"/>
        <v>0</v>
      </c>
      <c r="N89" s="40">
        <f t="shared" ca="1" si="57"/>
        <v>0</v>
      </c>
      <c r="O89" s="40">
        <f t="shared" ca="1" si="58"/>
        <v>0</v>
      </c>
      <c r="P89" s="42"/>
      <c r="Q89" s="31">
        <f t="shared" ca="1" si="59"/>
        <v>4867.349982412311</v>
      </c>
      <c r="R89" s="31">
        <f t="shared" ca="1" si="60"/>
        <v>46037.916099616778</v>
      </c>
      <c r="S89" s="31">
        <f t="shared" ca="1" si="61"/>
        <v>61759.554795990465</v>
      </c>
      <c r="T89" s="31">
        <f t="shared" ca="1" si="62"/>
        <v>19869.987655970112</v>
      </c>
      <c r="U89" s="31">
        <f t="shared" ca="1" si="63"/>
        <v>18579.040395185813</v>
      </c>
      <c r="V89" s="31">
        <f t="shared" ca="1" si="64"/>
        <v>0</v>
      </c>
      <c r="W89" s="31">
        <f t="shared" ca="1" si="65"/>
        <v>0</v>
      </c>
      <c r="X89" s="31">
        <f t="shared" ca="1" si="66"/>
        <v>0</v>
      </c>
      <c r="Y89" s="31">
        <f t="shared" ca="1" si="67"/>
        <v>0</v>
      </c>
      <c r="Z89" s="31">
        <f t="shared" ca="1" si="68"/>
        <v>0</v>
      </c>
      <c r="AA89" s="44">
        <f t="shared" ca="1" si="69"/>
        <v>151113.8489291755</v>
      </c>
      <c r="AB89" s="165"/>
      <c r="AC89" s="96" t="s">
        <v>10</v>
      </c>
      <c r="AD89" s="95">
        <v>15</v>
      </c>
      <c r="AE89" s="95">
        <v>7880738.1964845955</v>
      </c>
      <c r="AF89" s="95">
        <v>18807976.074315548</v>
      </c>
      <c r="AG89" s="95">
        <v>12050555.352058738</v>
      </c>
      <c r="AH89" s="95">
        <v>-2264237.5151093602</v>
      </c>
      <c r="AI89" s="95">
        <v>15639536.4291628</v>
      </c>
      <c r="AJ89" s="95">
        <v>2967555.5655757487</v>
      </c>
      <c r="AK89" s="95">
        <v>-255843.69463965297</v>
      </c>
      <c r="AL89" s="95">
        <v>-3747281.7679042518</v>
      </c>
      <c r="AM89" s="95">
        <v>6197904.9807266593</v>
      </c>
      <c r="AN89" s="95"/>
      <c r="AO89" s="95"/>
    </row>
    <row r="90" spans="1:41" ht="13.2">
      <c r="A90" s="33">
        <v>89</v>
      </c>
      <c r="B90" s="30">
        <v>40000</v>
      </c>
      <c r="C90" s="46"/>
      <c r="D90" s="35">
        <f t="shared" ca="1" si="49"/>
        <v>0.60822581736505976</v>
      </c>
      <c r="E90" s="38">
        <f t="shared" ca="1" si="70"/>
        <v>5</v>
      </c>
      <c r="F90" s="40">
        <f t="shared" ca="1" si="50"/>
        <v>1</v>
      </c>
      <c r="G90" s="40">
        <f t="shared" ca="1" si="51"/>
        <v>1</v>
      </c>
      <c r="H90" s="40">
        <f t="shared" ca="1" si="52"/>
        <v>1</v>
      </c>
      <c r="I90" s="40">
        <f t="shared" ca="1" si="53"/>
        <v>1</v>
      </c>
      <c r="J90" s="40">
        <f t="shared" ca="1" si="54"/>
        <v>1</v>
      </c>
      <c r="K90" s="40">
        <f t="shared" ca="1" si="55"/>
        <v>0</v>
      </c>
      <c r="L90" s="40">
        <f t="shared" ca="1" si="72"/>
        <v>0</v>
      </c>
      <c r="M90" s="40">
        <f t="shared" ca="1" si="56"/>
        <v>0</v>
      </c>
      <c r="N90" s="40">
        <f t="shared" ca="1" si="57"/>
        <v>0</v>
      </c>
      <c r="O90" s="40">
        <f t="shared" ca="1" si="58"/>
        <v>0</v>
      </c>
      <c r="P90" s="42"/>
      <c r="Q90" s="31">
        <f t="shared" ca="1" si="59"/>
        <v>2887.0176936448242</v>
      </c>
      <c r="R90" s="31">
        <f t="shared" ca="1" si="60"/>
        <v>17523.084836393584</v>
      </c>
      <c r="S90" s="31">
        <f t="shared" ca="1" si="61"/>
        <v>52125.608465662765</v>
      </c>
      <c r="T90" s="31">
        <f t="shared" ca="1" si="62"/>
        <v>12249.628175134236</v>
      </c>
      <c r="U90" s="31">
        <f t="shared" ca="1" si="63"/>
        <v>6216.3093907259527</v>
      </c>
      <c r="V90" s="31">
        <f t="shared" ca="1" si="64"/>
        <v>0</v>
      </c>
      <c r="W90" s="31">
        <f t="shared" ca="1" si="65"/>
        <v>0</v>
      </c>
      <c r="X90" s="31">
        <f t="shared" ca="1" si="66"/>
        <v>0</v>
      </c>
      <c r="Y90" s="31">
        <f t="shared" ca="1" si="67"/>
        <v>0</v>
      </c>
      <c r="Z90" s="31">
        <f t="shared" ca="1" si="68"/>
        <v>0</v>
      </c>
      <c r="AA90" s="44">
        <f t="shared" ca="1" si="69"/>
        <v>91001.648561561349</v>
      </c>
      <c r="AB90" s="165"/>
      <c r="AC90" s="96" t="s">
        <v>10</v>
      </c>
      <c r="AD90" s="95">
        <v>16</v>
      </c>
      <c r="AE90" s="95">
        <v>-108139.97988261282</v>
      </c>
      <c r="AF90" s="95">
        <v>3132741.7154253423</v>
      </c>
      <c r="AG90" s="95">
        <v>4812369.1777599752</v>
      </c>
      <c r="AH90" s="95">
        <v>3563424.6351810545</v>
      </c>
      <c r="AI90" s="95">
        <v>5370742.2797287703</v>
      </c>
      <c r="AJ90" s="95">
        <v>1504510.0832869411</v>
      </c>
      <c r="AK90" s="95">
        <v>54198.152653053403</v>
      </c>
      <c r="AL90" s="95">
        <v>1062416.8986779749</v>
      </c>
      <c r="AM90" s="95">
        <v>-13597864.574239373</v>
      </c>
      <c r="AN90" s="95"/>
      <c r="AO90" s="95"/>
    </row>
    <row r="91" spans="1:41" ht="13.2">
      <c r="A91" s="33">
        <v>90</v>
      </c>
      <c r="B91" s="30">
        <v>40000</v>
      </c>
      <c r="C91" s="46"/>
      <c r="D91" s="35">
        <f t="shared" ca="1" si="49"/>
        <v>0.81829720514191329</v>
      </c>
      <c r="E91" s="38">
        <f t="shared" ca="1" si="70"/>
        <v>7</v>
      </c>
      <c r="F91" s="40">
        <f t="shared" ca="1" si="50"/>
        <v>1</v>
      </c>
      <c r="G91" s="40">
        <f t="shared" ca="1" si="51"/>
        <v>1</v>
      </c>
      <c r="H91" s="40">
        <f t="shared" ca="1" si="52"/>
        <v>1</v>
      </c>
      <c r="I91" s="40">
        <f t="shared" ca="1" si="53"/>
        <v>1</v>
      </c>
      <c r="J91" s="40">
        <f t="shared" ca="1" si="54"/>
        <v>1</v>
      </c>
      <c r="K91" s="40">
        <f t="shared" ca="1" si="55"/>
        <v>1</v>
      </c>
      <c r="L91" s="40">
        <f t="shared" ca="1" si="72"/>
        <v>1</v>
      </c>
      <c r="M91" s="40">
        <f t="shared" ca="1" si="56"/>
        <v>0</v>
      </c>
      <c r="N91" s="40">
        <f t="shared" ca="1" si="57"/>
        <v>0</v>
      </c>
      <c r="O91" s="40">
        <f t="shared" ca="1" si="58"/>
        <v>0</v>
      </c>
      <c r="P91" s="42"/>
      <c r="Q91" s="31">
        <f t="shared" ca="1" si="59"/>
        <v>4043.1195098622484</v>
      </c>
      <c r="R91" s="31">
        <f t="shared" ca="1" si="60"/>
        <v>17288.560631676362</v>
      </c>
      <c r="S91" s="31">
        <f t="shared" ca="1" si="61"/>
        <v>19060.091168904739</v>
      </c>
      <c r="T91" s="31">
        <f t="shared" ca="1" si="62"/>
        <v>72365.95623457944</v>
      </c>
      <c r="U91" s="31">
        <f t="shared" ca="1" si="63"/>
        <v>5344.8621113932668</v>
      </c>
      <c r="V91" s="31">
        <f t="shared" ca="1" si="64"/>
        <v>7572.058532225582</v>
      </c>
      <c r="W91" s="31">
        <f t="shared" ca="1" si="65"/>
        <v>61403.557239686488</v>
      </c>
      <c r="X91" s="31">
        <f t="shared" ca="1" si="66"/>
        <v>0</v>
      </c>
      <c r="Y91" s="31">
        <f t="shared" ca="1" si="67"/>
        <v>0</v>
      </c>
      <c r="Z91" s="31">
        <f t="shared" ca="1" si="68"/>
        <v>0</v>
      </c>
      <c r="AA91" s="44">
        <f t="shared" ca="1" si="69"/>
        <v>187078.20542832813</v>
      </c>
      <c r="AB91" s="165"/>
      <c r="AC91" s="96" t="s">
        <v>10</v>
      </c>
      <c r="AD91" s="95">
        <v>17</v>
      </c>
      <c r="AE91" s="95">
        <v>8423264.5734893084</v>
      </c>
      <c r="AF91" s="95">
        <v>3366934.9692249298</v>
      </c>
      <c r="AG91" s="95">
        <v>12907941.717148617</v>
      </c>
      <c r="AH91" s="95">
        <v>13757774.702175677</v>
      </c>
      <c r="AI91" s="95">
        <v>717587.59106570482</v>
      </c>
      <c r="AJ91" s="95">
        <v>3469134.6305332482</v>
      </c>
      <c r="AK91" s="95">
        <v>15355463.02335006</v>
      </c>
      <c r="AL91" s="95">
        <v>974686.32924920321</v>
      </c>
      <c r="AM91" s="95">
        <v>-2770778.3817280233</v>
      </c>
      <c r="AN91" s="95"/>
      <c r="AO91" s="95"/>
    </row>
    <row r="92" spans="1:41" ht="13.2">
      <c r="A92" s="33">
        <v>91</v>
      </c>
      <c r="B92" s="30">
        <v>40000</v>
      </c>
      <c r="C92" s="46"/>
      <c r="D92" s="35">
        <f t="shared" ca="1" si="49"/>
        <v>0.10024319707586848</v>
      </c>
      <c r="E92" s="38">
        <f t="shared" ca="1" si="70"/>
        <v>1</v>
      </c>
      <c r="F92" s="40">
        <f t="shared" ca="1" si="50"/>
        <v>1</v>
      </c>
      <c r="G92" s="40">
        <f t="shared" ca="1" si="51"/>
        <v>0</v>
      </c>
      <c r="H92" s="40">
        <f t="shared" ca="1" si="52"/>
        <v>0</v>
      </c>
      <c r="I92" s="40">
        <f t="shared" ca="1" si="53"/>
        <v>0</v>
      </c>
      <c r="J92" s="40">
        <f t="shared" ca="1" si="54"/>
        <v>0</v>
      </c>
      <c r="K92" s="40">
        <f t="shared" ca="1" si="55"/>
        <v>0</v>
      </c>
      <c r="L92" s="40">
        <f t="shared" ca="1" si="72"/>
        <v>0</v>
      </c>
      <c r="M92" s="40">
        <f t="shared" ca="1" si="56"/>
        <v>0</v>
      </c>
      <c r="N92" s="40">
        <f t="shared" ca="1" si="57"/>
        <v>0</v>
      </c>
      <c r="O92" s="40">
        <f t="shared" ca="1" si="58"/>
        <v>0</v>
      </c>
      <c r="P92" s="42"/>
      <c r="Q92" s="31">
        <f t="shared" ca="1" si="59"/>
        <v>5764.9798590483615</v>
      </c>
      <c r="R92" s="31">
        <f t="shared" ca="1" si="60"/>
        <v>0</v>
      </c>
      <c r="S92" s="31">
        <f t="shared" ca="1" si="61"/>
        <v>0</v>
      </c>
      <c r="T92" s="31">
        <f t="shared" ca="1" si="62"/>
        <v>0</v>
      </c>
      <c r="U92" s="31">
        <f t="shared" ca="1" si="63"/>
        <v>0</v>
      </c>
      <c r="V92" s="31">
        <f t="shared" ca="1" si="64"/>
        <v>0</v>
      </c>
      <c r="W92" s="31">
        <f t="shared" ca="1" si="65"/>
        <v>0</v>
      </c>
      <c r="X92" s="31">
        <f t="shared" ca="1" si="66"/>
        <v>0</v>
      </c>
      <c r="Y92" s="31">
        <f t="shared" ca="1" si="67"/>
        <v>0</v>
      </c>
      <c r="Z92" s="31">
        <f t="shared" ca="1" si="68"/>
        <v>0</v>
      </c>
      <c r="AA92" s="44">
        <f t="shared" ca="1" si="69"/>
        <v>5764.9798590483615</v>
      </c>
      <c r="AB92" s="165"/>
      <c r="AC92" s="96" t="s">
        <v>10</v>
      </c>
      <c r="AD92" s="95">
        <v>18</v>
      </c>
      <c r="AE92" s="95">
        <v>-8068171.3268282712</v>
      </c>
      <c r="AF92" s="95">
        <v>3332432.6331058443</v>
      </c>
      <c r="AG92" s="95">
        <v>6357351.0604042709</v>
      </c>
      <c r="AH92" s="95">
        <v>-1325319.469170481</v>
      </c>
      <c r="AI92" s="95">
        <v>-994113.59849327803</v>
      </c>
      <c r="AJ92" s="95">
        <v>6652329.0834439695</v>
      </c>
      <c r="AK92" s="95">
        <v>5841866.6403795481</v>
      </c>
      <c r="AL92" s="95">
        <v>8769642.1173449755</v>
      </c>
      <c r="AM92" s="95">
        <v>-918138.20647400618</v>
      </c>
      <c r="AN92" s="95"/>
      <c r="AO92" s="95"/>
    </row>
    <row r="93" spans="1:41" ht="13.2">
      <c r="A93" s="33">
        <v>92</v>
      </c>
      <c r="B93" s="30">
        <v>40000</v>
      </c>
      <c r="C93" s="46"/>
      <c r="D93" s="35">
        <f t="shared" ca="1" si="49"/>
        <v>0.96653325617264563</v>
      </c>
      <c r="E93" s="38">
        <f t="shared" ca="1" si="70"/>
        <v>9</v>
      </c>
      <c r="F93" s="40">
        <f t="shared" ca="1" si="50"/>
        <v>1</v>
      </c>
      <c r="G93" s="40">
        <f t="shared" ca="1" si="51"/>
        <v>1</v>
      </c>
      <c r="H93" s="40">
        <f t="shared" ca="1" si="52"/>
        <v>1</v>
      </c>
      <c r="I93" s="40">
        <f t="shared" ca="1" si="53"/>
        <v>1</v>
      </c>
      <c r="J93" s="40">
        <f t="shared" ca="1" si="54"/>
        <v>1</v>
      </c>
      <c r="K93" s="40">
        <f t="shared" ca="1" si="55"/>
        <v>1</v>
      </c>
      <c r="L93" s="40">
        <f t="shared" ca="1" si="72"/>
        <v>1</v>
      </c>
      <c r="M93" s="40">
        <f t="shared" ca="1" si="56"/>
        <v>1</v>
      </c>
      <c r="N93" s="40">
        <f t="shared" ca="1" si="57"/>
        <v>1</v>
      </c>
      <c r="O93" s="40">
        <f t="shared" ca="1" si="58"/>
        <v>0</v>
      </c>
      <c r="P93" s="42"/>
      <c r="Q93" s="31">
        <f t="shared" ca="1" si="59"/>
        <v>5834.5200614911009</v>
      </c>
      <c r="R93" s="31">
        <f t="shared" ca="1" si="60"/>
        <v>3912.305001500863</v>
      </c>
      <c r="S93" s="31">
        <f t="shared" ca="1" si="61"/>
        <v>13179.537121019282</v>
      </c>
      <c r="T93" s="31">
        <f t="shared" ca="1" si="62"/>
        <v>1678.8482801505979</v>
      </c>
      <c r="U93" s="31">
        <f t="shared" ca="1" si="63"/>
        <v>5276.7194840788816</v>
      </c>
      <c r="V93" s="31">
        <f t="shared" ca="1" si="64"/>
        <v>5773.1197714100326</v>
      </c>
      <c r="W93" s="31">
        <f t="shared" ca="1" si="65"/>
        <v>19566.590257177402</v>
      </c>
      <c r="X93" s="31">
        <f t="shared" ca="1" si="66"/>
        <v>37191.897323716301</v>
      </c>
      <c r="Y93" s="31">
        <f t="shared" ca="1" si="67"/>
        <v>785.15648559808801</v>
      </c>
      <c r="Z93" s="31">
        <f t="shared" ca="1" si="68"/>
        <v>0</v>
      </c>
      <c r="AA93" s="44">
        <f t="shared" ca="1" si="69"/>
        <v>93198.693786142539</v>
      </c>
      <c r="AB93" s="165"/>
      <c r="AC93" s="96" t="s">
        <v>10</v>
      </c>
      <c r="AD93" s="95">
        <v>19</v>
      </c>
      <c r="AE93" s="95">
        <v>10074853.901681021</v>
      </c>
      <c r="AF93" s="95">
        <v>4050679.1512766927</v>
      </c>
      <c r="AG93" s="95">
        <v>5010571.4587692916</v>
      </c>
      <c r="AH93" s="95">
        <v>-1793637.2227063924</v>
      </c>
      <c r="AI93" s="95">
        <v>7376920.986330688</v>
      </c>
      <c r="AJ93" s="95">
        <v>1804241.821093902</v>
      </c>
      <c r="AK93" s="95">
        <v>2107965.4060104787</v>
      </c>
      <c r="AL93" s="95">
        <v>-12841692.240263462</v>
      </c>
      <c r="AM93" s="95">
        <v>2050137.3734180033</v>
      </c>
      <c r="AN93" s="95"/>
      <c r="AO93" s="95"/>
    </row>
    <row r="94" spans="1:41" ht="13.2">
      <c r="A94" s="33">
        <v>93</v>
      </c>
      <c r="B94" s="30">
        <v>40000</v>
      </c>
      <c r="C94" s="46"/>
      <c r="D94" s="35">
        <f t="shared" ca="1" si="49"/>
        <v>0.21601824755821597</v>
      </c>
      <c r="E94" s="38">
        <f t="shared" ca="1" si="70"/>
        <v>2</v>
      </c>
      <c r="F94" s="40">
        <f t="shared" ca="1" si="50"/>
        <v>1</v>
      </c>
      <c r="G94" s="40">
        <f t="shared" ca="1" si="51"/>
        <v>1</v>
      </c>
      <c r="H94" s="40">
        <f t="shared" ca="1" si="52"/>
        <v>0</v>
      </c>
      <c r="I94" s="40">
        <f t="shared" ca="1" si="53"/>
        <v>0</v>
      </c>
      <c r="J94" s="40">
        <f t="shared" ca="1" si="54"/>
        <v>0</v>
      </c>
      <c r="K94" s="40">
        <f t="shared" ca="1" si="55"/>
        <v>0</v>
      </c>
      <c r="L94" s="40">
        <f t="shared" ca="1" si="72"/>
        <v>0</v>
      </c>
      <c r="M94" s="40">
        <f t="shared" ca="1" si="56"/>
        <v>0</v>
      </c>
      <c r="N94" s="40">
        <f t="shared" ca="1" si="57"/>
        <v>0</v>
      </c>
      <c r="O94" s="40">
        <f t="shared" ca="1" si="58"/>
        <v>0</v>
      </c>
      <c r="P94" s="42"/>
      <c r="Q94" s="31">
        <f t="shared" ca="1" si="59"/>
        <v>94780.604641498576</v>
      </c>
      <c r="R94" s="31">
        <f t="shared" ca="1" si="60"/>
        <v>7388.9727565286212</v>
      </c>
      <c r="S94" s="31">
        <f t="shared" ca="1" si="61"/>
        <v>0</v>
      </c>
      <c r="T94" s="31">
        <f t="shared" ca="1" si="62"/>
        <v>0</v>
      </c>
      <c r="U94" s="31">
        <f t="shared" ca="1" si="63"/>
        <v>0</v>
      </c>
      <c r="V94" s="31">
        <f t="shared" ca="1" si="64"/>
        <v>0</v>
      </c>
      <c r="W94" s="31">
        <f t="shared" ca="1" si="65"/>
        <v>0</v>
      </c>
      <c r="X94" s="31">
        <f t="shared" ca="1" si="66"/>
        <v>0</v>
      </c>
      <c r="Y94" s="31">
        <f t="shared" ca="1" si="67"/>
        <v>0</v>
      </c>
      <c r="Z94" s="31">
        <f t="shared" ca="1" si="68"/>
        <v>0</v>
      </c>
      <c r="AA94" s="44">
        <f t="shared" ca="1" si="69"/>
        <v>102169.57739802719</v>
      </c>
      <c r="AB94" s="165"/>
      <c r="AC94" s="96" t="s">
        <v>10</v>
      </c>
      <c r="AD94" s="95">
        <v>20</v>
      </c>
      <c r="AE94" s="95">
        <v>14784616.42380859</v>
      </c>
      <c r="AF94" s="95">
        <v>8126943.5446364284</v>
      </c>
      <c r="AG94" s="95">
        <v>5559631.6285514683</v>
      </c>
      <c r="AH94" s="95">
        <v>5670336.1793372333</v>
      </c>
      <c r="AI94" s="95">
        <v>14444678.711727858</v>
      </c>
      <c r="AJ94" s="95">
        <v>-4272000.8980390728</v>
      </c>
      <c r="AK94" s="95">
        <v>11873615.936688662</v>
      </c>
      <c r="AL94" s="95">
        <v>1471987.6995245516</v>
      </c>
      <c r="AM94" s="95">
        <v>-7908376.069469884</v>
      </c>
      <c r="AN94" s="95"/>
      <c r="AO94" s="95"/>
    </row>
    <row r="95" spans="1:41" ht="13.2">
      <c r="A95" s="33">
        <v>94</v>
      </c>
      <c r="B95" s="30">
        <v>40000</v>
      </c>
      <c r="C95" s="46"/>
      <c r="D95" s="35">
        <f t="shared" ca="1" si="49"/>
        <v>0.70306574505473785</v>
      </c>
      <c r="E95" s="38">
        <f t="shared" ca="1" si="70"/>
        <v>6</v>
      </c>
      <c r="F95" s="40">
        <f t="shared" ca="1" si="50"/>
        <v>1</v>
      </c>
      <c r="G95" s="40">
        <f t="shared" ca="1" si="51"/>
        <v>1</v>
      </c>
      <c r="H95" s="40">
        <f t="shared" ca="1" si="52"/>
        <v>1</v>
      </c>
      <c r="I95" s="40">
        <f t="shared" ca="1" si="53"/>
        <v>1</v>
      </c>
      <c r="J95" s="40">
        <f t="shared" ca="1" si="54"/>
        <v>1</v>
      </c>
      <c r="K95" s="40">
        <f t="shared" ca="1" si="55"/>
        <v>1</v>
      </c>
      <c r="L95" s="40">
        <f t="shared" ca="1" si="72"/>
        <v>0</v>
      </c>
      <c r="M95" s="40">
        <f t="shared" ca="1" si="56"/>
        <v>0</v>
      </c>
      <c r="N95" s="40">
        <f t="shared" ca="1" si="57"/>
        <v>0</v>
      </c>
      <c r="O95" s="40">
        <f t="shared" ca="1" si="58"/>
        <v>0</v>
      </c>
      <c r="P95" s="42"/>
      <c r="Q95" s="31">
        <f t="shared" ca="1" si="59"/>
        <v>2539.2283830108649</v>
      </c>
      <c r="R95" s="31">
        <f t="shared" ca="1" si="60"/>
        <v>17643.531801064855</v>
      </c>
      <c r="S95" s="31">
        <f t="shared" ca="1" si="61"/>
        <v>29130.488321013912</v>
      </c>
      <c r="T95" s="31">
        <f t="shared" ca="1" si="62"/>
        <v>36888.044121958497</v>
      </c>
      <c r="U95" s="31">
        <f t="shared" ca="1" si="63"/>
        <v>24242.070058314312</v>
      </c>
      <c r="V95" s="31">
        <f t="shared" ca="1" si="64"/>
        <v>22557.345817123572</v>
      </c>
      <c r="W95" s="31">
        <f t="shared" ca="1" si="65"/>
        <v>0</v>
      </c>
      <c r="X95" s="31">
        <f t="shared" ca="1" si="66"/>
        <v>0</v>
      </c>
      <c r="Y95" s="31">
        <f t="shared" ca="1" si="67"/>
        <v>0</v>
      </c>
      <c r="Z95" s="31">
        <f t="shared" ca="1" si="68"/>
        <v>0</v>
      </c>
      <c r="AA95" s="44">
        <f t="shared" ca="1" si="69"/>
        <v>133000.708502486</v>
      </c>
      <c r="AB95" s="165"/>
      <c r="AC95" s="96" t="s">
        <v>10</v>
      </c>
      <c r="AD95" s="95">
        <v>21</v>
      </c>
      <c r="AE95" s="95">
        <v>6855019.1333261132</v>
      </c>
      <c r="AF95" s="95">
        <v>11751232.481702745</v>
      </c>
      <c r="AG95" s="95">
        <v>2161261.7946661115</v>
      </c>
      <c r="AH95" s="95">
        <v>4890017.4601842761</v>
      </c>
      <c r="AI95" s="95">
        <v>3983137.2683492005</v>
      </c>
      <c r="AJ95" s="95">
        <v>14614656.054195076</v>
      </c>
      <c r="AK95" s="95">
        <v>5878307.9664117992</v>
      </c>
      <c r="AL95" s="95">
        <v>-5926471.2647814453</v>
      </c>
      <c r="AM95" s="95">
        <v>5103435.0918168426</v>
      </c>
      <c r="AN95" s="95"/>
      <c r="AO95" s="95"/>
    </row>
    <row r="96" spans="1:41" ht="13.2">
      <c r="A96" s="33">
        <v>95</v>
      </c>
      <c r="B96" s="30">
        <v>40000</v>
      </c>
      <c r="C96" s="46"/>
      <c r="D96" s="35">
        <f t="shared" ca="1" si="49"/>
        <v>0.93677629275137719</v>
      </c>
      <c r="E96" s="38">
        <f t="shared" ca="1" si="70"/>
        <v>9</v>
      </c>
      <c r="F96" s="40">
        <f t="shared" ca="1" si="50"/>
        <v>1</v>
      </c>
      <c r="G96" s="40">
        <f t="shared" ca="1" si="51"/>
        <v>1</v>
      </c>
      <c r="H96" s="40">
        <f t="shared" ca="1" si="52"/>
        <v>1</v>
      </c>
      <c r="I96" s="40">
        <f t="shared" ca="1" si="53"/>
        <v>1</v>
      </c>
      <c r="J96" s="40">
        <f t="shared" ca="1" si="54"/>
        <v>1</v>
      </c>
      <c r="K96" s="40">
        <f t="shared" ca="1" si="55"/>
        <v>1</v>
      </c>
      <c r="L96" s="40">
        <f t="shared" ca="1" si="72"/>
        <v>1</v>
      </c>
      <c r="M96" s="40">
        <f t="shared" ca="1" si="56"/>
        <v>1</v>
      </c>
      <c r="N96" s="40">
        <f t="shared" ca="1" si="57"/>
        <v>1</v>
      </c>
      <c r="O96" s="40">
        <f t="shared" ca="1" si="58"/>
        <v>0</v>
      </c>
      <c r="P96" s="42"/>
      <c r="Q96" s="31">
        <f t="shared" ca="1" si="59"/>
        <v>9228.0217477251754</v>
      </c>
      <c r="R96" s="31">
        <f t="shared" ca="1" si="60"/>
        <v>12384.522173181853</v>
      </c>
      <c r="S96" s="31">
        <f t="shared" ca="1" si="61"/>
        <v>1391.6559266476675</v>
      </c>
      <c r="T96" s="31">
        <f t="shared" ca="1" si="62"/>
        <v>29570.844953373922</v>
      </c>
      <c r="U96" s="31">
        <f t="shared" ca="1" si="63"/>
        <v>15096.664611927587</v>
      </c>
      <c r="V96" s="31">
        <f t="shared" ca="1" si="64"/>
        <v>927.6571674111384</v>
      </c>
      <c r="W96" s="31">
        <f t="shared" ca="1" si="65"/>
        <v>18229.61986724232</v>
      </c>
      <c r="X96" s="31">
        <f t="shared" ca="1" si="66"/>
        <v>5195.625743947372</v>
      </c>
      <c r="Y96" s="31">
        <f t="shared" ca="1" si="67"/>
        <v>22713.840817889584</v>
      </c>
      <c r="Z96" s="31">
        <f t="shared" ca="1" si="68"/>
        <v>0</v>
      </c>
      <c r="AA96" s="44">
        <f t="shared" ca="1" si="69"/>
        <v>114738.45300934662</v>
      </c>
      <c r="AB96" s="165"/>
      <c r="AC96" s="96" t="s">
        <v>10</v>
      </c>
      <c r="AD96" s="95">
        <v>22</v>
      </c>
      <c r="AE96" s="95">
        <v>10161762.092401564</v>
      </c>
      <c r="AF96" s="95">
        <v>7983547.5191529691</v>
      </c>
      <c r="AG96" s="95">
        <v>1398413.80261527</v>
      </c>
      <c r="AH96" s="95">
        <v>31616.703553661704</v>
      </c>
      <c r="AI96" s="95">
        <v>983103.09489102662</v>
      </c>
      <c r="AJ96" s="95">
        <v>2805392.830416888</v>
      </c>
      <c r="AK96" s="95">
        <v>-6387430.1053278595</v>
      </c>
      <c r="AL96" s="95">
        <v>3651803.889583692</v>
      </c>
      <c r="AM96" s="95">
        <v>-585433.44351786375</v>
      </c>
      <c r="AN96" s="95"/>
      <c r="AO96" s="95"/>
    </row>
    <row r="97" spans="1:41" ht="13.2">
      <c r="A97" s="33">
        <v>96</v>
      </c>
      <c r="B97" s="30">
        <v>40000</v>
      </c>
      <c r="C97" s="46"/>
      <c r="D97" s="35">
        <f t="shared" ca="1" si="49"/>
        <v>0.12979540974277748</v>
      </c>
      <c r="E97" s="38">
        <f t="shared" ca="1" si="70"/>
        <v>1</v>
      </c>
      <c r="F97" s="40">
        <f t="shared" ca="1" si="50"/>
        <v>1</v>
      </c>
      <c r="G97" s="40">
        <f t="shared" ca="1" si="51"/>
        <v>0</v>
      </c>
      <c r="H97" s="40">
        <f t="shared" ca="1" si="52"/>
        <v>0</v>
      </c>
      <c r="I97" s="40">
        <f t="shared" ca="1" si="53"/>
        <v>0</v>
      </c>
      <c r="J97" s="40">
        <f t="shared" ca="1" si="54"/>
        <v>0</v>
      </c>
      <c r="K97" s="40">
        <f t="shared" ca="1" si="55"/>
        <v>0</v>
      </c>
      <c r="L97" s="40">
        <f t="shared" ca="1" si="72"/>
        <v>0</v>
      </c>
      <c r="M97" s="40">
        <f t="shared" ca="1" si="56"/>
        <v>0</v>
      </c>
      <c r="N97" s="40">
        <f t="shared" ca="1" si="57"/>
        <v>0</v>
      </c>
      <c r="O97" s="40">
        <f t="shared" ca="1" si="58"/>
        <v>0</v>
      </c>
      <c r="P97" s="42"/>
      <c r="Q97" s="31">
        <f t="shared" ca="1" si="59"/>
        <v>776.86807548300078</v>
      </c>
      <c r="R97" s="31">
        <f t="shared" ca="1" si="60"/>
        <v>0</v>
      </c>
      <c r="S97" s="31">
        <f t="shared" ca="1" si="61"/>
        <v>0</v>
      </c>
      <c r="T97" s="31">
        <f t="shared" ca="1" si="62"/>
        <v>0</v>
      </c>
      <c r="U97" s="31">
        <f t="shared" ca="1" si="63"/>
        <v>0</v>
      </c>
      <c r="V97" s="31">
        <f t="shared" ca="1" si="64"/>
        <v>0</v>
      </c>
      <c r="W97" s="31">
        <f t="shared" ca="1" si="65"/>
        <v>0</v>
      </c>
      <c r="X97" s="31">
        <f t="shared" ca="1" si="66"/>
        <v>0</v>
      </c>
      <c r="Y97" s="31">
        <f t="shared" ca="1" si="67"/>
        <v>0</v>
      </c>
      <c r="Z97" s="31">
        <f t="shared" ca="1" si="68"/>
        <v>0</v>
      </c>
      <c r="AA97" s="44">
        <f t="shared" ca="1" si="69"/>
        <v>776.86807548300078</v>
      </c>
      <c r="AB97" s="165"/>
      <c r="AC97" s="95"/>
      <c r="AD97" s="95">
        <v>23</v>
      </c>
      <c r="AE97" s="95">
        <v>82405.511424660683</v>
      </c>
      <c r="AF97" s="95">
        <v>9294076.4203660786</v>
      </c>
      <c r="AG97" s="95">
        <v>7618749.4283167124</v>
      </c>
      <c r="AH97" s="95">
        <v>12479312.427297443</v>
      </c>
      <c r="AI97" s="95">
        <v>6281885.2995977402</v>
      </c>
      <c r="AJ97" s="95">
        <v>1361410.4431298822</v>
      </c>
      <c r="AK97" s="95">
        <v>9631456.4227710664</v>
      </c>
      <c r="AL97" s="95">
        <v>4080040.5961379707</v>
      </c>
      <c r="AM97" s="95">
        <v>-9160300.2432734519</v>
      </c>
      <c r="AN97" s="95"/>
      <c r="AO97" s="95"/>
    </row>
    <row r="98" spans="1:41" ht="13.2">
      <c r="A98" s="33">
        <v>97</v>
      </c>
      <c r="B98" s="30">
        <v>40000</v>
      </c>
      <c r="C98" s="46"/>
      <c r="D98" s="35">
        <f t="shared" ref="D98:D129" ca="1" si="73">RAND()</f>
        <v>2.9480644492407615E-2</v>
      </c>
      <c r="E98" s="38">
        <f t="shared" ca="1" si="70"/>
        <v>0</v>
      </c>
      <c r="F98" s="40">
        <f t="shared" ref="F98:F129" ca="1" si="74">IF(E98&gt;=1,1,0)</f>
        <v>0</v>
      </c>
      <c r="G98" s="40">
        <f t="shared" ref="G98:G129" ca="1" si="75">IF(E98&gt;=2,1,0)</f>
        <v>0</v>
      </c>
      <c r="H98" s="40">
        <f t="shared" ref="H98:H129" ca="1" si="76">IF(E98&gt;=3,1,0)</f>
        <v>0</v>
      </c>
      <c r="I98" s="40">
        <f t="shared" ref="I98:I129" ca="1" si="77">IF(E98&gt;=4,1,0)</f>
        <v>0</v>
      </c>
      <c r="J98" s="40">
        <f t="shared" ref="J98:J129" ca="1" si="78">IF(E98&gt;=5,1,0)</f>
        <v>0</v>
      </c>
      <c r="K98" s="40">
        <f t="shared" ref="K98:K129" ca="1" si="79">IF(E98&gt;=6,1,0)</f>
        <v>0</v>
      </c>
      <c r="L98" s="40">
        <f t="shared" ca="1" si="72"/>
        <v>0</v>
      </c>
      <c r="M98" s="40">
        <f t="shared" ref="M98:M129" ca="1" si="80">IF(E98&gt;=8,1,0)</f>
        <v>0</v>
      </c>
      <c r="N98" s="40">
        <f t="shared" ref="N98:N129" ca="1" si="81">IF(E98&gt;=9,1,0)</f>
        <v>0</v>
      </c>
      <c r="O98" s="40">
        <f t="shared" ref="O98:O129" ca="1" si="82">IF(E98&gt;=10,1,0)</f>
        <v>0</v>
      </c>
      <c r="P98" s="42"/>
      <c r="Q98" s="31">
        <f t="shared" ref="Q98:Q129" ca="1" si="83">_xlfn.CHISQ.INV(RAND(),2)*$AO$4 *F98</f>
        <v>0</v>
      </c>
      <c r="R98" s="31">
        <f t="shared" ref="R98:R129" ca="1" si="84">_xlfn.CHISQ.INV(RAND(),2)*$AO$4 *G98</f>
        <v>0</v>
      </c>
      <c r="S98" s="31">
        <f t="shared" ref="S98:S129" ca="1" si="85">_xlfn.CHISQ.INV(RAND(),2)*$AO$4 *H98</f>
        <v>0</v>
      </c>
      <c r="T98" s="31">
        <f t="shared" ref="T98:T129" ca="1" si="86">_xlfn.CHISQ.INV(RAND(),2)*$AO$4 *I98</f>
        <v>0</v>
      </c>
      <c r="U98" s="31">
        <f t="shared" ref="U98:U129" ca="1" si="87">_xlfn.CHISQ.INV(RAND(),2)*$AO$4 *J98</f>
        <v>0</v>
      </c>
      <c r="V98" s="31">
        <f t="shared" ref="V98:V129" ca="1" si="88">_xlfn.CHISQ.INV(RAND(),2)*$AO$4 *K98</f>
        <v>0</v>
      </c>
      <c r="W98" s="31">
        <f t="shared" ref="W98:W129" ca="1" si="89">_xlfn.CHISQ.INV(RAND(),2)*$AO$4 *L98</f>
        <v>0</v>
      </c>
      <c r="X98" s="31">
        <f t="shared" ref="X98:X129" ca="1" si="90">_xlfn.CHISQ.INV(RAND(),2)*$AO$4 *M98</f>
        <v>0</v>
      </c>
      <c r="Y98" s="31">
        <f t="shared" ref="Y98:Y129" ca="1" si="91">_xlfn.CHISQ.INV(RAND(),2)*$AO$4 *N98</f>
        <v>0</v>
      </c>
      <c r="Z98" s="31">
        <f t="shared" ref="Z98:Z129" ca="1" si="92">_xlfn.CHISQ.INV(RAND(),2)*$AO$4 *O98</f>
        <v>0</v>
      </c>
      <c r="AA98" s="44">
        <f t="shared" ref="AA98:AA129" ca="1" si="93">SUM(Q98:Z98)</f>
        <v>0</v>
      </c>
      <c r="AB98" s="165"/>
      <c r="AC98" s="95"/>
      <c r="AD98" s="95">
        <v>24</v>
      </c>
      <c r="AE98" s="95">
        <v>17106527.18823576</v>
      </c>
      <c r="AF98" s="95">
        <v>10432396.190837741</v>
      </c>
      <c r="AG98" s="95">
        <v>3940383.173074618</v>
      </c>
      <c r="AH98" s="95">
        <v>10332674.737339348</v>
      </c>
      <c r="AI98" s="95">
        <v>2421163.9438484013</v>
      </c>
      <c r="AJ98" s="95">
        <v>-8883864.5574265867</v>
      </c>
      <c r="AK98" s="95">
        <v>8055429.3269400299</v>
      </c>
      <c r="AL98" s="95">
        <v>2000071.499563694</v>
      </c>
      <c r="AM98" s="95">
        <v>2185551.4115466624</v>
      </c>
      <c r="AN98" s="95"/>
      <c r="AO98" s="95"/>
    </row>
    <row r="99" spans="1:41" ht="13.2">
      <c r="A99" s="33">
        <v>98</v>
      </c>
      <c r="B99" s="30">
        <v>40000</v>
      </c>
      <c r="C99" s="46"/>
      <c r="D99" s="35">
        <f t="shared" ca="1" si="73"/>
        <v>0.54352439766343374</v>
      </c>
      <c r="E99" s="38">
        <f t="shared" ca="1" si="70"/>
        <v>4</v>
      </c>
      <c r="F99" s="40">
        <f t="shared" ca="1" si="74"/>
        <v>1</v>
      </c>
      <c r="G99" s="40">
        <f t="shared" ca="1" si="75"/>
        <v>1</v>
      </c>
      <c r="H99" s="40">
        <f t="shared" ca="1" si="76"/>
        <v>1</v>
      </c>
      <c r="I99" s="40">
        <f t="shared" ca="1" si="77"/>
        <v>1</v>
      </c>
      <c r="J99" s="40">
        <f t="shared" ca="1" si="78"/>
        <v>0</v>
      </c>
      <c r="K99" s="40">
        <f t="shared" ca="1" si="79"/>
        <v>0</v>
      </c>
      <c r="L99" s="40">
        <f t="shared" ca="1" si="72"/>
        <v>0</v>
      </c>
      <c r="M99" s="40">
        <f t="shared" ca="1" si="80"/>
        <v>0</v>
      </c>
      <c r="N99" s="40">
        <f t="shared" ca="1" si="81"/>
        <v>0</v>
      </c>
      <c r="O99" s="40">
        <f t="shared" ca="1" si="82"/>
        <v>0</v>
      </c>
      <c r="P99" s="42"/>
      <c r="Q99" s="31">
        <f t="shared" ca="1" si="83"/>
        <v>47989.566673159316</v>
      </c>
      <c r="R99" s="31">
        <f t="shared" ca="1" si="84"/>
        <v>17069.268364866093</v>
      </c>
      <c r="S99" s="31">
        <f t="shared" ca="1" si="85"/>
        <v>56939.550881511859</v>
      </c>
      <c r="T99" s="31">
        <f t="shared" ca="1" si="86"/>
        <v>14041.079591396865</v>
      </c>
      <c r="U99" s="31">
        <f t="shared" ca="1" si="87"/>
        <v>0</v>
      </c>
      <c r="V99" s="31">
        <f t="shared" ca="1" si="88"/>
        <v>0</v>
      </c>
      <c r="W99" s="31">
        <f t="shared" ca="1" si="89"/>
        <v>0</v>
      </c>
      <c r="X99" s="31">
        <f t="shared" ca="1" si="90"/>
        <v>0</v>
      </c>
      <c r="Y99" s="31">
        <f t="shared" ca="1" si="91"/>
        <v>0</v>
      </c>
      <c r="Z99" s="31">
        <f t="shared" ca="1" si="92"/>
        <v>0</v>
      </c>
      <c r="AA99" s="44">
        <f t="shared" ca="1" si="93"/>
        <v>136039.46551093415</v>
      </c>
      <c r="AB99" s="165"/>
      <c r="AC99" s="95"/>
      <c r="AD99" s="95">
        <v>25</v>
      </c>
      <c r="AE99" s="95">
        <v>2725847.8795352727</v>
      </c>
      <c r="AF99" s="95">
        <v>429548.45266722143</v>
      </c>
      <c r="AG99" s="95">
        <v>-3583024.5368233621</v>
      </c>
      <c r="AH99" s="95">
        <v>1852485.9020172358</v>
      </c>
      <c r="AI99" s="95">
        <v>15508043.530912727</v>
      </c>
      <c r="AJ99" s="95">
        <v>-664100.01024134457</v>
      </c>
      <c r="AK99" s="95">
        <v>-12419655.445931733</v>
      </c>
      <c r="AL99" s="95">
        <v>3169034.0063601434</v>
      </c>
      <c r="AM99" s="95">
        <v>-5970202.2467224896</v>
      </c>
      <c r="AN99" s="95"/>
      <c r="AO99" s="95"/>
    </row>
    <row r="100" spans="1:41" ht="13.2">
      <c r="A100" s="33">
        <v>99</v>
      </c>
      <c r="B100" s="30">
        <v>40000</v>
      </c>
      <c r="C100" s="46"/>
      <c r="D100" s="35">
        <f t="shared" ca="1" si="73"/>
        <v>1.1666627089378157E-2</v>
      </c>
      <c r="E100" s="38">
        <f t="shared" ca="1" si="70"/>
        <v>0</v>
      </c>
      <c r="F100" s="40">
        <f t="shared" ca="1" si="74"/>
        <v>0</v>
      </c>
      <c r="G100" s="40">
        <f t="shared" ca="1" si="75"/>
        <v>0</v>
      </c>
      <c r="H100" s="40">
        <f t="shared" ca="1" si="76"/>
        <v>0</v>
      </c>
      <c r="I100" s="40">
        <f t="shared" ca="1" si="77"/>
        <v>0</v>
      </c>
      <c r="J100" s="40">
        <f t="shared" ca="1" si="78"/>
        <v>0</v>
      </c>
      <c r="K100" s="40">
        <f t="shared" ca="1" si="79"/>
        <v>0</v>
      </c>
      <c r="L100" s="40">
        <f t="shared" ca="1" si="72"/>
        <v>0</v>
      </c>
      <c r="M100" s="40">
        <f t="shared" ca="1" si="80"/>
        <v>0</v>
      </c>
      <c r="N100" s="40">
        <f t="shared" ca="1" si="81"/>
        <v>0</v>
      </c>
      <c r="O100" s="40">
        <f t="shared" ca="1" si="82"/>
        <v>0</v>
      </c>
      <c r="P100" s="42"/>
      <c r="Q100" s="31">
        <f t="shared" ca="1" si="83"/>
        <v>0</v>
      </c>
      <c r="R100" s="31">
        <f t="shared" ca="1" si="84"/>
        <v>0</v>
      </c>
      <c r="S100" s="31">
        <f t="shared" ca="1" si="85"/>
        <v>0</v>
      </c>
      <c r="T100" s="31">
        <f t="shared" ca="1" si="86"/>
        <v>0</v>
      </c>
      <c r="U100" s="31">
        <f t="shared" ca="1" si="87"/>
        <v>0</v>
      </c>
      <c r="V100" s="31">
        <f t="shared" ca="1" si="88"/>
        <v>0</v>
      </c>
      <c r="W100" s="31">
        <f t="shared" ca="1" si="89"/>
        <v>0</v>
      </c>
      <c r="X100" s="31">
        <f t="shared" ca="1" si="90"/>
        <v>0</v>
      </c>
      <c r="Y100" s="31">
        <f t="shared" ca="1" si="91"/>
        <v>0</v>
      </c>
      <c r="Z100" s="31">
        <f t="shared" ca="1" si="92"/>
        <v>0</v>
      </c>
      <c r="AA100" s="44">
        <f t="shared" ca="1" si="93"/>
        <v>0</v>
      </c>
      <c r="AB100" s="165"/>
      <c r="AC100" s="95"/>
      <c r="AD100" s="95">
        <v>26</v>
      </c>
      <c r="AE100" s="95">
        <v>6236357.9997075498</v>
      </c>
      <c r="AF100" s="95">
        <v>-5372547.403296113</v>
      </c>
      <c r="AG100" s="95">
        <v>7441369.925617978</v>
      </c>
      <c r="AH100" s="95">
        <v>6739658.1947674006</v>
      </c>
      <c r="AI100" s="95">
        <v>-3238692.2613862157</v>
      </c>
      <c r="AJ100" s="95">
        <v>-3893970.3638546765</v>
      </c>
      <c r="AK100" s="95">
        <v>4305601.4581639767</v>
      </c>
      <c r="AL100" s="95">
        <v>-390793.7185664773</v>
      </c>
      <c r="AM100" s="95">
        <v>-761320.06651467085</v>
      </c>
      <c r="AN100" s="95"/>
      <c r="AO100" s="95"/>
    </row>
    <row r="101" spans="1:41" ht="13.2">
      <c r="A101" s="33">
        <v>100</v>
      </c>
      <c r="B101" s="30">
        <v>40000</v>
      </c>
      <c r="C101" s="46"/>
      <c r="D101" s="35">
        <f t="shared" ca="1" si="73"/>
        <v>0.1616333413884864</v>
      </c>
      <c r="E101" s="38">
        <f t="shared" ca="1" si="70"/>
        <v>2</v>
      </c>
      <c r="F101" s="40">
        <f t="shared" ca="1" si="74"/>
        <v>1</v>
      </c>
      <c r="G101" s="40">
        <f t="shared" ca="1" si="75"/>
        <v>1</v>
      </c>
      <c r="H101" s="40">
        <f t="shared" ca="1" si="76"/>
        <v>0</v>
      </c>
      <c r="I101" s="40">
        <f t="shared" ca="1" si="77"/>
        <v>0</v>
      </c>
      <c r="J101" s="40">
        <f t="shared" ca="1" si="78"/>
        <v>0</v>
      </c>
      <c r="K101" s="40">
        <f t="shared" ca="1" si="79"/>
        <v>0</v>
      </c>
      <c r="L101" s="40">
        <f t="shared" ca="1" si="72"/>
        <v>0</v>
      </c>
      <c r="M101" s="40">
        <f t="shared" ca="1" si="80"/>
        <v>0</v>
      </c>
      <c r="N101" s="40">
        <f t="shared" ca="1" si="81"/>
        <v>0</v>
      </c>
      <c r="O101" s="40">
        <f t="shared" ca="1" si="82"/>
        <v>0</v>
      </c>
      <c r="P101" s="42"/>
      <c r="Q101" s="31">
        <f t="shared" ca="1" si="83"/>
        <v>25113.07768644976</v>
      </c>
      <c r="R101" s="31">
        <f t="shared" ca="1" si="84"/>
        <v>22187.780102119053</v>
      </c>
      <c r="S101" s="31">
        <f t="shared" ca="1" si="85"/>
        <v>0</v>
      </c>
      <c r="T101" s="31">
        <f t="shared" ca="1" si="86"/>
        <v>0</v>
      </c>
      <c r="U101" s="31">
        <f t="shared" ca="1" si="87"/>
        <v>0</v>
      </c>
      <c r="V101" s="31">
        <f t="shared" ca="1" si="88"/>
        <v>0</v>
      </c>
      <c r="W101" s="31">
        <f t="shared" ca="1" si="89"/>
        <v>0</v>
      </c>
      <c r="X101" s="31">
        <f t="shared" ca="1" si="90"/>
        <v>0</v>
      </c>
      <c r="Y101" s="31">
        <f t="shared" ca="1" si="91"/>
        <v>0</v>
      </c>
      <c r="Z101" s="31">
        <f t="shared" ca="1" si="92"/>
        <v>0</v>
      </c>
      <c r="AA101" s="44">
        <f t="shared" ca="1" si="93"/>
        <v>47300.857788568814</v>
      </c>
      <c r="AB101" s="165"/>
      <c r="AC101" s="95"/>
      <c r="AD101" s="95">
        <v>27</v>
      </c>
      <c r="AE101" s="95">
        <v>3921738.0139851123</v>
      </c>
      <c r="AF101" s="95">
        <v>6961128.2371216565</v>
      </c>
      <c r="AG101" s="95">
        <v>3615403.3424923122</v>
      </c>
      <c r="AH101" s="95">
        <v>4667008.6297427118</v>
      </c>
      <c r="AI101" s="95">
        <v>239160.74798388779</v>
      </c>
      <c r="AJ101" s="95">
        <v>43297.998507529497</v>
      </c>
      <c r="AK101" s="95">
        <v>91055.147690221667</v>
      </c>
      <c r="AL101" s="95">
        <v>2027441.3195046335</v>
      </c>
      <c r="AM101" s="95">
        <v>4808963.2608588636</v>
      </c>
      <c r="AN101" s="95"/>
      <c r="AO101" s="95"/>
    </row>
    <row r="102" spans="1:41" ht="13.2">
      <c r="A102" s="33">
        <v>101</v>
      </c>
      <c r="B102" s="30">
        <v>40000</v>
      </c>
      <c r="C102" s="46"/>
      <c r="D102" s="35">
        <f t="shared" ca="1" si="73"/>
        <v>0.5608696066702511</v>
      </c>
      <c r="E102" s="38">
        <f t="shared" ca="1" si="70"/>
        <v>5</v>
      </c>
      <c r="F102" s="40">
        <f t="shared" ca="1" si="74"/>
        <v>1</v>
      </c>
      <c r="G102" s="40">
        <f t="shared" ca="1" si="75"/>
        <v>1</v>
      </c>
      <c r="H102" s="40">
        <f t="shared" ca="1" si="76"/>
        <v>1</v>
      </c>
      <c r="I102" s="40">
        <f t="shared" ca="1" si="77"/>
        <v>1</v>
      </c>
      <c r="J102" s="40">
        <f t="shared" ca="1" si="78"/>
        <v>1</v>
      </c>
      <c r="K102" s="40">
        <f t="shared" ca="1" si="79"/>
        <v>0</v>
      </c>
      <c r="L102" s="40">
        <f t="shared" ca="1" si="72"/>
        <v>0</v>
      </c>
      <c r="M102" s="40">
        <f t="shared" ca="1" si="80"/>
        <v>0</v>
      </c>
      <c r="N102" s="40">
        <f t="shared" ca="1" si="81"/>
        <v>0</v>
      </c>
      <c r="O102" s="40">
        <f t="shared" ca="1" si="82"/>
        <v>0</v>
      </c>
      <c r="P102" s="42"/>
      <c r="Q102" s="31">
        <f t="shared" ca="1" si="83"/>
        <v>1896.0798982101205</v>
      </c>
      <c r="R102" s="31">
        <f t="shared" ca="1" si="84"/>
        <v>2859.3742424270554</v>
      </c>
      <c r="S102" s="31">
        <f t="shared" ca="1" si="85"/>
        <v>1028.8336967283597</v>
      </c>
      <c r="T102" s="31">
        <f t="shared" ca="1" si="86"/>
        <v>11636.58110688681</v>
      </c>
      <c r="U102" s="31">
        <f t="shared" ca="1" si="87"/>
        <v>36147.594071671425</v>
      </c>
      <c r="V102" s="31">
        <f t="shared" ca="1" si="88"/>
        <v>0</v>
      </c>
      <c r="W102" s="31">
        <f t="shared" ca="1" si="89"/>
        <v>0</v>
      </c>
      <c r="X102" s="31">
        <f t="shared" ca="1" si="90"/>
        <v>0</v>
      </c>
      <c r="Y102" s="31">
        <f t="shared" ca="1" si="91"/>
        <v>0</v>
      </c>
      <c r="Z102" s="31">
        <f t="shared" ca="1" si="92"/>
        <v>0</v>
      </c>
      <c r="AA102" s="44">
        <f t="shared" ca="1" si="93"/>
        <v>53568.463015923771</v>
      </c>
      <c r="AB102" s="165"/>
      <c r="AC102" s="95"/>
      <c r="AD102" s="95">
        <v>28</v>
      </c>
      <c r="AE102" s="95">
        <v>2966720.3978454471</v>
      </c>
      <c r="AF102" s="95">
        <v>5537325.794600755</v>
      </c>
      <c r="AG102" s="95">
        <v>11973498.462252438</v>
      </c>
      <c r="AH102" s="95">
        <v>11315725.259299159</v>
      </c>
      <c r="AI102" s="95">
        <v>4236588.216851294</v>
      </c>
      <c r="AJ102" s="95">
        <v>2489680.0694133192</v>
      </c>
      <c r="AK102" s="95">
        <v>4397454.609115988</v>
      </c>
      <c r="AL102" s="95">
        <v>3898837.0515025705</v>
      </c>
      <c r="AM102" s="95">
        <v>-1360866.4764649868</v>
      </c>
      <c r="AN102" s="95"/>
      <c r="AO102" s="95"/>
    </row>
    <row r="103" spans="1:41" ht="13.2">
      <c r="A103" s="33">
        <v>102</v>
      </c>
      <c r="B103" s="30">
        <v>40000</v>
      </c>
      <c r="C103" s="46"/>
      <c r="D103" s="35">
        <f t="shared" ca="1" si="73"/>
        <v>7.5332081884278757E-2</v>
      </c>
      <c r="E103" s="38">
        <f t="shared" ca="1" si="70"/>
        <v>1</v>
      </c>
      <c r="F103" s="40">
        <f t="shared" ca="1" si="74"/>
        <v>1</v>
      </c>
      <c r="G103" s="40">
        <f t="shared" ca="1" si="75"/>
        <v>0</v>
      </c>
      <c r="H103" s="40">
        <f t="shared" ca="1" si="76"/>
        <v>0</v>
      </c>
      <c r="I103" s="40">
        <f t="shared" ca="1" si="77"/>
        <v>0</v>
      </c>
      <c r="J103" s="40">
        <f t="shared" ca="1" si="78"/>
        <v>0</v>
      </c>
      <c r="K103" s="40">
        <f t="shared" ca="1" si="79"/>
        <v>0</v>
      </c>
      <c r="L103" s="40">
        <f t="shared" ca="1" si="72"/>
        <v>0</v>
      </c>
      <c r="M103" s="40">
        <f t="shared" ca="1" si="80"/>
        <v>0</v>
      </c>
      <c r="N103" s="40">
        <f t="shared" ca="1" si="81"/>
        <v>0</v>
      </c>
      <c r="O103" s="40">
        <f t="shared" ca="1" si="82"/>
        <v>0</v>
      </c>
      <c r="P103" s="42"/>
      <c r="Q103" s="31">
        <f t="shared" ca="1" si="83"/>
        <v>28626.798495203264</v>
      </c>
      <c r="R103" s="31">
        <f t="shared" ca="1" si="84"/>
        <v>0</v>
      </c>
      <c r="S103" s="31">
        <f t="shared" ca="1" si="85"/>
        <v>0</v>
      </c>
      <c r="T103" s="31">
        <f t="shared" ca="1" si="86"/>
        <v>0</v>
      </c>
      <c r="U103" s="31">
        <f t="shared" ca="1" si="87"/>
        <v>0</v>
      </c>
      <c r="V103" s="31">
        <f t="shared" ca="1" si="88"/>
        <v>0</v>
      </c>
      <c r="W103" s="31">
        <f t="shared" ca="1" si="89"/>
        <v>0</v>
      </c>
      <c r="X103" s="31">
        <f t="shared" ca="1" si="90"/>
        <v>0</v>
      </c>
      <c r="Y103" s="31">
        <f t="shared" ca="1" si="91"/>
        <v>0</v>
      </c>
      <c r="Z103" s="31">
        <f t="shared" ca="1" si="92"/>
        <v>0</v>
      </c>
      <c r="AA103" s="44">
        <f t="shared" ca="1" si="93"/>
        <v>28626.798495203264</v>
      </c>
      <c r="AB103" s="165"/>
      <c r="AC103" s="95"/>
      <c r="AD103" s="95">
        <v>29</v>
      </c>
      <c r="AE103" s="95">
        <v>11611002.118228465</v>
      </c>
      <c r="AF103" s="95">
        <v>7498811.4627181292</v>
      </c>
      <c r="AG103" s="95">
        <v>14088271.629975647</v>
      </c>
      <c r="AH103" s="95">
        <v>8627483.1281806678</v>
      </c>
      <c r="AI103" s="95">
        <v>4481521.7124641538</v>
      </c>
      <c r="AJ103" s="95">
        <v>4671675.8520852774</v>
      </c>
      <c r="AK103" s="95">
        <v>-13011655.087859452</v>
      </c>
      <c r="AL103" s="95">
        <v>1061216.0735071003</v>
      </c>
      <c r="AM103" s="95">
        <v>4585843.6745335758</v>
      </c>
      <c r="AN103" s="95"/>
      <c r="AO103" s="95"/>
    </row>
    <row r="104" spans="1:41" ht="13.2">
      <c r="A104" s="33">
        <v>103</v>
      </c>
      <c r="B104" s="30">
        <v>40000</v>
      </c>
      <c r="C104" s="46"/>
      <c r="D104" s="35">
        <f t="shared" ca="1" si="73"/>
        <v>8.0323646695225959E-2</v>
      </c>
      <c r="E104" s="38">
        <f t="shared" ca="1" si="70"/>
        <v>1</v>
      </c>
      <c r="F104" s="40">
        <f t="shared" ca="1" si="74"/>
        <v>1</v>
      </c>
      <c r="G104" s="40">
        <f t="shared" ca="1" si="75"/>
        <v>0</v>
      </c>
      <c r="H104" s="40">
        <f t="shared" ca="1" si="76"/>
        <v>0</v>
      </c>
      <c r="I104" s="40">
        <f t="shared" ca="1" si="77"/>
        <v>0</v>
      </c>
      <c r="J104" s="40">
        <f t="shared" ca="1" si="78"/>
        <v>0</v>
      </c>
      <c r="K104" s="40">
        <f t="shared" ca="1" si="79"/>
        <v>0</v>
      </c>
      <c r="L104" s="40">
        <f t="shared" ref="L104:L135" ca="1" si="94">IF(E104&gt;=7,1,0)</f>
        <v>0</v>
      </c>
      <c r="M104" s="40">
        <f t="shared" ca="1" si="80"/>
        <v>0</v>
      </c>
      <c r="N104" s="40">
        <f t="shared" ca="1" si="81"/>
        <v>0</v>
      </c>
      <c r="O104" s="40">
        <f t="shared" ca="1" si="82"/>
        <v>0</v>
      </c>
      <c r="P104" s="42"/>
      <c r="Q104" s="31">
        <f t="shared" ca="1" si="83"/>
        <v>30156.86465441998</v>
      </c>
      <c r="R104" s="31">
        <f t="shared" ca="1" si="84"/>
        <v>0</v>
      </c>
      <c r="S104" s="31">
        <f t="shared" ca="1" si="85"/>
        <v>0</v>
      </c>
      <c r="T104" s="31">
        <f t="shared" ca="1" si="86"/>
        <v>0</v>
      </c>
      <c r="U104" s="31">
        <f t="shared" ca="1" si="87"/>
        <v>0</v>
      </c>
      <c r="V104" s="31">
        <f t="shared" ca="1" si="88"/>
        <v>0</v>
      </c>
      <c r="W104" s="31">
        <f t="shared" ca="1" si="89"/>
        <v>0</v>
      </c>
      <c r="X104" s="31">
        <f t="shared" ca="1" si="90"/>
        <v>0</v>
      </c>
      <c r="Y104" s="31">
        <f t="shared" ca="1" si="91"/>
        <v>0</v>
      </c>
      <c r="Z104" s="31">
        <f t="shared" ca="1" si="92"/>
        <v>0</v>
      </c>
      <c r="AA104" s="44">
        <f t="shared" ca="1" si="93"/>
        <v>30156.86465441998</v>
      </c>
      <c r="AB104" s="165"/>
      <c r="AC104" s="95"/>
      <c r="AD104" s="95">
        <v>30</v>
      </c>
      <c r="AE104" s="95">
        <v>8009887.4658620507</v>
      </c>
      <c r="AF104" s="95">
        <v>8159075.1073643416</v>
      </c>
      <c r="AG104" s="95">
        <v>3753805.0910529941</v>
      </c>
      <c r="AH104" s="95">
        <v>5513099.2222936749</v>
      </c>
      <c r="AI104" s="95">
        <v>3404194.2393108308</v>
      </c>
      <c r="AJ104" s="95">
        <v>-1229856.9499998391</v>
      </c>
      <c r="AK104" s="95">
        <v>1387080.3957805336</v>
      </c>
      <c r="AL104" s="95">
        <v>-5633237.2999749035</v>
      </c>
      <c r="AM104" s="95">
        <v>-2214719.6214687526</v>
      </c>
      <c r="AN104" s="95"/>
      <c r="AO104" s="95"/>
    </row>
    <row r="105" spans="1:41" ht="13.2">
      <c r="A105" s="33">
        <v>104</v>
      </c>
      <c r="B105" s="30">
        <v>40000</v>
      </c>
      <c r="C105" s="46"/>
      <c r="D105" s="35">
        <f t="shared" ca="1" si="73"/>
        <v>0.22498698917890647</v>
      </c>
      <c r="E105" s="38">
        <f t="shared" ca="1" si="70"/>
        <v>2</v>
      </c>
      <c r="F105" s="40">
        <f t="shared" ca="1" si="74"/>
        <v>1</v>
      </c>
      <c r="G105" s="40">
        <f t="shared" ca="1" si="75"/>
        <v>1</v>
      </c>
      <c r="H105" s="40">
        <f t="shared" ca="1" si="76"/>
        <v>0</v>
      </c>
      <c r="I105" s="40">
        <f t="shared" ca="1" si="77"/>
        <v>0</v>
      </c>
      <c r="J105" s="40">
        <f t="shared" ca="1" si="78"/>
        <v>0</v>
      </c>
      <c r="K105" s="40">
        <f t="shared" ca="1" si="79"/>
        <v>0</v>
      </c>
      <c r="L105" s="40">
        <f t="shared" ca="1" si="94"/>
        <v>0</v>
      </c>
      <c r="M105" s="40">
        <f t="shared" ca="1" si="80"/>
        <v>0</v>
      </c>
      <c r="N105" s="40">
        <f t="shared" ca="1" si="81"/>
        <v>0</v>
      </c>
      <c r="O105" s="40">
        <f t="shared" ca="1" si="82"/>
        <v>0</v>
      </c>
      <c r="P105" s="42"/>
      <c r="Q105" s="31">
        <f t="shared" ca="1" si="83"/>
        <v>9421.777612478827</v>
      </c>
      <c r="R105" s="31">
        <f t="shared" ca="1" si="84"/>
        <v>31161.981268346091</v>
      </c>
      <c r="S105" s="31">
        <f t="shared" ca="1" si="85"/>
        <v>0</v>
      </c>
      <c r="T105" s="31">
        <f t="shared" ca="1" si="86"/>
        <v>0</v>
      </c>
      <c r="U105" s="31">
        <f t="shared" ca="1" si="87"/>
        <v>0</v>
      </c>
      <c r="V105" s="31">
        <f t="shared" ca="1" si="88"/>
        <v>0</v>
      </c>
      <c r="W105" s="31">
        <f t="shared" ca="1" si="89"/>
        <v>0</v>
      </c>
      <c r="X105" s="31">
        <f t="shared" ca="1" si="90"/>
        <v>0</v>
      </c>
      <c r="Y105" s="31">
        <f t="shared" ca="1" si="91"/>
        <v>0</v>
      </c>
      <c r="Z105" s="31">
        <f t="shared" ca="1" si="92"/>
        <v>0</v>
      </c>
      <c r="AA105" s="44">
        <f t="shared" ca="1" si="93"/>
        <v>40583.75888082492</v>
      </c>
      <c r="AB105" s="165"/>
      <c r="AC105" s="95"/>
      <c r="AD105" s="95">
        <v>31</v>
      </c>
      <c r="AE105" s="95">
        <v>4199658.1691937745</v>
      </c>
      <c r="AF105" s="95">
        <v>1003734.2230296433</v>
      </c>
      <c r="AG105" s="95">
        <v>5563203.5529309958</v>
      </c>
      <c r="AH105" s="95">
        <v>-2575395.5342371464</v>
      </c>
      <c r="AI105" s="95">
        <v>452263.40582704544</v>
      </c>
      <c r="AJ105" s="95">
        <v>-892701.20988953114</v>
      </c>
      <c r="AK105" s="95">
        <v>-64373.802130043507</v>
      </c>
      <c r="AL105" s="95">
        <v>-3919680.0016516447</v>
      </c>
      <c r="AM105" s="95">
        <v>1412391.5626012534</v>
      </c>
      <c r="AN105" s="95"/>
      <c r="AO105" s="95"/>
    </row>
    <row r="106" spans="1:41" ht="13.2">
      <c r="A106" s="33">
        <v>105</v>
      </c>
      <c r="B106" s="30">
        <v>40000</v>
      </c>
      <c r="C106" s="46"/>
      <c r="D106" s="35">
        <f t="shared" ca="1" si="73"/>
        <v>0.16042911458769116</v>
      </c>
      <c r="E106" s="38">
        <f t="shared" ca="1" si="70"/>
        <v>2</v>
      </c>
      <c r="F106" s="40">
        <f t="shared" ca="1" si="74"/>
        <v>1</v>
      </c>
      <c r="G106" s="40">
        <f t="shared" ca="1" si="75"/>
        <v>1</v>
      </c>
      <c r="H106" s="40">
        <f t="shared" ca="1" si="76"/>
        <v>0</v>
      </c>
      <c r="I106" s="40">
        <f t="shared" ca="1" si="77"/>
        <v>0</v>
      </c>
      <c r="J106" s="40">
        <f t="shared" ca="1" si="78"/>
        <v>0</v>
      </c>
      <c r="K106" s="40">
        <f t="shared" ca="1" si="79"/>
        <v>0</v>
      </c>
      <c r="L106" s="40">
        <f t="shared" ca="1" si="94"/>
        <v>0</v>
      </c>
      <c r="M106" s="40">
        <f t="shared" ca="1" si="80"/>
        <v>0</v>
      </c>
      <c r="N106" s="40">
        <f t="shared" ca="1" si="81"/>
        <v>0</v>
      </c>
      <c r="O106" s="40">
        <f t="shared" ca="1" si="82"/>
        <v>0</v>
      </c>
      <c r="P106" s="42"/>
      <c r="Q106" s="31">
        <f t="shared" ca="1" si="83"/>
        <v>4391.9731067434868</v>
      </c>
      <c r="R106" s="31">
        <f t="shared" ca="1" si="84"/>
        <v>4606.5828288998609</v>
      </c>
      <c r="S106" s="31">
        <f t="shared" ca="1" si="85"/>
        <v>0</v>
      </c>
      <c r="T106" s="31">
        <f t="shared" ca="1" si="86"/>
        <v>0</v>
      </c>
      <c r="U106" s="31">
        <f t="shared" ca="1" si="87"/>
        <v>0</v>
      </c>
      <c r="V106" s="31">
        <f t="shared" ca="1" si="88"/>
        <v>0</v>
      </c>
      <c r="W106" s="31">
        <f t="shared" ca="1" si="89"/>
        <v>0</v>
      </c>
      <c r="X106" s="31">
        <f t="shared" ca="1" si="90"/>
        <v>0</v>
      </c>
      <c r="Y106" s="31">
        <f t="shared" ca="1" si="91"/>
        <v>0</v>
      </c>
      <c r="Z106" s="31">
        <f t="shared" ca="1" si="92"/>
        <v>0</v>
      </c>
      <c r="AA106" s="44">
        <f t="shared" ca="1" si="93"/>
        <v>8998.5559356433478</v>
      </c>
      <c r="AB106" s="165"/>
      <c r="AC106" s="95"/>
      <c r="AD106" s="95">
        <v>32</v>
      </c>
      <c r="AE106" s="95">
        <v>11304385.213126123</v>
      </c>
      <c r="AF106" s="95">
        <v>7055314.6476708949</v>
      </c>
      <c r="AG106" s="95">
        <v>-4800162.5883423537</v>
      </c>
      <c r="AH106" s="95">
        <v>-1460410.5838765949</v>
      </c>
      <c r="AI106" s="95">
        <v>3042789.6329602003</v>
      </c>
      <c r="AJ106" s="95">
        <v>3401377.5017306507</v>
      </c>
      <c r="AK106" s="95">
        <v>853105.66997334361</v>
      </c>
      <c r="AL106" s="95">
        <v>2809833.3611856103</v>
      </c>
      <c r="AM106" s="95">
        <v>-900826.76211005449</v>
      </c>
      <c r="AN106" s="95"/>
      <c r="AO106" s="95"/>
    </row>
    <row r="107" spans="1:41" ht="13.2">
      <c r="A107" s="33">
        <v>106</v>
      </c>
      <c r="B107" s="30">
        <v>40000</v>
      </c>
      <c r="C107" s="46"/>
      <c r="D107" s="35">
        <f t="shared" ca="1" si="73"/>
        <v>0.14255528760830105</v>
      </c>
      <c r="E107" s="38">
        <f t="shared" ca="1" si="70"/>
        <v>1</v>
      </c>
      <c r="F107" s="40">
        <f t="shared" ca="1" si="74"/>
        <v>1</v>
      </c>
      <c r="G107" s="40">
        <f t="shared" ca="1" si="75"/>
        <v>0</v>
      </c>
      <c r="H107" s="40">
        <f t="shared" ca="1" si="76"/>
        <v>0</v>
      </c>
      <c r="I107" s="40">
        <f t="shared" ca="1" si="77"/>
        <v>0</v>
      </c>
      <c r="J107" s="40">
        <f t="shared" ca="1" si="78"/>
        <v>0</v>
      </c>
      <c r="K107" s="40">
        <f t="shared" ca="1" si="79"/>
        <v>0</v>
      </c>
      <c r="L107" s="40">
        <f t="shared" ca="1" si="94"/>
        <v>0</v>
      </c>
      <c r="M107" s="40">
        <f t="shared" ca="1" si="80"/>
        <v>0</v>
      </c>
      <c r="N107" s="40">
        <f t="shared" ca="1" si="81"/>
        <v>0</v>
      </c>
      <c r="O107" s="40">
        <f t="shared" ca="1" si="82"/>
        <v>0</v>
      </c>
      <c r="P107" s="42"/>
      <c r="Q107" s="31">
        <f t="shared" ca="1" si="83"/>
        <v>25508.097840124814</v>
      </c>
      <c r="R107" s="31">
        <f t="shared" ca="1" si="84"/>
        <v>0</v>
      </c>
      <c r="S107" s="31">
        <f t="shared" ca="1" si="85"/>
        <v>0</v>
      </c>
      <c r="T107" s="31">
        <f t="shared" ca="1" si="86"/>
        <v>0</v>
      </c>
      <c r="U107" s="31">
        <f t="shared" ca="1" si="87"/>
        <v>0</v>
      </c>
      <c r="V107" s="31">
        <f t="shared" ca="1" si="88"/>
        <v>0</v>
      </c>
      <c r="W107" s="31">
        <f t="shared" ca="1" si="89"/>
        <v>0</v>
      </c>
      <c r="X107" s="31">
        <f t="shared" ca="1" si="90"/>
        <v>0</v>
      </c>
      <c r="Y107" s="31">
        <f t="shared" ca="1" si="91"/>
        <v>0</v>
      </c>
      <c r="Z107" s="31">
        <f t="shared" ca="1" si="92"/>
        <v>0</v>
      </c>
      <c r="AA107" s="44">
        <f t="shared" ca="1" si="93"/>
        <v>25508.097840124814</v>
      </c>
      <c r="AB107" s="165"/>
      <c r="AC107" s="95"/>
      <c r="AD107" s="95">
        <v>33</v>
      </c>
      <c r="AE107" s="95">
        <v>1376869.153507337</v>
      </c>
      <c r="AF107" s="95">
        <v>3378867.3714984208</v>
      </c>
      <c r="AG107" s="95">
        <v>2480669.5069070756</v>
      </c>
      <c r="AH107" s="95">
        <v>12382505.93593581</v>
      </c>
      <c r="AI107" s="95">
        <v>7634484.9251399636</v>
      </c>
      <c r="AJ107" s="95">
        <v>-4691707.9008709192</v>
      </c>
      <c r="AK107" s="95">
        <v>3130290.5552120507</v>
      </c>
      <c r="AL107" s="95">
        <v>-2259914.03358455</v>
      </c>
      <c r="AM107" s="95">
        <v>-3684481.2444608063</v>
      </c>
      <c r="AN107" s="95"/>
      <c r="AO107" s="95"/>
    </row>
    <row r="108" spans="1:41" ht="13.2">
      <c r="A108" s="33">
        <v>107</v>
      </c>
      <c r="B108" s="30">
        <v>40000</v>
      </c>
      <c r="C108" s="46"/>
      <c r="D108" s="35">
        <f t="shared" ca="1" si="73"/>
        <v>0.10313859221100719</v>
      </c>
      <c r="E108" s="38">
        <f t="shared" ca="1" si="70"/>
        <v>1</v>
      </c>
      <c r="F108" s="40">
        <f t="shared" ca="1" si="74"/>
        <v>1</v>
      </c>
      <c r="G108" s="40">
        <f t="shared" ca="1" si="75"/>
        <v>0</v>
      </c>
      <c r="H108" s="40">
        <f t="shared" ca="1" si="76"/>
        <v>0</v>
      </c>
      <c r="I108" s="40">
        <f t="shared" ca="1" si="77"/>
        <v>0</v>
      </c>
      <c r="J108" s="40">
        <f t="shared" ca="1" si="78"/>
        <v>0</v>
      </c>
      <c r="K108" s="40">
        <f t="shared" ca="1" si="79"/>
        <v>0</v>
      </c>
      <c r="L108" s="40">
        <f t="shared" ca="1" si="94"/>
        <v>0</v>
      </c>
      <c r="M108" s="40">
        <f t="shared" ca="1" si="80"/>
        <v>0</v>
      </c>
      <c r="N108" s="40">
        <f t="shared" ca="1" si="81"/>
        <v>0</v>
      </c>
      <c r="O108" s="40">
        <f t="shared" ca="1" si="82"/>
        <v>0</v>
      </c>
      <c r="P108" s="42"/>
      <c r="Q108" s="31">
        <f t="shared" ca="1" si="83"/>
        <v>12267.009312926775</v>
      </c>
      <c r="R108" s="31">
        <f t="shared" ca="1" si="84"/>
        <v>0</v>
      </c>
      <c r="S108" s="31">
        <f t="shared" ca="1" si="85"/>
        <v>0</v>
      </c>
      <c r="T108" s="31">
        <f t="shared" ca="1" si="86"/>
        <v>0</v>
      </c>
      <c r="U108" s="31">
        <f t="shared" ca="1" si="87"/>
        <v>0</v>
      </c>
      <c r="V108" s="31">
        <f t="shared" ca="1" si="88"/>
        <v>0</v>
      </c>
      <c r="W108" s="31">
        <f t="shared" ca="1" si="89"/>
        <v>0</v>
      </c>
      <c r="X108" s="31">
        <f t="shared" ca="1" si="90"/>
        <v>0</v>
      </c>
      <c r="Y108" s="31">
        <f t="shared" ca="1" si="91"/>
        <v>0</v>
      </c>
      <c r="Z108" s="31">
        <f t="shared" ca="1" si="92"/>
        <v>0</v>
      </c>
      <c r="AA108" s="44">
        <f t="shared" ca="1" si="93"/>
        <v>12267.009312926775</v>
      </c>
      <c r="AB108" s="165"/>
      <c r="AC108" s="95"/>
      <c r="AD108" s="95">
        <v>34</v>
      </c>
      <c r="AE108" s="95">
        <v>5752939.5735016167</v>
      </c>
      <c r="AF108" s="95">
        <v>11101439.575326145</v>
      </c>
      <c r="AG108" s="95">
        <v>-916778.23462176323</v>
      </c>
      <c r="AH108" s="95">
        <v>5387789.0576064587</v>
      </c>
      <c r="AI108" s="95">
        <v>2084527.780536741</v>
      </c>
      <c r="AJ108" s="95">
        <v>-5621539.2174385786</v>
      </c>
      <c r="AK108" s="95">
        <v>5130938.5489527583</v>
      </c>
      <c r="AL108" s="95">
        <v>1135339.3027420342</v>
      </c>
      <c r="AM108" s="95">
        <v>6035198.5983119607</v>
      </c>
      <c r="AN108" s="95"/>
      <c r="AO108" s="95"/>
    </row>
    <row r="109" spans="1:41" ht="13.2">
      <c r="A109" s="33">
        <v>108</v>
      </c>
      <c r="B109" s="30">
        <v>40000</v>
      </c>
      <c r="C109" s="46"/>
      <c r="D109" s="35">
        <f t="shared" ca="1" si="73"/>
        <v>0.94527355461643925</v>
      </c>
      <c r="E109" s="38">
        <f t="shared" ca="1" si="70"/>
        <v>9</v>
      </c>
      <c r="F109" s="40">
        <f t="shared" ca="1" si="74"/>
        <v>1</v>
      </c>
      <c r="G109" s="40">
        <f t="shared" ca="1" si="75"/>
        <v>1</v>
      </c>
      <c r="H109" s="40">
        <f t="shared" ca="1" si="76"/>
        <v>1</v>
      </c>
      <c r="I109" s="40">
        <f t="shared" ca="1" si="77"/>
        <v>1</v>
      </c>
      <c r="J109" s="40">
        <f t="shared" ca="1" si="78"/>
        <v>1</v>
      </c>
      <c r="K109" s="40">
        <f t="shared" ca="1" si="79"/>
        <v>1</v>
      </c>
      <c r="L109" s="40">
        <f t="shared" ca="1" si="94"/>
        <v>1</v>
      </c>
      <c r="M109" s="40">
        <f t="shared" ca="1" si="80"/>
        <v>1</v>
      </c>
      <c r="N109" s="40">
        <f t="shared" ca="1" si="81"/>
        <v>1</v>
      </c>
      <c r="O109" s="40">
        <f t="shared" ca="1" si="82"/>
        <v>0</v>
      </c>
      <c r="P109" s="42"/>
      <c r="Q109" s="31">
        <f t="shared" ca="1" si="83"/>
        <v>5368.5999402436182</v>
      </c>
      <c r="R109" s="31">
        <f t="shared" ca="1" si="84"/>
        <v>3742.9194604550175</v>
      </c>
      <c r="S109" s="31">
        <f t="shared" ca="1" si="85"/>
        <v>1975.555055594278</v>
      </c>
      <c r="T109" s="31">
        <f t="shared" ca="1" si="86"/>
        <v>45853.071722146546</v>
      </c>
      <c r="U109" s="31">
        <f t="shared" ca="1" si="87"/>
        <v>4871.7037780739511</v>
      </c>
      <c r="V109" s="31">
        <f t="shared" ca="1" si="88"/>
        <v>30305.265777732089</v>
      </c>
      <c r="W109" s="31">
        <f t="shared" ca="1" si="89"/>
        <v>14462.57264446342</v>
      </c>
      <c r="X109" s="31">
        <f t="shared" ca="1" si="90"/>
        <v>15114.655980555615</v>
      </c>
      <c r="Y109" s="31">
        <f t="shared" ca="1" si="91"/>
        <v>2333.1722192129018</v>
      </c>
      <c r="Z109" s="31">
        <f t="shared" ca="1" si="92"/>
        <v>0</v>
      </c>
      <c r="AA109" s="44">
        <f t="shared" ca="1" si="93"/>
        <v>124027.51657847743</v>
      </c>
      <c r="AB109" s="165"/>
      <c r="AC109" s="95"/>
      <c r="AD109" s="95">
        <v>35</v>
      </c>
      <c r="AE109" s="95">
        <v>10532144.89906989</v>
      </c>
      <c r="AF109" s="95">
        <v>10649268.154457957</v>
      </c>
      <c r="AG109" s="95">
        <v>1528394.1477479637</v>
      </c>
      <c r="AH109" s="95">
        <v>10106544.992306978</v>
      </c>
      <c r="AI109" s="95">
        <v>5491464.1367441267</v>
      </c>
      <c r="AJ109" s="95">
        <v>-62157.87725456059</v>
      </c>
      <c r="AK109" s="95">
        <v>-3882131.3049423099</v>
      </c>
      <c r="AL109" s="95">
        <v>-6573817.2800861895</v>
      </c>
      <c r="AM109" s="95">
        <v>-6728602.4144206643</v>
      </c>
      <c r="AN109" s="95"/>
      <c r="AO109" s="95"/>
    </row>
    <row r="110" spans="1:41" ht="13.2">
      <c r="A110" s="33">
        <v>109</v>
      </c>
      <c r="B110" s="30">
        <v>40000</v>
      </c>
      <c r="C110" s="46"/>
      <c r="D110" s="35">
        <f t="shared" ca="1" si="73"/>
        <v>0.39864536311327947</v>
      </c>
      <c r="E110" s="38">
        <f t="shared" ca="1" si="70"/>
        <v>3</v>
      </c>
      <c r="F110" s="40">
        <f t="shared" ca="1" si="74"/>
        <v>1</v>
      </c>
      <c r="G110" s="40">
        <f t="shared" ca="1" si="75"/>
        <v>1</v>
      </c>
      <c r="H110" s="40">
        <f t="shared" ca="1" si="76"/>
        <v>1</v>
      </c>
      <c r="I110" s="40">
        <f t="shared" ca="1" si="77"/>
        <v>0</v>
      </c>
      <c r="J110" s="40">
        <f t="shared" ca="1" si="78"/>
        <v>0</v>
      </c>
      <c r="K110" s="40">
        <f t="shared" ca="1" si="79"/>
        <v>0</v>
      </c>
      <c r="L110" s="40">
        <f t="shared" ca="1" si="94"/>
        <v>0</v>
      </c>
      <c r="M110" s="40">
        <f t="shared" ca="1" si="80"/>
        <v>0</v>
      </c>
      <c r="N110" s="40">
        <f t="shared" ca="1" si="81"/>
        <v>0</v>
      </c>
      <c r="O110" s="40">
        <f t="shared" ca="1" si="82"/>
        <v>0</v>
      </c>
      <c r="P110" s="42"/>
      <c r="Q110" s="31">
        <f t="shared" ca="1" si="83"/>
        <v>3494.373916200459</v>
      </c>
      <c r="R110" s="31">
        <f t="shared" ca="1" si="84"/>
        <v>10137.862042696617</v>
      </c>
      <c r="S110" s="31">
        <f t="shared" ca="1" si="85"/>
        <v>25118.178038291153</v>
      </c>
      <c r="T110" s="31">
        <f t="shared" ca="1" si="86"/>
        <v>0</v>
      </c>
      <c r="U110" s="31">
        <f t="shared" ca="1" si="87"/>
        <v>0</v>
      </c>
      <c r="V110" s="31">
        <f t="shared" ca="1" si="88"/>
        <v>0</v>
      </c>
      <c r="W110" s="31">
        <f t="shared" ca="1" si="89"/>
        <v>0</v>
      </c>
      <c r="X110" s="31">
        <f t="shared" ca="1" si="90"/>
        <v>0</v>
      </c>
      <c r="Y110" s="31">
        <f t="shared" ca="1" si="91"/>
        <v>0</v>
      </c>
      <c r="Z110" s="31">
        <f t="shared" ca="1" si="92"/>
        <v>0</v>
      </c>
      <c r="AA110" s="44">
        <f t="shared" ca="1" si="93"/>
        <v>38750.413997188225</v>
      </c>
      <c r="AB110" s="165"/>
      <c r="AC110" s="95"/>
      <c r="AD110" s="95">
        <v>36</v>
      </c>
      <c r="AE110" s="95">
        <v>12940177.51585573</v>
      </c>
      <c r="AF110" s="95">
        <v>8143642.2378908843</v>
      </c>
      <c r="AG110" s="95">
        <v>19697456.756746352</v>
      </c>
      <c r="AH110" s="95">
        <v>923756.56880734861</v>
      </c>
      <c r="AI110" s="95">
        <v>10687909.958075508</v>
      </c>
      <c r="AJ110" s="95">
        <v>-2048281.5178679973</v>
      </c>
      <c r="AK110" s="95">
        <v>-9839246.1615104973</v>
      </c>
      <c r="AL110" s="95">
        <v>-654436.4411239326</v>
      </c>
      <c r="AM110" s="95">
        <v>-11393576.804755196</v>
      </c>
      <c r="AN110" s="95"/>
      <c r="AO110" s="95"/>
    </row>
    <row r="111" spans="1:41" ht="13.2">
      <c r="A111" s="33">
        <v>110</v>
      </c>
      <c r="B111" s="30">
        <v>40000</v>
      </c>
      <c r="C111" s="46"/>
      <c r="D111" s="35">
        <f t="shared" ca="1" si="73"/>
        <v>0.74547521997315835</v>
      </c>
      <c r="E111" s="38">
        <f t="shared" ca="1" si="70"/>
        <v>6</v>
      </c>
      <c r="F111" s="40">
        <f t="shared" ca="1" si="74"/>
        <v>1</v>
      </c>
      <c r="G111" s="40">
        <f t="shared" ca="1" si="75"/>
        <v>1</v>
      </c>
      <c r="H111" s="40">
        <f t="shared" ca="1" si="76"/>
        <v>1</v>
      </c>
      <c r="I111" s="40">
        <f t="shared" ca="1" si="77"/>
        <v>1</v>
      </c>
      <c r="J111" s="40">
        <f t="shared" ca="1" si="78"/>
        <v>1</v>
      </c>
      <c r="K111" s="40">
        <f t="shared" ca="1" si="79"/>
        <v>1</v>
      </c>
      <c r="L111" s="40">
        <f t="shared" ca="1" si="94"/>
        <v>0</v>
      </c>
      <c r="M111" s="40">
        <f t="shared" ca="1" si="80"/>
        <v>0</v>
      </c>
      <c r="N111" s="40">
        <f t="shared" ca="1" si="81"/>
        <v>0</v>
      </c>
      <c r="O111" s="40">
        <f t="shared" ca="1" si="82"/>
        <v>0</v>
      </c>
      <c r="P111" s="42"/>
      <c r="Q111" s="31">
        <f t="shared" ca="1" si="83"/>
        <v>11799.18986606163</v>
      </c>
      <c r="R111" s="31">
        <f t="shared" ca="1" si="84"/>
        <v>16635.277262195395</v>
      </c>
      <c r="S111" s="31">
        <f t="shared" ca="1" si="85"/>
        <v>20763.649183548787</v>
      </c>
      <c r="T111" s="31">
        <f t="shared" ca="1" si="86"/>
        <v>28517.016490362235</v>
      </c>
      <c r="U111" s="31">
        <f t="shared" ca="1" si="87"/>
        <v>9195.8326777391612</v>
      </c>
      <c r="V111" s="31">
        <f t="shared" ca="1" si="88"/>
        <v>45875.695095541283</v>
      </c>
      <c r="W111" s="31">
        <f t="shared" ca="1" si="89"/>
        <v>0</v>
      </c>
      <c r="X111" s="31">
        <f t="shared" ca="1" si="90"/>
        <v>0</v>
      </c>
      <c r="Y111" s="31">
        <f t="shared" ca="1" si="91"/>
        <v>0</v>
      </c>
      <c r="Z111" s="31">
        <f t="shared" ca="1" si="92"/>
        <v>0</v>
      </c>
      <c r="AA111" s="44">
        <f t="shared" ca="1" si="93"/>
        <v>132786.66057544851</v>
      </c>
      <c r="AB111" s="165"/>
      <c r="AC111" s="95"/>
      <c r="AD111" s="95">
        <v>37</v>
      </c>
      <c r="AE111" s="95">
        <v>10704659.013215095</v>
      </c>
      <c r="AF111" s="95">
        <v>3759482.2512842417</v>
      </c>
      <c r="AG111" s="95">
        <v>4572439.6519159973</v>
      </c>
      <c r="AH111" s="95">
        <v>5468708.8927621096</v>
      </c>
      <c r="AI111" s="95">
        <v>10313070.874719054</v>
      </c>
      <c r="AJ111" s="95">
        <v>-6931430.5872919261</v>
      </c>
      <c r="AK111" s="95">
        <v>2325540.2453374714</v>
      </c>
      <c r="AL111" s="95">
        <v>-1263905.1125050783</v>
      </c>
      <c r="AM111" s="95">
        <v>3086138.2667637169</v>
      </c>
      <c r="AN111" s="95"/>
      <c r="AO111" s="95"/>
    </row>
    <row r="112" spans="1:41" ht="13.2">
      <c r="A112" s="33">
        <v>111</v>
      </c>
      <c r="B112" s="30">
        <v>40000</v>
      </c>
      <c r="C112" s="46"/>
      <c r="D112" s="35">
        <f t="shared" ca="1" si="73"/>
        <v>0.29767113141236401</v>
      </c>
      <c r="E112" s="38">
        <f t="shared" ca="1" si="70"/>
        <v>3</v>
      </c>
      <c r="F112" s="40">
        <f t="shared" ca="1" si="74"/>
        <v>1</v>
      </c>
      <c r="G112" s="40">
        <f t="shared" ca="1" si="75"/>
        <v>1</v>
      </c>
      <c r="H112" s="40">
        <f t="shared" ca="1" si="76"/>
        <v>1</v>
      </c>
      <c r="I112" s="40">
        <f t="shared" ca="1" si="77"/>
        <v>0</v>
      </c>
      <c r="J112" s="40">
        <f t="shared" ca="1" si="78"/>
        <v>0</v>
      </c>
      <c r="K112" s="40">
        <f t="shared" ca="1" si="79"/>
        <v>0</v>
      </c>
      <c r="L112" s="40">
        <f t="shared" ca="1" si="94"/>
        <v>0</v>
      </c>
      <c r="M112" s="40">
        <f t="shared" ca="1" si="80"/>
        <v>0</v>
      </c>
      <c r="N112" s="40">
        <f t="shared" ca="1" si="81"/>
        <v>0</v>
      </c>
      <c r="O112" s="40">
        <f t="shared" ca="1" si="82"/>
        <v>0</v>
      </c>
      <c r="P112" s="42"/>
      <c r="Q112" s="31">
        <f t="shared" ca="1" si="83"/>
        <v>8751.865108438089</v>
      </c>
      <c r="R112" s="31">
        <f t="shared" ca="1" si="84"/>
        <v>4429.3310027463349</v>
      </c>
      <c r="S112" s="31">
        <f t="shared" ca="1" si="85"/>
        <v>7116.8639169138469</v>
      </c>
      <c r="T112" s="31">
        <f t="shared" ca="1" si="86"/>
        <v>0</v>
      </c>
      <c r="U112" s="31">
        <f t="shared" ca="1" si="87"/>
        <v>0</v>
      </c>
      <c r="V112" s="31">
        <f t="shared" ca="1" si="88"/>
        <v>0</v>
      </c>
      <c r="W112" s="31">
        <f t="shared" ca="1" si="89"/>
        <v>0</v>
      </c>
      <c r="X112" s="31">
        <f t="shared" ca="1" si="90"/>
        <v>0</v>
      </c>
      <c r="Y112" s="31">
        <f t="shared" ca="1" si="91"/>
        <v>0</v>
      </c>
      <c r="Z112" s="31">
        <f t="shared" ca="1" si="92"/>
        <v>0</v>
      </c>
      <c r="AA112" s="44">
        <f t="shared" ca="1" si="93"/>
        <v>20298.060028098273</v>
      </c>
      <c r="AB112" s="165"/>
      <c r="AC112" s="95"/>
      <c r="AD112" s="95">
        <v>38</v>
      </c>
      <c r="AE112" s="95">
        <v>2444709.1855963916</v>
      </c>
      <c r="AF112" s="95">
        <v>9627876.427255109</v>
      </c>
      <c r="AG112" s="95">
        <v>7201599.6945047081</v>
      </c>
      <c r="AH112" s="95">
        <v>8797374.5637678951</v>
      </c>
      <c r="AI112" s="95">
        <v>-4053565.5910299122</v>
      </c>
      <c r="AJ112" s="95">
        <v>1974077.2736218274</v>
      </c>
      <c r="AK112" s="95">
        <v>4625373.5013641417</v>
      </c>
      <c r="AL112" s="95">
        <v>809464.43807584047</v>
      </c>
      <c r="AM112" s="95">
        <v>-5110545.2619769573</v>
      </c>
      <c r="AN112" s="95"/>
      <c r="AO112" s="95"/>
    </row>
    <row r="113" spans="1:41" ht="13.2">
      <c r="A113" s="33">
        <v>112</v>
      </c>
      <c r="B113" s="30">
        <v>40000</v>
      </c>
      <c r="C113" s="46"/>
      <c r="D113" s="35">
        <f t="shared" ca="1" si="73"/>
        <v>0.28595861838688386</v>
      </c>
      <c r="E113" s="38">
        <f t="shared" ca="1" si="70"/>
        <v>3</v>
      </c>
      <c r="F113" s="40">
        <f t="shared" ca="1" si="74"/>
        <v>1</v>
      </c>
      <c r="G113" s="40">
        <f t="shared" ca="1" si="75"/>
        <v>1</v>
      </c>
      <c r="H113" s="40">
        <f t="shared" ca="1" si="76"/>
        <v>1</v>
      </c>
      <c r="I113" s="40">
        <f t="shared" ca="1" si="77"/>
        <v>0</v>
      </c>
      <c r="J113" s="40">
        <f t="shared" ca="1" si="78"/>
        <v>0</v>
      </c>
      <c r="K113" s="40">
        <f t="shared" ca="1" si="79"/>
        <v>0</v>
      </c>
      <c r="L113" s="40">
        <f t="shared" ca="1" si="94"/>
        <v>0</v>
      </c>
      <c r="M113" s="40">
        <f t="shared" ca="1" si="80"/>
        <v>0</v>
      </c>
      <c r="N113" s="40">
        <f t="shared" ca="1" si="81"/>
        <v>0</v>
      </c>
      <c r="O113" s="40">
        <f t="shared" ca="1" si="82"/>
        <v>0</v>
      </c>
      <c r="P113" s="42"/>
      <c r="Q113" s="31">
        <f t="shared" ca="1" si="83"/>
        <v>17123.441965418402</v>
      </c>
      <c r="R113" s="31">
        <f t="shared" ca="1" si="84"/>
        <v>50029.449102938939</v>
      </c>
      <c r="S113" s="31">
        <f t="shared" ca="1" si="85"/>
        <v>13856.250503592271</v>
      </c>
      <c r="T113" s="31">
        <f t="shared" ca="1" si="86"/>
        <v>0</v>
      </c>
      <c r="U113" s="31">
        <f t="shared" ca="1" si="87"/>
        <v>0</v>
      </c>
      <c r="V113" s="31">
        <f t="shared" ca="1" si="88"/>
        <v>0</v>
      </c>
      <c r="W113" s="31">
        <f t="shared" ca="1" si="89"/>
        <v>0</v>
      </c>
      <c r="X113" s="31">
        <f t="shared" ca="1" si="90"/>
        <v>0</v>
      </c>
      <c r="Y113" s="31">
        <f t="shared" ca="1" si="91"/>
        <v>0</v>
      </c>
      <c r="Z113" s="31">
        <f t="shared" ca="1" si="92"/>
        <v>0</v>
      </c>
      <c r="AA113" s="44">
        <f t="shared" ca="1" si="93"/>
        <v>81009.1415719496</v>
      </c>
      <c r="AB113" s="165"/>
      <c r="AC113" s="95"/>
      <c r="AD113" s="95">
        <v>39</v>
      </c>
      <c r="AE113" s="95">
        <v>-1341952.6827138811</v>
      </c>
      <c r="AF113" s="95">
        <v>-7669198.9555648863</v>
      </c>
      <c r="AG113" s="95">
        <v>5155738.2302470207</v>
      </c>
      <c r="AH113" s="95">
        <v>2864617.9676074684</v>
      </c>
      <c r="AI113" s="95">
        <v>3977319.7439570278</v>
      </c>
      <c r="AJ113" s="95">
        <v>3592230.3786996603</v>
      </c>
      <c r="AK113" s="95">
        <v>4783246.5602795184</v>
      </c>
      <c r="AL113" s="95">
        <v>84403.969332695007</v>
      </c>
      <c r="AM113" s="95">
        <v>6617415.7853150517</v>
      </c>
      <c r="AN113" s="95"/>
      <c r="AO113" s="95"/>
    </row>
    <row r="114" spans="1:41" ht="13.2">
      <c r="A114" s="33">
        <v>113</v>
      </c>
      <c r="B114" s="30">
        <v>40000</v>
      </c>
      <c r="C114" s="46"/>
      <c r="D114" s="35">
        <f t="shared" ca="1" si="73"/>
        <v>0.42901901988324243</v>
      </c>
      <c r="E114" s="38">
        <f t="shared" ca="1" si="70"/>
        <v>4</v>
      </c>
      <c r="F114" s="40">
        <f t="shared" ca="1" si="74"/>
        <v>1</v>
      </c>
      <c r="G114" s="40">
        <f t="shared" ca="1" si="75"/>
        <v>1</v>
      </c>
      <c r="H114" s="40">
        <f t="shared" ca="1" si="76"/>
        <v>1</v>
      </c>
      <c r="I114" s="40">
        <f t="shared" ca="1" si="77"/>
        <v>1</v>
      </c>
      <c r="J114" s="40">
        <f t="shared" ca="1" si="78"/>
        <v>0</v>
      </c>
      <c r="K114" s="40">
        <f t="shared" ca="1" si="79"/>
        <v>0</v>
      </c>
      <c r="L114" s="40">
        <f t="shared" ca="1" si="94"/>
        <v>0</v>
      </c>
      <c r="M114" s="40">
        <f t="shared" ca="1" si="80"/>
        <v>0</v>
      </c>
      <c r="N114" s="40">
        <f t="shared" ca="1" si="81"/>
        <v>0</v>
      </c>
      <c r="O114" s="40">
        <f t="shared" ca="1" si="82"/>
        <v>0</v>
      </c>
      <c r="P114" s="42"/>
      <c r="Q114" s="31">
        <f t="shared" ca="1" si="83"/>
        <v>8732.3415751283701</v>
      </c>
      <c r="R114" s="31">
        <f t="shared" ca="1" si="84"/>
        <v>1245.6595636893912</v>
      </c>
      <c r="S114" s="31">
        <f t="shared" ca="1" si="85"/>
        <v>6170.2622061057837</v>
      </c>
      <c r="T114" s="31">
        <f t="shared" ca="1" si="86"/>
        <v>28630.305257528056</v>
      </c>
      <c r="U114" s="31">
        <f t="shared" ca="1" si="87"/>
        <v>0</v>
      </c>
      <c r="V114" s="31">
        <f t="shared" ca="1" si="88"/>
        <v>0</v>
      </c>
      <c r="W114" s="31">
        <f t="shared" ca="1" si="89"/>
        <v>0</v>
      </c>
      <c r="X114" s="31">
        <f t="shared" ca="1" si="90"/>
        <v>0</v>
      </c>
      <c r="Y114" s="31">
        <f t="shared" ca="1" si="91"/>
        <v>0</v>
      </c>
      <c r="Z114" s="31">
        <f t="shared" ca="1" si="92"/>
        <v>0</v>
      </c>
      <c r="AA114" s="44">
        <f t="shared" ca="1" si="93"/>
        <v>44778.568602451604</v>
      </c>
      <c r="AB114" s="165"/>
      <c r="AC114" s="95"/>
      <c r="AD114" s="95">
        <v>40</v>
      </c>
      <c r="AE114" s="95">
        <v>14678826.736465588</v>
      </c>
      <c r="AF114" s="95">
        <v>778898.69981482625</v>
      </c>
      <c r="AG114" s="95">
        <v>7095657.0733180046</v>
      </c>
      <c r="AH114" s="95">
        <v>-1277454.7265579998</v>
      </c>
      <c r="AI114" s="95">
        <v>-4278225.1094117463</v>
      </c>
      <c r="AJ114" s="95">
        <v>4312680.1964788288</v>
      </c>
      <c r="AK114" s="95">
        <v>1364313.2948358059</v>
      </c>
      <c r="AL114" s="95">
        <v>8949434.633691147</v>
      </c>
      <c r="AM114" s="95">
        <v>11985375.296960592</v>
      </c>
      <c r="AN114" s="95"/>
      <c r="AO114" s="95"/>
    </row>
    <row r="115" spans="1:41" ht="13.2">
      <c r="A115" s="33">
        <v>114</v>
      </c>
      <c r="B115" s="30">
        <v>40000</v>
      </c>
      <c r="C115" s="46"/>
      <c r="D115" s="35">
        <f t="shared" ca="1" si="73"/>
        <v>0.64494576787101965</v>
      </c>
      <c r="E115" s="38">
        <f t="shared" ca="1" si="70"/>
        <v>5</v>
      </c>
      <c r="F115" s="40">
        <f t="shared" ca="1" si="74"/>
        <v>1</v>
      </c>
      <c r="G115" s="40">
        <f t="shared" ca="1" si="75"/>
        <v>1</v>
      </c>
      <c r="H115" s="40">
        <f t="shared" ca="1" si="76"/>
        <v>1</v>
      </c>
      <c r="I115" s="40">
        <f t="shared" ca="1" si="77"/>
        <v>1</v>
      </c>
      <c r="J115" s="40">
        <f t="shared" ca="1" si="78"/>
        <v>1</v>
      </c>
      <c r="K115" s="40">
        <f t="shared" ca="1" si="79"/>
        <v>0</v>
      </c>
      <c r="L115" s="40">
        <f t="shared" ca="1" si="94"/>
        <v>0</v>
      </c>
      <c r="M115" s="40">
        <f t="shared" ca="1" si="80"/>
        <v>0</v>
      </c>
      <c r="N115" s="40">
        <f t="shared" ca="1" si="81"/>
        <v>0</v>
      </c>
      <c r="O115" s="40">
        <f t="shared" ca="1" si="82"/>
        <v>0</v>
      </c>
      <c r="P115" s="42"/>
      <c r="Q115" s="31">
        <f t="shared" ca="1" si="83"/>
        <v>25048.353260398861</v>
      </c>
      <c r="R115" s="31">
        <f t="shared" ca="1" si="84"/>
        <v>10839.914191952834</v>
      </c>
      <c r="S115" s="31">
        <f t="shared" ca="1" si="85"/>
        <v>29706.137195457854</v>
      </c>
      <c r="T115" s="31">
        <f t="shared" ca="1" si="86"/>
        <v>4011.0054415142822</v>
      </c>
      <c r="U115" s="31">
        <f t="shared" ca="1" si="87"/>
        <v>13452.756518960452</v>
      </c>
      <c r="V115" s="31">
        <f t="shared" ca="1" si="88"/>
        <v>0</v>
      </c>
      <c r="W115" s="31">
        <f t="shared" ca="1" si="89"/>
        <v>0</v>
      </c>
      <c r="X115" s="31">
        <f t="shared" ca="1" si="90"/>
        <v>0</v>
      </c>
      <c r="Y115" s="31">
        <f t="shared" ca="1" si="91"/>
        <v>0</v>
      </c>
      <c r="Z115" s="31">
        <f t="shared" ca="1" si="92"/>
        <v>0</v>
      </c>
      <c r="AA115" s="44">
        <f t="shared" ca="1" si="93"/>
        <v>83058.166608284271</v>
      </c>
      <c r="AB115" s="165"/>
      <c r="AC115" s="95"/>
      <c r="AD115" s="95">
        <v>41</v>
      </c>
      <c r="AE115" s="95">
        <v>2916494.5687541515</v>
      </c>
      <c r="AF115" s="95">
        <v>6288717.5906099975</v>
      </c>
      <c r="AG115" s="95">
        <v>-1654624.1677623242</v>
      </c>
      <c r="AH115" s="95">
        <v>7583085.2933210731</v>
      </c>
      <c r="AI115" s="95">
        <v>9922769.8994024545</v>
      </c>
      <c r="AJ115" s="95">
        <v>-3719659.5037029833</v>
      </c>
      <c r="AK115" s="95">
        <v>200116.37618133426</v>
      </c>
      <c r="AL115" s="95">
        <v>-2638571.380071491</v>
      </c>
      <c r="AM115" s="95">
        <v>-5333213.1975565106</v>
      </c>
      <c r="AN115" s="95"/>
      <c r="AO115" s="95"/>
    </row>
    <row r="116" spans="1:41" ht="13.2">
      <c r="A116" s="33">
        <v>115</v>
      </c>
      <c r="B116" s="30">
        <v>40000</v>
      </c>
      <c r="C116" s="46"/>
      <c r="D116" s="35">
        <f t="shared" ca="1" si="73"/>
        <v>0.42214592842837872</v>
      </c>
      <c r="E116" s="38">
        <f t="shared" ca="1" si="70"/>
        <v>4</v>
      </c>
      <c r="F116" s="40">
        <f t="shared" ca="1" si="74"/>
        <v>1</v>
      </c>
      <c r="G116" s="40">
        <f t="shared" ca="1" si="75"/>
        <v>1</v>
      </c>
      <c r="H116" s="40">
        <f t="shared" ca="1" si="76"/>
        <v>1</v>
      </c>
      <c r="I116" s="40">
        <f t="shared" ca="1" si="77"/>
        <v>1</v>
      </c>
      <c r="J116" s="40">
        <f t="shared" ca="1" si="78"/>
        <v>0</v>
      </c>
      <c r="K116" s="40">
        <f t="shared" ca="1" si="79"/>
        <v>0</v>
      </c>
      <c r="L116" s="40">
        <f t="shared" ca="1" si="94"/>
        <v>0</v>
      </c>
      <c r="M116" s="40">
        <f t="shared" ca="1" si="80"/>
        <v>0</v>
      </c>
      <c r="N116" s="40">
        <f t="shared" ca="1" si="81"/>
        <v>0</v>
      </c>
      <c r="O116" s="40">
        <f t="shared" ca="1" si="82"/>
        <v>0</v>
      </c>
      <c r="P116" s="42"/>
      <c r="Q116" s="31">
        <f t="shared" ca="1" si="83"/>
        <v>17312.845384398875</v>
      </c>
      <c r="R116" s="31">
        <f t="shared" ca="1" si="84"/>
        <v>53579.303653638402</v>
      </c>
      <c r="S116" s="31">
        <f t="shared" ca="1" si="85"/>
        <v>10673.091359435923</v>
      </c>
      <c r="T116" s="31">
        <f t="shared" ca="1" si="86"/>
        <v>26556.031804242979</v>
      </c>
      <c r="U116" s="31">
        <f t="shared" ca="1" si="87"/>
        <v>0</v>
      </c>
      <c r="V116" s="31">
        <f t="shared" ca="1" si="88"/>
        <v>0</v>
      </c>
      <c r="W116" s="31">
        <f t="shared" ca="1" si="89"/>
        <v>0</v>
      </c>
      <c r="X116" s="31">
        <f t="shared" ca="1" si="90"/>
        <v>0</v>
      </c>
      <c r="Y116" s="31">
        <f t="shared" ca="1" si="91"/>
        <v>0</v>
      </c>
      <c r="Z116" s="31">
        <f t="shared" ca="1" si="92"/>
        <v>0</v>
      </c>
      <c r="AA116" s="44">
        <f t="shared" ca="1" si="93"/>
        <v>108121.2722017162</v>
      </c>
      <c r="AB116" s="165"/>
      <c r="AC116" s="95"/>
      <c r="AD116" s="95">
        <v>42</v>
      </c>
      <c r="AE116" s="95">
        <v>10677423.907744646</v>
      </c>
      <c r="AF116" s="95">
        <v>2588950.8254904449</v>
      </c>
      <c r="AG116" s="95">
        <v>7842095.358085081</v>
      </c>
      <c r="AH116" s="95">
        <v>9072444.2368222922</v>
      </c>
      <c r="AI116" s="95">
        <v>-6611433.2436099946</v>
      </c>
      <c r="AJ116" s="95">
        <v>576969.81947425008</v>
      </c>
      <c r="AK116" s="95">
        <v>-11828319.645769954</v>
      </c>
      <c r="AL116" s="95">
        <v>-7114970.4954731762</v>
      </c>
      <c r="AM116" s="95">
        <v>6179139.0452605039</v>
      </c>
      <c r="AN116" s="95"/>
      <c r="AO116" s="95"/>
    </row>
    <row r="117" spans="1:41" ht="13.2">
      <c r="A117" s="33">
        <v>116</v>
      </c>
      <c r="B117" s="30">
        <v>40000</v>
      </c>
      <c r="C117" s="46"/>
      <c r="D117" s="35">
        <f t="shared" ca="1" si="73"/>
        <v>0.28888990125980485</v>
      </c>
      <c r="E117" s="38">
        <f t="shared" ca="1" si="70"/>
        <v>3</v>
      </c>
      <c r="F117" s="40">
        <f t="shared" ca="1" si="74"/>
        <v>1</v>
      </c>
      <c r="G117" s="40">
        <f t="shared" ca="1" si="75"/>
        <v>1</v>
      </c>
      <c r="H117" s="40">
        <f t="shared" ca="1" si="76"/>
        <v>1</v>
      </c>
      <c r="I117" s="40">
        <f t="shared" ca="1" si="77"/>
        <v>0</v>
      </c>
      <c r="J117" s="40">
        <f t="shared" ca="1" si="78"/>
        <v>0</v>
      </c>
      <c r="K117" s="40">
        <f t="shared" ca="1" si="79"/>
        <v>0</v>
      </c>
      <c r="L117" s="40">
        <f t="shared" ca="1" si="94"/>
        <v>0</v>
      </c>
      <c r="M117" s="40">
        <f t="shared" ca="1" si="80"/>
        <v>0</v>
      </c>
      <c r="N117" s="40">
        <f t="shared" ca="1" si="81"/>
        <v>0</v>
      </c>
      <c r="O117" s="40">
        <f t="shared" ca="1" si="82"/>
        <v>0</v>
      </c>
      <c r="P117" s="42"/>
      <c r="Q117" s="31">
        <f t="shared" ca="1" si="83"/>
        <v>42279.919649845986</v>
      </c>
      <c r="R117" s="31">
        <f t="shared" ca="1" si="84"/>
        <v>41913.739800010371</v>
      </c>
      <c r="S117" s="31">
        <f t="shared" ca="1" si="85"/>
        <v>3307.5578654025035</v>
      </c>
      <c r="T117" s="31">
        <f t="shared" ca="1" si="86"/>
        <v>0</v>
      </c>
      <c r="U117" s="31">
        <f t="shared" ca="1" si="87"/>
        <v>0</v>
      </c>
      <c r="V117" s="31">
        <f t="shared" ca="1" si="88"/>
        <v>0</v>
      </c>
      <c r="W117" s="31">
        <f t="shared" ca="1" si="89"/>
        <v>0</v>
      </c>
      <c r="X117" s="31">
        <f t="shared" ca="1" si="90"/>
        <v>0</v>
      </c>
      <c r="Y117" s="31">
        <f t="shared" ca="1" si="91"/>
        <v>0</v>
      </c>
      <c r="Z117" s="31">
        <f t="shared" ca="1" si="92"/>
        <v>0</v>
      </c>
      <c r="AA117" s="44">
        <f t="shared" ca="1" si="93"/>
        <v>87501.217315258851</v>
      </c>
      <c r="AB117" s="165"/>
      <c r="AC117" s="95"/>
      <c r="AD117" s="95">
        <v>43</v>
      </c>
      <c r="AE117" s="95">
        <v>12798187.454666927</v>
      </c>
      <c r="AF117" s="95">
        <v>-5343990.5628762543</v>
      </c>
      <c r="AG117" s="95">
        <v>1023818.6612849087</v>
      </c>
      <c r="AH117" s="95">
        <v>5133897.4006627351</v>
      </c>
      <c r="AI117" s="95">
        <v>1625078.1714104265</v>
      </c>
      <c r="AJ117" s="95">
        <v>3960194.7066123486</v>
      </c>
      <c r="AK117" s="95">
        <v>-3532280.012142837</v>
      </c>
      <c r="AL117" s="95">
        <v>-6235476.3410324007</v>
      </c>
      <c r="AM117" s="95">
        <v>5462877.4659155011</v>
      </c>
      <c r="AN117" s="95"/>
      <c r="AO117" s="95"/>
    </row>
    <row r="118" spans="1:41" ht="13.2">
      <c r="A118" s="33">
        <v>117</v>
      </c>
      <c r="B118" s="30">
        <v>40000</v>
      </c>
      <c r="C118" s="46"/>
      <c r="D118" s="35">
        <f t="shared" ca="1" si="73"/>
        <v>0.34237079041239393</v>
      </c>
      <c r="E118" s="38">
        <f t="shared" ca="1" si="70"/>
        <v>3</v>
      </c>
      <c r="F118" s="40">
        <f t="shared" ca="1" si="74"/>
        <v>1</v>
      </c>
      <c r="G118" s="40">
        <f t="shared" ca="1" si="75"/>
        <v>1</v>
      </c>
      <c r="H118" s="40">
        <f t="shared" ca="1" si="76"/>
        <v>1</v>
      </c>
      <c r="I118" s="40">
        <f t="shared" ca="1" si="77"/>
        <v>0</v>
      </c>
      <c r="J118" s="40">
        <f t="shared" ca="1" si="78"/>
        <v>0</v>
      </c>
      <c r="K118" s="40">
        <f t="shared" ca="1" si="79"/>
        <v>0</v>
      </c>
      <c r="L118" s="40">
        <f t="shared" ca="1" si="94"/>
        <v>0</v>
      </c>
      <c r="M118" s="40">
        <f t="shared" ca="1" si="80"/>
        <v>0</v>
      </c>
      <c r="N118" s="40">
        <f t="shared" ca="1" si="81"/>
        <v>0</v>
      </c>
      <c r="O118" s="40">
        <f t="shared" ca="1" si="82"/>
        <v>0</v>
      </c>
      <c r="P118" s="42"/>
      <c r="Q118" s="31">
        <f t="shared" ca="1" si="83"/>
        <v>2130.6435440705268</v>
      </c>
      <c r="R118" s="31">
        <f t="shared" ca="1" si="84"/>
        <v>11558.286838733346</v>
      </c>
      <c r="S118" s="31">
        <f t="shared" ca="1" si="85"/>
        <v>22989.338164553021</v>
      </c>
      <c r="T118" s="31">
        <f t="shared" ca="1" si="86"/>
        <v>0</v>
      </c>
      <c r="U118" s="31">
        <f t="shared" ca="1" si="87"/>
        <v>0</v>
      </c>
      <c r="V118" s="31">
        <f t="shared" ca="1" si="88"/>
        <v>0</v>
      </c>
      <c r="W118" s="31">
        <f t="shared" ca="1" si="89"/>
        <v>0</v>
      </c>
      <c r="X118" s="31">
        <f t="shared" ca="1" si="90"/>
        <v>0</v>
      </c>
      <c r="Y118" s="31">
        <f t="shared" ca="1" si="91"/>
        <v>0</v>
      </c>
      <c r="Z118" s="31">
        <f t="shared" ca="1" si="92"/>
        <v>0</v>
      </c>
      <c r="AA118" s="44">
        <f t="shared" ca="1" si="93"/>
        <v>36678.268547356893</v>
      </c>
      <c r="AB118" s="165"/>
      <c r="AC118" s="95"/>
      <c r="AD118" s="95">
        <v>44</v>
      </c>
      <c r="AE118" s="95">
        <v>6675370.3369950056</v>
      </c>
      <c r="AF118" s="95">
        <v>9842548.7503625304</v>
      </c>
      <c r="AG118" s="95">
        <v>242926.66126056015</v>
      </c>
      <c r="AH118" s="95">
        <v>7029152.9278774709</v>
      </c>
      <c r="AI118" s="95">
        <v>-462571.70752632618</v>
      </c>
      <c r="AJ118" s="95">
        <v>-10784340.79257676</v>
      </c>
      <c r="AK118" s="95">
        <v>-10109605.673478216</v>
      </c>
      <c r="AL118" s="95">
        <v>881762.70298938453</v>
      </c>
      <c r="AM118" s="95">
        <v>-475268.3905454427</v>
      </c>
      <c r="AN118" s="95"/>
      <c r="AO118" s="95"/>
    </row>
    <row r="119" spans="1:41" ht="13.2">
      <c r="A119" s="33">
        <v>118</v>
      </c>
      <c r="B119" s="30">
        <v>40000</v>
      </c>
      <c r="C119" s="46"/>
      <c r="D119" s="35">
        <f t="shared" ca="1" si="73"/>
        <v>0.81126079873746959</v>
      </c>
      <c r="E119" s="38">
        <f t="shared" ca="1" si="70"/>
        <v>7</v>
      </c>
      <c r="F119" s="40">
        <f t="shared" ca="1" si="74"/>
        <v>1</v>
      </c>
      <c r="G119" s="40">
        <f t="shared" ca="1" si="75"/>
        <v>1</v>
      </c>
      <c r="H119" s="40">
        <f t="shared" ca="1" si="76"/>
        <v>1</v>
      </c>
      <c r="I119" s="40">
        <f t="shared" ca="1" si="77"/>
        <v>1</v>
      </c>
      <c r="J119" s="40">
        <f t="shared" ca="1" si="78"/>
        <v>1</v>
      </c>
      <c r="K119" s="40">
        <f t="shared" ca="1" si="79"/>
        <v>1</v>
      </c>
      <c r="L119" s="40">
        <f t="shared" ca="1" si="94"/>
        <v>1</v>
      </c>
      <c r="M119" s="40">
        <f t="shared" ca="1" si="80"/>
        <v>0</v>
      </c>
      <c r="N119" s="40">
        <f t="shared" ca="1" si="81"/>
        <v>0</v>
      </c>
      <c r="O119" s="40">
        <f t="shared" ca="1" si="82"/>
        <v>0</v>
      </c>
      <c r="P119" s="42"/>
      <c r="Q119" s="31">
        <f t="shared" ca="1" si="83"/>
        <v>25499.025937124232</v>
      </c>
      <c r="R119" s="31">
        <f t="shared" ca="1" si="84"/>
        <v>1150.6667227310656</v>
      </c>
      <c r="S119" s="31">
        <f t="shared" ca="1" si="85"/>
        <v>1539.5369542569078</v>
      </c>
      <c r="T119" s="31">
        <f t="shared" ca="1" si="86"/>
        <v>10440.558554548508</v>
      </c>
      <c r="U119" s="31">
        <f t="shared" ca="1" si="87"/>
        <v>11719.583351412592</v>
      </c>
      <c r="V119" s="31">
        <f t="shared" ca="1" si="88"/>
        <v>680.78251221197581</v>
      </c>
      <c r="W119" s="31">
        <f t="shared" ca="1" si="89"/>
        <v>1448.7238591836199</v>
      </c>
      <c r="X119" s="31">
        <f t="shared" ca="1" si="90"/>
        <v>0</v>
      </c>
      <c r="Y119" s="31">
        <f t="shared" ca="1" si="91"/>
        <v>0</v>
      </c>
      <c r="Z119" s="31">
        <f t="shared" ca="1" si="92"/>
        <v>0</v>
      </c>
      <c r="AA119" s="44">
        <f t="shared" ca="1" si="93"/>
        <v>52478.877891468903</v>
      </c>
      <c r="AB119" s="165"/>
      <c r="AC119" s="95"/>
      <c r="AD119" s="95">
        <v>45</v>
      </c>
      <c r="AE119" s="95">
        <v>6818269.4033843279</v>
      </c>
      <c r="AF119" s="95">
        <v>-3330486.6813017428</v>
      </c>
      <c r="AG119" s="95">
        <v>331104.75746440887</v>
      </c>
      <c r="AH119" s="95">
        <v>15013029.271778524</v>
      </c>
      <c r="AI119" s="95">
        <v>3906833.8089354932</v>
      </c>
      <c r="AJ119" s="95">
        <v>-3296458.7842992544</v>
      </c>
      <c r="AK119" s="95">
        <v>9908870.3155548573</v>
      </c>
      <c r="AL119" s="95">
        <v>-3219347.5919029415</v>
      </c>
      <c r="AM119" s="95">
        <v>4769839.9036535323</v>
      </c>
      <c r="AN119" s="95"/>
      <c r="AO119" s="95"/>
    </row>
    <row r="120" spans="1:41" ht="13.2">
      <c r="A120" s="33">
        <v>119</v>
      </c>
      <c r="B120" s="30">
        <v>40000</v>
      </c>
      <c r="C120" s="46"/>
      <c r="D120" s="35">
        <f t="shared" ca="1" si="73"/>
        <v>0.59566131820051327</v>
      </c>
      <c r="E120" s="38">
        <f t="shared" ca="1" si="70"/>
        <v>5</v>
      </c>
      <c r="F120" s="40">
        <f t="shared" ca="1" si="74"/>
        <v>1</v>
      </c>
      <c r="G120" s="40">
        <f t="shared" ca="1" si="75"/>
        <v>1</v>
      </c>
      <c r="H120" s="40">
        <f t="shared" ca="1" si="76"/>
        <v>1</v>
      </c>
      <c r="I120" s="40">
        <f t="shared" ca="1" si="77"/>
        <v>1</v>
      </c>
      <c r="J120" s="40">
        <f t="shared" ca="1" si="78"/>
        <v>1</v>
      </c>
      <c r="K120" s="40">
        <f t="shared" ca="1" si="79"/>
        <v>0</v>
      </c>
      <c r="L120" s="40">
        <f t="shared" ca="1" si="94"/>
        <v>0</v>
      </c>
      <c r="M120" s="40">
        <f t="shared" ca="1" si="80"/>
        <v>0</v>
      </c>
      <c r="N120" s="40">
        <f t="shared" ca="1" si="81"/>
        <v>0</v>
      </c>
      <c r="O120" s="40">
        <f t="shared" ca="1" si="82"/>
        <v>0</v>
      </c>
      <c r="P120" s="42"/>
      <c r="Q120" s="31">
        <f t="shared" ca="1" si="83"/>
        <v>5698.2562876302391</v>
      </c>
      <c r="R120" s="31">
        <f t="shared" ca="1" si="84"/>
        <v>2776.5548313869981</v>
      </c>
      <c r="S120" s="31">
        <f t="shared" ca="1" si="85"/>
        <v>7592.636947244162</v>
      </c>
      <c r="T120" s="31">
        <f t="shared" ca="1" si="86"/>
        <v>2520.8713552660306</v>
      </c>
      <c r="U120" s="31">
        <f t="shared" ca="1" si="87"/>
        <v>18393.972675640194</v>
      </c>
      <c r="V120" s="31">
        <f t="shared" ca="1" si="88"/>
        <v>0</v>
      </c>
      <c r="W120" s="31">
        <f t="shared" ca="1" si="89"/>
        <v>0</v>
      </c>
      <c r="X120" s="31">
        <f t="shared" ca="1" si="90"/>
        <v>0</v>
      </c>
      <c r="Y120" s="31">
        <f t="shared" ca="1" si="91"/>
        <v>0</v>
      </c>
      <c r="Z120" s="31">
        <f t="shared" ca="1" si="92"/>
        <v>0</v>
      </c>
      <c r="AA120" s="44">
        <f t="shared" ca="1" si="93"/>
        <v>36982.292097167621</v>
      </c>
      <c r="AB120" s="165"/>
      <c r="AC120" s="95"/>
      <c r="AD120" s="95">
        <v>46</v>
      </c>
      <c r="AE120" s="95">
        <v>11376399.810040921</v>
      </c>
      <c r="AF120" s="95">
        <v>-3656704.6378914118</v>
      </c>
      <c r="AG120" s="95">
        <v>397306.22700682282</v>
      </c>
      <c r="AH120" s="95">
        <v>-3409875.7472073436</v>
      </c>
      <c r="AI120" s="95">
        <v>5378563.641410172</v>
      </c>
      <c r="AJ120" s="95">
        <v>574306.15847149491</v>
      </c>
      <c r="AK120" s="95">
        <v>1521039.2669154257</v>
      </c>
      <c r="AL120" s="95">
        <v>5874470.2744387239</v>
      </c>
      <c r="AM120" s="95">
        <v>1327983.3384148777</v>
      </c>
      <c r="AN120" s="95"/>
      <c r="AO120" s="95"/>
    </row>
    <row r="121" spans="1:41" ht="13.2">
      <c r="A121" s="33">
        <v>120</v>
      </c>
      <c r="B121" s="30">
        <v>40000</v>
      </c>
      <c r="C121" s="46"/>
      <c r="D121" s="35">
        <f t="shared" ca="1" si="73"/>
        <v>0.46400689183060739</v>
      </c>
      <c r="E121" s="38">
        <f t="shared" ca="1" si="70"/>
        <v>4</v>
      </c>
      <c r="F121" s="40">
        <f t="shared" ca="1" si="74"/>
        <v>1</v>
      </c>
      <c r="G121" s="40">
        <f t="shared" ca="1" si="75"/>
        <v>1</v>
      </c>
      <c r="H121" s="40">
        <f t="shared" ca="1" si="76"/>
        <v>1</v>
      </c>
      <c r="I121" s="40">
        <f t="shared" ca="1" si="77"/>
        <v>1</v>
      </c>
      <c r="J121" s="40">
        <f t="shared" ca="1" si="78"/>
        <v>0</v>
      </c>
      <c r="K121" s="40">
        <f t="shared" ca="1" si="79"/>
        <v>0</v>
      </c>
      <c r="L121" s="40">
        <f t="shared" ca="1" si="94"/>
        <v>0</v>
      </c>
      <c r="M121" s="40">
        <f t="shared" ca="1" si="80"/>
        <v>0</v>
      </c>
      <c r="N121" s="40">
        <f t="shared" ca="1" si="81"/>
        <v>0</v>
      </c>
      <c r="O121" s="40">
        <f t="shared" ca="1" si="82"/>
        <v>0</v>
      </c>
      <c r="P121" s="42"/>
      <c r="Q121" s="31">
        <f t="shared" ca="1" si="83"/>
        <v>8088.1853874437138</v>
      </c>
      <c r="R121" s="31">
        <f t="shared" ca="1" si="84"/>
        <v>14391.270141667794</v>
      </c>
      <c r="S121" s="31">
        <f t="shared" ca="1" si="85"/>
        <v>1872.8377892561548</v>
      </c>
      <c r="T121" s="31">
        <f t="shared" ca="1" si="86"/>
        <v>6991.6143548639711</v>
      </c>
      <c r="U121" s="31">
        <f t="shared" ca="1" si="87"/>
        <v>0</v>
      </c>
      <c r="V121" s="31">
        <f t="shared" ca="1" si="88"/>
        <v>0</v>
      </c>
      <c r="W121" s="31">
        <f t="shared" ca="1" si="89"/>
        <v>0</v>
      </c>
      <c r="X121" s="31">
        <f t="shared" ca="1" si="90"/>
        <v>0</v>
      </c>
      <c r="Y121" s="31">
        <f t="shared" ca="1" si="91"/>
        <v>0</v>
      </c>
      <c r="Z121" s="31">
        <f t="shared" ca="1" si="92"/>
        <v>0</v>
      </c>
      <c r="AA121" s="44">
        <f t="shared" ca="1" si="93"/>
        <v>31343.907673231632</v>
      </c>
      <c r="AB121" s="165"/>
      <c r="AC121" s="95"/>
      <c r="AD121" s="95">
        <v>47</v>
      </c>
      <c r="AE121" s="95">
        <v>2106640.5659624338</v>
      </c>
      <c r="AF121" s="95">
        <v>7008554.1373382807</v>
      </c>
      <c r="AG121" s="95">
        <v>-5700762.9136245847</v>
      </c>
      <c r="AH121" s="95">
        <v>6593623.0390251577</v>
      </c>
      <c r="AI121" s="95">
        <v>-3495122.4794825763</v>
      </c>
      <c r="AJ121" s="95">
        <v>1954284.4273574352</v>
      </c>
      <c r="AK121" s="95">
        <v>-1933015.6003756672</v>
      </c>
      <c r="AL121" s="95">
        <v>3583417.7089944184</v>
      </c>
      <c r="AM121" s="95">
        <v>-11425238.554114103</v>
      </c>
      <c r="AN121" s="95"/>
      <c r="AO121" s="95"/>
    </row>
    <row r="122" spans="1:41" ht="13.2">
      <c r="A122" s="33">
        <v>121</v>
      </c>
      <c r="B122" s="30">
        <v>40000</v>
      </c>
      <c r="C122" s="46"/>
      <c r="D122" s="35">
        <f t="shared" ca="1" si="73"/>
        <v>6.6556786247377375E-2</v>
      </c>
      <c r="E122" s="38">
        <f t="shared" ca="1" si="70"/>
        <v>0</v>
      </c>
      <c r="F122" s="40">
        <f t="shared" ca="1" si="74"/>
        <v>0</v>
      </c>
      <c r="G122" s="40">
        <f t="shared" ca="1" si="75"/>
        <v>0</v>
      </c>
      <c r="H122" s="40">
        <f t="shared" ca="1" si="76"/>
        <v>0</v>
      </c>
      <c r="I122" s="40">
        <f t="shared" ca="1" si="77"/>
        <v>0</v>
      </c>
      <c r="J122" s="40">
        <f t="shared" ca="1" si="78"/>
        <v>0</v>
      </c>
      <c r="K122" s="40">
        <f t="shared" ca="1" si="79"/>
        <v>0</v>
      </c>
      <c r="L122" s="40">
        <f t="shared" ca="1" si="94"/>
        <v>0</v>
      </c>
      <c r="M122" s="40">
        <f t="shared" ca="1" si="80"/>
        <v>0</v>
      </c>
      <c r="N122" s="40">
        <f t="shared" ca="1" si="81"/>
        <v>0</v>
      </c>
      <c r="O122" s="40">
        <f t="shared" ca="1" si="82"/>
        <v>0</v>
      </c>
      <c r="P122" s="42"/>
      <c r="Q122" s="31">
        <f t="shared" ca="1" si="83"/>
        <v>0</v>
      </c>
      <c r="R122" s="31">
        <f t="shared" ca="1" si="84"/>
        <v>0</v>
      </c>
      <c r="S122" s="31">
        <f t="shared" ca="1" si="85"/>
        <v>0</v>
      </c>
      <c r="T122" s="31">
        <f t="shared" ca="1" si="86"/>
        <v>0</v>
      </c>
      <c r="U122" s="31">
        <f t="shared" ca="1" si="87"/>
        <v>0</v>
      </c>
      <c r="V122" s="31">
        <f t="shared" ca="1" si="88"/>
        <v>0</v>
      </c>
      <c r="W122" s="31">
        <f t="shared" ca="1" si="89"/>
        <v>0</v>
      </c>
      <c r="X122" s="31">
        <f t="shared" ca="1" si="90"/>
        <v>0</v>
      </c>
      <c r="Y122" s="31">
        <f t="shared" ca="1" si="91"/>
        <v>0</v>
      </c>
      <c r="Z122" s="31">
        <f t="shared" ca="1" si="92"/>
        <v>0</v>
      </c>
      <c r="AA122" s="44">
        <f t="shared" ca="1" si="93"/>
        <v>0</v>
      </c>
      <c r="AB122" s="165"/>
      <c r="AC122" s="95"/>
      <c r="AD122" s="95">
        <v>48</v>
      </c>
      <c r="AE122" s="95">
        <v>6436233.6748981923</v>
      </c>
      <c r="AF122" s="95">
        <v>1673107.7537420839</v>
      </c>
      <c r="AG122" s="95">
        <v>5796082.5807854831</v>
      </c>
      <c r="AH122" s="95">
        <v>3554359.915056631</v>
      </c>
      <c r="AI122" s="95">
        <v>7777595.0908792317</v>
      </c>
      <c r="AJ122" s="95">
        <v>6608034.5965351462</v>
      </c>
      <c r="AK122" s="95">
        <v>-2663647.3989599645</v>
      </c>
      <c r="AL122" s="95">
        <v>5614493.2500359118</v>
      </c>
      <c r="AM122" s="95">
        <v>11349957.953031182</v>
      </c>
      <c r="AN122" s="95"/>
      <c r="AO122" s="95"/>
    </row>
    <row r="123" spans="1:41" ht="13.2">
      <c r="A123" s="33">
        <v>122</v>
      </c>
      <c r="B123" s="30">
        <v>40000</v>
      </c>
      <c r="C123" s="46"/>
      <c r="D123" s="35">
        <f t="shared" ca="1" si="73"/>
        <v>0.84367514825569268</v>
      </c>
      <c r="E123" s="38">
        <f t="shared" ca="1" si="70"/>
        <v>7</v>
      </c>
      <c r="F123" s="40">
        <f t="shared" ca="1" si="74"/>
        <v>1</v>
      </c>
      <c r="G123" s="40">
        <f t="shared" ca="1" si="75"/>
        <v>1</v>
      </c>
      <c r="H123" s="40">
        <f t="shared" ca="1" si="76"/>
        <v>1</v>
      </c>
      <c r="I123" s="40">
        <f t="shared" ca="1" si="77"/>
        <v>1</v>
      </c>
      <c r="J123" s="40">
        <f t="shared" ca="1" si="78"/>
        <v>1</v>
      </c>
      <c r="K123" s="40">
        <f t="shared" ca="1" si="79"/>
        <v>1</v>
      </c>
      <c r="L123" s="40">
        <f t="shared" ca="1" si="94"/>
        <v>1</v>
      </c>
      <c r="M123" s="40">
        <f t="shared" ca="1" si="80"/>
        <v>0</v>
      </c>
      <c r="N123" s="40">
        <f t="shared" ca="1" si="81"/>
        <v>0</v>
      </c>
      <c r="O123" s="40">
        <f t="shared" ca="1" si="82"/>
        <v>0</v>
      </c>
      <c r="P123" s="42"/>
      <c r="Q123" s="31">
        <f t="shared" ca="1" si="83"/>
        <v>8142.642542227075</v>
      </c>
      <c r="R123" s="31">
        <f t="shared" ca="1" si="84"/>
        <v>14628.861607615096</v>
      </c>
      <c r="S123" s="31">
        <f t="shared" ca="1" si="85"/>
        <v>15200.871279145545</v>
      </c>
      <c r="T123" s="31">
        <f t="shared" ca="1" si="86"/>
        <v>37184.438113408389</v>
      </c>
      <c r="U123" s="31">
        <f t="shared" ca="1" si="87"/>
        <v>1209.9295061735877</v>
      </c>
      <c r="V123" s="31">
        <f t="shared" ca="1" si="88"/>
        <v>211.73318547974904</v>
      </c>
      <c r="W123" s="31">
        <f t="shared" ca="1" si="89"/>
        <v>50698.360636100493</v>
      </c>
      <c r="X123" s="31">
        <f t="shared" ca="1" si="90"/>
        <v>0</v>
      </c>
      <c r="Y123" s="31">
        <f t="shared" ca="1" si="91"/>
        <v>0</v>
      </c>
      <c r="Z123" s="31">
        <f t="shared" ca="1" si="92"/>
        <v>0</v>
      </c>
      <c r="AA123" s="44">
        <f t="shared" ca="1" si="93"/>
        <v>127276.83687014994</v>
      </c>
      <c r="AB123" s="165"/>
      <c r="AC123" s="95"/>
      <c r="AD123" s="95">
        <v>49</v>
      </c>
      <c r="AE123" s="95">
        <v>4318558.3671517074</v>
      </c>
      <c r="AF123" s="95">
        <v>6033173.8586379141</v>
      </c>
      <c r="AG123" s="95">
        <v>-3481826.2535361648</v>
      </c>
      <c r="AH123" s="95">
        <v>10663168.088389754</v>
      </c>
      <c r="AI123" s="95">
        <v>10875341.730679676</v>
      </c>
      <c r="AJ123" s="95">
        <v>9675130.7575326413</v>
      </c>
      <c r="AK123" s="95">
        <v>2389665.9278537035</v>
      </c>
      <c r="AL123" s="95">
        <v>1828723.983907029</v>
      </c>
      <c r="AM123" s="95">
        <v>-2062175.0025445521</v>
      </c>
      <c r="AN123" s="95"/>
      <c r="AO123" s="95"/>
    </row>
    <row r="124" spans="1:41" ht="13.2">
      <c r="A124" s="33">
        <v>123</v>
      </c>
      <c r="B124" s="30">
        <v>40000</v>
      </c>
      <c r="C124" s="46"/>
      <c r="D124" s="35">
        <f t="shared" ca="1" si="73"/>
        <v>0.62747465210511244</v>
      </c>
      <c r="E124" s="38">
        <f t="shared" ca="1" si="70"/>
        <v>5</v>
      </c>
      <c r="F124" s="40">
        <f t="shared" ca="1" si="74"/>
        <v>1</v>
      </c>
      <c r="G124" s="40">
        <f t="shared" ca="1" si="75"/>
        <v>1</v>
      </c>
      <c r="H124" s="40">
        <f t="shared" ca="1" si="76"/>
        <v>1</v>
      </c>
      <c r="I124" s="40">
        <f t="shared" ca="1" si="77"/>
        <v>1</v>
      </c>
      <c r="J124" s="40">
        <f t="shared" ca="1" si="78"/>
        <v>1</v>
      </c>
      <c r="K124" s="40">
        <f t="shared" ca="1" si="79"/>
        <v>0</v>
      </c>
      <c r="L124" s="40">
        <f t="shared" ca="1" si="94"/>
        <v>0</v>
      </c>
      <c r="M124" s="40">
        <f t="shared" ca="1" si="80"/>
        <v>0</v>
      </c>
      <c r="N124" s="40">
        <f t="shared" ca="1" si="81"/>
        <v>0</v>
      </c>
      <c r="O124" s="40">
        <f t="shared" ca="1" si="82"/>
        <v>0</v>
      </c>
      <c r="P124" s="42"/>
      <c r="Q124" s="31">
        <f t="shared" ca="1" si="83"/>
        <v>5405.7963521533948</v>
      </c>
      <c r="R124" s="31">
        <f t="shared" ca="1" si="84"/>
        <v>70090.036038810547</v>
      </c>
      <c r="S124" s="31">
        <f t="shared" ca="1" si="85"/>
        <v>8055.4255286342031</v>
      </c>
      <c r="T124" s="31">
        <f t="shared" ca="1" si="86"/>
        <v>5588.7809675012813</v>
      </c>
      <c r="U124" s="31">
        <f t="shared" ca="1" si="87"/>
        <v>103717.3117341749</v>
      </c>
      <c r="V124" s="31">
        <f t="shared" ca="1" si="88"/>
        <v>0</v>
      </c>
      <c r="W124" s="31">
        <f t="shared" ca="1" si="89"/>
        <v>0</v>
      </c>
      <c r="X124" s="31">
        <f t="shared" ca="1" si="90"/>
        <v>0</v>
      </c>
      <c r="Y124" s="31">
        <f t="shared" ca="1" si="91"/>
        <v>0</v>
      </c>
      <c r="Z124" s="31">
        <f t="shared" ca="1" si="92"/>
        <v>0</v>
      </c>
      <c r="AA124" s="44">
        <f t="shared" ca="1" si="93"/>
        <v>192857.35062127432</v>
      </c>
      <c r="AB124" s="165"/>
      <c r="AC124" s="95"/>
      <c r="AD124" s="95">
        <v>50</v>
      </c>
      <c r="AE124" s="95">
        <v>4876785.965598613</v>
      </c>
      <c r="AF124" s="95">
        <v>750811.61621871591</v>
      </c>
      <c r="AG124" s="95">
        <v>-1796881.647009775</v>
      </c>
      <c r="AH124" s="95">
        <v>428427.97929568589</v>
      </c>
      <c r="AI124" s="95">
        <v>739031.87728320062</v>
      </c>
      <c r="AJ124" s="95">
        <v>-3183145.198840335</v>
      </c>
      <c r="AK124" s="95">
        <v>-1306610.9759817421</v>
      </c>
      <c r="AL124" s="95">
        <v>1390908.0020591319</v>
      </c>
      <c r="AM124" s="95">
        <v>1035585.8198926598</v>
      </c>
      <c r="AN124" s="95"/>
      <c r="AO124" s="95"/>
    </row>
    <row r="125" spans="1:41" ht="13.2">
      <c r="A125" s="33">
        <v>124</v>
      </c>
      <c r="B125" s="30">
        <v>40000</v>
      </c>
      <c r="C125" s="46"/>
      <c r="D125" s="35">
        <f t="shared" ca="1" si="73"/>
        <v>0.98633343001386731</v>
      </c>
      <c r="E125" s="38">
        <f t="shared" ca="1" si="70"/>
        <v>10</v>
      </c>
      <c r="F125" s="40">
        <f t="shared" ca="1" si="74"/>
        <v>1</v>
      </c>
      <c r="G125" s="40">
        <f t="shared" ca="1" si="75"/>
        <v>1</v>
      </c>
      <c r="H125" s="40">
        <f t="shared" ca="1" si="76"/>
        <v>1</v>
      </c>
      <c r="I125" s="40">
        <f t="shared" ca="1" si="77"/>
        <v>1</v>
      </c>
      <c r="J125" s="40">
        <f t="shared" ca="1" si="78"/>
        <v>1</v>
      </c>
      <c r="K125" s="40">
        <f t="shared" ca="1" si="79"/>
        <v>1</v>
      </c>
      <c r="L125" s="40">
        <f t="shared" ca="1" si="94"/>
        <v>1</v>
      </c>
      <c r="M125" s="40">
        <f t="shared" ca="1" si="80"/>
        <v>1</v>
      </c>
      <c r="N125" s="40">
        <f t="shared" ca="1" si="81"/>
        <v>1</v>
      </c>
      <c r="O125" s="40">
        <f t="shared" ca="1" si="82"/>
        <v>1</v>
      </c>
      <c r="P125" s="42"/>
      <c r="Q125" s="31">
        <f t="shared" ca="1" si="83"/>
        <v>5992.6646630073119</v>
      </c>
      <c r="R125" s="31">
        <f t="shared" ca="1" si="84"/>
        <v>46874.956321467514</v>
      </c>
      <c r="S125" s="31">
        <f t="shared" ca="1" si="85"/>
        <v>36198.518397007996</v>
      </c>
      <c r="T125" s="31">
        <f t="shared" ca="1" si="86"/>
        <v>24624.326349464522</v>
      </c>
      <c r="U125" s="31">
        <f t="shared" ca="1" si="87"/>
        <v>19913.978436769739</v>
      </c>
      <c r="V125" s="31">
        <f t="shared" ca="1" si="88"/>
        <v>67045.6790673379</v>
      </c>
      <c r="W125" s="31">
        <f t="shared" ca="1" si="89"/>
        <v>2834.2924980859334</v>
      </c>
      <c r="X125" s="31">
        <f t="shared" ca="1" si="90"/>
        <v>27626.652722230891</v>
      </c>
      <c r="Y125" s="31">
        <f t="shared" ca="1" si="91"/>
        <v>38047.088716466831</v>
      </c>
      <c r="Z125" s="31">
        <f t="shared" ca="1" si="92"/>
        <v>16017.959115595566</v>
      </c>
      <c r="AA125" s="44">
        <f t="shared" ca="1" si="93"/>
        <v>285176.11628743418</v>
      </c>
      <c r="AB125" s="165"/>
      <c r="AC125" s="95"/>
      <c r="AD125" s="95">
        <v>51</v>
      </c>
      <c r="AE125" s="95">
        <v>6705196.4538933784</v>
      </c>
      <c r="AF125" s="95">
        <v>3348832.4117486328</v>
      </c>
      <c r="AG125" s="95">
        <v>4574212.5493489057</v>
      </c>
      <c r="AH125" s="95">
        <v>1667247.2679047734</v>
      </c>
      <c r="AI125" s="95">
        <v>-1060887.3416705728</v>
      </c>
      <c r="AJ125" s="95">
        <v>-7105436.95180583</v>
      </c>
      <c r="AK125" s="95">
        <v>5158096.5534004271</v>
      </c>
      <c r="AL125" s="95">
        <v>6451979.4797541946</v>
      </c>
      <c r="AM125" s="95">
        <v>-3902695.2184321284</v>
      </c>
      <c r="AN125" s="95"/>
      <c r="AO125" s="95"/>
    </row>
    <row r="126" spans="1:41" ht="13.2">
      <c r="A126" s="33">
        <v>125</v>
      </c>
      <c r="B126" s="30">
        <v>40000</v>
      </c>
      <c r="C126" s="46"/>
      <c r="D126" s="35">
        <f t="shared" ca="1" si="73"/>
        <v>0.59782267750126283</v>
      </c>
      <c r="E126" s="38">
        <f t="shared" ca="1" si="70"/>
        <v>5</v>
      </c>
      <c r="F126" s="40">
        <f t="shared" ca="1" si="74"/>
        <v>1</v>
      </c>
      <c r="G126" s="40">
        <f t="shared" ca="1" si="75"/>
        <v>1</v>
      </c>
      <c r="H126" s="40">
        <f t="shared" ca="1" si="76"/>
        <v>1</v>
      </c>
      <c r="I126" s="40">
        <f t="shared" ca="1" si="77"/>
        <v>1</v>
      </c>
      <c r="J126" s="40">
        <f t="shared" ca="1" si="78"/>
        <v>1</v>
      </c>
      <c r="K126" s="40">
        <f t="shared" ca="1" si="79"/>
        <v>0</v>
      </c>
      <c r="L126" s="40">
        <f t="shared" ca="1" si="94"/>
        <v>0</v>
      </c>
      <c r="M126" s="40">
        <f t="shared" ca="1" si="80"/>
        <v>0</v>
      </c>
      <c r="N126" s="40">
        <f t="shared" ca="1" si="81"/>
        <v>0</v>
      </c>
      <c r="O126" s="40">
        <f t="shared" ca="1" si="82"/>
        <v>0</v>
      </c>
      <c r="P126" s="42"/>
      <c r="Q126" s="31">
        <f t="shared" ca="1" si="83"/>
        <v>5909.511816362432</v>
      </c>
      <c r="R126" s="31">
        <f t="shared" ca="1" si="84"/>
        <v>12315.441420421854</v>
      </c>
      <c r="S126" s="31">
        <f t="shared" ca="1" si="85"/>
        <v>15239.386121046664</v>
      </c>
      <c r="T126" s="31">
        <f t="shared" ca="1" si="86"/>
        <v>1185.5642582697244</v>
      </c>
      <c r="U126" s="31">
        <f t="shared" ca="1" si="87"/>
        <v>18788.07174045725</v>
      </c>
      <c r="V126" s="31">
        <f t="shared" ca="1" si="88"/>
        <v>0</v>
      </c>
      <c r="W126" s="31">
        <f t="shared" ca="1" si="89"/>
        <v>0</v>
      </c>
      <c r="X126" s="31">
        <f t="shared" ca="1" si="90"/>
        <v>0</v>
      </c>
      <c r="Y126" s="31">
        <f t="shared" ca="1" si="91"/>
        <v>0</v>
      </c>
      <c r="Z126" s="31">
        <f t="shared" ca="1" si="92"/>
        <v>0</v>
      </c>
      <c r="AA126" s="44">
        <f t="shared" ca="1" si="93"/>
        <v>53437.975356557923</v>
      </c>
      <c r="AB126" s="165"/>
      <c r="AC126" s="95"/>
      <c r="AD126" s="95">
        <v>52</v>
      </c>
      <c r="AE126" s="95">
        <v>2452138.4106585383</v>
      </c>
      <c r="AF126" s="95">
        <v>9593413.9111688286</v>
      </c>
      <c r="AG126" s="95">
        <v>-2588250.962143898</v>
      </c>
      <c r="AH126" s="95">
        <v>-9085272.9068008959</v>
      </c>
      <c r="AI126" s="95">
        <v>-5274906.002231881</v>
      </c>
      <c r="AJ126" s="95">
        <v>-1458518.5612300485</v>
      </c>
      <c r="AK126" s="95">
        <v>1958555.4543577731</v>
      </c>
      <c r="AL126" s="95">
        <v>14241124.107797936</v>
      </c>
      <c r="AM126" s="95">
        <v>889428.74416430295</v>
      </c>
      <c r="AN126" s="95"/>
      <c r="AO126" s="95"/>
    </row>
    <row r="127" spans="1:41" ht="13.2">
      <c r="A127" s="33">
        <v>126</v>
      </c>
      <c r="B127" s="30">
        <v>40000</v>
      </c>
      <c r="C127" s="46"/>
      <c r="D127" s="35">
        <f t="shared" ca="1" si="73"/>
        <v>0.11251796128400104</v>
      </c>
      <c r="E127" s="38">
        <f t="shared" ca="1" si="70"/>
        <v>1</v>
      </c>
      <c r="F127" s="40">
        <f t="shared" ca="1" si="74"/>
        <v>1</v>
      </c>
      <c r="G127" s="40">
        <f t="shared" ca="1" si="75"/>
        <v>0</v>
      </c>
      <c r="H127" s="40">
        <f t="shared" ca="1" si="76"/>
        <v>0</v>
      </c>
      <c r="I127" s="40">
        <f t="shared" ca="1" si="77"/>
        <v>0</v>
      </c>
      <c r="J127" s="40">
        <f t="shared" ca="1" si="78"/>
        <v>0</v>
      </c>
      <c r="K127" s="40">
        <f t="shared" ca="1" si="79"/>
        <v>0</v>
      </c>
      <c r="L127" s="40">
        <f t="shared" ca="1" si="94"/>
        <v>0</v>
      </c>
      <c r="M127" s="40">
        <f t="shared" ca="1" si="80"/>
        <v>0</v>
      </c>
      <c r="N127" s="40">
        <f t="shared" ca="1" si="81"/>
        <v>0</v>
      </c>
      <c r="O127" s="40">
        <f t="shared" ca="1" si="82"/>
        <v>0</v>
      </c>
      <c r="P127" s="42"/>
      <c r="Q127" s="31">
        <f t="shared" ca="1" si="83"/>
        <v>5914.1539408170056</v>
      </c>
      <c r="R127" s="31">
        <f t="shared" ca="1" si="84"/>
        <v>0</v>
      </c>
      <c r="S127" s="31">
        <f t="shared" ca="1" si="85"/>
        <v>0</v>
      </c>
      <c r="T127" s="31">
        <f t="shared" ca="1" si="86"/>
        <v>0</v>
      </c>
      <c r="U127" s="31">
        <f t="shared" ca="1" si="87"/>
        <v>0</v>
      </c>
      <c r="V127" s="31">
        <f t="shared" ca="1" si="88"/>
        <v>0</v>
      </c>
      <c r="W127" s="31">
        <f t="shared" ca="1" si="89"/>
        <v>0</v>
      </c>
      <c r="X127" s="31">
        <f t="shared" ca="1" si="90"/>
        <v>0</v>
      </c>
      <c r="Y127" s="31">
        <f t="shared" ca="1" si="91"/>
        <v>0</v>
      </c>
      <c r="Z127" s="31">
        <f t="shared" ca="1" si="92"/>
        <v>0</v>
      </c>
      <c r="AA127" s="44">
        <f t="shared" ca="1" si="93"/>
        <v>5914.1539408170056</v>
      </c>
      <c r="AB127" s="165"/>
      <c r="AC127" s="95"/>
      <c r="AD127" s="95">
        <v>53</v>
      </c>
      <c r="AE127" s="95">
        <v>11125929.305952057</v>
      </c>
      <c r="AF127" s="95">
        <v>3782540.6973537207</v>
      </c>
      <c r="AG127" s="95">
        <v>18718188.412238419</v>
      </c>
      <c r="AH127" s="95">
        <v>8280996.8970710337</v>
      </c>
      <c r="AI127" s="95">
        <v>-1012718.2918712497</v>
      </c>
      <c r="AJ127" s="95">
        <v>1915230.0747283101</v>
      </c>
      <c r="AK127" s="95">
        <v>5077823.6365954429</v>
      </c>
      <c r="AL127" s="95">
        <v>-3899699.0817423463</v>
      </c>
      <c r="AM127" s="95">
        <v>-4658597.5229912251</v>
      </c>
      <c r="AN127" s="95"/>
      <c r="AO127" s="95"/>
    </row>
    <row r="128" spans="1:41" ht="13.2">
      <c r="A128" s="33">
        <v>127</v>
      </c>
      <c r="B128" s="30">
        <v>40000</v>
      </c>
      <c r="C128" s="46"/>
      <c r="D128" s="35">
        <f t="shared" ca="1" si="73"/>
        <v>0.63888637575805152</v>
      </c>
      <c r="E128" s="38">
        <f t="shared" ca="1" si="70"/>
        <v>5</v>
      </c>
      <c r="F128" s="40">
        <f t="shared" ca="1" si="74"/>
        <v>1</v>
      </c>
      <c r="G128" s="40">
        <f t="shared" ca="1" si="75"/>
        <v>1</v>
      </c>
      <c r="H128" s="40">
        <f t="shared" ca="1" si="76"/>
        <v>1</v>
      </c>
      <c r="I128" s="40">
        <f t="shared" ca="1" si="77"/>
        <v>1</v>
      </c>
      <c r="J128" s="40">
        <f t="shared" ca="1" si="78"/>
        <v>1</v>
      </c>
      <c r="K128" s="40">
        <f t="shared" ca="1" si="79"/>
        <v>0</v>
      </c>
      <c r="L128" s="40">
        <f t="shared" ca="1" si="94"/>
        <v>0</v>
      </c>
      <c r="M128" s="40">
        <f t="shared" ca="1" si="80"/>
        <v>0</v>
      </c>
      <c r="N128" s="40">
        <f t="shared" ca="1" si="81"/>
        <v>0</v>
      </c>
      <c r="O128" s="40">
        <f t="shared" ca="1" si="82"/>
        <v>0</v>
      </c>
      <c r="P128" s="42"/>
      <c r="Q128" s="31">
        <f t="shared" ca="1" si="83"/>
        <v>40466.873677298041</v>
      </c>
      <c r="R128" s="31">
        <f t="shared" ca="1" si="84"/>
        <v>19271.889773172355</v>
      </c>
      <c r="S128" s="31">
        <f t="shared" ca="1" si="85"/>
        <v>2220.2284731422155</v>
      </c>
      <c r="T128" s="31">
        <f t="shared" ca="1" si="86"/>
        <v>36325.679612259199</v>
      </c>
      <c r="U128" s="31">
        <f t="shared" ca="1" si="87"/>
        <v>83345.171166710075</v>
      </c>
      <c r="V128" s="31">
        <f t="shared" ca="1" si="88"/>
        <v>0</v>
      </c>
      <c r="W128" s="31">
        <f t="shared" ca="1" si="89"/>
        <v>0</v>
      </c>
      <c r="X128" s="31">
        <f t="shared" ca="1" si="90"/>
        <v>0</v>
      </c>
      <c r="Y128" s="31">
        <f t="shared" ca="1" si="91"/>
        <v>0</v>
      </c>
      <c r="Z128" s="31">
        <f t="shared" ca="1" si="92"/>
        <v>0</v>
      </c>
      <c r="AA128" s="44">
        <f t="shared" ca="1" si="93"/>
        <v>181629.8427025819</v>
      </c>
      <c r="AB128" s="165"/>
      <c r="AC128" s="95"/>
      <c r="AD128" s="95">
        <v>54</v>
      </c>
      <c r="AE128" s="95">
        <v>-1308886.0510858744</v>
      </c>
      <c r="AF128" s="95">
        <v>2864677.1228743792</v>
      </c>
      <c r="AG128" s="95">
        <v>-3820599.9858496934</v>
      </c>
      <c r="AH128" s="95">
        <v>6968896.4751062989</v>
      </c>
      <c r="AI128" s="95">
        <v>4266576.5187640488</v>
      </c>
      <c r="AJ128" s="95">
        <v>3183375.8708361685</v>
      </c>
      <c r="AK128" s="95">
        <v>-5007106.5259507447</v>
      </c>
      <c r="AL128" s="95">
        <v>1267811.1431385875</v>
      </c>
      <c r="AM128" s="95">
        <v>-538433.00266221166</v>
      </c>
      <c r="AN128" s="95"/>
      <c r="AO128" s="95"/>
    </row>
    <row r="129" spans="1:41" ht="13.2">
      <c r="A129" s="33">
        <v>128</v>
      </c>
      <c r="B129" s="30">
        <v>40000</v>
      </c>
      <c r="C129" s="46"/>
      <c r="D129" s="35">
        <f t="shared" ca="1" si="73"/>
        <v>0.61691382209181356</v>
      </c>
      <c r="E129" s="38">
        <f t="shared" ca="1" si="70"/>
        <v>5</v>
      </c>
      <c r="F129" s="40">
        <f t="shared" ca="1" si="74"/>
        <v>1</v>
      </c>
      <c r="G129" s="40">
        <f t="shared" ca="1" si="75"/>
        <v>1</v>
      </c>
      <c r="H129" s="40">
        <f t="shared" ca="1" si="76"/>
        <v>1</v>
      </c>
      <c r="I129" s="40">
        <f t="shared" ca="1" si="77"/>
        <v>1</v>
      </c>
      <c r="J129" s="40">
        <f t="shared" ca="1" si="78"/>
        <v>1</v>
      </c>
      <c r="K129" s="40">
        <f t="shared" ca="1" si="79"/>
        <v>0</v>
      </c>
      <c r="L129" s="40">
        <f t="shared" ca="1" si="94"/>
        <v>0</v>
      </c>
      <c r="M129" s="40">
        <f t="shared" ca="1" si="80"/>
        <v>0</v>
      </c>
      <c r="N129" s="40">
        <f t="shared" ca="1" si="81"/>
        <v>0</v>
      </c>
      <c r="O129" s="40">
        <f t="shared" ca="1" si="82"/>
        <v>0</v>
      </c>
      <c r="P129" s="42"/>
      <c r="Q129" s="31">
        <f t="shared" ca="1" si="83"/>
        <v>939.15990257872977</v>
      </c>
      <c r="R129" s="31">
        <f t="shared" ca="1" si="84"/>
        <v>22680.742455297786</v>
      </c>
      <c r="S129" s="31">
        <f t="shared" ca="1" si="85"/>
        <v>22349.911744425288</v>
      </c>
      <c r="T129" s="31">
        <f t="shared" ca="1" si="86"/>
        <v>5609.5124444451139</v>
      </c>
      <c r="U129" s="31">
        <f t="shared" ca="1" si="87"/>
        <v>20042.607010986747</v>
      </c>
      <c r="V129" s="31">
        <f t="shared" ca="1" si="88"/>
        <v>0</v>
      </c>
      <c r="W129" s="31">
        <f t="shared" ca="1" si="89"/>
        <v>0</v>
      </c>
      <c r="X129" s="31">
        <f t="shared" ca="1" si="90"/>
        <v>0</v>
      </c>
      <c r="Y129" s="31">
        <f t="shared" ca="1" si="91"/>
        <v>0</v>
      </c>
      <c r="Z129" s="31">
        <f t="shared" ca="1" si="92"/>
        <v>0</v>
      </c>
      <c r="AA129" s="44">
        <f t="shared" ca="1" si="93"/>
        <v>71621.933557733661</v>
      </c>
      <c r="AB129" s="165"/>
      <c r="AC129" s="95"/>
      <c r="AD129" s="95">
        <v>55</v>
      </c>
      <c r="AE129" s="95">
        <v>7436530.3420759588</v>
      </c>
      <c r="AF129" s="95">
        <v>5068512.117649585</v>
      </c>
      <c r="AG129" s="95">
        <v>-1455989.6432583332</v>
      </c>
      <c r="AH129" s="95">
        <v>4394975.4965701252</v>
      </c>
      <c r="AI129" s="95">
        <v>356448.73017726839</v>
      </c>
      <c r="AJ129" s="95">
        <v>-2965006.2202896774</v>
      </c>
      <c r="AK129" s="95">
        <v>3680509.0842674375</v>
      </c>
      <c r="AL129" s="95">
        <v>2440801.1084864736</v>
      </c>
      <c r="AM129" s="95">
        <v>-3757847.4980611354</v>
      </c>
      <c r="AN129" s="95"/>
      <c r="AO129" s="95"/>
    </row>
    <row r="130" spans="1:41" ht="13.2">
      <c r="A130" s="33">
        <v>129</v>
      </c>
      <c r="B130" s="30">
        <v>40000</v>
      </c>
      <c r="C130" s="46"/>
      <c r="D130" s="35">
        <f t="shared" ref="D130:D141" ca="1" si="95">RAND()</f>
        <v>0.62361107291401674</v>
      </c>
      <c r="E130" s="38">
        <f t="shared" ca="1" si="70"/>
        <v>5</v>
      </c>
      <c r="F130" s="40">
        <f t="shared" ref="F130:F141" ca="1" si="96">IF(E130&gt;=1,1,0)</f>
        <v>1</v>
      </c>
      <c r="G130" s="40">
        <f t="shared" ref="G130:G141" ca="1" si="97">IF(E130&gt;=2,1,0)</f>
        <v>1</v>
      </c>
      <c r="H130" s="40">
        <f t="shared" ref="H130:H141" ca="1" si="98">IF(E130&gt;=3,1,0)</f>
        <v>1</v>
      </c>
      <c r="I130" s="40">
        <f t="shared" ref="I130:I141" ca="1" si="99">IF(E130&gt;=4,1,0)</f>
        <v>1</v>
      </c>
      <c r="J130" s="40">
        <f t="shared" ref="J130:J141" ca="1" si="100">IF(E130&gt;=5,1,0)</f>
        <v>1</v>
      </c>
      <c r="K130" s="40">
        <f t="shared" ref="K130:K141" ca="1" si="101">IF(E130&gt;=6,1,0)</f>
        <v>0</v>
      </c>
      <c r="L130" s="40">
        <f t="shared" ca="1" si="94"/>
        <v>0</v>
      </c>
      <c r="M130" s="40">
        <f t="shared" ref="M130:M141" ca="1" si="102">IF(E130&gt;=8,1,0)</f>
        <v>0</v>
      </c>
      <c r="N130" s="40">
        <f t="shared" ref="N130:N141" ca="1" si="103">IF(E130&gt;=9,1,0)</f>
        <v>0</v>
      </c>
      <c r="O130" s="40">
        <f t="shared" ref="O130:O141" ca="1" si="104">IF(E130&gt;=10,1,0)</f>
        <v>0</v>
      </c>
      <c r="P130" s="42"/>
      <c r="Q130" s="31">
        <f t="shared" ref="Q130:Q141" ca="1" si="105">_xlfn.CHISQ.INV(RAND(),2)*$AO$4 *F130</f>
        <v>11002.44276636547</v>
      </c>
      <c r="R130" s="31">
        <f t="shared" ref="R130:R141" ca="1" si="106">_xlfn.CHISQ.INV(RAND(),2)*$AO$4 *G130</f>
        <v>274.40297286433542</v>
      </c>
      <c r="S130" s="31">
        <f t="shared" ref="S130:S141" ca="1" si="107">_xlfn.CHISQ.INV(RAND(),2)*$AO$4 *H130</f>
        <v>28557.206119345501</v>
      </c>
      <c r="T130" s="31">
        <f t="shared" ref="T130:T141" ca="1" si="108">_xlfn.CHISQ.INV(RAND(),2)*$AO$4 *I130</f>
        <v>9183.9032678845615</v>
      </c>
      <c r="U130" s="31">
        <f t="shared" ref="U130:U141" ca="1" si="109">_xlfn.CHISQ.INV(RAND(),2)*$AO$4 *J130</f>
        <v>6801.2039172864233</v>
      </c>
      <c r="V130" s="31">
        <f t="shared" ref="V130:V141" ca="1" si="110">_xlfn.CHISQ.INV(RAND(),2)*$AO$4 *K130</f>
        <v>0</v>
      </c>
      <c r="W130" s="31">
        <f t="shared" ref="W130:W141" ca="1" si="111">_xlfn.CHISQ.INV(RAND(),2)*$AO$4 *L130</f>
        <v>0</v>
      </c>
      <c r="X130" s="31">
        <f t="shared" ref="X130:X141" ca="1" si="112">_xlfn.CHISQ.INV(RAND(),2)*$AO$4 *M130</f>
        <v>0</v>
      </c>
      <c r="Y130" s="31">
        <f t="shared" ref="Y130:Y141" ca="1" si="113">_xlfn.CHISQ.INV(RAND(),2)*$AO$4 *N130</f>
        <v>0</v>
      </c>
      <c r="Z130" s="31">
        <f t="shared" ref="Z130:Z141" ca="1" si="114">_xlfn.CHISQ.INV(RAND(),2)*$AO$4 *O130</f>
        <v>0</v>
      </c>
      <c r="AA130" s="44">
        <f t="shared" ref="AA130:AA141" ca="1" si="115">SUM(Q130:Z130)</f>
        <v>55819.159043746287</v>
      </c>
      <c r="AB130" s="165"/>
      <c r="AC130" s="95"/>
      <c r="AD130" s="95">
        <v>56</v>
      </c>
      <c r="AE130" s="95">
        <v>10702928.513441652</v>
      </c>
      <c r="AF130" s="95">
        <v>24802.043179988861</v>
      </c>
      <c r="AG130" s="95">
        <v>-1897992.1457613558</v>
      </c>
      <c r="AH130" s="95">
        <v>-2984738.6016261131</v>
      </c>
      <c r="AI130" s="95">
        <v>5856957.0075796843</v>
      </c>
      <c r="AJ130" s="95">
        <v>-549494.51056797802</v>
      </c>
      <c r="AK130" s="95">
        <v>-5106035.7848180383</v>
      </c>
      <c r="AL130" s="95">
        <v>-1926641.1852824986</v>
      </c>
      <c r="AM130" s="95">
        <v>-1015949.4136869013</v>
      </c>
      <c r="AN130" s="95"/>
      <c r="AO130" s="95"/>
    </row>
    <row r="131" spans="1:41" ht="13.2">
      <c r="A131" s="33">
        <v>130</v>
      </c>
      <c r="B131" s="30">
        <v>40000</v>
      </c>
      <c r="C131" s="46"/>
      <c r="D131" s="35">
        <f t="shared" ca="1" si="95"/>
        <v>0.66807457233480028</v>
      </c>
      <c r="E131" s="38">
        <f t="shared" ref="E131:E141" ca="1" si="116">VLOOKUP(D131,$AH$2:$AL$12, 5, TRUE)</f>
        <v>5</v>
      </c>
      <c r="F131" s="40">
        <f t="shared" ca="1" si="96"/>
        <v>1</v>
      </c>
      <c r="G131" s="40">
        <f t="shared" ca="1" si="97"/>
        <v>1</v>
      </c>
      <c r="H131" s="40">
        <f t="shared" ca="1" si="98"/>
        <v>1</v>
      </c>
      <c r="I131" s="40">
        <f t="shared" ca="1" si="99"/>
        <v>1</v>
      </c>
      <c r="J131" s="40">
        <f t="shared" ca="1" si="100"/>
        <v>1</v>
      </c>
      <c r="K131" s="40">
        <f t="shared" ca="1" si="101"/>
        <v>0</v>
      </c>
      <c r="L131" s="40">
        <f t="shared" ca="1" si="94"/>
        <v>0</v>
      </c>
      <c r="M131" s="40">
        <f t="shared" ca="1" si="102"/>
        <v>0</v>
      </c>
      <c r="N131" s="40">
        <f t="shared" ca="1" si="103"/>
        <v>0</v>
      </c>
      <c r="O131" s="40">
        <f t="shared" ca="1" si="104"/>
        <v>0</v>
      </c>
      <c r="P131" s="42"/>
      <c r="Q131" s="31">
        <f t="shared" ca="1" si="105"/>
        <v>7009.7450205407404</v>
      </c>
      <c r="R131" s="31">
        <f t="shared" ca="1" si="106"/>
        <v>45079.935632218097</v>
      </c>
      <c r="S131" s="31">
        <f t="shared" ca="1" si="107"/>
        <v>20976.50556464896</v>
      </c>
      <c r="T131" s="31">
        <f t="shared" ca="1" si="108"/>
        <v>473.94220160282345</v>
      </c>
      <c r="U131" s="31">
        <f t="shared" ca="1" si="109"/>
        <v>13507.787723581714</v>
      </c>
      <c r="V131" s="31">
        <f t="shared" ca="1" si="110"/>
        <v>0</v>
      </c>
      <c r="W131" s="31">
        <f t="shared" ca="1" si="111"/>
        <v>0</v>
      </c>
      <c r="X131" s="31">
        <f t="shared" ca="1" si="112"/>
        <v>0</v>
      </c>
      <c r="Y131" s="31">
        <f t="shared" ca="1" si="113"/>
        <v>0</v>
      </c>
      <c r="Z131" s="31">
        <f t="shared" ca="1" si="114"/>
        <v>0</v>
      </c>
      <c r="AA131" s="44">
        <f t="shared" ca="1" si="115"/>
        <v>87047.916142592338</v>
      </c>
      <c r="AB131" s="165"/>
      <c r="AC131" s="95"/>
      <c r="AD131" s="95">
        <v>57</v>
      </c>
      <c r="AE131" s="95">
        <v>4370147.0675666481</v>
      </c>
      <c r="AF131" s="95">
        <v>11927576.650393873</v>
      </c>
      <c r="AG131" s="95">
        <v>7236852.3679867834</v>
      </c>
      <c r="AH131" s="95">
        <v>9632180.1497543454</v>
      </c>
      <c r="AI131" s="95">
        <v>-2492714.7960244864</v>
      </c>
      <c r="AJ131" s="95">
        <v>7120461.3952973932</v>
      </c>
      <c r="AK131" s="95">
        <v>3148297.2792482972</v>
      </c>
      <c r="AL131" s="95">
        <v>-1549956.2051859945</v>
      </c>
      <c r="AM131" s="95">
        <v>-5012842.691536814</v>
      </c>
      <c r="AN131" s="95"/>
      <c r="AO131" s="95"/>
    </row>
    <row r="132" spans="1:41" ht="13.2">
      <c r="A132" s="33">
        <v>131</v>
      </c>
      <c r="B132" s="30">
        <v>40000</v>
      </c>
      <c r="C132" s="46"/>
      <c r="D132" s="35">
        <f t="shared" ca="1" si="95"/>
        <v>0.8884367667611468</v>
      </c>
      <c r="E132" s="38">
        <f t="shared" ca="1" si="116"/>
        <v>8</v>
      </c>
      <c r="F132" s="40">
        <f t="shared" ca="1" si="96"/>
        <v>1</v>
      </c>
      <c r="G132" s="40">
        <f t="shared" ca="1" si="97"/>
        <v>1</v>
      </c>
      <c r="H132" s="40">
        <f t="shared" ca="1" si="98"/>
        <v>1</v>
      </c>
      <c r="I132" s="40">
        <f t="shared" ca="1" si="99"/>
        <v>1</v>
      </c>
      <c r="J132" s="40">
        <f t="shared" ca="1" si="100"/>
        <v>1</v>
      </c>
      <c r="K132" s="40">
        <f t="shared" ca="1" si="101"/>
        <v>1</v>
      </c>
      <c r="L132" s="40">
        <f t="shared" ca="1" si="94"/>
        <v>1</v>
      </c>
      <c r="M132" s="40">
        <f t="shared" ca="1" si="102"/>
        <v>1</v>
      </c>
      <c r="N132" s="40">
        <f t="shared" ca="1" si="103"/>
        <v>0</v>
      </c>
      <c r="O132" s="40">
        <f t="shared" ca="1" si="104"/>
        <v>0</v>
      </c>
      <c r="P132" s="42"/>
      <c r="Q132" s="31">
        <f t="shared" ca="1" si="105"/>
        <v>16444.283533183567</v>
      </c>
      <c r="R132" s="31">
        <f t="shared" ca="1" si="106"/>
        <v>28668.199013404253</v>
      </c>
      <c r="S132" s="31">
        <f t="shared" ca="1" si="107"/>
        <v>496.44372117585351</v>
      </c>
      <c r="T132" s="31">
        <f t="shared" ca="1" si="108"/>
        <v>2615.8346970488524</v>
      </c>
      <c r="U132" s="31">
        <f t="shared" ca="1" si="109"/>
        <v>2825.7590989979385</v>
      </c>
      <c r="V132" s="31">
        <f t="shared" ca="1" si="110"/>
        <v>5007.5112574887153</v>
      </c>
      <c r="W132" s="31">
        <f t="shared" ca="1" si="111"/>
        <v>30478.114361860276</v>
      </c>
      <c r="X132" s="31">
        <f t="shared" ca="1" si="112"/>
        <v>37242.792645196401</v>
      </c>
      <c r="Y132" s="31">
        <f t="shared" ca="1" si="113"/>
        <v>0</v>
      </c>
      <c r="Z132" s="31">
        <f t="shared" ca="1" si="114"/>
        <v>0</v>
      </c>
      <c r="AA132" s="44">
        <f t="shared" ca="1" si="115"/>
        <v>123778.93832835586</v>
      </c>
      <c r="AB132" s="165"/>
      <c r="AC132" s="95"/>
      <c r="AD132" s="95">
        <v>58</v>
      </c>
      <c r="AE132" s="95">
        <v>12097990.980586082</v>
      </c>
      <c r="AF132" s="95">
        <v>-150815.37287843227</v>
      </c>
      <c r="AG132" s="95">
        <v>5046712.0605182499</v>
      </c>
      <c r="AH132" s="95">
        <v>3349068.8553633094</v>
      </c>
      <c r="AI132" s="95">
        <v>5317642.4631409347</v>
      </c>
      <c r="AJ132" s="95">
        <v>12397963.681350589</v>
      </c>
      <c r="AK132" s="95">
        <v>2917064.8744428903</v>
      </c>
      <c r="AL132" s="95">
        <v>523237.44625101984</v>
      </c>
      <c r="AM132" s="95">
        <v>-928608.90373411775</v>
      </c>
      <c r="AN132" s="95"/>
      <c r="AO132" s="95"/>
    </row>
    <row r="133" spans="1:41" ht="13.2">
      <c r="A133" s="33">
        <v>132</v>
      </c>
      <c r="B133" s="30">
        <v>40000</v>
      </c>
      <c r="C133" s="46"/>
      <c r="D133" s="35">
        <f t="shared" ca="1" si="95"/>
        <v>0.57873016825785661</v>
      </c>
      <c r="E133" s="38">
        <f t="shared" ca="1" si="116"/>
        <v>5</v>
      </c>
      <c r="F133" s="40">
        <f t="shared" ca="1" si="96"/>
        <v>1</v>
      </c>
      <c r="G133" s="40">
        <f t="shared" ca="1" si="97"/>
        <v>1</v>
      </c>
      <c r="H133" s="40">
        <f t="shared" ca="1" si="98"/>
        <v>1</v>
      </c>
      <c r="I133" s="40">
        <f t="shared" ca="1" si="99"/>
        <v>1</v>
      </c>
      <c r="J133" s="40">
        <f t="shared" ca="1" si="100"/>
        <v>1</v>
      </c>
      <c r="K133" s="40">
        <f t="shared" ca="1" si="101"/>
        <v>0</v>
      </c>
      <c r="L133" s="40">
        <f t="shared" ca="1" si="94"/>
        <v>0</v>
      </c>
      <c r="M133" s="40">
        <f t="shared" ca="1" si="102"/>
        <v>0</v>
      </c>
      <c r="N133" s="40">
        <f t="shared" ca="1" si="103"/>
        <v>0</v>
      </c>
      <c r="O133" s="40">
        <f t="shared" ca="1" si="104"/>
        <v>0</v>
      </c>
      <c r="P133" s="42"/>
      <c r="Q133" s="31">
        <f t="shared" ca="1" si="105"/>
        <v>26791.669595330441</v>
      </c>
      <c r="R133" s="31">
        <f t="shared" ca="1" si="106"/>
        <v>38444.163143827456</v>
      </c>
      <c r="S133" s="31">
        <f t="shared" ca="1" si="107"/>
        <v>38027.37723464529</v>
      </c>
      <c r="T133" s="31">
        <f t="shared" ca="1" si="108"/>
        <v>5654.1989263063006</v>
      </c>
      <c r="U133" s="31">
        <f t="shared" ca="1" si="109"/>
        <v>10327.860700391928</v>
      </c>
      <c r="V133" s="31">
        <f t="shared" ca="1" si="110"/>
        <v>0</v>
      </c>
      <c r="W133" s="31">
        <f t="shared" ca="1" si="111"/>
        <v>0</v>
      </c>
      <c r="X133" s="31">
        <f t="shared" ca="1" si="112"/>
        <v>0</v>
      </c>
      <c r="Y133" s="31">
        <f t="shared" ca="1" si="113"/>
        <v>0</v>
      </c>
      <c r="Z133" s="31">
        <f t="shared" ca="1" si="114"/>
        <v>0</v>
      </c>
      <c r="AA133" s="44">
        <f t="shared" ca="1" si="115"/>
        <v>119245.26960050141</v>
      </c>
      <c r="AB133" s="165"/>
      <c r="AC133" s="95"/>
      <c r="AD133" s="95">
        <v>59</v>
      </c>
      <c r="AE133" s="95">
        <v>8259703.8677761555</v>
      </c>
      <c r="AF133" s="95">
        <v>254513.0550468415</v>
      </c>
      <c r="AG133" s="95">
        <v>5255706.5861460268</v>
      </c>
      <c r="AH133" s="95">
        <v>-42350.878986075521</v>
      </c>
      <c r="AI133" s="95">
        <v>-1449276.1872611493</v>
      </c>
      <c r="AJ133" s="95">
        <v>5583791.803250134</v>
      </c>
      <c r="AK133" s="95">
        <v>12375536.729519039</v>
      </c>
      <c r="AL133" s="95">
        <v>-1786805.4712087512</v>
      </c>
      <c r="AM133" s="95">
        <v>902161.93350337446</v>
      </c>
      <c r="AN133" s="95"/>
      <c r="AO133" s="95"/>
    </row>
    <row r="134" spans="1:41" ht="13.2">
      <c r="A134" s="33">
        <v>133</v>
      </c>
      <c r="B134" s="30">
        <v>40000</v>
      </c>
      <c r="C134" s="46"/>
      <c r="D134" s="35">
        <f t="shared" ca="1" si="95"/>
        <v>2.709523822733273E-2</v>
      </c>
      <c r="E134" s="38">
        <f t="shared" ca="1" si="116"/>
        <v>0</v>
      </c>
      <c r="F134" s="40">
        <f t="shared" ca="1" si="96"/>
        <v>0</v>
      </c>
      <c r="G134" s="40">
        <f t="shared" ca="1" si="97"/>
        <v>0</v>
      </c>
      <c r="H134" s="40">
        <f t="shared" ca="1" si="98"/>
        <v>0</v>
      </c>
      <c r="I134" s="40">
        <f t="shared" ca="1" si="99"/>
        <v>0</v>
      </c>
      <c r="J134" s="40">
        <f t="shared" ca="1" si="100"/>
        <v>0</v>
      </c>
      <c r="K134" s="40">
        <f t="shared" ca="1" si="101"/>
        <v>0</v>
      </c>
      <c r="L134" s="40">
        <f t="shared" ca="1" si="94"/>
        <v>0</v>
      </c>
      <c r="M134" s="40">
        <f t="shared" ca="1" si="102"/>
        <v>0</v>
      </c>
      <c r="N134" s="40">
        <f t="shared" ca="1" si="103"/>
        <v>0</v>
      </c>
      <c r="O134" s="40">
        <f t="shared" ca="1" si="104"/>
        <v>0</v>
      </c>
      <c r="P134" s="42"/>
      <c r="Q134" s="31">
        <f t="shared" ca="1" si="105"/>
        <v>0</v>
      </c>
      <c r="R134" s="31">
        <f t="shared" ca="1" si="106"/>
        <v>0</v>
      </c>
      <c r="S134" s="31">
        <f t="shared" ca="1" si="107"/>
        <v>0</v>
      </c>
      <c r="T134" s="31">
        <f t="shared" ca="1" si="108"/>
        <v>0</v>
      </c>
      <c r="U134" s="31">
        <f t="shared" ca="1" si="109"/>
        <v>0</v>
      </c>
      <c r="V134" s="31">
        <f t="shared" ca="1" si="110"/>
        <v>0</v>
      </c>
      <c r="W134" s="31">
        <f t="shared" ca="1" si="111"/>
        <v>0</v>
      </c>
      <c r="X134" s="31">
        <f t="shared" ca="1" si="112"/>
        <v>0</v>
      </c>
      <c r="Y134" s="31">
        <f t="shared" ca="1" si="113"/>
        <v>0</v>
      </c>
      <c r="Z134" s="31">
        <f t="shared" ca="1" si="114"/>
        <v>0</v>
      </c>
      <c r="AA134" s="44">
        <f t="shared" ca="1" si="115"/>
        <v>0</v>
      </c>
      <c r="AB134" s="165"/>
      <c r="AC134" s="95"/>
      <c r="AD134" s="95">
        <v>60</v>
      </c>
      <c r="AE134" s="95">
        <v>6029418.1946220696</v>
      </c>
      <c r="AF134" s="95">
        <v>5437624.6709610522</v>
      </c>
      <c r="AG134" s="95">
        <v>3199968.794260323</v>
      </c>
      <c r="AH134" s="95">
        <v>13666870.614634767</v>
      </c>
      <c r="AI134" s="95">
        <v>-5573241.2783747464</v>
      </c>
      <c r="AJ134" s="95">
        <v>-2080021.2447938919</v>
      </c>
      <c r="AK134" s="95">
        <v>11545207.960846245</v>
      </c>
      <c r="AL134" s="95">
        <v>2821505.4194186628</v>
      </c>
      <c r="AM134" s="95">
        <v>-456492.28678303957</v>
      </c>
      <c r="AN134" s="95"/>
      <c r="AO134" s="95"/>
    </row>
    <row r="135" spans="1:41" ht="13.2">
      <c r="A135" s="33">
        <v>134</v>
      </c>
      <c r="B135" s="30">
        <v>40000</v>
      </c>
      <c r="C135" s="46"/>
      <c r="D135" s="35">
        <f t="shared" ca="1" si="95"/>
        <v>8.1371635082500338E-2</v>
      </c>
      <c r="E135" s="38">
        <f t="shared" ca="1" si="116"/>
        <v>1</v>
      </c>
      <c r="F135" s="40">
        <f t="shared" ca="1" si="96"/>
        <v>1</v>
      </c>
      <c r="G135" s="40">
        <f t="shared" ca="1" si="97"/>
        <v>0</v>
      </c>
      <c r="H135" s="40">
        <f t="shared" ca="1" si="98"/>
        <v>0</v>
      </c>
      <c r="I135" s="40">
        <f t="shared" ca="1" si="99"/>
        <v>0</v>
      </c>
      <c r="J135" s="40">
        <f t="shared" ca="1" si="100"/>
        <v>0</v>
      </c>
      <c r="K135" s="40">
        <f t="shared" ca="1" si="101"/>
        <v>0</v>
      </c>
      <c r="L135" s="40">
        <f t="shared" ca="1" si="94"/>
        <v>0</v>
      </c>
      <c r="M135" s="40">
        <f t="shared" ca="1" si="102"/>
        <v>0</v>
      </c>
      <c r="N135" s="40">
        <f t="shared" ca="1" si="103"/>
        <v>0</v>
      </c>
      <c r="O135" s="40">
        <f t="shared" ca="1" si="104"/>
        <v>0</v>
      </c>
      <c r="P135" s="42"/>
      <c r="Q135" s="31">
        <f t="shared" ca="1" si="105"/>
        <v>25194.521501697458</v>
      </c>
      <c r="R135" s="31">
        <f t="shared" ca="1" si="106"/>
        <v>0</v>
      </c>
      <c r="S135" s="31">
        <f t="shared" ca="1" si="107"/>
        <v>0</v>
      </c>
      <c r="T135" s="31">
        <f t="shared" ca="1" si="108"/>
        <v>0</v>
      </c>
      <c r="U135" s="31">
        <f t="shared" ca="1" si="109"/>
        <v>0</v>
      </c>
      <c r="V135" s="31">
        <f t="shared" ca="1" si="110"/>
        <v>0</v>
      </c>
      <c r="W135" s="31">
        <f t="shared" ca="1" si="111"/>
        <v>0</v>
      </c>
      <c r="X135" s="31">
        <f t="shared" ca="1" si="112"/>
        <v>0</v>
      </c>
      <c r="Y135" s="31">
        <f t="shared" ca="1" si="113"/>
        <v>0</v>
      </c>
      <c r="Z135" s="31">
        <f t="shared" ca="1" si="114"/>
        <v>0</v>
      </c>
      <c r="AA135" s="44">
        <f t="shared" ca="1" si="115"/>
        <v>25194.521501697458</v>
      </c>
      <c r="AB135" s="165"/>
      <c r="AC135" s="95"/>
      <c r="AD135" s="95">
        <v>61</v>
      </c>
      <c r="AE135" s="95">
        <v>1980949.8794510961</v>
      </c>
      <c r="AF135" s="95">
        <v>11142229.793948159</v>
      </c>
      <c r="AG135" s="95">
        <v>9190419.1239232719</v>
      </c>
      <c r="AH135" s="95">
        <v>11551741.896052286</v>
      </c>
      <c r="AI135" s="95">
        <v>1323122.213132605</v>
      </c>
      <c r="AJ135" s="95">
        <v>2724917.5828253031</v>
      </c>
      <c r="AK135" s="95">
        <v>1017123.9124328196</v>
      </c>
      <c r="AL135" s="95">
        <v>2087485.5150206983</v>
      </c>
      <c r="AM135" s="95">
        <v>-1204604.3734206557</v>
      </c>
      <c r="AN135" s="95"/>
      <c r="AO135" s="95"/>
    </row>
    <row r="136" spans="1:41" ht="13.2">
      <c r="A136" s="33">
        <v>135</v>
      </c>
      <c r="B136" s="30">
        <v>40000</v>
      </c>
      <c r="C136" s="46"/>
      <c r="D136" s="35">
        <f t="shared" ca="1" si="95"/>
        <v>0.5077055124249934</v>
      </c>
      <c r="E136" s="38">
        <f t="shared" ca="1" si="116"/>
        <v>4</v>
      </c>
      <c r="F136" s="40">
        <f t="shared" ca="1" si="96"/>
        <v>1</v>
      </c>
      <c r="G136" s="40">
        <f t="shared" ca="1" si="97"/>
        <v>1</v>
      </c>
      <c r="H136" s="40">
        <f t="shared" ca="1" si="98"/>
        <v>1</v>
      </c>
      <c r="I136" s="40">
        <f t="shared" ca="1" si="99"/>
        <v>1</v>
      </c>
      <c r="J136" s="40">
        <f t="shared" ca="1" si="100"/>
        <v>0</v>
      </c>
      <c r="K136" s="40">
        <f t="shared" ca="1" si="101"/>
        <v>0</v>
      </c>
      <c r="L136" s="40">
        <f t="shared" ref="L136:L141" ca="1" si="117">IF(E136&gt;=7,1,0)</f>
        <v>0</v>
      </c>
      <c r="M136" s="40">
        <f t="shared" ca="1" si="102"/>
        <v>0</v>
      </c>
      <c r="N136" s="40">
        <f t="shared" ca="1" si="103"/>
        <v>0</v>
      </c>
      <c r="O136" s="40">
        <f t="shared" ca="1" si="104"/>
        <v>0</v>
      </c>
      <c r="P136" s="42"/>
      <c r="Q136" s="31">
        <f t="shared" ca="1" si="105"/>
        <v>895.11832548376333</v>
      </c>
      <c r="R136" s="31">
        <f t="shared" ca="1" si="106"/>
        <v>8616.4660281032393</v>
      </c>
      <c r="S136" s="31">
        <f t="shared" ca="1" si="107"/>
        <v>11413.24257779152</v>
      </c>
      <c r="T136" s="31">
        <f t="shared" ca="1" si="108"/>
        <v>66281.069482663428</v>
      </c>
      <c r="U136" s="31">
        <f t="shared" ca="1" si="109"/>
        <v>0</v>
      </c>
      <c r="V136" s="31">
        <f t="shared" ca="1" si="110"/>
        <v>0</v>
      </c>
      <c r="W136" s="31">
        <f t="shared" ca="1" si="111"/>
        <v>0</v>
      </c>
      <c r="X136" s="31">
        <f t="shared" ca="1" si="112"/>
        <v>0</v>
      </c>
      <c r="Y136" s="31">
        <f t="shared" ca="1" si="113"/>
        <v>0</v>
      </c>
      <c r="Z136" s="31">
        <f t="shared" ca="1" si="114"/>
        <v>0</v>
      </c>
      <c r="AA136" s="44">
        <f t="shared" ca="1" si="115"/>
        <v>87205.896414041956</v>
      </c>
      <c r="AB136" s="165"/>
      <c r="AC136" s="95"/>
      <c r="AD136" s="95">
        <v>62</v>
      </c>
      <c r="AE136" s="95">
        <v>3019171.6525662988</v>
      </c>
      <c r="AF136" s="95">
        <v>6651593.9143667221</v>
      </c>
      <c r="AG136" s="95">
        <v>4273248.1148683876</v>
      </c>
      <c r="AH136" s="95">
        <v>10334602.156690389</v>
      </c>
      <c r="AI136" s="95">
        <v>2634325.3071260303</v>
      </c>
      <c r="AJ136" s="95">
        <v>-3196539.4120622426</v>
      </c>
      <c r="AK136" s="95">
        <v>-5162161.6860779524</v>
      </c>
      <c r="AL136" s="95">
        <v>151635.24794751406</v>
      </c>
      <c r="AM136" s="95">
        <v>-3957830.7935735732</v>
      </c>
      <c r="AN136" s="95"/>
      <c r="AO136" s="95"/>
    </row>
    <row r="137" spans="1:41" ht="13.2">
      <c r="A137" s="33">
        <v>136</v>
      </c>
      <c r="B137" s="30">
        <v>40000</v>
      </c>
      <c r="C137" s="46"/>
      <c r="D137" s="35">
        <f t="shared" ca="1" si="95"/>
        <v>0.97258302428117016</v>
      </c>
      <c r="E137" s="38">
        <f t="shared" ca="1" si="116"/>
        <v>10</v>
      </c>
      <c r="F137" s="40">
        <f t="shared" ca="1" si="96"/>
        <v>1</v>
      </c>
      <c r="G137" s="40">
        <f t="shared" ca="1" si="97"/>
        <v>1</v>
      </c>
      <c r="H137" s="40">
        <f t="shared" ca="1" si="98"/>
        <v>1</v>
      </c>
      <c r="I137" s="40">
        <f t="shared" ca="1" si="99"/>
        <v>1</v>
      </c>
      <c r="J137" s="40">
        <f t="shared" ca="1" si="100"/>
        <v>1</v>
      </c>
      <c r="K137" s="40">
        <f t="shared" ca="1" si="101"/>
        <v>1</v>
      </c>
      <c r="L137" s="40">
        <f t="shared" ca="1" si="117"/>
        <v>1</v>
      </c>
      <c r="M137" s="40">
        <f t="shared" ca="1" si="102"/>
        <v>1</v>
      </c>
      <c r="N137" s="40">
        <f t="shared" ca="1" si="103"/>
        <v>1</v>
      </c>
      <c r="O137" s="40">
        <f t="shared" ca="1" si="104"/>
        <v>1</v>
      </c>
      <c r="P137" s="42"/>
      <c r="Q137" s="31">
        <f t="shared" ca="1" si="105"/>
        <v>2499.2136065304348</v>
      </c>
      <c r="R137" s="31">
        <f t="shared" ca="1" si="106"/>
        <v>8023.2563199217302</v>
      </c>
      <c r="S137" s="31">
        <f t="shared" ca="1" si="107"/>
        <v>37583.1984647399</v>
      </c>
      <c r="T137" s="31">
        <f t="shared" ca="1" si="108"/>
        <v>41499.11527511647</v>
      </c>
      <c r="U137" s="31">
        <f t="shared" ca="1" si="109"/>
        <v>45912.470073650205</v>
      </c>
      <c r="V137" s="31">
        <f t="shared" ca="1" si="110"/>
        <v>9012.0885278147343</v>
      </c>
      <c r="W137" s="31">
        <f t="shared" ca="1" si="111"/>
        <v>9869.4515028494316</v>
      </c>
      <c r="X137" s="31">
        <f t="shared" ca="1" si="112"/>
        <v>11959.845466730239</v>
      </c>
      <c r="Y137" s="31">
        <f t="shared" ca="1" si="113"/>
        <v>17732.94535351987</v>
      </c>
      <c r="Z137" s="31">
        <f t="shared" ca="1" si="114"/>
        <v>2360.9026641646692</v>
      </c>
      <c r="AA137" s="44">
        <f t="shared" ca="1" si="115"/>
        <v>186452.4872550377</v>
      </c>
      <c r="AB137" s="165"/>
      <c r="AC137" s="95"/>
      <c r="AD137" s="95">
        <v>63</v>
      </c>
      <c r="AE137" s="95">
        <v>1872374.4889847785</v>
      </c>
      <c r="AF137" s="95">
        <v>9669983.0225892961</v>
      </c>
      <c r="AG137" s="95">
        <v>1356529.2745108306</v>
      </c>
      <c r="AH137" s="95">
        <v>-6047701.6998865902</v>
      </c>
      <c r="AI137" s="95">
        <v>7700434.8824385554</v>
      </c>
      <c r="AJ137" s="95">
        <v>847313.54271048307</v>
      </c>
      <c r="AK137" s="95">
        <v>5997463.1501919776</v>
      </c>
      <c r="AL137" s="95">
        <v>-1523216.2461254895</v>
      </c>
      <c r="AM137" s="95">
        <v>-5268518.1128643751</v>
      </c>
      <c r="AN137" s="95"/>
      <c r="AO137" s="95"/>
    </row>
    <row r="138" spans="1:41" ht="13.2">
      <c r="A138" s="33">
        <v>137</v>
      </c>
      <c r="B138" s="30">
        <v>40000</v>
      </c>
      <c r="C138" s="46"/>
      <c r="D138" s="35">
        <f t="shared" ca="1" si="95"/>
        <v>0.92268092362362897</v>
      </c>
      <c r="E138" s="38">
        <f t="shared" ca="1" si="116"/>
        <v>9</v>
      </c>
      <c r="F138" s="40">
        <f t="shared" ca="1" si="96"/>
        <v>1</v>
      </c>
      <c r="G138" s="40">
        <f t="shared" ca="1" si="97"/>
        <v>1</v>
      </c>
      <c r="H138" s="40">
        <f t="shared" ca="1" si="98"/>
        <v>1</v>
      </c>
      <c r="I138" s="40">
        <f t="shared" ca="1" si="99"/>
        <v>1</v>
      </c>
      <c r="J138" s="40">
        <f t="shared" ca="1" si="100"/>
        <v>1</v>
      </c>
      <c r="K138" s="40">
        <f t="shared" ca="1" si="101"/>
        <v>1</v>
      </c>
      <c r="L138" s="40">
        <f t="shared" ca="1" si="117"/>
        <v>1</v>
      </c>
      <c r="M138" s="40">
        <f t="shared" ca="1" si="102"/>
        <v>1</v>
      </c>
      <c r="N138" s="40">
        <f t="shared" ca="1" si="103"/>
        <v>1</v>
      </c>
      <c r="O138" s="40">
        <f t="shared" ca="1" si="104"/>
        <v>0</v>
      </c>
      <c r="P138" s="42"/>
      <c r="Q138" s="31">
        <f t="shared" ca="1" si="105"/>
        <v>15681.508036697198</v>
      </c>
      <c r="R138" s="31">
        <f t="shared" ca="1" si="106"/>
        <v>25811.759020864665</v>
      </c>
      <c r="S138" s="31">
        <f t="shared" ca="1" si="107"/>
        <v>8072.1359283205529</v>
      </c>
      <c r="T138" s="31">
        <f t="shared" ca="1" si="108"/>
        <v>14896.492500956772</v>
      </c>
      <c r="U138" s="31">
        <f t="shared" ca="1" si="109"/>
        <v>5281.3761858833332</v>
      </c>
      <c r="V138" s="31">
        <f t="shared" ca="1" si="110"/>
        <v>20440.252508444391</v>
      </c>
      <c r="W138" s="31">
        <f t="shared" ca="1" si="111"/>
        <v>1021.4483732622906</v>
      </c>
      <c r="X138" s="31">
        <f t="shared" ca="1" si="112"/>
        <v>103490.62327503922</v>
      </c>
      <c r="Y138" s="31">
        <f t="shared" ca="1" si="113"/>
        <v>178438.21767036043</v>
      </c>
      <c r="Z138" s="31">
        <f t="shared" ca="1" si="114"/>
        <v>0</v>
      </c>
      <c r="AA138" s="44">
        <f t="shared" ca="1" si="115"/>
        <v>373133.81349982886</v>
      </c>
      <c r="AB138" s="165"/>
      <c r="AC138" s="95"/>
      <c r="AD138" s="95">
        <v>64</v>
      </c>
      <c r="AE138" s="95">
        <v>8891979.3439502716</v>
      </c>
      <c r="AF138" s="95">
        <v>5074223.5345320106</v>
      </c>
      <c r="AG138" s="95">
        <v>11279606.813156441</v>
      </c>
      <c r="AH138" s="95">
        <v>9372934.7690616548</v>
      </c>
      <c r="AI138" s="95">
        <v>-1834515.612760514</v>
      </c>
      <c r="AJ138" s="95">
        <v>-6550996.7855818719</v>
      </c>
      <c r="AK138" s="95">
        <v>3454894.6997021884</v>
      </c>
      <c r="AL138" s="95">
        <v>6660641.9176298529</v>
      </c>
      <c r="AM138" s="95">
        <v>-629412.01194164157</v>
      </c>
      <c r="AN138" s="95"/>
      <c r="AO138" s="95"/>
    </row>
    <row r="139" spans="1:41" ht="13.2">
      <c r="A139" s="33">
        <v>138</v>
      </c>
      <c r="B139" s="30">
        <v>40000</v>
      </c>
      <c r="C139" s="46"/>
      <c r="D139" s="35">
        <f t="shared" ca="1" si="95"/>
        <v>7.235717043793477E-2</v>
      </c>
      <c r="E139" s="38">
        <f t="shared" ca="1" si="116"/>
        <v>1</v>
      </c>
      <c r="F139" s="40">
        <f t="shared" ca="1" si="96"/>
        <v>1</v>
      </c>
      <c r="G139" s="40">
        <f t="shared" ca="1" si="97"/>
        <v>0</v>
      </c>
      <c r="H139" s="40">
        <f t="shared" ca="1" si="98"/>
        <v>0</v>
      </c>
      <c r="I139" s="40">
        <f t="shared" ca="1" si="99"/>
        <v>0</v>
      </c>
      <c r="J139" s="40">
        <f t="shared" ca="1" si="100"/>
        <v>0</v>
      </c>
      <c r="K139" s="40">
        <f t="shared" ca="1" si="101"/>
        <v>0</v>
      </c>
      <c r="L139" s="40">
        <f t="shared" ca="1" si="117"/>
        <v>0</v>
      </c>
      <c r="M139" s="40">
        <f t="shared" ca="1" si="102"/>
        <v>0</v>
      </c>
      <c r="N139" s="40">
        <f t="shared" ca="1" si="103"/>
        <v>0</v>
      </c>
      <c r="O139" s="40">
        <f t="shared" ca="1" si="104"/>
        <v>0</v>
      </c>
      <c r="P139" s="42"/>
      <c r="Q139" s="31">
        <f t="shared" ca="1" si="105"/>
        <v>68345.717027764869</v>
      </c>
      <c r="R139" s="31">
        <f t="shared" ca="1" si="106"/>
        <v>0</v>
      </c>
      <c r="S139" s="31">
        <f t="shared" ca="1" si="107"/>
        <v>0</v>
      </c>
      <c r="T139" s="31">
        <f t="shared" ca="1" si="108"/>
        <v>0</v>
      </c>
      <c r="U139" s="31">
        <f t="shared" ca="1" si="109"/>
        <v>0</v>
      </c>
      <c r="V139" s="31">
        <f t="shared" ca="1" si="110"/>
        <v>0</v>
      </c>
      <c r="W139" s="31">
        <f t="shared" ca="1" si="111"/>
        <v>0</v>
      </c>
      <c r="X139" s="31">
        <f t="shared" ca="1" si="112"/>
        <v>0</v>
      </c>
      <c r="Y139" s="31">
        <f t="shared" ca="1" si="113"/>
        <v>0</v>
      </c>
      <c r="Z139" s="31">
        <f t="shared" ca="1" si="114"/>
        <v>0</v>
      </c>
      <c r="AA139" s="44">
        <f t="shared" ca="1" si="115"/>
        <v>68345.717027764869</v>
      </c>
      <c r="AB139" s="165"/>
      <c r="AC139" s="95"/>
      <c r="AD139" s="95">
        <v>65</v>
      </c>
      <c r="AE139" s="95">
        <v>13165553.5797683</v>
      </c>
      <c r="AF139" s="95">
        <v>9157680.8459477127</v>
      </c>
      <c r="AG139" s="95">
        <v>1462808.4090342969</v>
      </c>
      <c r="AH139" s="95">
        <v>-13303.218814283609</v>
      </c>
      <c r="AI139" s="95">
        <v>6360586.1025238037</v>
      </c>
      <c r="AJ139" s="95">
        <v>-3482922.9243895113</v>
      </c>
      <c r="AK139" s="95">
        <v>7405862.9863905311</v>
      </c>
      <c r="AL139" s="95">
        <v>-2493842.9380863756</v>
      </c>
      <c r="AM139" s="95">
        <v>-5702576.2808655351</v>
      </c>
      <c r="AN139" s="95"/>
      <c r="AO139" s="95"/>
    </row>
    <row r="140" spans="1:41" ht="13.2">
      <c r="A140" s="33">
        <v>139</v>
      </c>
      <c r="B140" s="30">
        <v>40000</v>
      </c>
      <c r="C140" s="46"/>
      <c r="D140" s="35">
        <f t="shared" ca="1" si="95"/>
        <v>0.93890237274747712</v>
      </c>
      <c r="E140" s="38">
        <f t="shared" ca="1" si="116"/>
        <v>9</v>
      </c>
      <c r="F140" s="40">
        <f t="shared" ca="1" si="96"/>
        <v>1</v>
      </c>
      <c r="G140" s="40">
        <f t="shared" ca="1" si="97"/>
        <v>1</v>
      </c>
      <c r="H140" s="40">
        <f t="shared" ca="1" si="98"/>
        <v>1</v>
      </c>
      <c r="I140" s="40">
        <f t="shared" ca="1" si="99"/>
        <v>1</v>
      </c>
      <c r="J140" s="40">
        <f t="shared" ca="1" si="100"/>
        <v>1</v>
      </c>
      <c r="K140" s="40">
        <f t="shared" ca="1" si="101"/>
        <v>1</v>
      </c>
      <c r="L140" s="40">
        <f t="shared" ca="1" si="117"/>
        <v>1</v>
      </c>
      <c r="M140" s="40">
        <f t="shared" ca="1" si="102"/>
        <v>1</v>
      </c>
      <c r="N140" s="40">
        <f t="shared" ca="1" si="103"/>
        <v>1</v>
      </c>
      <c r="O140" s="40">
        <f t="shared" ca="1" si="104"/>
        <v>0</v>
      </c>
      <c r="P140" s="42"/>
      <c r="Q140" s="31">
        <f t="shared" ca="1" si="105"/>
        <v>9711.2124674994175</v>
      </c>
      <c r="R140" s="31">
        <f t="shared" ca="1" si="106"/>
        <v>12287.227526689652</v>
      </c>
      <c r="S140" s="31">
        <f t="shared" ca="1" si="107"/>
        <v>17588.928422553479</v>
      </c>
      <c r="T140" s="31">
        <f t="shared" ca="1" si="108"/>
        <v>7980.1131577471369</v>
      </c>
      <c r="U140" s="31">
        <f t="shared" ca="1" si="109"/>
        <v>59506.928225037846</v>
      </c>
      <c r="V140" s="31">
        <f t="shared" ca="1" si="110"/>
        <v>30151.46613338705</v>
      </c>
      <c r="W140" s="31">
        <f t="shared" ca="1" si="111"/>
        <v>38235.405287415444</v>
      </c>
      <c r="X140" s="31">
        <f t="shared" ca="1" si="112"/>
        <v>1535.4827490019966</v>
      </c>
      <c r="Y140" s="31">
        <f t="shared" ca="1" si="113"/>
        <v>4656.9549009213588</v>
      </c>
      <c r="Z140" s="31">
        <f t="shared" ca="1" si="114"/>
        <v>0</v>
      </c>
      <c r="AA140" s="44">
        <f t="shared" ca="1" si="115"/>
        <v>181653.71887025339</v>
      </c>
      <c r="AB140" s="165"/>
      <c r="AC140" s="95"/>
      <c r="AD140" s="95">
        <v>66</v>
      </c>
      <c r="AE140" s="95">
        <v>8939260.8124721348</v>
      </c>
      <c r="AF140" s="95">
        <v>2770656.4125184417</v>
      </c>
      <c r="AG140" s="95">
        <v>6494107.145668596</v>
      </c>
      <c r="AH140" s="95">
        <v>6243666.2349320948</v>
      </c>
      <c r="AI140" s="95">
        <v>11370598.300780028</v>
      </c>
      <c r="AJ140" s="95">
        <v>13129749.678509861</v>
      </c>
      <c r="AK140" s="95">
        <v>-480226.08923910558</v>
      </c>
      <c r="AL140" s="95">
        <v>1444625.518307969</v>
      </c>
      <c r="AM140" s="95">
        <v>695661.02373999357</v>
      </c>
      <c r="AN140" s="95"/>
      <c r="AO140" s="95"/>
    </row>
    <row r="141" spans="1:41" ht="13.2">
      <c r="A141" s="33">
        <v>140</v>
      </c>
      <c r="B141" s="30">
        <v>40000</v>
      </c>
      <c r="C141" s="46"/>
      <c r="D141" s="35">
        <f t="shared" ca="1" si="95"/>
        <v>0.39572583692187491</v>
      </c>
      <c r="E141" s="38">
        <f t="shared" ca="1" si="116"/>
        <v>3</v>
      </c>
      <c r="F141" s="40">
        <f t="shared" ca="1" si="96"/>
        <v>1</v>
      </c>
      <c r="G141" s="40">
        <f t="shared" ca="1" si="97"/>
        <v>1</v>
      </c>
      <c r="H141" s="40">
        <f t="shared" ca="1" si="98"/>
        <v>1</v>
      </c>
      <c r="I141" s="40">
        <f t="shared" ca="1" si="99"/>
        <v>0</v>
      </c>
      <c r="J141" s="40">
        <f t="shared" ca="1" si="100"/>
        <v>0</v>
      </c>
      <c r="K141" s="40">
        <f t="shared" ca="1" si="101"/>
        <v>0</v>
      </c>
      <c r="L141" s="40">
        <f t="shared" ca="1" si="117"/>
        <v>0</v>
      </c>
      <c r="M141" s="40">
        <f t="shared" ca="1" si="102"/>
        <v>0</v>
      </c>
      <c r="N141" s="40">
        <f t="shared" ca="1" si="103"/>
        <v>0</v>
      </c>
      <c r="O141" s="40">
        <f t="shared" ca="1" si="104"/>
        <v>0</v>
      </c>
      <c r="P141" s="42"/>
      <c r="Q141" s="31">
        <f t="shared" ca="1" si="105"/>
        <v>13683.646117849035</v>
      </c>
      <c r="R141" s="31">
        <f t="shared" ca="1" si="106"/>
        <v>75097.918667146267</v>
      </c>
      <c r="S141" s="31">
        <f t="shared" ca="1" si="107"/>
        <v>31701.279120688923</v>
      </c>
      <c r="T141" s="31">
        <f t="shared" ca="1" si="108"/>
        <v>0</v>
      </c>
      <c r="U141" s="31">
        <f t="shared" ca="1" si="109"/>
        <v>0</v>
      </c>
      <c r="V141" s="31">
        <f t="shared" ca="1" si="110"/>
        <v>0</v>
      </c>
      <c r="W141" s="31">
        <f t="shared" ca="1" si="111"/>
        <v>0</v>
      </c>
      <c r="X141" s="31">
        <f t="shared" ca="1" si="112"/>
        <v>0</v>
      </c>
      <c r="Y141" s="31">
        <f t="shared" ca="1" si="113"/>
        <v>0</v>
      </c>
      <c r="Z141" s="31">
        <f t="shared" ca="1" si="114"/>
        <v>0</v>
      </c>
      <c r="AA141" s="44">
        <f t="shared" ca="1" si="115"/>
        <v>120482.84390568423</v>
      </c>
      <c r="AB141" s="165"/>
      <c r="AC141" s="95"/>
      <c r="AD141" s="95">
        <v>67</v>
      </c>
      <c r="AE141" s="95">
        <v>1937765.9196715653</v>
      </c>
      <c r="AF141" s="95">
        <v>4376930.7075002939</v>
      </c>
      <c r="AG141" s="95">
        <v>8263926.8497918248</v>
      </c>
      <c r="AH141" s="95">
        <v>2983753.0044552982</v>
      </c>
      <c r="AI141" s="95">
        <v>7092296.8856054991</v>
      </c>
      <c r="AJ141" s="95">
        <v>-1205089.2517564744</v>
      </c>
      <c r="AK141" s="95">
        <v>4920982.5179228634</v>
      </c>
      <c r="AL141" s="95">
        <v>-2397626.559048146</v>
      </c>
      <c r="AM141" s="95">
        <v>4450615.0552687943</v>
      </c>
      <c r="AN141" s="95"/>
      <c r="AO141" s="95"/>
    </row>
    <row r="142" spans="1:41" ht="15.75" customHeight="1">
      <c r="AD142" s="95">
        <v>68</v>
      </c>
      <c r="AE142" s="36">
        <v>5092928.1555727124</v>
      </c>
      <c r="AF142" s="36">
        <v>-1957225.7352138162</v>
      </c>
      <c r="AG142" s="36">
        <v>3301343.6451891363</v>
      </c>
      <c r="AH142" s="36">
        <v>11246422.763917789</v>
      </c>
      <c r="AI142" s="36">
        <v>-4434287.0206030905</v>
      </c>
      <c r="AJ142" s="36">
        <v>5534321.5002792031</v>
      </c>
      <c r="AK142" s="36">
        <v>1364377.2029070705</v>
      </c>
      <c r="AL142" s="36">
        <v>3806528.162696436</v>
      </c>
      <c r="AM142" s="36">
        <v>5573099.1762553304</v>
      </c>
    </row>
    <row r="143" spans="1:41" ht="15.75" customHeight="1">
      <c r="AD143" s="95">
        <v>69</v>
      </c>
      <c r="AE143" s="36">
        <v>4635007.2160185575</v>
      </c>
      <c r="AF143" s="36">
        <v>5215065.4646254778</v>
      </c>
      <c r="AG143" s="36">
        <v>-5670475.0140095949</v>
      </c>
      <c r="AH143" s="36">
        <v>-948871.22381602228</v>
      </c>
      <c r="AI143" s="36">
        <v>6507397.1479989588</v>
      </c>
      <c r="AJ143" s="36">
        <v>2215592.5664876699</v>
      </c>
      <c r="AK143" s="36">
        <v>680404.24192455411</v>
      </c>
      <c r="AL143" s="36">
        <v>-1604502.5828582495</v>
      </c>
      <c r="AM143" s="36">
        <v>-4720827.4683482647</v>
      </c>
    </row>
    <row r="144" spans="1:41" ht="15.75" customHeight="1">
      <c r="AD144" s="95">
        <v>70</v>
      </c>
      <c r="AE144" s="36">
        <v>8838741.6674644202</v>
      </c>
      <c r="AF144" s="36">
        <v>7302990.0885580033</v>
      </c>
      <c r="AG144" s="36">
        <v>14209379.069782585</v>
      </c>
      <c r="AH144" s="36">
        <v>9338292.0676757097</v>
      </c>
      <c r="AI144" s="36">
        <v>-3858471.831750989</v>
      </c>
      <c r="AJ144" s="36">
        <v>-7881549.8479840457</v>
      </c>
      <c r="AK144" s="36">
        <v>15951980.077934861</v>
      </c>
      <c r="AL144" s="36">
        <v>-1432739.7415154874</v>
      </c>
      <c r="AM144" s="36">
        <v>-835502.30155827105</v>
      </c>
    </row>
    <row r="145" spans="30:39" ht="15.75" customHeight="1">
      <c r="AD145" s="95">
        <v>71</v>
      </c>
      <c r="AE145" s="36">
        <v>1654316.5366476476</v>
      </c>
      <c r="AF145" s="36">
        <v>6856665.9381383061</v>
      </c>
      <c r="AG145" s="36">
        <v>-1809902.2479284555</v>
      </c>
      <c r="AH145" s="36">
        <v>9887321.2304519415</v>
      </c>
      <c r="AI145" s="36">
        <v>4122127.7541038692</v>
      </c>
      <c r="AJ145" s="36">
        <v>8360130.3355689496</v>
      </c>
      <c r="AK145" s="36">
        <v>10385674.009843141</v>
      </c>
      <c r="AL145" s="36">
        <v>-707642.78589528799</v>
      </c>
      <c r="AM145" s="36">
        <v>-11752334.536064804</v>
      </c>
    </row>
    <row r="146" spans="30:39" ht="15.75" customHeight="1">
      <c r="AD146" s="95">
        <v>72</v>
      </c>
      <c r="AE146" s="36">
        <v>4781192.3454064876</v>
      </c>
      <c r="AF146" s="36">
        <v>4797263.8952881545</v>
      </c>
      <c r="AG146" s="36">
        <v>9370357.7746213526</v>
      </c>
      <c r="AH146" s="36">
        <v>402286.44536180794</v>
      </c>
      <c r="AI146" s="36">
        <v>-1106225.5466063172</v>
      </c>
      <c r="AJ146" s="36">
        <v>8754411.6578374803</v>
      </c>
      <c r="AK146" s="36">
        <v>931135.7144035697</v>
      </c>
      <c r="AL146" s="36">
        <v>-5679102.7921925783</v>
      </c>
      <c r="AM146" s="36">
        <v>3787314.2048603743</v>
      </c>
    </row>
    <row r="147" spans="30:39" ht="15.75" customHeight="1">
      <c r="AD147" s="95">
        <v>73</v>
      </c>
      <c r="AE147" s="36">
        <v>10285756.588865101</v>
      </c>
      <c r="AF147" s="36">
        <v>1322090.2657355666</v>
      </c>
      <c r="AG147" s="36">
        <v>5625611.9069103152</v>
      </c>
      <c r="AH147" s="36">
        <v>12975677.732033014</v>
      </c>
      <c r="AI147" s="36">
        <v>5912314.1497373432</v>
      </c>
      <c r="AJ147" s="36">
        <v>-1071450.2615460008</v>
      </c>
      <c r="AK147" s="36">
        <v>-544331.48774401844</v>
      </c>
      <c r="AL147" s="36">
        <v>-317463.41003200412</v>
      </c>
      <c r="AM147" s="36">
        <v>-991170.82539528608</v>
      </c>
    </row>
    <row r="148" spans="30:39" ht="15.75" customHeight="1">
      <c r="AD148" s="95">
        <v>74</v>
      </c>
      <c r="AE148" s="36">
        <v>3348401.9070656002</v>
      </c>
      <c r="AF148" s="36">
        <v>3470103.6583759934</v>
      </c>
      <c r="AG148" s="36">
        <v>1127669.9196441174</v>
      </c>
      <c r="AH148" s="36">
        <v>11580608.204631031</v>
      </c>
      <c r="AI148" s="36">
        <v>14401971.803886831</v>
      </c>
      <c r="AJ148" s="36">
        <v>-449924.65520393848</v>
      </c>
      <c r="AK148" s="36">
        <v>-3037491.8245949596</v>
      </c>
      <c r="AL148" s="36">
        <v>-13789264.479765445</v>
      </c>
      <c r="AM148" s="36">
        <v>1226168.1150280386</v>
      </c>
    </row>
    <row r="149" spans="30:39" ht="15.75" customHeight="1">
      <c r="AD149" s="95">
        <v>75</v>
      </c>
      <c r="AE149" s="36">
        <v>8485047.5087456405</v>
      </c>
      <c r="AF149" s="36">
        <v>11311605.650620043</v>
      </c>
      <c r="AG149" s="36">
        <v>13429388.559859753</v>
      </c>
      <c r="AH149" s="36">
        <v>6193505.1793841124</v>
      </c>
      <c r="AI149" s="36">
        <v>5322830.6437937021</v>
      </c>
      <c r="AJ149" s="36">
        <v>-368497.59901426733</v>
      </c>
      <c r="AK149" s="36">
        <v>10191752.548842907</v>
      </c>
      <c r="AL149" s="36">
        <v>5614507.2103743851</v>
      </c>
      <c r="AM149" s="36">
        <v>2344943.3199009895</v>
      </c>
    </row>
    <row r="150" spans="30:39" ht="15.75" customHeight="1">
      <c r="AD150" s="95">
        <v>76</v>
      </c>
      <c r="AE150" s="36">
        <v>18460717.94805932</v>
      </c>
      <c r="AF150" s="36">
        <v>12254366.73300381</v>
      </c>
      <c r="AG150" s="36">
        <v>4905291.3093586564</v>
      </c>
      <c r="AH150" s="36">
        <v>3058527.6132896841</v>
      </c>
      <c r="AI150" s="36">
        <v>2330608.4588295519</v>
      </c>
      <c r="AJ150" s="36">
        <v>-1610982.2131156921</v>
      </c>
      <c r="AK150" s="36">
        <v>-195861.90113803744</v>
      </c>
      <c r="AL150" s="36">
        <v>3156256.7613108158</v>
      </c>
      <c r="AM150" s="36">
        <v>-3955790.0685398579</v>
      </c>
    </row>
    <row r="151" spans="30:39" ht="15.75" customHeight="1">
      <c r="AD151" s="95">
        <v>77</v>
      </c>
      <c r="AE151" s="36">
        <v>-2722697.7889147252</v>
      </c>
      <c r="AF151" s="36">
        <v>5017293.390683502</v>
      </c>
      <c r="AG151" s="36">
        <v>6442415.1013948917</v>
      </c>
      <c r="AH151" s="36">
        <v>6673513.9850895256</v>
      </c>
      <c r="AI151" s="36">
        <v>-124201.46098574996</v>
      </c>
      <c r="AJ151" s="36">
        <v>-3704494.7796730846</v>
      </c>
      <c r="AK151" s="36">
        <v>1901461.6886788309</v>
      </c>
      <c r="AL151" s="36">
        <v>1670534.2312854826</v>
      </c>
      <c r="AM151" s="36">
        <v>-10411134.569618031</v>
      </c>
    </row>
    <row r="152" spans="30:39" ht="15.75" customHeight="1">
      <c r="AD152" s="95">
        <v>78</v>
      </c>
      <c r="AE152" s="36">
        <v>989131.14217679203</v>
      </c>
      <c r="AF152" s="36">
        <v>6671183.1317173839</v>
      </c>
      <c r="AG152" s="36">
        <v>12961729.881744415</v>
      </c>
      <c r="AH152" s="36">
        <v>4036717.0436608493</v>
      </c>
      <c r="AI152" s="36">
        <v>3781775.5096300393</v>
      </c>
      <c r="AJ152" s="36">
        <v>776911.06533151865</v>
      </c>
      <c r="AK152" s="36">
        <v>3240144.0674086064</v>
      </c>
      <c r="AL152" s="36">
        <v>-9251920.6262579858</v>
      </c>
      <c r="AM152" s="36">
        <v>4465136.3922575116</v>
      </c>
    </row>
    <row r="153" spans="30:39" ht="15.75" customHeight="1">
      <c r="AD153" s="95">
        <v>79</v>
      </c>
      <c r="AE153" s="36">
        <v>12930082.265410572</v>
      </c>
      <c r="AF153" s="36">
        <v>16102971.059685051</v>
      </c>
      <c r="AG153" s="36">
        <v>-4918440.7892144322</v>
      </c>
      <c r="AH153" s="36">
        <v>7671498.329304859</v>
      </c>
      <c r="AI153" s="36">
        <v>-456445.55273064971</v>
      </c>
      <c r="AJ153" s="36">
        <v>906619.05509920418</v>
      </c>
      <c r="AK153" s="36">
        <v>-1748272.927971974</v>
      </c>
      <c r="AL153" s="36">
        <v>3740952.9419002831</v>
      </c>
      <c r="AM153" s="36">
        <v>4681474.1451935768</v>
      </c>
    </row>
    <row r="154" spans="30:39" ht="15.75" customHeight="1">
      <c r="AD154" s="95">
        <v>80</v>
      </c>
      <c r="AE154" s="36">
        <v>16398441.323102057</v>
      </c>
      <c r="AF154" s="36">
        <v>9726600.4214332104</v>
      </c>
      <c r="AG154" s="36">
        <v>8015690.8292096853</v>
      </c>
      <c r="AH154" s="36">
        <v>9571781.3554890156</v>
      </c>
      <c r="AI154" s="36">
        <v>1814242.5956296027</v>
      </c>
      <c r="AJ154" s="36">
        <v>-2782795.1650103927</v>
      </c>
      <c r="AK154" s="36">
        <v>9820147.7114555538</v>
      </c>
      <c r="AL154" s="36">
        <v>-226109.46050807834</v>
      </c>
      <c r="AM154" s="36">
        <v>-16002775.324030474</v>
      </c>
    </row>
    <row r="155" spans="30:39" ht="15.75" customHeight="1">
      <c r="AD155" s="95">
        <v>81</v>
      </c>
      <c r="AE155" s="36">
        <v>6002265.6513694078</v>
      </c>
      <c r="AF155" s="36">
        <v>6567735.4971511066</v>
      </c>
      <c r="AG155" s="36">
        <v>4396784.2360407114</v>
      </c>
      <c r="AH155" s="36">
        <v>4552372.0361796618</v>
      </c>
      <c r="AI155" s="36">
        <v>2551260.1691870391</v>
      </c>
      <c r="AJ155" s="36">
        <v>10111578.830648303</v>
      </c>
      <c r="AK155" s="36">
        <v>666936.56661605835</v>
      </c>
      <c r="AL155" s="36">
        <v>-8513387.6771802455</v>
      </c>
      <c r="AM155" s="36">
        <v>2455871.0127926171</v>
      </c>
    </row>
    <row r="156" spans="30:39" ht="15.75" customHeight="1">
      <c r="AD156" s="95">
        <v>82</v>
      </c>
      <c r="AE156" s="36">
        <v>3402139.2179363221</v>
      </c>
      <c r="AF156" s="36">
        <v>12070171.909497768</v>
      </c>
      <c r="AG156" s="36">
        <v>9434291.8967734575</v>
      </c>
      <c r="AH156" s="36">
        <v>6844468.1040697396</v>
      </c>
      <c r="AI156" s="36">
        <v>10698869.897705734</v>
      </c>
      <c r="AJ156" s="36">
        <v>11135773.324852556</v>
      </c>
      <c r="AK156" s="36">
        <v>-5040230.8423926234</v>
      </c>
      <c r="AL156" s="36">
        <v>1969566.4145491123</v>
      </c>
      <c r="AM156" s="36">
        <v>-4683103.4441053271</v>
      </c>
    </row>
    <row r="157" spans="30:39" ht="15.75" customHeight="1">
      <c r="AD157" s="95">
        <v>83</v>
      </c>
      <c r="AE157" s="36">
        <v>13325936.066137671</v>
      </c>
      <c r="AF157" s="36">
        <v>6793204.5394709706</v>
      </c>
      <c r="AG157" s="36">
        <v>4700983.9922005087</v>
      </c>
      <c r="AH157" s="36">
        <v>9506935.8157299161</v>
      </c>
      <c r="AI157" s="36">
        <v>10582009.693583757</v>
      </c>
      <c r="AJ157" s="36">
        <v>7759012.3367849141</v>
      </c>
      <c r="AK157" s="36">
        <v>-117232.54417333007</v>
      </c>
      <c r="AL157" s="36">
        <v>-306405.90125399828</v>
      </c>
      <c r="AM157" s="36">
        <v>-7430759.1111313999</v>
      </c>
    </row>
    <row r="158" spans="30:39" ht="15.75" customHeight="1">
      <c r="AD158" s="95">
        <v>84</v>
      </c>
      <c r="AE158" s="36">
        <v>19178767.746990055</v>
      </c>
      <c r="AF158" s="36">
        <v>5573624.7446206659</v>
      </c>
      <c r="AG158" s="36">
        <v>3674077.3525731564</v>
      </c>
      <c r="AH158" s="36">
        <v>14411568.391933605</v>
      </c>
      <c r="AI158" s="36">
        <v>-13116.860230788589</v>
      </c>
      <c r="AJ158" s="36">
        <v>8921082.0740128309</v>
      </c>
      <c r="AK158" s="36">
        <v>7257085.0347296745</v>
      </c>
      <c r="AL158" s="36">
        <v>-2922636.3637772501</v>
      </c>
      <c r="AM158" s="36">
        <v>-1634579.2609612495</v>
      </c>
    </row>
    <row r="159" spans="30:39" ht="15.75" customHeight="1">
      <c r="AD159" s="95">
        <v>85</v>
      </c>
      <c r="AE159" s="36">
        <v>3103594.1084533632</v>
      </c>
      <c r="AF159" s="36">
        <v>3331664.4187024683</v>
      </c>
      <c r="AG159" s="36">
        <v>5766065.0432834327</v>
      </c>
      <c r="AH159" s="36">
        <v>5090550.7452893108</v>
      </c>
      <c r="AI159" s="36">
        <v>1128651.253868252</v>
      </c>
      <c r="AJ159" s="36">
        <v>-3547217.2290765047</v>
      </c>
      <c r="AK159" s="36">
        <v>3153914.7955393344</v>
      </c>
      <c r="AL159" s="36">
        <v>-7498033.8297013044</v>
      </c>
      <c r="AM159" s="36">
        <v>-7378737.0636015981</v>
      </c>
    </row>
    <row r="160" spans="30:39" ht="15.75" customHeight="1">
      <c r="AD160" s="95">
        <v>86</v>
      </c>
      <c r="AE160" s="36">
        <v>13786902.009346515</v>
      </c>
      <c r="AF160" s="36">
        <v>14659433.664515689</v>
      </c>
      <c r="AG160" s="36">
        <v>654700.63188114762</v>
      </c>
      <c r="AH160" s="36">
        <v>10775509.188921243</v>
      </c>
      <c r="AI160" s="36">
        <v>893538.46095575392</v>
      </c>
      <c r="AJ160" s="36">
        <v>3367945.172941491</v>
      </c>
      <c r="AK160" s="36">
        <v>4074913.5227457881</v>
      </c>
      <c r="AL160" s="36">
        <v>-1133409.1029577255</v>
      </c>
      <c r="AM160" s="36">
        <v>-4505290.7984215468</v>
      </c>
    </row>
    <row r="161" spans="30:39" ht="15.75" customHeight="1">
      <c r="AD161" s="95">
        <v>87</v>
      </c>
      <c r="AE161" s="36">
        <v>5516654.0535339415</v>
      </c>
      <c r="AF161" s="36">
        <v>6250148.5223125964</v>
      </c>
      <c r="AG161" s="36">
        <v>11856619.697795093</v>
      </c>
      <c r="AH161" s="36">
        <v>9123605.6728861928</v>
      </c>
      <c r="AI161" s="36">
        <v>4571281.1715188324</v>
      </c>
      <c r="AJ161" s="36">
        <v>1163998.7070890963</v>
      </c>
      <c r="AK161" s="36">
        <v>-5862475.7314561605</v>
      </c>
      <c r="AL161" s="36">
        <v>-4615801.3257180154</v>
      </c>
      <c r="AM161" s="36">
        <v>1972077.3805064261</v>
      </c>
    </row>
    <row r="162" spans="30:39" ht="15.75" customHeight="1">
      <c r="AD162" s="95">
        <v>88</v>
      </c>
      <c r="AE162" s="36">
        <v>16017329.090699568</v>
      </c>
      <c r="AF162" s="36">
        <v>9796240.8343675882</v>
      </c>
      <c r="AG162" s="36">
        <v>-1793692.4580171704</v>
      </c>
      <c r="AH162" s="36">
        <v>3250136.694026649</v>
      </c>
      <c r="AI162" s="36">
        <v>3618137.0661760867</v>
      </c>
      <c r="AJ162" s="36">
        <v>-7112572.5801748633</v>
      </c>
      <c r="AK162" s="36">
        <v>15658868.687859088</v>
      </c>
      <c r="AL162" s="36">
        <v>7559608.5083748698</v>
      </c>
      <c r="AM162" s="36">
        <v>4128278.0485159755</v>
      </c>
    </row>
    <row r="163" spans="30:39" ht="15.75" customHeight="1">
      <c r="AD163" s="95">
        <v>89</v>
      </c>
      <c r="AE163" s="36">
        <v>6621911.9360023588</v>
      </c>
      <c r="AF163" s="36">
        <v>624048.38673883677</v>
      </c>
      <c r="AG163" s="36">
        <v>16126722.035284743</v>
      </c>
      <c r="AH163" s="36">
        <v>3535267.8486848027</v>
      </c>
      <c r="AI163" s="36">
        <v>11001313.302633837</v>
      </c>
      <c r="AJ163" s="36">
        <v>-3406117.2871512175</v>
      </c>
      <c r="AK163" s="36">
        <v>9232025.1970953792</v>
      </c>
      <c r="AL163" s="36">
        <v>-11558542.681404591</v>
      </c>
      <c r="AM163" s="36">
        <v>-8857269.4278675914</v>
      </c>
    </row>
    <row r="164" spans="30:39" ht="15.75" customHeight="1">
      <c r="AD164" s="95">
        <v>90</v>
      </c>
      <c r="AE164" s="36">
        <v>-1908356.617832154</v>
      </c>
      <c r="AF164" s="36">
        <v>12370354.866688505</v>
      </c>
      <c r="AG164" s="36">
        <v>-2143922.2808969617</v>
      </c>
      <c r="AH164" s="36">
        <v>8878856.1279752553</v>
      </c>
      <c r="AI164" s="36">
        <v>-7152307.1776714921</v>
      </c>
      <c r="AJ164" s="36">
        <v>651801.62308122218</v>
      </c>
      <c r="AK164" s="36">
        <v>4488695.6486423016</v>
      </c>
      <c r="AL164" s="36">
        <v>6769792.7167639881</v>
      </c>
      <c r="AM164" s="36">
        <v>-3365304.2724429816</v>
      </c>
    </row>
    <row r="165" spans="30:39" ht="15.75" customHeight="1">
      <c r="AD165" s="95">
        <v>91</v>
      </c>
      <c r="AE165" s="36">
        <v>8193597.796517536</v>
      </c>
      <c r="AF165" s="36">
        <v>4342993.2357262522</v>
      </c>
      <c r="AG165" s="36">
        <v>11363279.269535244</v>
      </c>
      <c r="AH165" s="36">
        <v>7793233.9971398264</v>
      </c>
      <c r="AI165" s="36">
        <v>1686926.4128654301</v>
      </c>
      <c r="AJ165" s="36">
        <v>3838977.0784924924</v>
      </c>
      <c r="AK165" s="36">
        <v>1953409.9281378537</v>
      </c>
      <c r="AL165" s="36">
        <v>-289581.14098498225</v>
      </c>
      <c r="AM165" s="36">
        <v>-6141293.6440344602</v>
      </c>
    </row>
    <row r="166" spans="30:39" ht="15.75" customHeight="1">
      <c r="AD166" s="95">
        <v>92</v>
      </c>
      <c r="AE166" s="36">
        <v>13976506.612143472</v>
      </c>
      <c r="AF166" s="36">
        <v>9919584.5279396623</v>
      </c>
      <c r="AG166" s="36">
        <v>-1933242.8581846505</v>
      </c>
      <c r="AH166" s="36">
        <v>2002468.7841967344</v>
      </c>
      <c r="AI166" s="36">
        <v>8924716.2665844262</v>
      </c>
      <c r="AJ166" s="36">
        <v>-5259048.8403173983</v>
      </c>
      <c r="AK166" s="36">
        <v>-7513075.4250760525</v>
      </c>
      <c r="AL166" s="36">
        <v>3630793.5527042598</v>
      </c>
      <c r="AM166" s="36">
        <v>5091817.3176675141</v>
      </c>
    </row>
    <row r="167" spans="30:39" ht="15.75" customHeight="1">
      <c r="AD167" s="95">
        <v>93</v>
      </c>
      <c r="AE167" s="36">
        <v>3557973.5522065461</v>
      </c>
      <c r="AF167" s="36">
        <v>2534895.7044439465</v>
      </c>
      <c r="AG167" s="36">
        <v>4906412.5463992059</v>
      </c>
      <c r="AH167" s="36">
        <v>1611996.4668517858</v>
      </c>
      <c r="AI167" s="36">
        <v>14047508.84505555</v>
      </c>
      <c r="AJ167" s="36">
        <v>2999703.8224543333</v>
      </c>
      <c r="AK167" s="36">
        <v>2360955.065114677</v>
      </c>
      <c r="AL167" s="36">
        <v>-3573721.1688113064</v>
      </c>
      <c r="AM167" s="36">
        <v>346612.09522679448</v>
      </c>
    </row>
    <row r="168" spans="30:39" ht="15.75" customHeight="1">
      <c r="AD168" s="95">
        <v>94</v>
      </c>
      <c r="AE168" s="36">
        <v>8734358.486948505</v>
      </c>
      <c r="AF168" s="36">
        <v>11043629.844368249</v>
      </c>
      <c r="AG168" s="36">
        <v>12317753.282082096</v>
      </c>
      <c r="AH168" s="36">
        <v>-6415603.8733560741</v>
      </c>
      <c r="AI168" s="36">
        <v>636550.11784651875</v>
      </c>
      <c r="AJ168" s="36">
        <v>1089565.9245816469</v>
      </c>
      <c r="AK168" s="36">
        <v>10420508.300922096</v>
      </c>
      <c r="AL168" s="36">
        <v>-6851094.2593632191</v>
      </c>
      <c r="AM168" s="36">
        <v>1751769.5228553712</v>
      </c>
    </row>
    <row r="169" spans="30:39" ht="15.75" customHeight="1">
      <c r="AD169" s="95">
        <v>95</v>
      </c>
      <c r="AE169" s="36">
        <v>3205865.1361538619</v>
      </c>
      <c r="AF169" s="36">
        <v>1811797.4655870348</v>
      </c>
      <c r="AG169" s="36">
        <v>788769.91810271144</v>
      </c>
      <c r="AH169" s="36">
        <v>4583656.3876120597</v>
      </c>
      <c r="AI169" s="36">
        <v>52914.351552605629</v>
      </c>
      <c r="AJ169" s="36">
        <v>-1617220.5607668757</v>
      </c>
      <c r="AK169" s="36">
        <v>2607847.0504887998</v>
      </c>
      <c r="AL169" s="36">
        <v>8854061.1853591502</v>
      </c>
      <c r="AM169" s="36">
        <v>3105983.2498640865</v>
      </c>
    </row>
    <row r="170" spans="30:39" ht="15.75" customHeight="1">
      <c r="AD170" s="95">
        <v>96</v>
      </c>
      <c r="AE170" s="36">
        <v>7384203.74125126</v>
      </c>
      <c r="AF170" s="36">
        <v>-4162329.2294699848</v>
      </c>
      <c r="AG170" s="36">
        <v>4166132.2313627899</v>
      </c>
      <c r="AH170" s="36">
        <v>-4387534.9979096055</v>
      </c>
      <c r="AI170" s="36">
        <v>5450379.5254629552</v>
      </c>
      <c r="AJ170" s="36">
        <v>4603655.1495283097</v>
      </c>
      <c r="AK170" s="36">
        <v>3359571.3472571373</v>
      </c>
      <c r="AL170" s="36">
        <v>-13424182.017955244</v>
      </c>
      <c r="AM170" s="36">
        <v>3468180.1454112381</v>
      </c>
    </row>
    <row r="171" spans="30:39" ht="15.75" customHeight="1">
      <c r="AD171" s="95">
        <v>97</v>
      </c>
      <c r="AE171" s="36">
        <v>13243815.724623635</v>
      </c>
      <c r="AF171" s="36">
        <v>14871733.978302568</v>
      </c>
      <c r="AG171" s="36">
        <v>6306053.0997142792</v>
      </c>
      <c r="AH171" s="36">
        <v>4605824.2096286863</v>
      </c>
      <c r="AI171" s="36">
        <v>-2073706.4439797401</v>
      </c>
      <c r="AJ171" s="36">
        <v>7333765.5004670322</v>
      </c>
      <c r="AK171" s="36">
        <v>-4416772.7191015482</v>
      </c>
      <c r="AL171" s="36">
        <v>-3730002.2549787462</v>
      </c>
      <c r="AM171" s="36">
        <v>-4588067.3723141551</v>
      </c>
    </row>
    <row r="172" spans="30:39" ht="15.75" customHeight="1">
      <c r="AD172" s="95">
        <v>98</v>
      </c>
      <c r="AE172" s="36">
        <v>9014401.253589347</v>
      </c>
      <c r="AF172" s="36">
        <v>7343661.7542175651</v>
      </c>
      <c r="AG172" s="36">
        <v>2694514.4309381694</v>
      </c>
      <c r="AH172" s="36">
        <v>-362039.96780247986</v>
      </c>
      <c r="AI172" s="36">
        <v>7224179.0380637944</v>
      </c>
      <c r="AJ172" s="36">
        <v>940295.99232646823</v>
      </c>
      <c r="AK172" s="36">
        <v>584233.15711843967</v>
      </c>
      <c r="AL172" s="36">
        <v>-2454119.5202420503</v>
      </c>
      <c r="AM172" s="36">
        <v>-4314863.916063875</v>
      </c>
    </row>
    <row r="173" spans="30:39" ht="15.75" customHeight="1">
      <c r="AD173" s="95">
        <v>99</v>
      </c>
      <c r="AE173" s="36">
        <v>5792098.5651527047</v>
      </c>
      <c r="AF173" s="36">
        <v>2554369.6658414304</v>
      </c>
      <c r="AG173" s="36">
        <v>7250361.5779035389</v>
      </c>
      <c r="AH173" s="36">
        <v>2015957.5559764504</v>
      </c>
      <c r="AI173" s="36">
        <v>5377888.903213799</v>
      </c>
      <c r="AJ173" s="36">
        <v>2869824.8736753762</v>
      </c>
      <c r="AK173" s="36">
        <v>1086406.5524237454</v>
      </c>
      <c r="AL173" s="36">
        <v>-590874.08606258035</v>
      </c>
      <c r="AM173" s="36">
        <v>2399497.9237807095</v>
      </c>
    </row>
    <row r="174" spans="30:39" ht="15.75" customHeight="1">
      <c r="AD174" s="95">
        <v>100</v>
      </c>
      <c r="AE174" s="36">
        <v>13738748.670961022</v>
      </c>
      <c r="AF174" s="36">
        <v>6072620.7643851191</v>
      </c>
      <c r="AG174" s="36">
        <v>4421728.6488018334</v>
      </c>
      <c r="AH174" s="36">
        <v>-1331461.3522575647</v>
      </c>
      <c r="AI174" s="36">
        <v>10624036.2509204</v>
      </c>
      <c r="AJ174" s="36">
        <v>2149520.2629012764</v>
      </c>
      <c r="AK174" s="36">
        <v>-6870155.9814911932</v>
      </c>
      <c r="AL174" s="36">
        <v>-10025319.520325884</v>
      </c>
      <c r="AM174" s="36">
        <v>-8359104.9767726958</v>
      </c>
    </row>
    <row r="175" spans="30:39" ht="15.75" customHeight="1">
      <c r="AD175" s="95">
        <v>101</v>
      </c>
      <c r="AE175" s="36">
        <v>14318740.727189884</v>
      </c>
      <c r="AF175" s="36">
        <v>291768.48378096521</v>
      </c>
      <c r="AG175" s="36">
        <v>8845382.4658595771</v>
      </c>
      <c r="AH175" s="36">
        <v>6834752.9127978981</v>
      </c>
      <c r="AI175" s="36">
        <v>7211208.091401875</v>
      </c>
      <c r="AJ175" s="36">
        <v>-2294495.3566657007</v>
      </c>
      <c r="AK175" s="36">
        <v>-6662495.1377946436</v>
      </c>
      <c r="AL175" s="36">
        <v>-1282354.7447481155</v>
      </c>
      <c r="AM175" s="36">
        <v>-785088.23451974988</v>
      </c>
    </row>
    <row r="176" spans="30:39" ht="15.75" customHeight="1">
      <c r="AD176" s="95">
        <v>102</v>
      </c>
      <c r="AE176" s="36">
        <v>5638754.6329564154</v>
      </c>
      <c r="AF176" s="36">
        <v>641951.52472552657</v>
      </c>
      <c r="AG176" s="36">
        <v>1874629.8833080679</v>
      </c>
      <c r="AH176" s="36">
        <v>4348184.3018390834</v>
      </c>
      <c r="AI176" s="36">
        <v>6068436.2215266377</v>
      </c>
      <c r="AJ176" s="36">
        <v>4631824.5861817747</v>
      </c>
      <c r="AK176" s="36">
        <v>-4909078.1161123812</v>
      </c>
      <c r="AL176" s="36">
        <v>2229581.8913002908</v>
      </c>
      <c r="AM176" s="36">
        <v>1729108.2328292578</v>
      </c>
    </row>
    <row r="177" spans="30:39" ht="15.75" customHeight="1">
      <c r="AD177" s="95">
        <v>103</v>
      </c>
      <c r="AE177" s="36">
        <v>8334021.5989693105</v>
      </c>
      <c r="AF177" s="36">
        <v>13027771.510971501</v>
      </c>
      <c r="AG177" s="36">
        <v>6263461.5204193294</v>
      </c>
      <c r="AH177" s="36">
        <v>-168420.24182699621</v>
      </c>
      <c r="AI177" s="36">
        <v>-2716585.4616401047</v>
      </c>
      <c r="AJ177" s="36">
        <v>-4421526.9883758128</v>
      </c>
      <c r="AK177" s="36">
        <v>4812233.0391956717</v>
      </c>
      <c r="AL177" s="36">
        <v>-9513953.0455204248</v>
      </c>
      <c r="AM177" s="36">
        <v>-4579250.8148442805</v>
      </c>
    </row>
    <row r="178" spans="30:39" ht="15.75" customHeight="1">
      <c r="AD178" s="95">
        <v>104</v>
      </c>
      <c r="AE178" s="36">
        <v>4242987.2041749656</v>
      </c>
      <c r="AF178" s="36">
        <v>7064026.6231107265</v>
      </c>
      <c r="AG178" s="36">
        <v>4495160.0082129836</v>
      </c>
      <c r="AH178" s="36">
        <v>10079518.248754084</v>
      </c>
      <c r="AI178" s="36">
        <v>-2424011.2963380218</v>
      </c>
      <c r="AJ178" s="36">
        <v>-4436084.6221879274</v>
      </c>
      <c r="AK178" s="36">
        <v>-2847108.0011457801</v>
      </c>
      <c r="AL178" s="36">
        <v>-6709895.2584854364</v>
      </c>
      <c r="AM178" s="36">
        <v>8779674.7293442786</v>
      </c>
    </row>
    <row r="179" spans="30:39" ht="15.75" customHeight="1">
      <c r="AD179" s="95">
        <v>105</v>
      </c>
      <c r="AE179" s="36">
        <v>14502590.343851984</v>
      </c>
      <c r="AF179" s="36">
        <v>3302316.6588626802</v>
      </c>
      <c r="AG179" s="36">
        <v>10006461.8873685</v>
      </c>
      <c r="AH179" s="36">
        <v>-6956785.9383112788</v>
      </c>
      <c r="AI179" s="36">
        <v>2482134.8360038251</v>
      </c>
      <c r="AJ179" s="36">
        <v>2434277.0633158535</v>
      </c>
      <c r="AK179" s="36">
        <v>-8537441.967931211</v>
      </c>
      <c r="AL179" s="36">
        <v>5510656.2472623438</v>
      </c>
      <c r="AM179" s="36">
        <v>-2022429.4341426194</v>
      </c>
    </row>
    <row r="180" spans="30:39" ht="15.75" customHeight="1">
      <c r="AD180" s="95">
        <v>106</v>
      </c>
      <c r="AE180" s="36">
        <v>3283438.675840959</v>
      </c>
      <c r="AF180" s="36">
        <v>5809667.2820210159</v>
      </c>
      <c r="AG180" s="36">
        <v>6887096.9579674006</v>
      </c>
      <c r="AH180" s="36">
        <v>11986322.704053745</v>
      </c>
      <c r="AI180" s="36">
        <v>8574604.8378048092</v>
      </c>
      <c r="AJ180" s="36">
        <v>6143233.3441397697</v>
      </c>
      <c r="AK180" s="36">
        <v>6377779.0439585596</v>
      </c>
      <c r="AL180" s="36">
        <v>-6394628.4240992665</v>
      </c>
      <c r="AM180" s="36">
        <v>4366499.628499195</v>
      </c>
    </row>
    <row r="181" spans="30:39" ht="15.75" customHeight="1">
      <c r="AD181" s="95">
        <v>107</v>
      </c>
      <c r="AE181" s="36">
        <v>10268080.342290252</v>
      </c>
      <c r="AF181" s="36">
        <v>15660577.050949529</v>
      </c>
      <c r="AG181" s="36">
        <v>16667250.605163515</v>
      </c>
      <c r="AH181" s="36">
        <v>-1786878.9980741143</v>
      </c>
      <c r="AI181" s="36">
        <v>-2360287.4124029428</v>
      </c>
      <c r="AJ181" s="36">
        <v>210730.01211516559</v>
      </c>
      <c r="AK181" s="36">
        <v>-2400377.4038578272</v>
      </c>
      <c r="AL181" s="36">
        <v>16506855.593119413</v>
      </c>
      <c r="AM181" s="36">
        <v>2172670.9262041301</v>
      </c>
    </row>
    <row r="182" spans="30:39" ht="15.75" customHeight="1">
      <c r="AD182" s="95">
        <v>108</v>
      </c>
      <c r="AE182" s="36">
        <v>794845.79412272573</v>
      </c>
      <c r="AF182" s="36">
        <v>6753787.1218743473</v>
      </c>
      <c r="AG182" s="36">
        <v>9545956.6565444767</v>
      </c>
      <c r="AH182" s="36">
        <v>1831940.7735808641</v>
      </c>
      <c r="AI182" s="36">
        <v>8755504.0945230424</v>
      </c>
      <c r="AJ182" s="36">
        <v>598701.37122629583</v>
      </c>
      <c r="AK182" s="36">
        <v>-4542906.4676560313</v>
      </c>
      <c r="AL182" s="36">
        <v>3183881.6189583838</v>
      </c>
      <c r="AM182" s="36">
        <v>-6627139.1656990945</v>
      </c>
    </row>
    <row r="183" spans="30:39" ht="15.75" customHeight="1">
      <c r="AD183" s="95">
        <v>109</v>
      </c>
      <c r="AE183" s="36">
        <v>7524180.6245039552</v>
      </c>
      <c r="AF183" s="36">
        <v>10424314.323478773</v>
      </c>
      <c r="AG183" s="36">
        <v>9045959.1804762185</v>
      </c>
      <c r="AH183" s="36">
        <v>-4684851.7474291325</v>
      </c>
      <c r="AI183" s="36">
        <v>3778294.6649662107</v>
      </c>
      <c r="AJ183" s="36">
        <v>6883034.468166396</v>
      </c>
      <c r="AK183" s="36">
        <v>882344.23855046928</v>
      </c>
      <c r="AL183" s="36">
        <v>2425017.3089497983</v>
      </c>
      <c r="AM183" s="36">
        <v>2343466.7548452914</v>
      </c>
    </row>
    <row r="184" spans="30:39" ht="15.75" customHeight="1">
      <c r="AD184" s="95">
        <v>110</v>
      </c>
      <c r="AE184" s="36">
        <v>5388002.5703427047</v>
      </c>
      <c r="AF184" s="36">
        <v>469059.39856609702</v>
      </c>
      <c r="AG184" s="36">
        <v>-10610153.851896152</v>
      </c>
      <c r="AH184" s="36">
        <v>4468300.1639235169</v>
      </c>
      <c r="AI184" s="36">
        <v>6342096.8501669616</v>
      </c>
      <c r="AJ184" s="36">
        <v>-8616278.7805973291</v>
      </c>
      <c r="AK184" s="36">
        <v>-11585049.423192918</v>
      </c>
      <c r="AL184" s="36">
        <v>3117127.8981671333</v>
      </c>
      <c r="AM184" s="36">
        <v>-9317012.5136655867</v>
      </c>
    </row>
    <row r="185" spans="30:39" ht="15.75" customHeight="1">
      <c r="AD185" s="95">
        <v>111</v>
      </c>
      <c r="AE185" s="36">
        <v>4371114.8265978396</v>
      </c>
      <c r="AF185" s="36">
        <v>4136355.9524307251</v>
      </c>
      <c r="AG185" s="36">
        <v>-680034.03249038756</v>
      </c>
      <c r="AH185" s="36">
        <v>9762970.7434448898</v>
      </c>
      <c r="AI185" s="36">
        <v>-382713.64139829576</v>
      </c>
      <c r="AJ185" s="36">
        <v>8878479.2065400332</v>
      </c>
      <c r="AK185" s="36">
        <v>8152550.4365501702</v>
      </c>
      <c r="AL185" s="36">
        <v>4218968.7220421284</v>
      </c>
      <c r="AM185" s="36">
        <v>1801451.4133619964</v>
      </c>
    </row>
    <row r="186" spans="30:39" ht="15.75" customHeight="1">
      <c r="AD186" s="95">
        <v>112</v>
      </c>
      <c r="AE186" s="36">
        <v>11170112.095363289</v>
      </c>
      <c r="AF186" s="36">
        <v>1899770.5119555444</v>
      </c>
      <c r="AG186" s="36">
        <v>10987165.422029391</v>
      </c>
      <c r="AH186" s="36">
        <v>5455702.0705249161</v>
      </c>
      <c r="AI186" s="36">
        <v>3621684.9950347394</v>
      </c>
      <c r="AJ186" s="36">
        <v>1762486.942006439</v>
      </c>
      <c r="AK186" s="36">
        <v>245901.38244721293</v>
      </c>
      <c r="AL186" s="36">
        <v>259777.87845015526</v>
      </c>
      <c r="AM186" s="36">
        <v>-447473.46104896069</v>
      </c>
    </row>
    <row r="187" spans="30:39" ht="15.75" customHeight="1">
      <c r="AD187" s="95">
        <v>113</v>
      </c>
      <c r="AE187" s="36">
        <v>7972554.7968344688</v>
      </c>
      <c r="AF187" s="36">
        <v>7343478.2671450078</v>
      </c>
      <c r="AG187" s="36">
        <v>9638579.6031827331</v>
      </c>
      <c r="AH187" s="36">
        <v>4013588.3845053613</v>
      </c>
      <c r="AI187" s="36">
        <v>-5545279.9623252898</v>
      </c>
      <c r="AJ187" s="36">
        <v>-4639268.4803147614</v>
      </c>
      <c r="AK187" s="36">
        <v>8161714.8002006114</v>
      </c>
      <c r="AL187" s="36">
        <v>3644013.7449695319</v>
      </c>
      <c r="AM187" s="36">
        <v>7283357.8034344465</v>
      </c>
    </row>
    <row r="188" spans="30:39" ht="15.75" customHeight="1">
      <c r="AD188" s="95">
        <v>114</v>
      </c>
      <c r="AE188" s="36">
        <v>10693877.277212292</v>
      </c>
      <c r="AF188" s="36">
        <v>8944462.4852012694</v>
      </c>
      <c r="AG188" s="36">
        <v>6359361.7034826726</v>
      </c>
      <c r="AH188" s="36">
        <v>906219.12145102024</v>
      </c>
      <c r="AI188" s="36">
        <v>7733895.2211242914</v>
      </c>
      <c r="AJ188" s="36">
        <v>2163806.1407348067</v>
      </c>
      <c r="AK188" s="36">
        <v>5162891.5027546138</v>
      </c>
      <c r="AL188" s="36">
        <v>2916824.0210159868</v>
      </c>
      <c r="AM188" s="36">
        <v>913924.56075333059</v>
      </c>
    </row>
    <row r="189" spans="30:39" ht="15.75" customHeight="1">
      <c r="AD189" s="95">
        <v>115</v>
      </c>
      <c r="AE189" s="36">
        <v>6584163.2155530155</v>
      </c>
      <c r="AF189" s="36">
        <v>8721046.2831618339</v>
      </c>
      <c r="AG189" s="36">
        <v>3837646.5642693043</v>
      </c>
      <c r="AH189" s="36">
        <v>283772.43408671021</v>
      </c>
      <c r="AI189" s="36">
        <v>14105902.387517288</v>
      </c>
      <c r="AJ189" s="36">
        <v>1001134.3858723938</v>
      </c>
      <c r="AK189" s="36">
        <v>10055467.407040179</v>
      </c>
      <c r="AL189" s="36">
        <v>-857845.36786106229</v>
      </c>
      <c r="AM189" s="36">
        <v>2764763.385615468</v>
      </c>
    </row>
    <row r="190" spans="30:39" ht="15.75" customHeight="1">
      <c r="AD190" s="95">
        <v>116</v>
      </c>
      <c r="AE190" s="36">
        <v>2481754.4392301589</v>
      </c>
      <c r="AF190" s="36">
        <v>-1103629.9162067175</v>
      </c>
      <c r="AG190" s="36">
        <v>9724520.7259420156</v>
      </c>
      <c r="AH190" s="36">
        <v>3992945.5665590018</v>
      </c>
      <c r="AI190" s="36">
        <v>524702.78319899738</v>
      </c>
      <c r="AJ190" s="36">
        <v>-1369592.830388397</v>
      </c>
      <c r="AK190" s="36">
        <v>-326599.37961423397</v>
      </c>
      <c r="AL190" s="36">
        <v>5445461.3465947956</v>
      </c>
      <c r="AM190" s="36">
        <v>-5237098.2352752835</v>
      </c>
    </row>
    <row r="191" spans="30:39" ht="15.75" customHeight="1">
      <c r="AD191" s="95">
        <v>117</v>
      </c>
      <c r="AE191" s="36">
        <v>10778759.28023088</v>
      </c>
      <c r="AF191" s="36">
        <v>6064472.1202258766</v>
      </c>
      <c r="AG191" s="36">
        <v>10133449.651074991</v>
      </c>
      <c r="AH191" s="36">
        <v>-5978156.4701777399</v>
      </c>
      <c r="AI191" s="36">
        <v>-5379043.5232405365</v>
      </c>
      <c r="AJ191" s="36">
        <v>-2689517.198538214</v>
      </c>
      <c r="AK191" s="36">
        <v>-5569882.3640129417</v>
      </c>
      <c r="AL191" s="36">
        <v>1989938.0459566712</v>
      </c>
      <c r="AM191" s="36">
        <v>4982676.5962752104</v>
      </c>
    </row>
    <row r="192" spans="30:39" ht="15.75" customHeight="1">
      <c r="AD192" s="95">
        <v>118</v>
      </c>
      <c r="AE192" s="36">
        <v>-1829338.8883347511</v>
      </c>
      <c r="AF192" s="36">
        <v>7302726.929343611</v>
      </c>
      <c r="AG192" s="36">
        <v>5768530.4910790771</v>
      </c>
      <c r="AH192" s="36">
        <v>8677247.0542909205</v>
      </c>
      <c r="AI192" s="36">
        <v>7338354.3007794619</v>
      </c>
      <c r="AJ192" s="36">
        <v>4589686.1536674201</v>
      </c>
      <c r="AK192" s="36">
        <v>9372992.4950607717</v>
      </c>
      <c r="AL192" s="36">
        <v>-453333.49677062035</v>
      </c>
      <c r="AM192" s="36">
        <v>-3978721.5779746473</v>
      </c>
    </row>
    <row r="193" spans="30:39" ht="15.75" customHeight="1">
      <c r="AD193" s="95">
        <v>119</v>
      </c>
      <c r="AE193" s="36">
        <v>13557026.784104705</v>
      </c>
      <c r="AF193" s="36">
        <v>1065538.1527633667</v>
      </c>
      <c r="AG193" s="36">
        <v>15113803.338808209</v>
      </c>
      <c r="AH193" s="36">
        <v>7632896.6924270093</v>
      </c>
      <c r="AI193" s="36">
        <v>-6088264.4283269346</v>
      </c>
      <c r="AJ193" s="36">
        <v>-3772501.9511990845</v>
      </c>
      <c r="AK193" s="36">
        <v>-4566756.9063304961</v>
      </c>
      <c r="AL193" s="36">
        <v>-4295403.373482421</v>
      </c>
      <c r="AM193" s="36">
        <v>-4198811.6895084977</v>
      </c>
    </row>
    <row r="194" spans="30:39" ht="15.75" customHeight="1">
      <c r="AD194" s="95">
        <v>120</v>
      </c>
      <c r="AE194" s="36">
        <v>9277161.8505926132</v>
      </c>
      <c r="AF194" s="36">
        <v>10590595.743740916</v>
      </c>
      <c r="AG194" s="36">
        <v>3391001.8714584112</v>
      </c>
      <c r="AH194" s="36">
        <v>7496104.8155237585</v>
      </c>
      <c r="AI194" s="36">
        <v>330787.75046782196</v>
      </c>
      <c r="AJ194" s="36">
        <v>10440235.61212042</v>
      </c>
      <c r="AK194" s="36">
        <v>5493489.3285917938</v>
      </c>
      <c r="AL194" s="36">
        <v>-337026.93889346719</v>
      </c>
      <c r="AM194" s="36">
        <v>2580452.9812610596</v>
      </c>
    </row>
    <row r="195" spans="30:39" ht="15.75" customHeight="1">
      <c r="AD195" s="95">
        <v>121</v>
      </c>
      <c r="AE195" s="36">
        <v>7269022.8651016057</v>
      </c>
      <c r="AF195" s="36">
        <v>1198616.1158747077</v>
      </c>
      <c r="AG195" s="36">
        <v>4500048.5264401287</v>
      </c>
      <c r="AH195" s="36">
        <v>-7812041.2101972997</v>
      </c>
      <c r="AI195" s="36">
        <v>7979511.9143153727</v>
      </c>
      <c r="AJ195" s="36">
        <v>1142049.3357503861</v>
      </c>
      <c r="AK195" s="36">
        <v>25083.543294489384</v>
      </c>
      <c r="AL195" s="36">
        <v>-252601.51320117712</v>
      </c>
      <c r="AM195" s="36">
        <v>4379257.2768566012</v>
      </c>
    </row>
    <row r="196" spans="30:39" ht="15.75" customHeight="1">
      <c r="AD196" s="95">
        <v>122</v>
      </c>
      <c r="AE196" s="36">
        <v>11778199.727039322</v>
      </c>
      <c r="AF196" s="36">
        <v>7359658.7980687171</v>
      </c>
      <c r="AG196" s="36">
        <v>-396831.3091647625</v>
      </c>
      <c r="AH196" s="36">
        <v>1001681.3701612353</v>
      </c>
      <c r="AI196" s="36">
        <v>12132997.44407478</v>
      </c>
      <c r="AJ196" s="36">
        <v>-8366.6687154620886</v>
      </c>
      <c r="AK196" s="36">
        <v>-3945622.7822925448</v>
      </c>
      <c r="AL196" s="36">
        <v>970854.22942858934</v>
      </c>
      <c r="AM196" s="36">
        <v>-5223775.7494045347</v>
      </c>
    </row>
    <row r="197" spans="30:39" ht="15.75" customHeight="1">
      <c r="AD197" s="95">
        <v>123</v>
      </c>
      <c r="AE197" s="36">
        <v>10823575.75794661</v>
      </c>
      <c r="AF197" s="36">
        <v>7055731.1740518212</v>
      </c>
      <c r="AG197" s="36">
        <v>5704456.4980904609</v>
      </c>
      <c r="AH197" s="36">
        <v>-76185.563275635242</v>
      </c>
      <c r="AI197" s="36">
        <v>1051509.7696731389</v>
      </c>
      <c r="AJ197" s="36">
        <v>-2725482.8396522701</v>
      </c>
      <c r="AK197" s="36">
        <v>1589302.1660664678</v>
      </c>
      <c r="AL197" s="36">
        <v>-1136683.667599678</v>
      </c>
      <c r="AM197" s="36">
        <v>-2102566.5659855604</v>
      </c>
    </row>
    <row r="198" spans="30:39" ht="15.75" customHeight="1">
      <c r="AD198" s="95">
        <v>124</v>
      </c>
      <c r="AE198" s="36">
        <v>3183262.8859838396</v>
      </c>
      <c r="AF198" s="36">
        <v>3188310.2281783819</v>
      </c>
      <c r="AG198" s="36">
        <v>2992537.9364575297</v>
      </c>
      <c r="AH198" s="36">
        <v>10846012.93341136</v>
      </c>
      <c r="AI198" s="36">
        <v>3790618.0205658227</v>
      </c>
      <c r="AJ198" s="36">
        <v>5277999.2426840663</v>
      </c>
      <c r="AK198" s="36">
        <v>794389.68695220351</v>
      </c>
      <c r="AL198" s="36">
        <v>-7453498.2648875117</v>
      </c>
      <c r="AM198" s="36">
        <v>-1105020.9163946956</v>
      </c>
    </row>
    <row r="199" spans="30:39" ht="15.75" customHeight="1">
      <c r="AD199" s="95">
        <v>125</v>
      </c>
      <c r="AE199" s="36">
        <v>-2238582.5147675574</v>
      </c>
      <c r="AF199" s="36">
        <v>19172195.343350202</v>
      </c>
      <c r="AG199" s="36">
        <v>5050227.6877201796</v>
      </c>
      <c r="AH199" s="36">
        <v>8950339.9672804177</v>
      </c>
      <c r="AI199" s="36">
        <v>12401788.929875895</v>
      </c>
      <c r="AJ199" s="36">
        <v>2739614.3097237647</v>
      </c>
      <c r="AK199" s="36">
        <v>4236332.0226292908</v>
      </c>
      <c r="AL199" s="36">
        <v>-2843667.9233279824</v>
      </c>
      <c r="AM199" s="36">
        <v>-8863780.1896227896</v>
      </c>
    </row>
    <row r="200" spans="30:39" ht="15.75" customHeight="1">
      <c r="AD200" s="95">
        <v>126</v>
      </c>
      <c r="AE200" s="36">
        <v>-11915154.274362549</v>
      </c>
      <c r="AF200" s="36">
        <v>4165424.9090289026</v>
      </c>
      <c r="AG200" s="36">
        <v>-1565561.0672015846</v>
      </c>
      <c r="AH200" s="36">
        <v>8890123.0762430429</v>
      </c>
      <c r="AI200" s="36">
        <v>2988624.3696722388</v>
      </c>
      <c r="AJ200" s="36">
        <v>-3642945.9324355721</v>
      </c>
      <c r="AK200" s="36">
        <v>10005418.473850757</v>
      </c>
      <c r="AL200" s="36">
        <v>-5757345.4717824757</v>
      </c>
      <c r="AM200" s="36">
        <v>743715.50161400437</v>
      </c>
    </row>
    <row r="201" spans="30:39" ht="15.75" customHeight="1">
      <c r="AD201" s="95">
        <v>127</v>
      </c>
      <c r="AE201" s="36">
        <v>10595925.873851106</v>
      </c>
      <c r="AF201" s="36">
        <v>8665124.6521369219</v>
      </c>
      <c r="AG201" s="36">
        <v>3440433.5731135756</v>
      </c>
      <c r="AH201" s="36">
        <v>-151541.47278796136</v>
      </c>
      <c r="AI201" s="36">
        <v>2713528.2112062573</v>
      </c>
      <c r="AJ201" s="36">
        <v>8991472.8298075497</v>
      </c>
      <c r="AK201" s="36">
        <v>2473270.8004603982</v>
      </c>
      <c r="AL201" s="36">
        <v>3122853.483039394</v>
      </c>
      <c r="AM201" s="36">
        <v>3672125.1190437824</v>
      </c>
    </row>
    <row r="202" spans="30:39" ht="15.75" customHeight="1">
      <c r="AD202" s="95">
        <v>128</v>
      </c>
      <c r="AE202" s="36">
        <v>3809937.2362261713</v>
      </c>
      <c r="AF202" s="36">
        <v>2558763.3028186113</v>
      </c>
      <c r="AG202" s="36">
        <v>5883526.4610120952</v>
      </c>
      <c r="AH202" s="36">
        <v>676688.87980781496</v>
      </c>
      <c r="AI202" s="36">
        <v>2107195.2288386375</v>
      </c>
      <c r="AJ202" s="36">
        <v>15468501.355929792</v>
      </c>
      <c r="AK202" s="36">
        <v>-2254465.3328459114</v>
      </c>
      <c r="AL202" s="36">
        <v>-8662265.6129511744</v>
      </c>
      <c r="AM202" s="36">
        <v>1845000.7683330029</v>
      </c>
    </row>
    <row r="203" spans="30:39" ht="15.75" customHeight="1">
      <c r="AD203" s="95">
        <v>129</v>
      </c>
      <c r="AE203" s="36">
        <v>7050575.2059783936</v>
      </c>
      <c r="AF203" s="36">
        <v>407380.02820214629</v>
      </c>
      <c r="AG203" s="36">
        <v>9848602.8687825948</v>
      </c>
      <c r="AH203" s="36">
        <v>6604164.3884695619</v>
      </c>
      <c r="AI203" s="36">
        <v>9123684.8250729144</v>
      </c>
      <c r="AJ203" s="36">
        <v>-23180.243544533849</v>
      </c>
      <c r="AK203" s="36">
        <v>-3182535.5091331452</v>
      </c>
      <c r="AL203" s="36">
        <v>-1150935.5493850708</v>
      </c>
      <c r="AM203" s="36">
        <v>-7877333.4611244649</v>
      </c>
    </row>
    <row r="204" spans="30:39" ht="15.75" customHeight="1">
      <c r="AD204" s="95">
        <v>130</v>
      </c>
      <c r="AE204" s="36">
        <v>7583129.3947488964</v>
      </c>
      <c r="AF204" s="36">
        <v>7130259.8968953639</v>
      </c>
      <c r="AG204" s="36">
        <v>9458966.9122752249</v>
      </c>
      <c r="AH204" s="36">
        <v>10987934.24827759</v>
      </c>
      <c r="AI204" s="36">
        <v>-2192126.4754340947</v>
      </c>
      <c r="AJ204" s="36">
        <v>-231409.34450502694</v>
      </c>
      <c r="AK204" s="36">
        <v>7632931.4322269261</v>
      </c>
      <c r="AL204" s="36">
        <v>6314361.2037285417</v>
      </c>
      <c r="AM204" s="36">
        <v>-600665.34995131195</v>
      </c>
    </row>
    <row r="205" spans="30:39" ht="15.75" customHeight="1">
      <c r="AD205" s="95">
        <v>131</v>
      </c>
      <c r="AE205" s="36">
        <v>5289411.0063888431</v>
      </c>
      <c r="AF205" s="36">
        <v>4350632.7450147867</v>
      </c>
      <c r="AG205" s="36">
        <v>15164477.082743719</v>
      </c>
      <c r="AH205" s="36">
        <v>569637.90366640687</v>
      </c>
      <c r="AI205" s="36">
        <v>9552885.8229501545</v>
      </c>
      <c r="AJ205" s="36">
        <v>-1091558.5067139864</v>
      </c>
      <c r="AK205" s="36">
        <v>1166005.0108497739</v>
      </c>
      <c r="AL205" s="36">
        <v>5838034.4516894519</v>
      </c>
      <c r="AM205" s="36">
        <v>-4674962.1605563909</v>
      </c>
    </row>
    <row r="206" spans="30:39" ht="15.75" customHeight="1">
      <c r="AD206" s="95">
        <v>132</v>
      </c>
      <c r="AE206" s="36">
        <v>19879992.409233376</v>
      </c>
      <c r="AF206" s="36">
        <v>3482855.4739091396</v>
      </c>
      <c r="AG206" s="36">
        <v>-2955860.4789600223</v>
      </c>
      <c r="AH206" s="36">
        <v>-806022.78898465633</v>
      </c>
      <c r="AI206" s="36">
        <v>3460168.660849914</v>
      </c>
      <c r="AJ206" s="36">
        <v>3939626.8539407253</v>
      </c>
      <c r="AK206" s="36">
        <v>-7067402.3058735728</v>
      </c>
      <c r="AL206" s="36">
        <v>1331220.7526489049</v>
      </c>
      <c r="AM206" s="36">
        <v>6051840.7673904896</v>
      </c>
    </row>
    <row r="207" spans="30:39" ht="15.75" customHeight="1">
      <c r="AD207" s="95">
        <v>133</v>
      </c>
      <c r="AE207" s="36">
        <v>139881.05632659793</v>
      </c>
      <c r="AF207" s="36">
        <v>5213661.2183664888</v>
      </c>
      <c r="AG207" s="36">
        <v>5676715.2393771559</v>
      </c>
      <c r="AH207" s="36">
        <v>-3908332.7819209546</v>
      </c>
      <c r="AI207" s="36">
        <v>-1640388.3176920861</v>
      </c>
      <c r="AJ207" s="36">
        <v>6227972.6978422105</v>
      </c>
      <c r="AK207" s="36">
        <v>-1604928.9823022634</v>
      </c>
      <c r="AL207" s="36">
        <v>4954955.1859192252</v>
      </c>
      <c r="AM207" s="36">
        <v>793155.94082969427</v>
      </c>
    </row>
    <row r="208" spans="30:39" ht="15.75" customHeight="1">
      <c r="AD208" s="95">
        <v>134</v>
      </c>
      <c r="AE208" s="36">
        <v>5762289.7459916472</v>
      </c>
      <c r="AF208" s="36">
        <v>9016071.3900015652</v>
      </c>
      <c r="AG208" s="36">
        <v>-1202466.4101912081</v>
      </c>
      <c r="AH208" s="36">
        <v>-3225803.0455939174</v>
      </c>
      <c r="AI208" s="36">
        <v>-1400823.9777527153</v>
      </c>
      <c r="AJ208" s="36">
        <v>-8186759.4210458994</v>
      </c>
      <c r="AK208" s="36">
        <v>10583362.408879012</v>
      </c>
      <c r="AL208" s="36">
        <v>-2968660.8626439869</v>
      </c>
      <c r="AM208" s="36">
        <v>7094178.0652436167</v>
      </c>
    </row>
    <row r="209" spans="30:39" ht="15.75" customHeight="1">
      <c r="AD209" s="95">
        <v>135</v>
      </c>
      <c r="AE209" s="36">
        <v>12936325.862038344</v>
      </c>
      <c r="AF209" s="36">
        <v>8679175.9404268265</v>
      </c>
      <c r="AG209" s="36">
        <v>7339107.7276051193</v>
      </c>
      <c r="AH209" s="36">
        <v>1238138.1740230322</v>
      </c>
      <c r="AI209" s="36">
        <v>7576059.6530974805</v>
      </c>
      <c r="AJ209" s="36">
        <v>591970.11053611338</v>
      </c>
      <c r="AK209" s="36">
        <v>6117121.88072896</v>
      </c>
      <c r="AL209" s="36">
        <v>1663922.8285121471</v>
      </c>
      <c r="AM209" s="36">
        <v>-482840.39942954481</v>
      </c>
    </row>
    <row r="210" spans="30:39" ht="15.75" customHeight="1">
      <c r="AD210" s="95">
        <v>136</v>
      </c>
      <c r="AE210" s="36">
        <v>12579101.231602073</v>
      </c>
      <c r="AF210" s="36">
        <v>4414305.8797335178</v>
      </c>
      <c r="AG210" s="36">
        <v>-4211005.6032683998</v>
      </c>
      <c r="AH210" s="36">
        <v>3227809.716750145</v>
      </c>
      <c r="AI210" s="36">
        <v>2380564.1428456306</v>
      </c>
      <c r="AJ210" s="36">
        <v>5844992.7130850703</v>
      </c>
      <c r="AK210" s="36">
        <v>81325.098362416029</v>
      </c>
      <c r="AL210" s="36">
        <v>5870994.7621114701</v>
      </c>
      <c r="AM210" s="36">
        <v>-1661212.127192229</v>
      </c>
    </row>
    <row r="211" spans="30:39" ht="15.75" customHeight="1">
      <c r="AD211" s="95">
        <v>137</v>
      </c>
      <c r="AE211" s="36">
        <v>3204593.3432075083</v>
      </c>
      <c r="AF211" s="36">
        <v>13643323.230330005</v>
      </c>
      <c r="AG211" s="36">
        <v>4217832.6722605973</v>
      </c>
      <c r="AH211" s="36">
        <v>7144204.5556463748</v>
      </c>
      <c r="AI211" s="36">
        <v>2283923.679854691</v>
      </c>
      <c r="AJ211" s="36">
        <v>5040813.984140411</v>
      </c>
      <c r="AK211" s="36">
        <v>3197033.3793051243</v>
      </c>
      <c r="AL211" s="36">
        <v>736112.72759130597</v>
      </c>
      <c r="AM211" s="36">
        <v>-7662838.3269969225</v>
      </c>
    </row>
    <row r="212" spans="30:39" ht="15.75" customHeight="1">
      <c r="AD212" s="95">
        <v>138</v>
      </c>
      <c r="AE212" s="36">
        <v>11939448.529609486</v>
      </c>
      <c r="AF212" s="36">
        <v>-4441487.656237036</v>
      </c>
      <c r="AG212" s="36">
        <v>907668.13296493888</v>
      </c>
      <c r="AH212" s="36">
        <v>9335555.0687956065</v>
      </c>
      <c r="AI212" s="36">
        <v>-1963050.8929716796</v>
      </c>
      <c r="AJ212" s="36">
        <v>2454451.817943275</v>
      </c>
      <c r="AK212" s="36">
        <v>3400004.8224661201</v>
      </c>
      <c r="AL212" s="36">
        <v>2184944.5715457499</v>
      </c>
      <c r="AM212" s="36">
        <v>2279444.3883650303</v>
      </c>
    </row>
    <row r="213" spans="30:39" ht="15.75" customHeight="1">
      <c r="AD213" s="95">
        <v>139</v>
      </c>
      <c r="AE213" s="36">
        <v>13027265.831136256</v>
      </c>
      <c r="AF213" s="36">
        <v>11789986.745960608</v>
      </c>
      <c r="AG213" s="36">
        <v>126592.90528026223</v>
      </c>
      <c r="AH213" s="36">
        <v>-2468346.470896244</v>
      </c>
      <c r="AI213" s="36">
        <v>1019512.7866505533</v>
      </c>
      <c r="AJ213" s="36">
        <v>-760503.53471635282</v>
      </c>
      <c r="AK213" s="36">
        <v>-6032586.693250671</v>
      </c>
      <c r="AL213" s="36">
        <v>585255.61334018409</v>
      </c>
      <c r="AM213" s="36">
        <v>-10396761.415602461</v>
      </c>
    </row>
    <row r="214" spans="30:39" ht="15.75" customHeight="1">
      <c r="AD214" s="95">
        <v>140</v>
      </c>
      <c r="AE214" s="36">
        <v>6198224.7584858239</v>
      </c>
      <c r="AF214" s="36">
        <v>11998255.082357079</v>
      </c>
      <c r="AG214" s="36">
        <v>5639832.215968281</v>
      </c>
      <c r="AH214" s="36">
        <v>-2837600.8252512813</v>
      </c>
      <c r="AI214" s="36">
        <v>219409.63906344771</v>
      </c>
      <c r="AJ214" s="36">
        <v>-3809021.4883055538</v>
      </c>
      <c r="AK214" s="36">
        <v>13709995.304325432</v>
      </c>
      <c r="AL214" s="36">
        <v>-2026737.6079370379</v>
      </c>
      <c r="AM214" s="36">
        <v>2773915.2473762631</v>
      </c>
    </row>
    <row r="215" spans="30:39" ht="15.75" customHeight="1">
      <c r="AD215" s="95">
        <v>141</v>
      </c>
      <c r="AE215" s="36">
        <v>-7301675.7726503313</v>
      </c>
      <c r="AF215" s="36">
        <v>6970143.760052368</v>
      </c>
      <c r="AG215" s="36">
        <v>9347956.7492774725</v>
      </c>
      <c r="AH215" s="36">
        <v>2842491.759571135</v>
      </c>
      <c r="AI215" s="36">
        <v>-786828.83056676388</v>
      </c>
      <c r="AJ215" s="36">
        <v>1968520.7326762974</v>
      </c>
      <c r="AK215" s="36">
        <v>1339870.5195820779</v>
      </c>
      <c r="AL215" s="36">
        <v>4257495.166204378</v>
      </c>
      <c r="AM215" s="36">
        <v>2330348.9550268054</v>
      </c>
    </row>
    <row r="216" spans="30:39" ht="15.75" customHeight="1">
      <c r="AD216" s="95">
        <v>142</v>
      </c>
      <c r="AE216" s="36">
        <v>14353392.893698364</v>
      </c>
      <c r="AF216" s="36">
        <v>20089023.45580107</v>
      </c>
      <c r="AG216" s="36">
        <v>5833042.1411291212</v>
      </c>
      <c r="AH216" s="36">
        <v>1078255.6580919623</v>
      </c>
      <c r="AI216" s="36">
        <v>-5721831.2610103637</v>
      </c>
      <c r="AJ216" s="36">
        <v>-3657252.9917603135</v>
      </c>
      <c r="AK216" s="36">
        <v>2044291.1785387993</v>
      </c>
      <c r="AL216" s="36">
        <v>-568641.08859281242</v>
      </c>
      <c r="AM216" s="36">
        <v>7958590.3074777424</v>
      </c>
    </row>
    <row r="217" spans="30:39" ht="15.75" customHeight="1">
      <c r="AD217" s="95">
        <v>143</v>
      </c>
      <c r="AE217" s="36">
        <v>3990531.5793614835</v>
      </c>
      <c r="AF217" s="36">
        <v>4000471.1460030228</v>
      </c>
      <c r="AG217" s="36">
        <v>9424993.6630396843</v>
      </c>
      <c r="AH217" s="36">
        <v>20472237.388025761</v>
      </c>
      <c r="AI217" s="36">
        <v>4844487.9307472706</v>
      </c>
      <c r="AJ217" s="36">
        <v>1031810.1098422259</v>
      </c>
      <c r="AK217" s="36">
        <v>7621226.1491452605</v>
      </c>
      <c r="AL217" s="36">
        <v>-56739.844017460942</v>
      </c>
      <c r="AM217" s="36">
        <v>8386631.6435092241</v>
      </c>
    </row>
    <row r="218" spans="30:39" ht="15.75" customHeight="1">
      <c r="AD218" s="95">
        <v>144</v>
      </c>
      <c r="AE218" s="36">
        <v>17642378.602906018</v>
      </c>
      <c r="AF218" s="36">
        <v>12394155.504501954</v>
      </c>
      <c r="AG218" s="36">
        <v>180500.55334982276</v>
      </c>
      <c r="AH218" s="36">
        <v>-3152427.7130043507</v>
      </c>
      <c r="AI218" s="36">
        <v>4935563.6809890866</v>
      </c>
      <c r="AJ218" s="36">
        <v>205638.36935830116</v>
      </c>
      <c r="AK218" s="36">
        <v>16046108.495577127</v>
      </c>
      <c r="AL218" s="36">
        <v>-4694062.6271443367</v>
      </c>
      <c r="AM218" s="36">
        <v>-4984069.3202478588</v>
      </c>
    </row>
    <row r="219" spans="30:39" ht="15.75" customHeight="1">
      <c r="AD219" s="95">
        <v>145</v>
      </c>
      <c r="AE219" s="36">
        <v>11607881.258436874</v>
      </c>
      <c r="AF219" s="36">
        <v>8773869.1952485442</v>
      </c>
      <c r="AG219" s="36">
        <v>-414440.05163881183</v>
      </c>
      <c r="AH219" s="36">
        <v>2099100.8723947555</v>
      </c>
      <c r="AI219" s="36">
        <v>2221865.2937398851</v>
      </c>
      <c r="AJ219" s="36">
        <v>-75587.399754375219</v>
      </c>
      <c r="AK219" s="36">
        <v>920426.29944190383</v>
      </c>
      <c r="AL219" s="36">
        <v>-6640820.6096019149</v>
      </c>
      <c r="AM219" s="36">
        <v>3027203.5406150818</v>
      </c>
    </row>
    <row r="220" spans="30:39" ht="15.75" customHeight="1">
      <c r="AD220" s="95">
        <v>146</v>
      </c>
      <c r="AE220" s="36">
        <v>7941574.9890756309</v>
      </c>
      <c r="AF220" s="36">
        <v>3919005.9420880824</v>
      </c>
      <c r="AG220" s="36">
        <v>6614532.1915036887</v>
      </c>
      <c r="AH220" s="36">
        <v>11993264.586157516</v>
      </c>
      <c r="AI220" s="36">
        <v>9392596.8141165078</v>
      </c>
      <c r="AJ220" s="36">
        <v>5377386.9956276864</v>
      </c>
      <c r="AK220" s="36">
        <v>-8837004.6433491111</v>
      </c>
      <c r="AL220" s="36">
        <v>4286438.271561563</v>
      </c>
      <c r="AM220" s="36">
        <v>2412505.8504617363</v>
      </c>
    </row>
    <row r="221" spans="30:39" ht="15.75" customHeight="1">
      <c r="AD221" s="95">
        <v>147</v>
      </c>
      <c r="AE221" s="36">
        <v>1353231.5508814752</v>
      </c>
      <c r="AF221" s="36">
        <v>7786352.3381769955</v>
      </c>
      <c r="AG221" s="36">
        <v>12221978.887269139</v>
      </c>
      <c r="AH221" s="36">
        <v>6616354.5698358119</v>
      </c>
      <c r="AI221" s="36">
        <v>3453013.3408491313</v>
      </c>
      <c r="AJ221" s="36">
        <v>10809306.259929344</v>
      </c>
      <c r="AK221" s="36">
        <v>3590351.8993252665</v>
      </c>
      <c r="AL221" s="36">
        <v>-1032440.6545976549</v>
      </c>
      <c r="AM221" s="36">
        <v>-5901658.4236746132</v>
      </c>
    </row>
    <row r="222" spans="30:39" ht="15.75" customHeight="1">
      <c r="AD222" s="95">
        <v>148</v>
      </c>
      <c r="AE222" s="36">
        <v>17266481.408999488</v>
      </c>
      <c r="AF222" s="36">
        <v>12670472.629174173</v>
      </c>
      <c r="AG222" s="36">
        <v>1881864.5506368428</v>
      </c>
      <c r="AH222" s="36">
        <v>5324966.8200607598</v>
      </c>
      <c r="AI222" s="36">
        <v>4745699.4508926272</v>
      </c>
      <c r="AJ222" s="36">
        <v>8868797.447950691</v>
      </c>
      <c r="AK222" s="36">
        <v>17020703.645915329</v>
      </c>
      <c r="AL222" s="36">
        <v>-6891029.2595285773</v>
      </c>
      <c r="AM222" s="36">
        <v>-10666671.139180392</v>
      </c>
    </row>
    <row r="223" spans="30:39" ht="15.75" customHeight="1">
      <c r="AD223" s="95">
        <v>149</v>
      </c>
      <c r="AE223" s="36">
        <v>13343239.119162247</v>
      </c>
      <c r="AF223" s="36">
        <v>11834397.014005095</v>
      </c>
      <c r="AG223" s="36">
        <v>1232349.3170760572</v>
      </c>
      <c r="AH223" s="36">
        <v>-3085671.2897198498</v>
      </c>
      <c r="AI223" s="36">
        <v>-5354643.2495413423</v>
      </c>
      <c r="AJ223" s="36">
        <v>3174500.9407625049</v>
      </c>
      <c r="AK223" s="36">
        <v>-4847233.9672132432</v>
      </c>
      <c r="AL223" s="36">
        <v>-3251841.6660057008</v>
      </c>
      <c r="AM223" s="36">
        <v>403456.78113928437</v>
      </c>
    </row>
    <row r="224" spans="30:39" ht="15.75" customHeight="1">
      <c r="AD224" s="95">
        <v>150</v>
      </c>
      <c r="AE224" s="36">
        <v>3982344.6592451036</v>
      </c>
      <c r="AF224" s="36">
        <v>11432409.182768151</v>
      </c>
      <c r="AG224" s="36">
        <v>5196158.3899819553</v>
      </c>
      <c r="AH224" s="36">
        <v>-4052346.8959441185</v>
      </c>
      <c r="AI224" s="36">
        <v>733225.23303687572</v>
      </c>
      <c r="AJ224" s="36">
        <v>-462440.59219232202</v>
      </c>
      <c r="AK224" s="36">
        <v>-3433160.7327754796</v>
      </c>
      <c r="AL224" s="36">
        <v>-2057069.864258945</v>
      </c>
      <c r="AM224" s="36">
        <v>4488263.9080215096</v>
      </c>
    </row>
    <row r="225" spans="30:39" ht="15.75" customHeight="1">
      <c r="AD225" s="95">
        <v>151</v>
      </c>
      <c r="AE225" s="36">
        <v>4393743.8596258163</v>
      </c>
      <c r="AF225" s="36">
        <v>5963704.0406490415</v>
      </c>
      <c r="AG225" s="36">
        <v>15547537.35361366</v>
      </c>
      <c r="AH225" s="36">
        <v>-83384.578597173095</v>
      </c>
      <c r="AI225" s="36">
        <v>6346301.5005888641</v>
      </c>
      <c r="AJ225" s="36">
        <v>742099.41938024759</v>
      </c>
      <c r="AK225" s="36">
        <v>4605540.6549766958</v>
      </c>
      <c r="AL225" s="36">
        <v>-1421898.7159999907</v>
      </c>
      <c r="AM225" s="36">
        <v>-4261177.2830801904</v>
      </c>
    </row>
    <row r="226" spans="30:39" ht="15.75" customHeight="1">
      <c r="AD226" s="95">
        <v>152</v>
      </c>
      <c r="AE226" s="36">
        <v>5365499.7457958907</v>
      </c>
      <c r="AF226" s="36">
        <v>5408919.7295432389</v>
      </c>
      <c r="AG226" s="36">
        <v>7954935.8138083816</v>
      </c>
      <c r="AH226" s="36">
        <v>4661164.6244193316</v>
      </c>
      <c r="AI226" s="36">
        <v>12181920.958877653</v>
      </c>
      <c r="AJ226" s="36">
        <v>10554989.261948645</v>
      </c>
      <c r="AK226" s="36">
        <v>1373655.5902680904</v>
      </c>
      <c r="AL226" s="36">
        <v>2741248.4040222913</v>
      </c>
      <c r="AM226" s="36">
        <v>3327151.5415730029</v>
      </c>
    </row>
    <row r="227" spans="30:39" ht="15.75" customHeight="1">
      <c r="AD227" s="95">
        <v>153</v>
      </c>
      <c r="AE227" s="36">
        <v>11635041.859070569</v>
      </c>
      <c r="AF227" s="36">
        <v>1176820.3254172355</v>
      </c>
      <c r="AG227" s="36">
        <v>13699776.433176875</v>
      </c>
      <c r="AH227" s="36">
        <v>10855149.137323976</v>
      </c>
      <c r="AI227" s="36">
        <v>3307276.4824212492</v>
      </c>
      <c r="AJ227" s="36">
        <v>-832204.48702387512</v>
      </c>
      <c r="AK227" s="36">
        <v>7106287.3459446728</v>
      </c>
      <c r="AL227" s="36">
        <v>-7717331.5117166638</v>
      </c>
      <c r="AM227" s="36">
        <v>-845307.02152439952</v>
      </c>
    </row>
    <row r="228" spans="30:39" ht="15.75" customHeight="1">
      <c r="AD228" s="95">
        <v>154</v>
      </c>
      <c r="AE228" s="36">
        <v>7140224.1858587861</v>
      </c>
      <c r="AF228" s="36">
        <v>5755226.2925258577</v>
      </c>
      <c r="AG228" s="36">
        <v>3589425.5103887469</v>
      </c>
      <c r="AH228" s="36">
        <v>7866681.0706744194</v>
      </c>
      <c r="AI228" s="36">
        <v>-2515173.9421475232</v>
      </c>
      <c r="AJ228" s="36">
        <v>-2370910.5668362081</v>
      </c>
      <c r="AK228" s="36">
        <v>-4815749.9244187772</v>
      </c>
      <c r="AL228" s="36">
        <v>699465.78124880791</v>
      </c>
      <c r="AM228" s="36">
        <v>2664098.2932704538</v>
      </c>
    </row>
    <row r="229" spans="30:39" ht="15.75" customHeight="1">
      <c r="AD229" s="95">
        <v>155</v>
      </c>
      <c r="AE229" s="36">
        <v>14228301.791979402</v>
      </c>
      <c r="AF229" s="36">
        <v>5520961.4347702861</v>
      </c>
      <c r="AG229" s="36">
        <v>10844515.249570459</v>
      </c>
      <c r="AH229" s="36">
        <v>15971544.248712629</v>
      </c>
      <c r="AI229" s="36">
        <v>-7273640.109190464</v>
      </c>
      <c r="AJ229" s="36">
        <v>4085657.5658826381</v>
      </c>
      <c r="AK229" s="36">
        <v>9268759.549424842</v>
      </c>
      <c r="AL229" s="36">
        <v>1187734.1030170918</v>
      </c>
      <c r="AM229" s="36">
        <v>-5819142.7191465199</v>
      </c>
    </row>
    <row r="230" spans="30:39" ht="15.75" customHeight="1">
      <c r="AD230" s="95">
        <v>156</v>
      </c>
      <c r="AE230" s="36">
        <v>-4341945.1263127327</v>
      </c>
      <c r="AF230" s="36">
        <v>2071089.2529697716</v>
      </c>
      <c r="AG230" s="36">
        <v>4970582.8212961555</v>
      </c>
      <c r="AH230" s="36">
        <v>6878698.073900938</v>
      </c>
      <c r="AI230" s="36">
        <v>-3893116.0357602239</v>
      </c>
      <c r="AJ230" s="36">
        <v>1514454.8816450834</v>
      </c>
      <c r="AK230" s="36">
        <v>6824039.3864198476</v>
      </c>
      <c r="AL230" s="36">
        <v>7611046.1195655614</v>
      </c>
      <c r="AM230" s="36">
        <v>-294095.40081854165</v>
      </c>
    </row>
    <row r="231" spans="30:39" ht="15.75" customHeight="1">
      <c r="AD231" s="95">
        <v>157</v>
      </c>
      <c r="AE231" s="36">
        <v>12935844.278141126</v>
      </c>
      <c r="AF231" s="36">
        <v>10689383.666624308</v>
      </c>
      <c r="AG231" s="36">
        <v>3007569.3860766441</v>
      </c>
      <c r="AH231" s="36">
        <v>2756717.0185565352</v>
      </c>
      <c r="AI231" s="36">
        <v>5550973.0201653242</v>
      </c>
      <c r="AJ231" s="36">
        <v>-6909930.063581273</v>
      </c>
      <c r="AK231" s="36">
        <v>5948628.2160574496</v>
      </c>
      <c r="AL231" s="36">
        <v>9017305.7968154252</v>
      </c>
      <c r="AM231" s="36">
        <v>-3187636.5753085911</v>
      </c>
    </row>
    <row r="232" spans="30:39" ht="15.75" customHeight="1">
      <c r="AD232" s="95">
        <v>158</v>
      </c>
      <c r="AE232" s="36">
        <v>1542941.6236450672</v>
      </c>
      <c r="AF232" s="36">
        <v>8708865.366062969</v>
      </c>
      <c r="AG232" s="36">
        <v>15817139.901681989</v>
      </c>
      <c r="AH232" s="36">
        <v>4478678.7850448042</v>
      </c>
      <c r="AI232" s="36">
        <v>9209870.816544205</v>
      </c>
      <c r="AJ232" s="36">
        <v>-3938969.0872799158</v>
      </c>
      <c r="AK232" s="36">
        <v>8783517.5252800137</v>
      </c>
      <c r="AL232" s="36">
        <v>-1374320.8512192667</v>
      </c>
      <c r="AM232" s="36">
        <v>-12355181.184942141</v>
      </c>
    </row>
    <row r="233" spans="30:39" ht="15.75" customHeight="1">
      <c r="AD233" s="95">
        <v>159</v>
      </c>
      <c r="AE233" s="36">
        <v>7079618.2305043787</v>
      </c>
      <c r="AF233" s="36">
        <v>10169409.914834931</v>
      </c>
      <c r="AG233" s="36">
        <v>-1881915.4347906113</v>
      </c>
      <c r="AH233" s="36">
        <v>4486050.6894731522</v>
      </c>
      <c r="AI233" s="36">
        <v>6962375.3204838634</v>
      </c>
      <c r="AJ233" s="36">
        <v>3954664.8709198833</v>
      </c>
      <c r="AK233" s="36">
        <v>-114312.92338502407</v>
      </c>
      <c r="AL233" s="36">
        <v>-2679710.6257076114</v>
      </c>
      <c r="AM233" s="36">
        <v>4842536.7813424468</v>
      </c>
    </row>
    <row r="234" spans="30:39" ht="15.75" customHeight="1">
      <c r="AD234" s="95">
        <v>160</v>
      </c>
      <c r="AE234" s="36">
        <v>7911072.9838888496</v>
      </c>
      <c r="AF234" s="36">
        <v>1886226.1226675063</v>
      </c>
      <c r="AG234" s="36">
        <v>11054378.143059045</v>
      </c>
      <c r="AH234" s="36">
        <v>-8239161.3159849942</v>
      </c>
      <c r="AI234" s="36">
        <v>1367357.5714104772</v>
      </c>
      <c r="AJ234" s="36">
        <v>-886030.59977921844</v>
      </c>
      <c r="AK234" s="36">
        <v>7049721.5232071579</v>
      </c>
      <c r="AL234" s="36">
        <v>7813859.5957880318</v>
      </c>
      <c r="AM234" s="36">
        <v>-5047390.9406046718</v>
      </c>
    </row>
    <row r="235" spans="30:39" ht="15.75" customHeight="1">
      <c r="AD235" s="95">
        <v>161</v>
      </c>
      <c r="AE235" s="36">
        <v>7087394.9499764889</v>
      </c>
      <c r="AF235" s="36">
        <v>8652320.3694889396</v>
      </c>
      <c r="AG235" s="36">
        <v>1344701.5176388323</v>
      </c>
      <c r="AH235" s="36">
        <v>10524932.051399976</v>
      </c>
      <c r="AI235" s="36">
        <v>9500765.1647922099</v>
      </c>
      <c r="AJ235" s="36">
        <v>-22817.79210691154</v>
      </c>
      <c r="AK235" s="36">
        <v>6837124.8693393171</v>
      </c>
      <c r="AL235" s="36">
        <v>-1747246.269545421</v>
      </c>
      <c r="AM235" s="36">
        <v>4806290.9697330147</v>
      </c>
    </row>
    <row r="236" spans="30:39" ht="15.75" customHeight="1">
      <c r="AD236" s="95">
        <v>162</v>
      </c>
      <c r="AE236" s="36">
        <v>5843926.0452014506</v>
      </c>
      <c r="AF236" s="36">
        <v>-1246825.094947964</v>
      </c>
      <c r="AG236" s="36">
        <v>3302128.3683931231</v>
      </c>
      <c r="AH236" s="36">
        <v>-1630958.5282068849</v>
      </c>
      <c r="AI236" s="36">
        <v>10106601.486979216</v>
      </c>
      <c r="AJ236" s="36">
        <v>-911230.85882033408</v>
      </c>
      <c r="AK236" s="36">
        <v>-4644433.5598183721</v>
      </c>
      <c r="AL236" s="36">
        <v>-5968338.8018948585</v>
      </c>
      <c r="AM236" s="36">
        <v>645991.61028657854</v>
      </c>
    </row>
    <row r="237" spans="30:39" ht="15.75" customHeight="1">
      <c r="AD237" s="95">
        <v>163</v>
      </c>
      <c r="AE237" s="36">
        <v>10797440.302671283</v>
      </c>
      <c r="AF237" s="36">
        <v>4025663.9354402721</v>
      </c>
      <c r="AG237" s="36">
        <v>11621939.728546605</v>
      </c>
      <c r="AH237" s="36">
        <v>-2691705.9822151661</v>
      </c>
      <c r="AI237" s="36">
        <v>5525838.0558215082</v>
      </c>
      <c r="AJ237" s="36">
        <v>-3419694.6620884687</v>
      </c>
      <c r="AK237" s="36">
        <v>1367960.1340978742</v>
      </c>
      <c r="AL237" s="36">
        <v>7179979.8974497467</v>
      </c>
      <c r="AM237" s="36">
        <v>-1678766.4111748189</v>
      </c>
    </row>
    <row r="238" spans="30:39" ht="15.75" customHeight="1">
      <c r="AD238" s="95">
        <v>164</v>
      </c>
      <c r="AE238" s="36">
        <v>9683477.4768379182</v>
      </c>
      <c r="AF238" s="36">
        <v>9813939.9862960875</v>
      </c>
      <c r="AG238" s="36">
        <v>7297993.6802211553</v>
      </c>
      <c r="AH238" s="36">
        <v>-5425482.8097375333</v>
      </c>
      <c r="AI238" s="36">
        <v>11731587.151491821</v>
      </c>
      <c r="AJ238" s="36">
        <v>-6480213.2714092731</v>
      </c>
      <c r="AK238" s="36">
        <v>3144530.8346964121</v>
      </c>
      <c r="AL238" s="36">
        <v>-1658013.5088299662</v>
      </c>
      <c r="AM238" s="36">
        <v>-6505132.6899790466</v>
      </c>
    </row>
    <row r="239" spans="30:39" ht="15.75" customHeight="1">
      <c r="AD239" s="95">
        <v>165</v>
      </c>
      <c r="AE239" s="36">
        <v>-1227899.8204372972</v>
      </c>
      <c r="AF239" s="36">
        <v>910634.48066478968</v>
      </c>
      <c r="AG239" s="36">
        <v>1582406.7253973633</v>
      </c>
      <c r="AH239" s="36">
        <v>5443345.354968518</v>
      </c>
      <c r="AI239" s="36">
        <v>-5502267.3742199987</v>
      </c>
      <c r="AJ239" s="36">
        <v>635317.12994596362</v>
      </c>
      <c r="AK239" s="36">
        <v>870918.60951118171</v>
      </c>
      <c r="AL239" s="36">
        <v>-2909343.2190129459</v>
      </c>
      <c r="AM239" s="36">
        <v>4072950.3436044455</v>
      </c>
    </row>
    <row r="240" spans="30:39" ht="15.75" customHeight="1">
      <c r="AD240" s="95">
        <v>166</v>
      </c>
      <c r="AE240" s="36">
        <v>1720448.8990816325</v>
      </c>
      <c r="AF240" s="36">
        <v>3686417.7914055586</v>
      </c>
      <c r="AG240" s="36">
        <v>3998787.6566802859</v>
      </c>
      <c r="AH240" s="36">
        <v>6732810.4513899684</v>
      </c>
      <c r="AI240" s="36">
        <v>6593162.4047283828</v>
      </c>
      <c r="AJ240" s="36">
        <v>7605495.6729711294</v>
      </c>
      <c r="AK240" s="36">
        <v>6199057.1755130589</v>
      </c>
      <c r="AL240" s="36">
        <v>-2387349.25764516</v>
      </c>
      <c r="AM240" s="36">
        <v>-5796727.3570334613</v>
      </c>
    </row>
    <row r="241" spans="30:39" ht="15.75" customHeight="1">
      <c r="AD241" s="95">
        <v>167</v>
      </c>
      <c r="AE241" s="36">
        <v>8231120.3322167546</v>
      </c>
      <c r="AF241" s="36">
        <v>9109819.4425106049</v>
      </c>
      <c r="AG241" s="36">
        <v>9264937.0469727069</v>
      </c>
      <c r="AH241" s="36">
        <v>-5362410.7338162959</v>
      </c>
      <c r="AI241" s="36">
        <v>5963470.8907461613</v>
      </c>
      <c r="AJ241" s="36">
        <v>2822378.4041312635</v>
      </c>
      <c r="AK241" s="36">
        <v>7557956.0795670897</v>
      </c>
      <c r="AL241" s="36">
        <v>-1569560.1042902768</v>
      </c>
      <c r="AM241" s="36">
        <v>6821589.2341939211</v>
      </c>
    </row>
    <row r="242" spans="30:39" ht="15.75" customHeight="1">
      <c r="AD242" s="95">
        <v>168</v>
      </c>
      <c r="AE242" s="36">
        <v>8095789.4239809364</v>
      </c>
      <c r="AF242" s="36">
        <v>4215479.3456325531</v>
      </c>
      <c r="AG242" s="36">
        <v>4143811.2402843237</v>
      </c>
      <c r="AH242" s="36">
        <v>1163211.9368990064</v>
      </c>
      <c r="AI242" s="36">
        <v>11788440.294378966</v>
      </c>
      <c r="AJ242" s="36">
        <v>-7451483.3231318295</v>
      </c>
      <c r="AK242" s="36">
        <v>1768170.294166714</v>
      </c>
      <c r="AL242" s="36">
        <v>-463466.0843103826</v>
      </c>
      <c r="AM242" s="36">
        <v>-9618493.4589456916</v>
      </c>
    </row>
    <row r="243" spans="30:39" ht="15.75" customHeight="1">
      <c r="AD243" s="95">
        <v>169</v>
      </c>
      <c r="AE243" s="36">
        <v>11042084.298987523</v>
      </c>
      <c r="AF243" s="36">
        <v>4870558.1062936783</v>
      </c>
      <c r="AG243" s="36">
        <v>10375654.042686492</v>
      </c>
      <c r="AH243" s="36">
        <v>5859426.1255797148</v>
      </c>
      <c r="AI243" s="36">
        <v>7878467.3942917883</v>
      </c>
      <c r="AJ243" s="36">
        <v>-2433004.3390660584</v>
      </c>
      <c r="AK243" s="36">
        <v>5958422.4085790217</v>
      </c>
      <c r="AL243" s="36">
        <v>3024286.1623519212</v>
      </c>
      <c r="AM243" s="36">
        <v>4210666.940489158</v>
      </c>
    </row>
    <row r="244" spans="30:39" ht="15.75" customHeight="1">
      <c r="AD244" s="95">
        <v>170</v>
      </c>
      <c r="AE244" s="36">
        <v>11037550.177825436</v>
      </c>
      <c r="AF244" s="36">
        <v>12219900.153664827</v>
      </c>
      <c r="AG244" s="36">
        <v>-7761248.8565068543</v>
      </c>
      <c r="AH244" s="36">
        <v>-7630618.1173298806</v>
      </c>
      <c r="AI244" s="36">
        <v>971399.42304746807</v>
      </c>
      <c r="AJ244" s="36">
        <v>-6506703.1141643077</v>
      </c>
      <c r="AK244" s="36">
        <v>6058842.0058848709</v>
      </c>
      <c r="AL244" s="36">
        <v>-10594777.053099737</v>
      </c>
      <c r="AM244" s="36">
        <v>1790871.3606239557</v>
      </c>
    </row>
    <row r="245" spans="30:39" ht="15.75" customHeight="1">
      <c r="AD245" s="95">
        <v>171</v>
      </c>
      <c r="AE245" s="36">
        <v>10273187.086441427</v>
      </c>
      <c r="AF245" s="36">
        <v>6409074.1009632349</v>
      </c>
      <c r="AG245" s="36">
        <v>7543022.3768601865</v>
      </c>
      <c r="AH245" s="36">
        <v>-1632122.620442912</v>
      </c>
      <c r="AI245" s="36">
        <v>-1958660.0675123781</v>
      </c>
      <c r="AJ245" s="36">
        <v>3139964.0532834083</v>
      </c>
      <c r="AK245" s="36">
        <v>13852426.303787559</v>
      </c>
      <c r="AL245" s="36">
        <v>-3697158.153671205</v>
      </c>
      <c r="AM245" s="36">
        <v>902182.27032873034</v>
      </c>
    </row>
    <row r="246" spans="30:39" ht="15.75" customHeight="1">
      <c r="AD246" s="95">
        <v>172</v>
      </c>
      <c r="AE246" s="36">
        <v>9057202.1034213603</v>
      </c>
      <c r="AF246" s="36">
        <v>7130450.8418184519</v>
      </c>
      <c r="AG246" s="36">
        <v>9201237.5481826961</v>
      </c>
      <c r="AH246" s="36">
        <v>2321873.1719370782</v>
      </c>
      <c r="AI246" s="36">
        <v>-2082348.0395272672</v>
      </c>
      <c r="AJ246" s="36">
        <v>-985379.29526594281</v>
      </c>
      <c r="AK246" s="36">
        <v>-6314652.49577941</v>
      </c>
      <c r="AL246" s="36">
        <v>2674723.8560382128</v>
      </c>
      <c r="AM246" s="36">
        <v>492743.03694114089</v>
      </c>
    </row>
    <row r="247" spans="30:39" ht="15.75" customHeight="1">
      <c r="AD247" s="95">
        <v>173</v>
      </c>
      <c r="AE247" s="36">
        <v>4953266.8528699279</v>
      </c>
      <c r="AF247" s="36">
        <v>8388235.2533532977</v>
      </c>
      <c r="AG247" s="36">
        <v>5635350.1681275517</v>
      </c>
      <c r="AH247" s="36">
        <v>-1670734.9839928746</v>
      </c>
      <c r="AI247" s="36">
        <v>1766565.7826569676</v>
      </c>
      <c r="AJ247" s="36">
        <v>1192487.0616362393</v>
      </c>
      <c r="AK247" s="36">
        <v>3147394.4700927734</v>
      </c>
      <c r="AL247" s="36">
        <v>3228547.2489533126</v>
      </c>
      <c r="AM247" s="36">
        <v>-8415870.4544251263</v>
      </c>
    </row>
    <row r="248" spans="30:39" ht="15.75" customHeight="1">
      <c r="AD248" s="95">
        <v>174</v>
      </c>
      <c r="AE248" s="36">
        <v>11811392.75561288</v>
      </c>
      <c r="AF248" s="36">
        <v>8701351.1497365832</v>
      </c>
      <c r="AG248" s="36">
        <v>189040.16268746555</v>
      </c>
      <c r="AH248" s="36">
        <v>17863930.772413462</v>
      </c>
      <c r="AI248" s="36">
        <v>-2564533.831454441</v>
      </c>
      <c r="AJ248" s="36">
        <v>6424995.8037009835</v>
      </c>
      <c r="AK248" s="36">
        <v>-6260975.8060604781</v>
      </c>
      <c r="AL248" s="36">
        <v>1843691.2000719607</v>
      </c>
      <c r="AM248" s="36">
        <v>-7618209.4912564605</v>
      </c>
    </row>
    <row r="249" spans="30:39" ht="15.75" customHeight="1">
      <c r="AD249" s="95">
        <v>175</v>
      </c>
      <c r="AE249" s="36">
        <v>-8694427.7306553423</v>
      </c>
      <c r="AF249" s="36">
        <v>14907252.803399175</v>
      </c>
      <c r="AG249" s="36">
        <v>10997183.63789016</v>
      </c>
      <c r="AH249" s="36">
        <v>6768123.3729737103</v>
      </c>
      <c r="AI249" s="36">
        <v>7071263.0119390488</v>
      </c>
      <c r="AJ249" s="36">
        <v>3333639.0722851008</v>
      </c>
      <c r="AK249" s="36">
        <v>-9350459.2146375179</v>
      </c>
      <c r="AL249" s="36">
        <v>-3562457.5714675039</v>
      </c>
      <c r="AM249" s="36">
        <v>-3879206.5222112089</v>
      </c>
    </row>
    <row r="250" spans="30:39" ht="15.75" customHeight="1">
      <c r="AD250" s="95">
        <v>176</v>
      </c>
      <c r="AE250" s="36">
        <v>5922245.3230688125</v>
      </c>
      <c r="AF250" s="36">
        <v>13246964.15660271</v>
      </c>
      <c r="AG250" s="36">
        <v>2104377.1623314321</v>
      </c>
      <c r="AH250" s="36">
        <v>7015760.2249912769</v>
      </c>
      <c r="AI250" s="36">
        <v>7945670.0037427545</v>
      </c>
      <c r="AJ250" s="36">
        <v>-655908.87265956402</v>
      </c>
      <c r="AK250" s="36">
        <v>6443228.1716076136</v>
      </c>
      <c r="AL250" s="36">
        <v>639894.91179065406</v>
      </c>
      <c r="AM250" s="36">
        <v>-5237526.2604590058</v>
      </c>
    </row>
    <row r="251" spans="30:39" ht="15.75" customHeight="1">
      <c r="AD251" s="95">
        <v>177</v>
      </c>
      <c r="AE251" s="36">
        <v>6350365.7920116931</v>
      </c>
      <c r="AF251" s="36">
        <v>16620528.145340607</v>
      </c>
      <c r="AG251" s="36">
        <v>9133769.607647717</v>
      </c>
      <c r="AH251" s="36">
        <v>5860189.6451938599</v>
      </c>
      <c r="AI251" s="36">
        <v>9730681.9479413629</v>
      </c>
      <c r="AJ251" s="36">
        <v>3647313.380789116</v>
      </c>
      <c r="AK251" s="36">
        <v>-11828999.45373413</v>
      </c>
      <c r="AL251" s="36">
        <v>372093.33323894441</v>
      </c>
      <c r="AM251" s="36">
        <v>-2174747.3496547937</v>
      </c>
    </row>
    <row r="252" spans="30:39" ht="15.75" customHeight="1">
      <c r="AD252" s="95">
        <v>178</v>
      </c>
      <c r="AE252" s="36">
        <v>10788736.625557512</v>
      </c>
      <c r="AF252" s="36">
        <v>3949205.0731374025</v>
      </c>
      <c r="AG252" s="36">
        <v>-1953012.2066213638</v>
      </c>
      <c r="AH252" s="36">
        <v>-4979603.6986779571</v>
      </c>
      <c r="AI252" s="36">
        <v>6289733.3804888427</v>
      </c>
      <c r="AJ252" s="36">
        <v>12030733.891681522</v>
      </c>
      <c r="AK252" s="36">
        <v>-7756920.5107304454</v>
      </c>
      <c r="AL252" s="36">
        <v>8773940.7097880542</v>
      </c>
      <c r="AM252" s="36">
        <v>-3033484.1707923412</v>
      </c>
    </row>
    <row r="253" spans="30:39" ht="15.75" customHeight="1">
      <c r="AD253" s="95">
        <v>179</v>
      </c>
      <c r="AE253" s="36">
        <v>5819388.3148858249</v>
      </c>
      <c r="AF253" s="36">
        <v>10468305.054602951</v>
      </c>
      <c r="AG253" s="36">
        <v>13736153.836764425</v>
      </c>
      <c r="AH253" s="36">
        <v>2610165.6299658716</v>
      </c>
      <c r="AI253" s="36">
        <v>3444619.5514447093</v>
      </c>
      <c r="AJ253" s="36">
        <v>10044956.650928348</v>
      </c>
      <c r="AK253" s="36">
        <v>-10677026.061931551</v>
      </c>
      <c r="AL253" s="36">
        <v>-2300139.8499317765</v>
      </c>
      <c r="AM253" s="36">
        <v>-1024278.0436054915</v>
      </c>
    </row>
    <row r="254" spans="30:39" ht="15.75" customHeight="1">
      <c r="AD254" s="95">
        <v>180</v>
      </c>
      <c r="AE254" s="36">
        <v>7675872.3766204715</v>
      </c>
      <c r="AF254" s="36">
        <v>8265082.1371758282</v>
      </c>
      <c r="AG254" s="36">
        <v>1429892.6403656453</v>
      </c>
      <c r="AH254" s="36">
        <v>2004860.2010727078</v>
      </c>
      <c r="AI254" s="36">
        <v>7522968.4053463638</v>
      </c>
      <c r="AJ254" s="36">
        <v>6335236.7965654433</v>
      </c>
      <c r="AK254" s="36">
        <v>857510.30770458281</v>
      </c>
      <c r="AL254" s="36">
        <v>-5421971.3222556412</v>
      </c>
      <c r="AM254" s="36">
        <v>-4909284.0313125998</v>
      </c>
    </row>
    <row r="255" spans="30:39" ht="15.75" customHeight="1">
      <c r="AD255" s="95">
        <v>181</v>
      </c>
      <c r="AE255" s="36">
        <v>-2282670.2149668485</v>
      </c>
      <c r="AF255" s="36">
        <v>4450032.0450694561</v>
      </c>
      <c r="AG255" s="36">
        <v>3518896.0763071477</v>
      </c>
      <c r="AH255" s="36">
        <v>7039205.4076534808</v>
      </c>
      <c r="AI255" s="36">
        <v>6030044.8218088299</v>
      </c>
      <c r="AJ255" s="36">
        <v>2252314.423049584</v>
      </c>
      <c r="AK255" s="36">
        <v>2478202.6821258962</v>
      </c>
      <c r="AL255" s="36">
        <v>-5778802.5799809098</v>
      </c>
      <c r="AM255" s="36">
        <v>-2055012.2923471183</v>
      </c>
    </row>
    <row r="256" spans="30:39" ht="15.75" customHeight="1">
      <c r="AD256" s="95">
        <v>182</v>
      </c>
      <c r="AE256" s="36">
        <v>9975772.5123279542</v>
      </c>
      <c r="AF256" s="36">
        <v>9033411.6740892678</v>
      </c>
      <c r="AG256" s="36">
        <v>162096.97657085955</v>
      </c>
      <c r="AH256" s="36">
        <v>6944516.1683467627</v>
      </c>
      <c r="AI256" s="36">
        <v>-7101645.6273865849</v>
      </c>
      <c r="AJ256" s="36">
        <v>-2993994.5696489662</v>
      </c>
      <c r="AK256" s="36">
        <v>13197901.9559367</v>
      </c>
      <c r="AL256" s="36">
        <v>5013749.1888062358</v>
      </c>
      <c r="AM256" s="36">
        <v>13305460.400255486</v>
      </c>
    </row>
    <row r="257" spans="30:39" ht="15.75" customHeight="1">
      <c r="AD257" s="95">
        <v>183</v>
      </c>
      <c r="AE257" s="36">
        <v>17581721.065314487</v>
      </c>
      <c r="AF257" s="36">
        <v>-23005.398976072669</v>
      </c>
      <c r="AG257" s="36">
        <v>-2920910.5794190913</v>
      </c>
      <c r="AH257" s="36">
        <v>-3121489.6099602282</v>
      </c>
      <c r="AI257" s="36">
        <v>-2045872.131532982</v>
      </c>
      <c r="AJ257" s="36">
        <v>7642445.4208991081</v>
      </c>
      <c r="AK257" s="36">
        <v>10066006.721063361</v>
      </c>
      <c r="AL257" s="36">
        <v>-4470883.8058797121</v>
      </c>
      <c r="AM257" s="36">
        <v>-1000081.6581285</v>
      </c>
    </row>
    <row r="258" spans="30:39" ht="15.75" customHeight="1">
      <c r="AD258" s="95">
        <v>184</v>
      </c>
      <c r="AE258" s="36">
        <v>4238706.1006505191</v>
      </c>
      <c r="AF258" s="36">
        <v>-667597.47486498952</v>
      </c>
      <c r="AG258" s="36">
        <v>10442821.320921242</v>
      </c>
      <c r="AH258" s="36">
        <v>7930731.1652806997</v>
      </c>
      <c r="AI258" s="36">
        <v>1103742.8421115726</v>
      </c>
      <c r="AJ258" s="36">
        <v>-3334748.5935402066</v>
      </c>
      <c r="AK258" s="36">
        <v>-7825707.8860892355</v>
      </c>
      <c r="AL258" s="36">
        <v>1810423.377647236</v>
      </c>
      <c r="AM258" s="36">
        <v>-875557.21832573414</v>
      </c>
    </row>
    <row r="259" spans="30:39" ht="15.75" customHeight="1">
      <c r="AD259" s="95">
        <v>185</v>
      </c>
      <c r="AE259" s="36">
        <v>7835678.5228401721</v>
      </c>
      <c r="AF259" s="36">
        <v>15010988.766103029</v>
      </c>
      <c r="AG259" s="36">
        <v>-3213051.863971293</v>
      </c>
      <c r="AH259" s="36">
        <v>3916198.3556808978</v>
      </c>
      <c r="AI259" s="36">
        <v>11267271.64476794</v>
      </c>
      <c r="AJ259" s="36">
        <v>-123506.44682183862</v>
      </c>
      <c r="AK259" s="36">
        <v>4606287.6471731067</v>
      </c>
      <c r="AL259" s="36">
        <v>-12564629.341413677</v>
      </c>
      <c r="AM259" s="36">
        <v>-3659688.5088359863</v>
      </c>
    </row>
    <row r="260" spans="30:39" ht="15.75" customHeight="1">
      <c r="AD260" s="95">
        <v>186</v>
      </c>
      <c r="AE260" s="36">
        <v>5285963.5992969871</v>
      </c>
      <c r="AF260" s="36">
        <v>3037412.0643445104</v>
      </c>
      <c r="AG260" s="36">
        <v>-835373.59604951739</v>
      </c>
      <c r="AH260" s="36">
        <v>3575164.6116928458</v>
      </c>
      <c r="AI260" s="36">
        <v>-6125386.1452223659</v>
      </c>
      <c r="AJ260" s="36">
        <v>5921667.5499628484</v>
      </c>
      <c r="AK260" s="36">
        <v>-11381439.129731774</v>
      </c>
      <c r="AL260" s="36">
        <v>481830.99157638848</v>
      </c>
      <c r="AM260" s="36">
        <v>-6166001.1569519043</v>
      </c>
    </row>
    <row r="261" spans="30:39" ht="15.75" customHeight="1">
      <c r="AD261" s="95">
        <v>187</v>
      </c>
      <c r="AE261" s="36">
        <v>2184800.0362113118</v>
      </c>
      <c r="AF261" s="36">
        <v>-1755133.8369797468</v>
      </c>
      <c r="AG261" s="36">
        <v>-480727.22385105491</v>
      </c>
      <c r="AH261" s="36">
        <v>5807077.5773322135</v>
      </c>
      <c r="AI261" s="36">
        <v>-1060044.0406246483</v>
      </c>
      <c r="AJ261" s="36">
        <v>4812241.4899807274</v>
      </c>
      <c r="AK261" s="36">
        <v>-1148725.8357456625</v>
      </c>
      <c r="AL261" s="36">
        <v>-9603656.4362976551</v>
      </c>
      <c r="AM261" s="36">
        <v>7594882.4481855333</v>
      </c>
    </row>
    <row r="262" spans="30:39" ht="15.75" customHeight="1">
      <c r="AD262" s="95">
        <v>188</v>
      </c>
      <c r="AE262" s="36">
        <v>14876925.860860229</v>
      </c>
      <c r="AF262" s="36">
        <v>-6492341.5707908422</v>
      </c>
      <c r="AG262" s="36">
        <v>15109458.18082419</v>
      </c>
      <c r="AH262" s="36">
        <v>2959909.7952113599</v>
      </c>
      <c r="AI262" s="36">
        <v>10361820.08803384</v>
      </c>
      <c r="AJ262" s="36">
        <v>67386.686715245247</v>
      </c>
      <c r="AK262" s="36">
        <v>-5017288.3039293587</v>
      </c>
      <c r="AL262" s="36">
        <v>-236615.11663867533</v>
      </c>
      <c r="AM262" s="36">
        <v>-628005.03344982862</v>
      </c>
    </row>
    <row r="263" spans="30:39" ht="15.75" customHeight="1">
      <c r="AD263" s="95">
        <v>189</v>
      </c>
      <c r="AE263" s="36">
        <v>7573999.3159667253</v>
      </c>
      <c r="AF263" s="36">
        <v>10605947.694502801</v>
      </c>
      <c r="AG263" s="36">
        <v>12250564.357839018</v>
      </c>
      <c r="AH263" s="36">
        <v>-8129110.6967967004</v>
      </c>
      <c r="AI263" s="36">
        <v>5812260.9813380986</v>
      </c>
      <c r="AJ263" s="36">
        <v>-256859.41163629293</v>
      </c>
      <c r="AK263" s="36">
        <v>-8145325.4470273256</v>
      </c>
      <c r="AL263" s="36">
        <v>7752115.9987258017</v>
      </c>
      <c r="AM263" s="36">
        <v>-6855429.1408907473</v>
      </c>
    </row>
    <row r="264" spans="30:39" ht="15.75" customHeight="1">
      <c r="AD264" s="95">
        <v>190</v>
      </c>
      <c r="AE264" s="36">
        <v>11044642.0742843</v>
      </c>
      <c r="AF264" s="36">
        <v>1964579.675879389</v>
      </c>
      <c r="AG264" s="36">
        <v>-157045.65565690398</v>
      </c>
      <c r="AH264" s="36">
        <v>8087306.4620709121</v>
      </c>
      <c r="AI264" s="36">
        <v>-7258359.7832886875</v>
      </c>
      <c r="AJ264" s="36">
        <v>2538819.1500519812</v>
      </c>
      <c r="AK264" s="36">
        <v>3802779.8977561295</v>
      </c>
      <c r="AL264" s="36">
        <v>-59294.172320783138</v>
      </c>
      <c r="AM264" s="36">
        <v>2775999.4094504863</v>
      </c>
    </row>
    <row r="265" spans="30:39" ht="15.75" customHeight="1">
      <c r="AD265" s="95">
        <v>191</v>
      </c>
      <c r="AE265" s="36">
        <v>-78519.178106322885</v>
      </c>
      <c r="AF265" s="36">
        <v>9596174.5864751935</v>
      </c>
      <c r="AG265" s="36">
        <v>947140.48707188666</v>
      </c>
      <c r="AH265" s="36">
        <v>-2648349.9271857738</v>
      </c>
      <c r="AI265" s="36">
        <v>13576507.806363657</v>
      </c>
      <c r="AJ265" s="36">
        <v>-7310239.6862767935</v>
      </c>
      <c r="AK265" s="36">
        <v>-3768237.5072702467</v>
      </c>
      <c r="AL265" s="36">
        <v>4949975.1961666346</v>
      </c>
      <c r="AM265" s="36">
        <v>-8137803.0675498843</v>
      </c>
    </row>
    <row r="266" spans="30:39" ht="15.75" customHeight="1">
      <c r="AD266" s="95">
        <v>192</v>
      </c>
      <c r="AE266" s="36">
        <v>7507475.3886101693</v>
      </c>
      <c r="AF266" s="36">
        <v>-1424222.3666622043</v>
      </c>
      <c r="AG266" s="36">
        <v>-3269600.3652413338</v>
      </c>
      <c r="AH266" s="36">
        <v>4280798.1816637516</v>
      </c>
      <c r="AI266" s="36">
        <v>-11545790.391895071</v>
      </c>
      <c r="AJ266" s="36">
        <v>2053473.859923318</v>
      </c>
      <c r="AK266" s="36">
        <v>1479823.6998024434</v>
      </c>
      <c r="AL266" s="36">
        <v>764523.69942499697</v>
      </c>
      <c r="AM266" s="36">
        <v>-6397158.2141747028</v>
      </c>
    </row>
    <row r="267" spans="30:39" ht="15.75" customHeight="1">
      <c r="AD267" s="95">
        <v>193</v>
      </c>
      <c r="AE267" s="36">
        <v>12063262.189051598</v>
      </c>
      <c r="AF267" s="36">
        <v>7796919.9518291354</v>
      </c>
      <c r="AG267" s="36">
        <v>4607830.6005741209</v>
      </c>
      <c r="AH267" s="36">
        <v>2231314.367601335</v>
      </c>
      <c r="AI267" s="36">
        <v>836215.64146320522</v>
      </c>
      <c r="AJ267" s="36">
        <v>5493074.6353842318</v>
      </c>
      <c r="AK267" s="36">
        <v>10891190.718696818</v>
      </c>
      <c r="AL267" s="36">
        <v>8074552.199061498</v>
      </c>
      <c r="AM267" s="36">
        <v>3886342.3306094408</v>
      </c>
    </row>
    <row r="268" spans="30:39" ht="15.75" customHeight="1">
      <c r="AD268" s="95">
        <v>194</v>
      </c>
      <c r="AE268" s="36">
        <v>1418456.421466276</v>
      </c>
      <c r="AF268" s="36">
        <v>5426612.0148721933</v>
      </c>
      <c r="AG268" s="36">
        <v>11858009.155068889</v>
      </c>
      <c r="AH268" s="36">
        <v>-4791354.8605011106</v>
      </c>
      <c r="AI268" s="36">
        <v>115161.48232552409</v>
      </c>
      <c r="AJ268" s="36">
        <v>6570362.7642722577</v>
      </c>
      <c r="AK268" s="36">
        <v>1313833.0526722223</v>
      </c>
      <c r="AL268" s="36">
        <v>-8423802.7221292257</v>
      </c>
      <c r="AM268" s="36">
        <v>-17749884.998113915</v>
      </c>
    </row>
    <row r="269" spans="30:39" ht="15.75" customHeight="1">
      <c r="AD269" s="95">
        <v>195</v>
      </c>
      <c r="AE269" s="36">
        <v>11212210.892921984</v>
      </c>
      <c r="AF269" s="36">
        <v>1165895.3318281472</v>
      </c>
      <c r="AG269" s="36">
        <v>-127921.8311406076</v>
      </c>
      <c r="AH269" s="36">
        <v>9875355.8898672462</v>
      </c>
      <c r="AI269" s="36">
        <v>-2786655.0783873051</v>
      </c>
      <c r="AJ269" s="36">
        <v>7453625.6814031005</v>
      </c>
      <c r="AK269" s="36">
        <v>5890246.6133400798</v>
      </c>
      <c r="AL269" s="36">
        <v>12121700.052819163</v>
      </c>
      <c r="AM269" s="36">
        <v>1380580.0338502228</v>
      </c>
    </row>
    <row r="270" spans="30:39" ht="15.75" customHeight="1">
      <c r="AD270" s="95">
        <v>196</v>
      </c>
      <c r="AE270" s="36">
        <v>9388869.084827289</v>
      </c>
      <c r="AF270" s="36">
        <v>5040913.5696696639</v>
      </c>
      <c r="AG270" s="36">
        <v>8384974.9205070585</v>
      </c>
      <c r="AH270" s="36">
        <v>4187596.6641751528</v>
      </c>
      <c r="AI270" s="36">
        <v>4356257.2133449167</v>
      </c>
      <c r="AJ270" s="36">
        <v>452475.85065814853</v>
      </c>
      <c r="AK270" s="36">
        <v>2847198.8729755729</v>
      </c>
      <c r="AL270" s="36">
        <v>9309395.5067759603</v>
      </c>
      <c r="AM270" s="36">
        <v>-6765402.1954583824</v>
      </c>
    </row>
    <row r="271" spans="30:39" ht="15.75" customHeight="1">
      <c r="AD271" s="95">
        <v>197</v>
      </c>
      <c r="AE271" s="36">
        <v>-848547.38982623816</v>
      </c>
      <c r="AF271" s="36">
        <v>10564290.48148194</v>
      </c>
      <c r="AG271" s="36">
        <v>15526111.347816914</v>
      </c>
      <c r="AH271" s="36">
        <v>12136531.849168509</v>
      </c>
      <c r="AI271" s="36">
        <v>4870990.9468596578</v>
      </c>
      <c r="AJ271" s="36">
        <v>681379.39979363978</v>
      </c>
      <c r="AK271" s="36">
        <v>-1145048.2888220698</v>
      </c>
      <c r="AL271" s="36">
        <v>-7544284.9977895766</v>
      </c>
      <c r="AM271" s="36">
        <v>6468944.2949444652</v>
      </c>
    </row>
    <row r="272" spans="30:39" ht="15.75" customHeight="1">
      <c r="AD272" s="95">
        <v>198</v>
      </c>
      <c r="AE272" s="36">
        <v>12459193.543487519</v>
      </c>
      <c r="AF272" s="36">
        <v>-3217668.9512408078</v>
      </c>
      <c r="AG272" s="36">
        <v>2196126.053285718</v>
      </c>
      <c r="AH272" s="36">
        <v>9929227.5233834982</v>
      </c>
      <c r="AI272" s="36">
        <v>-9872145.1962643564</v>
      </c>
      <c r="AJ272" s="36">
        <v>8116246.8126427233</v>
      </c>
      <c r="AK272" s="36">
        <v>-6228009.6909210086</v>
      </c>
      <c r="AL272" s="36">
        <v>-2198336.2710172534</v>
      </c>
      <c r="AM272" s="36">
        <v>3240082.1316237152</v>
      </c>
    </row>
    <row r="273" spans="30:39" ht="15.75" customHeight="1">
      <c r="AD273" s="95">
        <v>199</v>
      </c>
      <c r="AE273" s="36">
        <v>7241013.6269277632</v>
      </c>
      <c r="AF273" s="36">
        <v>8336920.1948048174</v>
      </c>
      <c r="AG273" s="36">
        <v>-664919.84325829148</v>
      </c>
      <c r="AH273" s="36">
        <v>-8142947.1348392218</v>
      </c>
      <c r="AI273" s="36">
        <v>-988419.02898317575</v>
      </c>
      <c r="AJ273" s="36">
        <v>-2420078.1672564745</v>
      </c>
      <c r="AK273" s="36">
        <v>-1185905.8933377713</v>
      </c>
      <c r="AL273" s="36">
        <v>5842891.7036854029</v>
      </c>
      <c r="AM273" s="36">
        <v>-1138749.8246826231</v>
      </c>
    </row>
    <row r="274" spans="30:39" ht="15.75" customHeight="1">
      <c r="AD274" s="95">
        <v>200</v>
      </c>
      <c r="AE274" s="36">
        <v>8270573.0462040454</v>
      </c>
      <c r="AF274" s="36">
        <v>5274048.2310382724</v>
      </c>
      <c r="AG274" s="36">
        <v>10600059.969770417</v>
      </c>
      <c r="AH274" s="36">
        <v>-3011336.9356743395</v>
      </c>
      <c r="AI274" s="36">
        <v>5421954.0157667249</v>
      </c>
      <c r="AJ274" s="36">
        <v>6949152.872968778</v>
      </c>
      <c r="AK274" s="36">
        <v>13201647.319137856</v>
      </c>
      <c r="AL274" s="36">
        <v>1124096.183913976</v>
      </c>
      <c r="AM274" s="36">
        <v>-2976804.8545732498</v>
      </c>
    </row>
  </sheetData>
  <conditionalFormatting sqref="F2:P1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Z14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70:AM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4"/>
    <outlinePr summaryBelow="0" summaryRight="0"/>
  </sheetPr>
  <dimension ref="A1:AF509"/>
  <sheetViews>
    <sheetView topLeftCell="F1" zoomScale="55" zoomScaleNormal="40" workbookViewId="0">
      <selection activeCell="J2" sqref="J2"/>
    </sheetView>
  </sheetViews>
  <sheetFormatPr defaultColWidth="12.6640625" defaultRowHeight="15.75" customHeight="1"/>
  <cols>
    <col min="2" max="2" width="18.6640625" style="36" bestFit="1" customWidth="1"/>
    <col min="3" max="3" width="19.44140625" style="36" bestFit="1" customWidth="1"/>
    <col min="4" max="4" width="17" style="36" bestFit="1" customWidth="1"/>
    <col min="5" max="5" width="19.33203125" style="36" bestFit="1" customWidth="1"/>
    <col min="6" max="7" width="17" style="36" bestFit="1" customWidth="1"/>
    <col min="8" max="8" width="21.77734375" style="36" customWidth="1"/>
    <col min="9" max="9" width="19.33203125" style="36" customWidth="1"/>
    <col min="10" max="10" width="19.44140625" style="36" customWidth="1"/>
    <col min="11" max="13" width="12.6640625" style="36"/>
    <col min="14" max="14" width="35.109375" style="36" bestFit="1" customWidth="1"/>
    <col min="15" max="16" width="18.33203125" style="36" bestFit="1" customWidth="1"/>
    <col min="17" max="17" width="16.44140625" style="36" bestFit="1" customWidth="1"/>
    <col min="18" max="21" width="14.6640625" style="36" bestFit="1" customWidth="1"/>
    <col min="22" max="22" width="12.6640625" style="36"/>
    <col min="23" max="23" width="14.77734375" style="36" bestFit="1" customWidth="1"/>
    <col min="24" max="24" width="12.6640625" style="36"/>
    <col min="25" max="25" width="14.6640625" style="36" bestFit="1" customWidth="1"/>
    <col min="26" max="27" width="12.6640625" style="36"/>
    <col min="28" max="28" width="13.6640625" style="36" bestFit="1" customWidth="1"/>
    <col min="29" max="16384" width="12.6640625" style="36"/>
  </cols>
  <sheetData>
    <row r="1" spans="1:32" ht="15.75" customHeight="1">
      <c r="A1" s="95"/>
      <c r="B1" s="95"/>
      <c r="C1" s="95"/>
      <c r="D1" s="95"/>
      <c r="E1" s="95"/>
      <c r="F1" s="95"/>
      <c r="G1" s="96" t="s">
        <v>123</v>
      </c>
      <c r="H1" s="95"/>
      <c r="I1" s="95"/>
      <c r="J1" s="95"/>
      <c r="AF1" s="36" t="s">
        <v>55</v>
      </c>
    </row>
    <row r="2" spans="1:32" ht="15.75" customHeight="1">
      <c r="A2" s="96" t="s">
        <v>122</v>
      </c>
      <c r="B2" s="71">
        <f>AVERAGE(B10:B509)</f>
        <v>56626935.347000003</v>
      </c>
      <c r="C2" s="71">
        <f t="shared" ref="C2:J2" si="0">AVERAGE(C10:C509)</f>
        <v>56626935.347000003</v>
      </c>
      <c r="D2" s="71">
        <f t="shared" si="0"/>
        <v>24372566.268875543</v>
      </c>
      <c r="E2" s="71">
        <f t="shared" si="0"/>
        <v>42694528.288918711</v>
      </c>
      <c r="F2" s="71">
        <f t="shared" si="0"/>
        <v>27238880.347291835</v>
      </c>
      <c r="G2" s="71">
        <f t="shared" si="0"/>
        <v>15000000</v>
      </c>
      <c r="H2" s="71">
        <f t="shared" si="0"/>
        <v>109305974.90508617</v>
      </c>
      <c r="I2" s="71">
        <f t="shared" si="0"/>
        <v>113253870.69400001</v>
      </c>
      <c r="J2" s="71">
        <f t="shared" si="0"/>
        <v>3947895.7889138716</v>
      </c>
      <c r="AF2" s="36">
        <v>0</v>
      </c>
    </row>
    <row r="3" spans="1:32" ht="15.75" customHeight="1">
      <c r="A3" s="96" t="s">
        <v>29</v>
      </c>
      <c r="B3" s="71">
        <f>MAX(B10:B509)</f>
        <v>63944690</v>
      </c>
      <c r="C3" s="71">
        <f t="shared" ref="C3:I3" si="1">MAX(C10:C509)</f>
        <v>63944690</v>
      </c>
      <c r="D3" s="71">
        <f t="shared" si="1"/>
        <v>26589954.338597964</v>
      </c>
      <c r="E3" s="71">
        <f t="shared" si="1"/>
        <v>45295807.186392441</v>
      </c>
      <c r="F3" s="71">
        <f t="shared" si="1"/>
        <v>31121934.175834607</v>
      </c>
      <c r="G3" s="71">
        <f t="shared" si="1"/>
        <v>15000000</v>
      </c>
      <c r="H3" s="71">
        <f t="shared" si="1"/>
        <v>115213740.50302303</v>
      </c>
      <c r="I3" s="71">
        <f t="shared" si="1"/>
        <v>127889380</v>
      </c>
      <c r="J3" s="71">
        <f>MAX(J10:J509)</f>
        <v>20939198.349444076</v>
      </c>
      <c r="AF3" s="36">
        <v>7.0000000000000007E-2</v>
      </c>
    </row>
    <row r="4" spans="1:32" ht="15.75" customHeight="1">
      <c r="A4" s="96" t="s">
        <v>28</v>
      </c>
      <c r="B4" s="71">
        <f>MIN(B10:B509)</f>
        <v>48343343</v>
      </c>
      <c r="C4" s="71">
        <f t="shared" ref="C4:J4" si="2">MIN(C10:C509)</f>
        <v>48343343</v>
      </c>
      <c r="D4" s="71">
        <f t="shared" si="2"/>
        <v>22030232.2357032</v>
      </c>
      <c r="E4" s="71">
        <f t="shared" si="2"/>
        <v>39974138.122945189</v>
      </c>
      <c r="F4" s="71">
        <f t="shared" si="2"/>
        <v>22654194.807916757</v>
      </c>
      <c r="G4" s="71">
        <f t="shared" si="2"/>
        <v>15000000</v>
      </c>
      <c r="H4" s="71">
        <f t="shared" si="2"/>
        <v>103056137.49112242</v>
      </c>
      <c r="I4" s="71">
        <f t="shared" si="2"/>
        <v>96686686</v>
      </c>
      <c r="J4" s="71">
        <f t="shared" si="2"/>
        <v>-14163782.617744967</v>
      </c>
      <c r="AF4" s="36">
        <v>0.17</v>
      </c>
    </row>
    <row r="5" spans="1:32" ht="15.75" customHeight="1">
      <c r="A5" s="36"/>
      <c r="E5" t="s">
        <v>10</v>
      </c>
      <c r="AF5" s="36">
        <v>0.27</v>
      </c>
    </row>
    <row r="6" spans="1:32" ht="15.75" customHeight="1">
      <c r="A6" s="36"/>
      <c r="C6" t="s">
        <v>10</v>
      </c>
      <c r="D6" t="s">
        <v>10</v>
      </c>
      <c r="E6" t="s">
        <v>10</v>
      </c>
      <c r="W6" s="71"/>
      <c r="AF6" s="36">
        <v>0.39</v>
      </c>
    </row>
    <row r="7" spans="1:32" ht="15.75" customHeight="1">
      <c r="A7" s="36"/>
      <c r="C7" t="s">
        <v>11</v>
      </c>
      <c r="D7" t="s">
        <v>10</v>
      </c>
      <c r="E7" t="s">
        <v>10</v>
      </c>
      <c r="W7" s="71"/>
      <c r="AF7" s="36">
        <v>0.54</v>
      </c>
    </row>
    <row r="8" spans="1:32" ht="15.75" customHeight="1">
      <c r="A8" s="152" t="s">
        <v>0</v>
      </c>
      <c r="B8" s="61" t="s">
        <v>1</v>
      </c>
      <c r="C8" s="61" t="s">
        <v>2</v>
      </c>
      <c r="D8" s="62" t="s">
        <v>3</v>
      </c>
      <c r="E8" s="62" t="s">
        <v>4</v>
      </c>
      <c r="F8" s="62" t="s">
        <v>5</v>
      </c>
      <c r="G8" s="62" t="s">
        <v>6</v>
      </c>
      <c r="H8" s="63" t="s">
        <v>7</v>
      </c>
      <c r="I8" s="153" t="s">
        <v>8</v>
      </c>
      <c r="J8" s="64" t="s">
        <v>9</v>
      </c>
      <c r="K8" s="36" t="s">
        <v>10</v>
      </c>
      <c r="N8" s="73"/>
      <c r="O8" s="53" t="s">
        <v>117</v>
      </c>
      <c r="P8" s="53" t="s">
        <v>118</v>
      </c>
      <c r="Q8" s="53" t="s">
        <v>9</v>
      </c>
      <c r="W8" s="71"/>
      <c r="X8" s="75" t="s">
        <v>140</v>
      </c>
      <c r="AF8" s="36">
        <v>0.69</v>
      </c>
    </row>
    <row r="9" spans="1:32" ht="15.75" customHeight="1">
      <c r="A9" s="152"/>
      <c r="B9" s="65">
        <f ca="1">'Przychody z biletów + analiza'!C31</f>
        <v>57161408</v>
      </c>
      <c r="C9" s="65">
        <f ca="1">B9</f>
        <v>57161408</v>
      </c>
      <c r="D9" s="66">
        <f ca="1">'Koszty paliwa'!C34</f>
        <v>23501158.131191138</v>
      </c>
      <c r="E9" s="66">
        <f ca="1">'Koszty pracowników'!T6</f>
        <v>43954443.107380219</v>
      </c>
      <c r="F9" s="67">
        <f ca="1">'Koszty napraw'!AD2</f>
        <v>27725251.956513174</v>
      </c>
      <c r="G9" s="66">
        <v>15000000</v>
      </c>
      <c r="H9" s="68">
        <f ca="1">SUM(D9:G9)</f>
        <v>110180853.19508454</v>
      </c>
      <c r="I9" s="154">
        <f ca="1">SUM(B9:C9)</f>
        <v>114322816</v>
      </c>
      <c r="J9" s="69">
        <f ca="1">I9-H9</f>
        <v>4141962.804915458</v>
      </c>
      <c r="K9" s="36" t="s">
        <v>10</v>
      </c>
      <c r="N9" s="72" t="s">
        <v>111</v>
      </c>
      <c r="O9" s="55">
        <f>AVERAGE(I10:I509)</f>
        <v>113253870.69400001</v>
      </c>
      <c r="P9" s="56">
        <f>AVERAGE(H10:H509)</f>
        <v>109305974.90508617</v>
      </c>
      <c r="Q9" s="57">
        <f>AVERAGE(J10:J509)</f>
        <v>3947895.7889138716</v>
      </c>
      <c r="AF9" s="36">
        <v>0.81</v>
      </c>
    </row>
    <row r="10" spans="1:32" ht="15.75" customHeight="1">
      <c r="A10" s="152">
        <v>1</v>
      </c>
      <c r="B10" s="150">
        <f t="dataTable" ref="B10:J509" dt2D="0" dtr="0" r1="L20" ca="1"/>
        <v>55510414.5</v>
      </c>
      <c r="C10" s="150">
        <v>55510414.5</v>
      </c>
      <c r="D10" s="151">
        <v>24851254.874584813</v>
      </c>
      <c r="E10" s="151">
        <v>42973595.867799997</v>
      </c>
      <c r="F10" s="151">
        <v>28458162.07243526</v>
      </c>
      <c r="G10" s="150">
        <v>15000000</v>
      </c>
      <c r="H10" s="150">
        <v>111283012.81482007</v>
      </c>
      <c r="I10" s="150">
        <v>111020829</v>
      </c>
      <c r="J10" s="151">
        <v>-262183.81482006609</v>
      </c>
      <c r="K10" s="151" t="s">
        <v>10</v>
      </c>
      <c r="N10" s="36" t="s">
        <v>112</v>
      </c>
      <c r="O10" s="55">
        <f>STDEVA(I10:I509)</f>
        <v>5258470.2378781941</v>
      </c>
      <c r="P10" s="56">
        <f>STDEVA(H10:H509)</f>
        <v>2081299.990346079</v>
      </c>
      <c r="Q10" s="57">
        <f>STDEVA(J10:J509)</f>
        <v>5693284.4198395964</v>
      </c>
      <c r="AF10" s="36">
        <v>0.87</v>
      </c>
    </row>
    <row r="11" spans="1:32" ht="15.75" customHeight="1">
      <c r="A11" s="152">
        <v>2</v>
      </c>
      <c r="B11" s="151">
        <v>54077268</v>
      </c>
      <c r="C11" s="150">
        <v>54077268</v>
      </c>
      <c r="D11" s="151">
        <v>26182385.434874695</v>
      </c>
      <c r="E11" s="151">
        <v>43287023.571015842</v>
      </c>
      <c r="F11" s="151">
        <v>25639933.834871169</v>
      </c>
      <c r="G11" s="150">
        <v>15000000</v>
      </c>
      <c r="H11" s="150">
        <v>110109342.84076171</v>
      </c>
      <c r="I11" s="150">
        <v>108154536</v>
      </c>
      <c r="J11" s="150">
        <v>-1954806.8407617062</v>
      </c>
      <c r="K11" s="151" t="s">
        <v>10</v>
      </c>
      <c r="M11" s="36" t="s">
        <v>10</v>
      </c>
      <c r="N11" s="72" t="s">
        <v>113</v>
      </c>
      <c r="O11" s="55">
        <f>NORMSINV(0.95)*O10/SQRT(200)</f>
        <v>611605.91816672473</v>
      </c>
      <c r="P11" s="56">
        <f>NORMSINV(0.95)*P10/SQRT(200)</f>
        <v>242073.32817189084</v>
      </c>
      <c r="Q11" s="57">
        <f>NORMSINV(0.95)*Q10/SQRT(200)</f>
        <v>662178.59709429857</v>
      </c>
      <c r="AF11" s="36">
        <v>0.92</v>
      </c>
    </row>
    <row r="12" spans="1:32" ht="15.75" customHeight="1">
      <c r="A12" s="152">
        <v>3</v>
      </c>
      <c r="B12" s="151">
        <v>53308001</v>
      </c>
      <c r="C12" s="150">
        <v>53308001</v>
      </c>
      <c r="D12" s="151">
        <v>23513269.33361369</v>
      </c>
      <c r="E12" s="151">
        <v>42515177.915309988</v>
      </c>
      <c r="F12" s="150">
        <v>25449671.697446119</v>
      </c>
      <c r="G12" s="150">
        <v>15000000</v>
      </c>
      <c r="H12" s="150">
        <v>106478118.9463698</v>
      </c>
      <c r="I12" s="150">
        <v>106616002</v>
      </c>
      <c r="J12" s="150">
        <v>137883.05363020301</v>
      </c>
      <c r="K12" s="151" t="s">
        <v>10</v>
      </c>
      <c r="L12" s="36" t="s">
        <v>10</v>
      </c>
      <c r="M12" s="36" t="s">
        <v>10</v>
      </c>
      <c r="N12" s="36" t="s">
        <v>114</v>
      </c>
      <c r="O12" s="55">
        <f>O9+O11</f>
        <v>113865476.61216673</v>
      </c>
      <c r="P12" s="56">
        <f>P9+P11</f>
        <v>109548048.23325807</v>
      </c>
      <c r="Q12" s="57">
        <f>Q9+Q11</f>
        <v>4610074.3860081704</v>
      </c>
      <c r="AF12" s="36">
        <v>0.97</v>
      </c>
    </row>
    <row r="13" spans="1:32" ht="15.75" customHeight="1">
      <c r="A13" s="152">
        <v>4</v>
      </c>
      <c r="B13" s="151">
        <v>55016506.5</v>
      </c>
      <c r="C13" s="150">
        <v>55016506.5</v>
      </c>
      <c r="D13" s="151">
        <v>25384615.051592018</v>
      </c>
      <c r="E13" s="151">
        <v>43021458.299412727</v>
      </c>
      <c r="F13" s="150">
        <v>25808503.815415982</v>
      </c>
      <c r="G13" s="150">
        <v>15000000</v>
      </c>
      <c r="H13" s="150">
        <v>109214577.16642073</v>
      </c>
      <c r="I13" s="150">
        <v>110033013</v>
      </c>
      <c r="J13" s="150">
        <v>818435.83357927203</v>
      </c>
      <c r="K13" s="151" t="s">
        <v>10</v>
      </c>
      <c r="L13" s="70" t="s">
        <v>10</v>
      </c>
      <c r="M13" s="73" t="s">
        <v>10</v>
      </c>
      <c r="N13" s="36" t="s">
        <v>115</v>
      </c>
      <c r="O13" s="55">
        <f>O9-O11</f>
        <v>112642264.77583328</v>
      </c>
      <c r="P13" s="56">
        <f>P9-P11</f>
        <v>109063901.57691428</v>
      </c>
      <c r="Q13" s="57">
        <f>Q9-Q11</f>
        <v>3285717.1918195728</v>
      </c>
      <c r="AF13" s="36">
        <v>1</v>
      </c>
    </row>
    <row r="14" spans="1:32" ht="15.75" customHeight="1">
      <c r="A14" s="152">
        <v>5</v>
      </c>
      <c r="B14" s="151">
        <v>55555618</v>
      </c>
      <c r="C14" s="151">
        <v>55555618</v>
      </c>
      <c r="D14" s="151">
        <v>24185836.644715689</v>
      </c>
      <c r="E14" s="150">
        <v>42498168.150776722</v>
      </c>
      <c r="F14" s="150">
        <v>28161667.303295217</v>
      </c>
      <c r="G14" s="150">
        <v>15000000</v>
      </c>
      <c r="H14" s="150">
        <v>109845672.09878764</v>
      </c>
      <c r="I14" s="150">
        <v>111111236</v>
      </c>
      <c r="J14" s="150">
        <v>1265563.9012123644</v>
      </c>
      <c r="K14" s="151" t="s">
        <v>10</v>
      </c>
      <c r="L14" s="70" t="s">
        <v>10</v>
      </c>
      <c r="M14" s="73" t="s">
        <v>10</v>
      </c>
      <c r="N14" s="74" t="s">
        <v>116</v>
      </c>
      <c r="O14" s="58">
        <f>SMALL(I10:I509,(1-0.95)*200)</f>
        <v>101992945</v>
      </c>
      <c r="P14" s="59">
        <f>SMALL(H10:H509,(1-0.95)*200)</f>
        <v>105022755.6031525</v>
      </c>
      <c r="Q14" s="60">
        <f>SMALL(J10:J509,(1-0.95)*200)</f>
        <v>-8013172.0122012198</v>
      </c>
    </row>
    <row r="15" spans="1:32" ht="15.75" customHeight="1">
      <c r="A15" s="152">
        <v>6</v>
      </c>
      <c r="B15" s="151">
        <v>57275023</v>
      </c>
      <c r="C15" s="151">
        <v>57275023</v>
      </c>
      <c r="D15" s="151">
        <v>24726051.802404135</v>
      </c>
      <c r="E15" s="150">
        <v>42943262.403754741</v>
      </c>
      <c r="F15" s="150">
        <v>27248841.325898036</v>
      </c>
      <c r="G15" s="150">
        <v>15000000</v>
      </c>
      <c r="H15" s="150">
        <v>109918155.53205691</v>
      </c>
      <c r="I15" s="150">
        <v>114550046</v>
      </c>
      <c r="J15" s="150">
        <v>4631890.4679430872</v>
      </c>
      <c r="K15" s="151" t="s">
        <v>10</v>
      </c>
      <c r="L15" s="70" t="s">
        <v>10</v>
      </c>
      <c r="M15" s="73" t="s">
        <v>10</v>
      </c>
      <c r="N15" s="36" t="s">
        <v>119</v>
      </c>
      <c r="Q15" s="54">
        <f>COUNTIF(J10:J509,"&gt; 0")/500</f>
        <v>0.75</v>
      </c>
    </row>
    <row r="16" spans="1:32" ht="15.75" customHeight="1">
      <c r="A16" s="152">
        <v>7</v>
      </c>
      <c r="B16" s="151">
        <v>57094411.5</v>
      </c>
      <c r="C16" s="151">
        <v>57094411.5</v>
      </c>
      <c r="D16" s="151">
        <v>24451129.152646057</v>
      </c>
      <c r="E16" s="150">
        <v>41689591.104735747</v>
      </c>
      <c r="F16" s="150">
        <v>27853625.072984844</v>
      </c>
      <c r="G16" s="150">
        <v>15000000</v>
      </c>
      <c r="H16" s="150">
        <v>108994345.33036664</v>
      </c>
      <c r="I16" s="150">
        <v>114188823</v>
      </c>
      <c r="J16" s="150">
        <v>5194477.6696333587</v>
      </c>
      <c r="K16" s="151" t="s">
        <v>10</v>
      </c>
      <c r="L16" s="70" t="s">
        <v>10</v>
      </c>
      <c r="M16" s="73" t="s">
        <v>10</v>
      </c>
    </row>
    <row r="17" spans="1:30" ht="15.75" customHeight="1">
      <c r="A17" s="152">
        <v>8</v>
      </c>
      <c r="B17" s="151">
        <v>56904458.5</v>
      </c>
      <c r="C17" s="151">
        <v>56904458.5</v>
      </c>
      <c r="D17" s="151">
        <v>22693463.505529121</v>
      </c>
      <c r="E17" s="150">
        <v>41595735.595205836</v>
      </c>
      <c r="F17" s="150">
        <v>28099939.169216413</v>
      </c>
      <c r="G17" s="150">
        <v>15000000</v>
      </c>
      <c r="H17" s="150">
        <v>107389138.26995137</v>
      </c>
      <c r="I17" s="150">
        <v>113808917</v>
      </c>
      <c r="J17" s="150">
        <v>6419778.7300486267</v>
      </c>
      <c r="K17" s="151" t="s">
        <v>10</v>
      </c>
      <c r="L17" s="70" t="s">
        <v>10</v>
      </c>
      <c r="O17" s="75" t="s">
        <v>10</v>
      </c>
      <c r="P17" s="73" t="s">
        <v>10</v>
      </c>
    </row>
    <row r="18" spans="1:30" ht="15.75" customHeight="1">
      <c r="A18" s="152">
        <v>9</v>
      </c>
      <c r="B18" s="151">
        <v>54945925.5</v>
      </c>
      <c r="C18" s="151">
        <v>54945925.5</v>
      </c>
      <c r="D18" s="150">
        <v>25789114.693617184</v>
      </c>
      <c r="E18" s="150">
        <v>43403174.724941045</v>
      </c>
      <c r="F18" s="150">
        <v>24733612.577589601</v>
      </c>
      <c r="G18" s="150">
        <v>15000000</v>
      </c>
      <c r="H18" s="150">
        <v>108925901.99614783</v>
      </c>
      <c r="I18" s="150">
        <v>109891851</v>
      </c>
      <c r="J18" s="150">
        <v>965949.00385217369</v>
      </c>
      <c r="K18" s="151" t="s">
        <v>10</v>
      </c>
      <c r="L18" s="70" t="s">
        <v>10</v>
      </c>
      <c r="M18" s="36" t="s">
        <v>10</v>
      </c>
      <c r="N18" s="70" t="s">
        <v>10</v>
      </c>
      <c r="O18" s="75" t="s">
        <v>10</v>
      </c>
      <c r="P18" s="73" t="s">
        <v>10</v>
      </c>
    </row>
    <row r="19" spans="1:30" ht="15.75" customHeight="1">
      <c r="A19" s="152">
        <v>10</v>
      </c>
      <c r="B19" s="151">
        <v>55169352.5</v>
      </c>
      <c r="C19" s="151">
        <v>55169352.5</v>
      </c>
      <c r="D19" s="150">
        <v>24450835.052094422</v>
      </c>
      <c r="E19" s="150">
        <v>42316200.135659799</v>
      </c>
      <c r="F19" s="150">
        <v>24162711.722930193</v>
      </c>
      <c r="G19" s="150">
        <v>15000000</v>
      </c>
      <c r="H19" s="150">
        <v>105929746.91068441</v>
      </c>
      <c r="I19" s="150">
        <v>110338705</v>
      </c>
      <c r="J19" s="150">
        <v>4408958.0893155932</v>
      </c>
      <c r="K19" s="151" t="s">
        <v>10</v>
      </c>
      <c r="L19" s="70" t="s">
        <v>10</v>
      </c>
      <c r="N19" s="111" t="s">
        <v>122</v>
      </c>
      <c r="O19" s="110">
        <f>AVERAGE(O25:O224)</f>
        <v>10774076.170497969</v>
      </c>
      <c r="P19" s="110">
        <f t="shared" ref="P19:U19" si="3">AVERAGE(P25:P224)</f>
        <v>8787614.2144894134</v>
      </c>
      <c r="Q19" s="110">
        <f t="shared" si="3"/>
        <v>5221659.517284967</v>
      </c>
      <c r="R19" s="110">
        <f t="shared" si="3"/>
        <v>4207598.1060066195</v>
      </c>
      <c r="S19" s="110">
        <f t="shared" si="3"/>
        <v>1826372.578179121</v>
      </c>
      <c r="T19" s="110">
        <f t="shared" si="3"/>
        <v>-475865.43133021309</v>
      </c>
      <c r="U19" s="110">
        <f t="shared" si="3"/>
        <v>-2075092.2169856713</v>
      </c>
    </row>
    <row r="20" spans="1:30" ht="15.75" customHeight="1">
      <c r="A20" s="152">
        <v>11</v>
      </c>
      <c r="B20" s="151">
        <v>57107301.5</v>
      </c>
      <c r="C20" s="151">
        <v>57107301.5</v>
      </c>
      <c r="D20" s="150">
        <v>22840407.921960056</v>
      </c>
      <c r="E20" s="150">
        <v>43148469.738428302</v>
      </c>
      <c r="F20" s="150">
        <v>27817945.215032242</v>
      </c>
      <c r="G20" s="150">
        <v>15000000</v>
      </c>
      <c r="H20" s="150">
        <v>108806822.8754206</v>
      </c>
      <c r="I20" s="150">
        <v>114214603</v>
      </c>
      <c r="J20" s="150">
        <v>5407780.1245793998</v>
      </c>
      <c r="K20" s="151" t="s">
        <v>10</v>
      </c>
      <c r="L20" s="70" t="s">
        <v>10</v>
      </c>
      <c r="N20" s="70" t="s">
        <v>10</v>
      </c>
      <c r="O20" s="75" t="s">
        <v>10</v>
      </c>
      <c r="P20" s="73" t="s">
        <v>10</v>
      </c>
      <c r="R20" s="36" t="s">
        <v>10</v>
      </c>
    </row>
    <row r="21" spans="1:30" ht="15.75" customHeight="1">
      <c r="A21" s="152">
        <v>12</v>
      </c>
      <c r="B21" s="151">
        <v>54879319.5</v>
      </c>
      <c r="C21" s="151">
        <v>54879319.5</v>
      </c>
      <c r="D21" s="150">
        <v>24436536.889628675</v>
      </c>
      <c r="E21" s="150">
        <v>42152126.469088502</v>
      </c>
      <c r="F21" s="150">
        <v>29241698.94893581</v>
      </c>
      <c r="G21" s="150">
        <v>15000000</v>
      </c>
      <c r="H21" s="150">
        <v>110830362.30765298</v>
      </c>
      <c r="I21" s="150">
        <v>109758639</v>
      </c>
      <c r="J21" s="150">
        <v>-1071723.3076529801</v>
      </c>
      <c r="K21" s="151" t="s">
        <v>10</v>
      </c>
      <c r="L21" s="70" t="s">
        <v>10</v>
      </c>
      <c r="N21" s="70" t="s">
        <v>10</v>
      </c>
      <c r="P21" s="73" t="s">
        <v>10</v>
      </c>
      <c r="R21" s="36" t="s">
        <v>11</v>
      </c>
    </row>
    <row r="22" spans="1:30" ht="15.75" customHeight="1">
      <c r="A22" s="152">
        <v>13</v>
      </c>
      <c r="B22" s="151">
        <v>54637153.5</v>
      </c>
      <c r="C22" s="151">
        <v>54637153.5</v>
      </c>
      <c r="D22" s="150">
        <v>24574145.264783531</v>
      </c>
      <c r="E22" s="150">
        <v>41697524.472620085</v>
      </c>
      <c r="F22" s="150">
        <v>26164918.799044088</v>
      </c>
      <c r="G22" s="150">
        <v>15000000</v>
      </c>
      <c r="H22" s="150">
        <v>107436588.5364477</v>
      </c>
      <c r="I22" s="150">
        <v>109274307</v>
      </c>
      <c r="J22" s="150">
        <v>1837718.4635522962</v>
      </c>
      <c r="K22" s="151" t="s">
        <v>10</v>
      </c>
      <c r="L22" s="70" t="s">
        <v>10</v>
      </c>
      <c r="N22" s="36" t="s">
        <v>10</v>
      </c>
      <c r="O22" s="211" t="s">
        <v>134</v>
      </c>
      <c r="P22" s="211"/>
      <c r="Q22" s="211"/>
      <c r="R22" s="211"/>
      <c r="S22" s="211"/>
      <c r="T22" s="211"/>
      <c r="U22" s="211"/>
    </row>
    <row r="23" spans="1:30" ht="15.75" customHeight="1">
      <c r="A23" s="152">
        <v>14</v>
      </c>
      <c r="B23" s="151">
        <v>53640512.5</v>
      </c>
      <c r="C23" s="151">
        <v>53640512.5</v>
      </c>
      <c r="D23" s="150">
        <v>24863366.077007361</v>
      </c>
      <c r="E23" s="150">
        <v>43364548.794396982</v>
      </c>
      <c r="F23" s="150">
        <v>28033350.621460967</v>
      </c>
      <c r="G23" s="150">
        <v>15000000</v>
      </c>
      <c r="H23" s="150">
        <v>111261265.49286532</v>
      </c>
      <c r="I23" s="150">
        <v>107281025</v>
      </c>
      <c r="J23" s="150">
        <v>-3980240.492865324</v>
      </c>
      <c r="K23" s="151" t="s">
        <v>10</v>
      </c>
      <c r="L23" s="70" t="s">
        <v>10</v>
      </c>
      <c r="N23" s="104" t="s">
        <v>10</v>
      </c>
      <c r="O23" s="106">
        <v>-0.15</v>
      </c>
      <c r="P23" s="106">
        <v>-0.1</v>
      </c>
      <c r="Q23" s="106">
        <v>-0.05</v>
      </c>
      <c r="R23" s="106">
        <v>0</v>
      </c>
      <c r="S23" s="106">
        <v>0.05</v>
      </c>
      <c r="T23" s="106">
        <v>0.1</v>
      </c>
      <c r="U23" s="106">
        <v>0.15</v>
      </c>
      <c r="V23" s="98"/>
    </row>
    <row r="24" spans="1:30" ht="15.75" customHeight="1">
      <c r="A24" s="152">
        <v>15</v>
      </c>
      <c r="B24" s="151">
        <v>57919161.5</v>
      </c>
      <c r="C24" s="151">
        <v>57919161.5</v>
      </c>
      <c r="D24" s="150">
        <v>25249193.636480361</v>
      </c>
      <c r="E24" s="150">
        <v>42382660.801244527</v>
      </c>
      <c r="F24" s="150">
        <v>27089447.30975344</v>
      </c>
      <c r="G24" s="150">
        <v>15000000</v>
      </c>
      <c r="H24" s="150">
        <v>109721301.74747834</v>
      </c>
      <c r="I24" s="150">
        <v>115838323</v>
      </c>
      <c r="J24" s="150">
        <v>6117021.2525216639</v>
      </c>
      <c r="K24" s="151" t="s">
        <v>10</v>
      </c>
      <c r="L24" s="70" t="s">
        <v>10</v>
      </c>
      <c r="M24" s="73" t="s">
        <v>135</v>
      </c>
      <c r="N24" s="108">
        <f ca="1">J9</f>
        <v>4141962.804915458</v>
      </c>
      <c r="O24" s="109">
        <f>$R$24*0.85</f>
        <v>36341606.868500002</v>
      </c>
      <c r="P24" s="109">
        <f>$R$24*0.9</f>
        <v>38479348.449000001</v>
      </c>
      <c r="Q24" s="109">
        <f>$R$24*0.95</f>
        <v>40617090.0295</v>
      </c>
      <c r="R24" s="109">
        <v>42754831.609999999</v>
      </c>
      <c r="S24" s="109">
        <f>$R$24*1.05</f>
        <v>44892573.190499999</v>
      </c>
      <c r="T24" s="109">
        <f>$R$24*1.1</f>
        <v>47030314.771000005</v>
      </c>
      <c r="U24" s="109">
        <f>$R$24*1.15</f>
        <v>49168056.351499997</v>
      </c>
      <c r="X24" s="51" t="s">
        <v>140</v>
      </c>
      <c r="Y24" s="130"/>
      <c r="Z24" s="130"/>
      <c r="AB24" s="178" t="s">
        <v>152</v>
      </c>
      <c r="AC24" s="178" t="s">
        <v>140</v>
      </c>
      <c r="AD24" s="178" t="s">
        <v>153</v>
      </c>
    </row>
    <row r="25" spans="1:30" ht="15.75" customHeight="1">
      <c r="A25" s="152">
        <v>16</v>
      </c>
      <c r="B25" s="151">
        <v>54484043.5</v>
      </c>
      <c r="C25" s="151">
        <v>54484043.5</v>
      </c>
      <c r="D25" s="150">
        <v>23761782.618483469</v>
      </c>
      <c r="E25" s="150">
        <v>41977456.729047686</v>
      </c>
      <c r="F25" s="150">
        <v>24918652.366573259</v>
      </c>
      <c r="G25" s="150">
        <v>15000000</v>
      </c>
      <c r="H25" s="150">
        <v>105657891.71410441</v>
      </c>
      <c r="I25" s="150">
        <v>108968087</v>
      </c>
      <c r="J25" s="150">
        <v>3310195.285895586</v>
      </c>
      <c r="K25" s="151" t="s">
        <v>10</v>
      </c>
      <c r="L25" s="70" t="s">
        <v>10</v>
      </c>
      <c r="N25" s="105">
        <v>1</v>
      </c>
      <c r="O25" s="107">
        <f t="dataTable" ref="O25:U224" dt2D="1" dtr="1" r1="E9" r2="L29" ca="1"/>
        <v>6098093.2758863568</v>
      </c>
      <c r="P25" s="107">
        <v>9535401.0606135428</v>
      </c>
      <c r="Q25" s="107">
        <v>4200203.4135648757</v>
      </c>
      <c r="R25" s="107">
        <v>7854553.8287180811</v>
      </c>
      <c r="S25" s="107">
        <v>-3334341.2397869825</v>
      </c>
      <c r="T25" s="107">
        <v>8881398.1300722957</v>
      </c>
      <c r="U25" s="107">
        <v>735706.30535110831</v>
      </c>
      <c r="X25" s="130"/>
      <c r="Y25" s="131">
        <v>-20000000</v>
      </c>
      <c r="Z25" s="130" cm="1">
        <f t="array" ref="Z25:Z36">FREQUENCY(J10:J509,Y25:Y35)</f>
        <v>0</v>
      </c>
      <c r="AB25" s="131">
        <v>-20000000</v>
      </c>
      <c r="AC25" s="51" cm="1">
        <f t="array" ref="AC25:AC51">FREQUENCY(J10:J509,AB25:AB50)</f>
        <v>0</v>
      </c>
      <c r="AD25" s="51">
        <v>-20</v>
      </c>
    </row>
    <row r="26" spans="1:30" ht="15.75" customHeight="1">
      <c r="A26" s="152">
        <v>17</v>
      </c>
      <c r="B26" s="151">
        <v>59411976</v>
      </c>
      <c r="C26" s="151">
        <v>59411976</v>
      </c>
      <c r="D26" s="150">
        <v>25511710.983264267</v>
      </c>
      <c r="E26" s="150">
        <v>39974138.122945189</v>
      </c>
      <c r="F26" s="150">
        <v>29280107.163445204</v>
      </c>
      <c r="G26" s="150">
        <v>15000000</v>
      </c>
      <c r="H26" s="150">
        <v>109765956.26965466</v>
      </c>
      <c r="I26" s="150">
        <v>118823952</v>
      </c>
      <c r="J26" s="150">
        <v>9057995.7303453386</v>
      </c>
      <c r="K26" s="151" t="s">
        <v>10</v>
      </c>
      <c r="L26" s="70" t="s">
        <v>10</v>
      </c>
      <c r="N26" s="105">
        <v>2</v>
      </c>
      <c r="O26" s="107">
        <v>8259621.0263262689</v>
      </c>
      <c r="P26" s="107">
        <v>4659715.4241483808</v>
      </c>
      <c r="Q26" s="107">
        <v>-2152710.4013490677</v>
      </c>
      <c r="R26" s="107">
        <v>7470882.8516257852</v>
      </c>
      <c r="S26" s="107">
        <v>6997929.1831431538</v>
      </c>
      <c r="T26" s="107">
        <v>2619340.2510311306</v>
      </c>
      <c r="U26" s="107">
        <v>-5119.4396054148674</v>
      </c>
      <c r="X26" s="130"/>
      <c r="Y26" s="131">
        <v>-15000000</v>
      </c>
      <c r="Z26" s="130">
        <v>0</v>
      </c>
      <c r="AB26" s="131">
        <v>-18000000</v>
      </c>
      <c r="AC26" s="51">
        <v>0</v>
      </c>
      <c r="AD26" s="51">
        <v>-18</v>
      </c>
    </row>
    <row r="27" spans="1:30" ht="15.75" customHeight="1">
      <c r="A27" s="152">
        <v>18</v>
      </c>
      <c r="B27" s="151">
        <v>54628741.5</v>
      </c>
      <c r="C27" s="151">
        <v>54628741.5</v>
      </c>
      <c r="D27" s="150">
        <v>24583775.406611245</v>
      </c>
      <c r="E27" s="150">
        <v>41835927.441856392</v>
      </c>
      <c r="F27" s="150">
        <v>27017116.807564449</v>
      </c>
      <c r="G27" s="150">
        <v>15000000</v>
      </c>
      <c r="H27" s="150">
        <v>108436819.65603209</v>
      </c>
      <c r="I27" s="150">
        <v>109257483</v>
      </c>
      <c r="J27" s="150">
        <v>820663.34396791458</v>
      </c>
      <c r="K27" s="151" t="s">
        <v>10</v>
      </c>
      <c r="L27" s="70" t="s">
        <v>10</v>
      </c>
      <c r="N27" s="105">
        <v>3</v>
      </c>
      <c r="O27" s="107">
        <v>1597217.5706383288</v>
      </c>
      <c r="P27" s="107">
        <v>7397537.3405136615</v>
      </c>
      <c r="Q27" s="107">
        <v>6476951.3629663885</v>
      </c>
      <c r="R27" s="107">
        <v>-9037662.6377247721</v>
      </c>
      <c r="S27" s="107">
        <v>8850989.1573340595</v>
      </c>
      <c r="T27" s="107">
        <v>-4223479.996769309</v>
      </c>
      <c r="U27" s="107">
        <v>1749907.1263875365</v>
      </c>
      <c r="X27" s="130"/>
      <c r="Y27" s="131">
        <v>-10000000</v>
      </c>
      <c r="Z27" s="130">
        <v>4</v>
      </c>
      <c r="AB27" s="131">
        <v>-16000000</v>
      </c>
      <c r="AC27" s="51">
        <v>0</v>
      </c>
      <c r="AD27" s="51">
        <v>-16</v>
      </c>
    </row>
    <row r="28" spans="1:30" ht="15.75" customHeight="1">
      <c r="A28" s="152">
        <v>19</v>
      </c>
      <c r="B28" s="151">
        <v>58149934.5</v>
      </c>
      <c r="C28" s="151">
        <v>58149934.5</v>
      </c>
      <c r="D28" s="150">
        <v>24576332.224826735</v>
      </c>
      <c r="E28" s="150">
        <v>42355221.520642236</v>
      </c>
      <c r="F28" s="151">
        <v>25108847.598691836</v>
      </c>
      <c r="G28" s="150">
        <v>15000000</v>
      </c>
      <c r="H28" s="150">
        <v>107040401.34416081</v>
      </c>
      <c r="I28" s="150">
        <v>116299869</v>
      </c>
      <c r="J28" s="150">
        <v>9259467.6558391899</v>
      </c>
      <c r="K28" s="151" t="s">
        <v>10</v>
      </c>
      <c r="L28" s="70" t="s">
        <v>10</v>
      </c>
      <c r="N28" s="105">
        <v>4</v>
      </c>
      <c r="O28" s="107">
        <v>7744624.9095721245</v>
      </c>
      <c r="P28" s="107">
        <v>9541861.9341541827</v>
      </c>
      <c r="Q28" s="107">
        <v>11711055.449274361</v>
      </c>
      <c r="R28" s="107">
        <v>-10687674.101881936</v>
      </c>
      <c r="S28" s="107">
        <v>-423246.82875579596</v>
      </c>
      <c r="T28" s="107">
        <v>1523493.920421809</v>
      </c>
      <c r="U28" s="107">
        <v>-1275260.8574597538</v>
      </c>
      <c r="X28" s="130"/>
      <c r="Y28" s="131">
        <v>-5000000</v>
      </c>
      <c r="Z28" s="130">
        <v>28</v>
      </c>
      <c r="AB28" s="131">
        <v>-14000000</v>
      </c>
      <c r="AC28" s="51">
        <v>1</v>
      </c>
      <c r="AD28" s="51">
        <v>-14</v>
      </c>
    </row>
    <row r="29" spans="1:30" ht="15.75" customHeight="1">
      <c r="A29" s="152">
        <v>20</v>
      </c>
      <c r="B29" s="151">
        <v>56892683</v>
      </c>
      <c r="C29" s="151">
        <v>56892683</v>
      </c>
      <c r="D29" s="151">
        <v>26312256.527693413</v>
      </c>
      <c r="E29" s="150">
        <v>43219205.889966451</v>
      </c>
      <c r="F29" s="151">
        <v>25477852.480577808</v>
      </c>
      <c r="G29" s="150">
        <v>15000000</v>
      </c>
      <c r="H29" s="150">
        <v>110009314.89823768</v>
      </c>
      <c r="I29" s="150">
        <v>113785366</v>
      </c>
      <c r="J29" s="150">
        <v>3776051.1017623246</v>
      </c>
      <c r="K29" s="151" t="s">
        <v>10</v>
      </c>
      <c r="L29" s="70"/>
      <c r="N29" s="105">
        <v>5</v>
      </c>
      <c r="O29" s="107">
        <v>10079648.255584031</v>
      </c>
      <c r="P29" s="107">
        <v>4545262.3932258785</v>
      </c>
      <c r="Q29" s="107">
        <v>3199548.4201042652</v>
      </c>
      <c r="R29" s="107">
        <v>-481252.03971034288</v>
      </c>
      <c r="S29" s="107">
        <v>11485968.501393378</v>
      </c>
      <c r="T29" s="107">
        <v>-6066856.5478411913</v>
      </c>
      <c r="U29" s="107">
        <v>-3054969.9182604998</v>
      </c>
      <c r="X29" s="130"/>
      <c r="Y29" s="131">
        <v>0</v>
      </c>
      <c r="Z29" s="130">
        <v>93</v>
      </c>
      <c r="AB29" s="131">
        <v>-12000000</v>
      </c>
      <c r="AC29" s="51">
        <v>0</v>
      </c>
      <c r="AD29" s="51">
        <v>-12</v>
      </c>
    </row>
    <row r="30" spans="1:30" ht="15.75" customHeight="1">
      <c r="A30" s="152">
        <v>21</v>
      </c>
      <c r="B30" s="151">
        <v>57877376.5</v>
      </c>
      <c r="C30" s="151">
        <v>57877376.5</v>
      </c>
      <c r="D30" s="151">
        <v>26187347.556064371</v>
      </c>
      <c r="E30" s="150">
        <v>42995818.332511961</v>
      </c>
      <c r="F30" s="151">
        <v>25470036.385060262</v>
      </c>
      <c r="G30" s="150">
        <v>15000000</v>
      </c>
      <c r="H30" s="150">
        <v>109653202.27363659</v>
      </c>
      <c r="I30" s="150">
        <v>115754753</v>
      </c>
      <c r="J30" s="150">
        <v>6101550.7263634056</v>
      </c>
      <c r="K30" s="151" t="s">
        <v>10</v>
      </c>
      <c r="L30" s="70" t="s">
        <v>10</v>
      </c>
      <c r="N30" s="105">
        <v>6</v>
      </c>
      <c r="O30" s="107">
        <v>21630573.336988628</v>
      </c>
      <c r="P30" s="107">
        <v>3403156.9538177401</v>
      </c>
      <c r="Q30" s="107">
        <v>12367547.734089702</v>
      </c>
      <c r="R30" s="107">
        <v>-7993449.1189565212</v>
      </c>
      <c r="S30" s="107">
        <v>-1818991.4998543859</v>
      </c>
      <c r="T30" s="107">
        <v>566312.4241964668</v>
      </c>
      <c r="U30" s="107">
        <v>-2495133.4232650101</v>
      </c>
      <c r="X30" s="130"/>
      <c r="Y30" s="131">
        <v>5000000</v>
      </c>
      <c r="Z30" s="130">
        <v>160</v>
      </c>
      <c r="AB30" s="131">
        <v>-10000000</v>
      </c>
      <c r="AC30" s="51">
        <v>3</v>
      </c>
      <c r="AD30" s="51">
        <v>-10</v>
      </c>
    </row>
    <row r="31" spans="1:30" ht="15.75" customHeight="1">
      <c r="A31" s="152">
        <v>22</v>
      </c>
      <c r="B31" s="151">
        <v>53786719</v>
      </c>
      <c r="C31" s="151">
        <v>53786719</v>
      </c>
      <c r="D31" s="151">
        <v>25514192.043859102</v>
      </c>
      <c r="E31" s="150">
        <v>42502116.661475927</v>
      </c>
      <c r="F31" s="151">
        <v>26660642.125989422</v>
      </c>
      <c r="G31" s="150">
        <v>15000000</v>
      </c>
      <c r="H31" s="150">
        <v>109676950.83132444</v>
      </c>
      <c r="I31" s="150">
        <v>107573438</v>
      </c>
      <c r="J31" s="150">
        <v>-2103512.8313244432</v>
      </c>
      <c r="K31" s="151" t="s">
        <v>10</v>
      </c>
      <c r="L31" s="70" t="s">
        <v>10</v>
      </c>
      <c r="N31" s="105">
        <v>7</v>
      </c>
      <c r="O31" s="107">
        <v>15935363.874528244</v>
      </c>
      <c r="P31" s="107">
        <v>9980302.5951751471</v>
      </c>
      <c r="Q31" s="107">
        <v>10620630.69992055</v>
      </c>
      <c r="R31" s="107">
        <v>2351921.5355953276</v>
      </c>
      <c r="S31" s="107">
        <v>4614283.3968977928</v>
      </c>
      <c r="T31" s="107">
        <v>-12216873.398333475</v>
      </c>
      <c r="U31" s="107">
        <v>-12589224.381997705</v>
      </c>
      <c r="X31" s="130"/>
      <c r="Y31" s="131">
        <v>10000000</v>
      </c>
      <c r="Z31" s="130">
        <v>149</v>
      </c>
      <c r="AB31" s="131">
        <v>-8000000</v>
      </c>
      <c r="AC31" s="51">
        <v>6</v>
      </c>
      <c r="AD31" s="51">
        <v>-8</v>
      </c>
    </row>
    <row r="32" spans="1:30" ht="15.75" customHeight="1">
      <c r="A32" s="152">
        <v>23</v>
      </c>
      <c r="B32" s="151">
        <v>54811968.5</v>
      </c>
      <c r="C32" s="151">
        <v>54811968.5</v>
      </c>
      <c r="D32" s="151">
        <v>25663911.62143651</v>
      </c>
      <c r="E32" s="150">
        <v>42394457.578402489</v>
      </c>
      <c r="F32" s="150">
        <v>22654194.807916757</v>
      </c>
      <c r="G32" s="150">
        <v>15000000</v>
      </c>
      <c r="H32" s="150">
        <v>105712564.00775576</v>
      </c>
      <c r="I32" s="150">
        <v>109623937</v>
      </c>
      <c r="J32" s="150">
        <v>3911372.9922442436</v>
      </c>
      <c r="K32" s="151" t="s">
        <v>10</v>
      </c>
      <c r="L32" s="70" t="s">
        <v>10</v>
      </c>
      <c r="N32" s="105">
        <v>8</v>
      </c>
      <c r="O32" s="107">
        <v>7112574.9728291184</v>
      </c>
      <c r="P32" s="107">
        <v>8585815.5298452675</v>
      </c>
      <c r="Q32" s="107">
        <v>3843121.2882491946</v>
      </c>
      <c r="R32" s="107">
        <v>15118400.743997484</v>
      </c>
      <c r="S32" s="107">
        <v>5918778.0795330107</v>
      </c>
      <c r="T32" s="107">
        <v>-512506.14032606781</v>
      </c>
      <c r="U32" s="107">
        <v>-11529231.173841298</v>
      </c>
      <c r="X32" s="130"/>
      <c r="Y32" s="131">
        <v>15000000</v>
      </c>
      <c r="Z32" s="130">
        <v>50</v>
      </c>
      <c r="AB32" s="131">
        <v>-6000000</v>
      </c>
      <c r="AC32" s="51">
        <v>13</v>
      </c>
      <c r="AD32" s="51">
        <v>-6</v>
      </c>
    </row>
    <row r="33" spans="1:30" ht="15.75" customHeight="1">
      <c r="A33" s="152">
        <v>24</v>
      </c>
      <c r="B33" s="151">
        <v>57485697</v>
      </c>
      <c r="C33" s="151">
        <v>57485697</v>
      </c>
      <c r="D33" s="151">
        <v>23376249.1595621</v>
      </c>
      <c r="E33" s="150">
        <v>42620412.351130925</v>
      </c>
      <c r="F33" s="150">
        <v>29584383.782766592</v>
      </c>
      <c r="G33" s="150">
        <v>15000000</v>
      </c>
      <c r="H33" s="150">
        <v>110581045.29345962</v>
      </c>
      <c r="I33" s="150">
        <v>114971394</v>
      </c>
      <c r="J33" s="150">
        <v>4390348.7065403759</v>
      </c>
      <c r="K33" s="151" t="s">
        <v>10</v>
      </c>
      <c r="L33" s="70" t="s">
        <v>10</v>
      </c>
      <c r="N33" s="105">
        <v>9</v>
      </c>
      <c r="O33" s="107">
        <v>8579201.9775873721</v>
      </c>
      <c r="P33" s="107">
        <v>18537472.587048754</v>
      </c>
      <c r="Q33" s="107">
        <v>10592385.473215461</v>
      </c>
      <c r="R33" s="107">
        <v>9652885.5060500503</v>
      </c>
      <c r="S33" s="107">
        <v>-87963.835973352194</v>
      </c>
      <c r="T33" s="107">
        <v>558320.91231298447</v>
      </c>
      <c r="U33" s="107">
        <v>-4596357.6663149446</v>
      </c>
      <c r="X33" s="130"/>
      <c r="Y33" s="131">
        <v>20000000</v>
      </c>
      <c r="Z33" s="130">
        <v>14</v>
      </c>
      <c r="AB33" s="131">
        <v>-4000000</v>
      </c>
      <c r="AC33" s="51">
        <v>17</v>
      </c>
      <c r="AD33" s="51">
        <v>-4</v>
      </c>
    </row>
    <row r="34" spans="1:30" ht="15.75" customHeight="1">
      <c r="A34" s="152">
        <v>25</v>
      </c>
      <c r="B34" s="151">
        <v>55216108</v>
      </c>
      <c r="C34" s="151">
        <v>55216108</v>
      </c>
      <c r="D34" s="151">
        <v>24318482.898680873</v>
      </c>
      <c r="E34" s="150">
        <v>42267884.135530278</v>
      </c>
      <c r="F34" s="150">
        <v>28199571.40248464</v>
      </c>
      <c r="G34" s="150">
        <v>15000000</v>
      </c>
      <c r="H34" s="150">
        <v>109785938.43669578</v>
      </c>
      <c r="I34" s="150">
        <v>110432216</v>
      </c>
      <c r="J34" s="150">
        <v>646277.56330421567</v>
      </c>
      <c r="K34" s="151" t="s">
        <v>10</v>
      </c>
      <c r="N34" s="105">
        <v>10</v>
      </c>
      <c r="O34" s="107">
        <v>13121890.288056478</v>
      </c>
      <c r="P34" s="107">
        <v>-84477.326389506459</v>
      </c>
      <c r="Q34" s="107">
        <v>5713715.2198879719</v>
      </c>
      <c r="R34" s="107">
        <v>4536149.6211994737</v>
      </c>
      <c r="S34" s="107">
        <v>1170180.5106109977</v>
      </c>
      <c r="T34" s="107">
        <v>-4904251.4596371204</v>
      </c>
      <c r="U34" s="107">
        <v>-7262365.3445774317</v>
      </c>
      <c r="X34" s="130"/>
      <c r="Y34" s="131">
        <v>25000000</v>
      </c>
      <c r="Z34" s="130">
        <v>2</v>
      </c>
      <c r="AB34" s="131">
        <v>-2000000</v>
      </c>
      <c r="AC34" s="51">
        <v>39</v>
      </c>
      <c r="AD34" s="51">
        <v>-2</v>
      </c>
    </row>
    <row r="35" spans="1:30" ht="15.75" customHeight="1">
      <c r="A35" s="152">
        <v>26</v>
      </c>
      <c r="B35" s="151">
        <v>53341723.5</v>
      </c>
      <c r="C35" s="151">
        <v>53341723.5</v>
      </c>
      <c r="D35" s="151">
        <v>24448353.991499584</v>
      </c>
      <c r="E35" s="150">
        <v>42717915.11859794</v>
      </c>
      <c r="F35" s="150">
        <v>28062807.909786023</v>
      </c>
      <c r="G35" s="150">
        <v>15000000</v>
      </c>
      <c r="H35" s="150">
        <v>110229077.01988354</v>
      </c>
      <c r="I35" s="150">
        <v>106683447</v>
      </c>
      <c r="J35" s="150">
        <v>-3545630.0198835433</v>
      </c>
      <c r="K35" s="151" t="s">
        <v>10</v>
      </c>
      <c r="L35" s="73" t="s">
        <v>10</v>
      </c>
      <c r="M35" s="36" t="s">
        <v>10</v>
      </c>
      <c r="N35" s="105">
        <v>11</v>
      </c>
      <c r="O35" s="107">
        <v>17166901.992311195</v>
      </c>
      <c r="P35" s="107">
        <v>5303155.5915759504</v>
      </c>
      <c r="Q35" s="107">
        <v>1134043.9878460765</v>
      </c>
      <c r="R35" s="107">
        <v>3972295.7481458932</v>
      </c>
      <c r="S35" s="107">
        <v>7446077.5476992428</v>
      </c>
      <c r="T35" s="107">
        <v>5143411.121088475</v>
      </c>
      <c r="U35" s="107">
        <v>-4810794.509061873</v>
      </c>
      <c r="X35" s="130"/>
      <c r="Y35" s="131">
        <v>30000000</v>
      </c>
      <c r="Z35" s="130">
        <v>0</v>
      </c>
      <c r="AB35" s="131">
        <v>0</v>
      </c>
      <c r="AC35" s="51">
        <v>46</v>
      </c>
      <c r="AD35" s="51">
        <v>0</v>
      </c>
    </row>
    <row r="36" spans="1:30" ht="15.75" customHeight="1">
      <c r="A36" s="152">
        <v>27</v>
      </c>
      <c r="B36" s="151">
        <v>53581261.5</v>
      </c>
      <c r="C36" s="151">
        <v>53581261.5</v>
      </c>
      <c r="D36" s="151">
        <v>23383104.140243344</v>
      </c>
      <c r="E36" s="150">
        <v>42466114.176721707</v>
      </c>
      <c r="F36" s="150">
        <v>28017085.596195716</v>
      </c>
      <c r="G36" s="150">
        <v>15000000</v>
      </c>
      <c r="H36" s="150">
        <v>108866303.91316077</v>
      </c>
      <c r="I36" s="150">
        <v>107162523</v>
      </c>
      <c r="J36" s="150">
        <v>-1703780.9131607711</v>
      </c>
      <c r="K36" s="151" t="s">
        <v>10</v>
      </c>
      <c r="M36" s="36" t="s">
        <v>10</v>
      </c>
      <c r="N36" s="105">
        <v>12</v>
      </c>
      <c r="O36" s="107">
        <v>11771210.480863869</v>
      </c>
      <c r="P36" s="107">
        <v>13573092.421390802</v>
      </c>
      <c r="Q36" s="107">
        <v>4273813.3489031643</v>
      </c>
      <c r="R36" s="107">
        <v>725290.77607479692</v>
      </c>
      <c r="S36" s="107">
        <v>1466507.0351866782</v>
      </c>
      <c r="T36" s="107">
        <v>5362484.0049606264</v>
      </c>
      <c r="U36" s="107">
        <v>-1859395.7916901708</v>
      </c>
      <c r="X36" s="130"/>
      <c r="Y36" s="130"/>
      <c r="Z36" s="130">
        <v>0</v>
      </c>
      <c r="AB36" s="131">
        <v>2000000</v>
      </c>
      <c r="AC36" s="51">
        <v>53</v>
      </c>
      <c r="AD36" s="51">
        <v>2</v>
      </c>
    </row>
    <row r="37" spans="1:30" ht="15.75" customHeight="1">
      <c r="A37" s="152">
        <v>28</v>
      </c>
      <c r="B37" s="151">
        <v>56077447</v>
      </c>
      <c r="C37" s="151">
        <v>56077447</v>
      </c>
      <c r="D37" s="151">
        <v>24448942.192602858</v>
      </c>
      <c r="E37" s="150">
        <v>43395733.019379154</v>
      </c>
      <c r="F37" s="150">
        <v>25105569.918585956</v>
      </c>
      <c r="G37" s="151">
        <v>15000000</v>
      </c>
      <c r="H37" s="151">
        <v>107950245.13056797</v>
      </c>
      <c r="I37" s="151">
        <v>112154894</v>
      </c>
      <c r="J37" s="150">
        <v>4204648.8694320321</v>
      </c>
      <c r="K37" s="151"/>
      <c r="N37" s="105">
        <v>13</v>
      </c>
      <c r="O37" s="107">
        <v>18937464.019774824</v>
      </c>
      <c r="P37" s="107">
        <v>13520920.946727037</v>
      </c>
      <c r="Q37" s="107">
        <v>13101749.121717677</v>
      </c>
      <c r="R37" s="107">
        <v>4257521.3920933157</v>
      </c>
      <c r="S37" s="107">
        <v>-3035004.4942318946</v>
      </c>
      <c r="T37" s="107">
        <v>6325562.8209411353</v>
      </c>
      <c r="U37" s="107">
        <v>3241696.6831588298</v>
      </c>
      <c r="AB37" s="131">
        <v>4000000</v>
      </c>
      <c r="AC37" s="51">
        <v>65</v>
      </c>
      <c r="AD37" s="51">
        <v>4</v>
      </c>
    </row>
    <row r="38" spans="1:30" ht="15.75" customHeight="1">
      <c r="A38" s="152">
        <v>29</v>
      </c>
      <c r="B38" s="151">
        <v>54632150.5</v>
      </c>
      <c r="C38" s="151">
        <v>54632150.5</v>
      </c>
      <c r="D38" s="151">
        <v>22968092.054735567</v>
      </c>
      <c r="E38" s="150">
        <v>44040697.726575658</v>
      </c>
      <c r="F38" s="150">
        <v>27315007.982223853</v>
      </c>
      <c r="G38" s="151">
        <v>15000000</v>
      </c>
      <c r="H38" s="151">
        <v>109323797.76353508</v>
      </c>
      <c r="I38" s="151">
        <v>109264301</v>
      </c>
      <c r="J38" s="150">
        <v>-59496.76353508234</v>
      </c>
      <c r="K38" s="151"/>
      <c r="N38" s="105">
        <v>14</v>
      </c>
      <c r="O38" s="107">
        <v>6334307.0602619797</v>
      </c>
      <c r="P38" s="107">
        <v>14333423.890017301</v>
      </c>
      <c r="Q38" s="107">
        <v>5636093.7148442566</v>
      </c>
      <c r="R38" s="107">
        <v>1785317.8033541441</v>
      </c>
      <c r="S38" s="107">
        <v>4146418.0219340622</v>
      </c>
      <c r="T38" s="107">
        <v>-2783129.8603747934</v>
      </c>
      <c r="U38" s="107">
        <v>-1532538.6223486066</v>
      </c>
      <c r="AB38" s="131">
        <v>6000000</v>
      </c>
      <c r="AC38" s="51">
        <v>75</v>
      </c>
      <c r="AD38" s="51">
        <v>6</v>
      </c>
    </row>
    <row r="39" spans="1:30" ht="15.75" customHeight="1">
      <c r="A39" s="152">
        <v>30</v>
      </c>
      <c r="B39" s="151">
        <v>58258340</v>
      </c>
      <c r="C39" s="151">
        <v>58258340</v>
      </c>
      <c r="D39" s="151">
        <v>24174313.643396407</v>
      </c>
      <c r="E39" s="150">
        <v>42895613.274364628</v>
      </c>
      <c r="F39" s="150">
        <v>29690347.586327307</v>
      </c>
      <c r="G39" s="151">
        <v>15000000</v>
      </c>
      <c r="H39" s="151">
        <v>111760274.50408834</v>
      </c>
      <c r="I39" s="151">
        <v>116516680</v>
      </c>
      <c r="J39" s="151">
        <v>4756405.4959116578</v>
      </c>
      <c r="K39" s="151"/>
      <c r="N39" s="105">
        <v>15</v>
      </c>
      <c r="O39" s="107">
        <v>9925265.2525818944</v>
      </c>
      <c r="P39" s="107">
        <v>13092973.666750848</v>
      </c>
      <c r="Q39" s="107">
        <v>1948107.0856450498</v>
      </c>
      <c r="R39" s="107">
        <v>-39543.014546871185</v>
      </c>
      <c r="S39" s="107">
        <v>-8740025.3862457871</v>
      </c>
      <c r="T39" s="107">
        <v>2834222.804956302</v>
      </c>
      <c r="U39" s="107">
        <v>6323006.8317817152</v>
      </c>
      <c r="AB39" s="131">
        <v>8000000</v>
      </c>
      <c r="AC39" s="51">
        <v>64</v>
      </c>
      <c r="AD39" s="51">
        <v>8</v>
      </c>
    </row>
    <row r="40" spans="1:30" ht="15.75" customHeight="1">
      <c r="A40" s="152">
        <v>31</v>
      </c>
      <c r="B40" s="151">
        <v>59031344</v>
      </c>
      <c r="C40" s="151">
        <v>59031344</v>
      </c>
      <c r="D40" s="151">
        <v>24981420.067955162</v>
      </c>
      <c r="E40" s="150">
        <v>41126241.202179089</v>
      </c>
      <c r="F40" s="150">
        <v>27574131.855748292</v>
      </c>
      <c r="G40" s="151">
        <v>15000000</v>
      </c>
      <c r="H40" s="151">
        <v>108681793.12588255</v>
      </c>
      <c r="I40" s="151">
        <v>118062688</v>
      </c>
      <c r="J40" s="151">
        <v>9380894.8741174489</v>
      </c>
      <c r="K40" s="151"/>
      <c r="N40" s="105">
        <v>16</v>
      </c>
      <c r="O40" s="107">
        <v>10801192.606160223</v>
      </c>
      <c r="P40" s="107">
        <v>1819709.7210105956</v>
      </c>
      <c r="Q40" s="107">
        <v>2005120.7410961986</v>
      </c>
      <c r="R40" s="107">
        <v>2538562.4354547113</v>
      </c>
      <c r="S40" s="107">
        <v>-317620.3173186332</v>
      </c>
      <c r="T40" s="107">
        <v>-9213175.3158173859</v>
      </c>
      <c r="U40" s="107">
        <v>-593285.09047228098</v>
      </c>
      <c r="AB40" s="131">
        <v>10000000</v>
      </c>
      <c r="AC40" s="51">
        <v>52</v>
      </c>
      <c r="AD40" s="51">
        <v>10</v>
      </c>
    </row>
    <row r="41" spans="1:30" ht="15.75" customHeight="1">
      <c r="A41" s="152">
        <v>32</v>
      </c>
      <c r="B41" s="151">
        <v>56850451</v>
      </c>
      <c r="C41" s="151">
        <v>56850451</v>
      </c>
      <c r="D41" s="151">
        <v>25388988.971678428</v>
      </c>
      <c r="E41" s="150">
        <v>42486382.619676851</v>
      </c>
      <c r="F41" s="150">
        <v>27128043.908389259</v>
      </c>
      <c r="G41" s="151">
        <v>15000000</v>
      </c>
      <c r="H41" s="151">
        <v>110003415.49974453</v>
      </c>
      <c r="I41" s="151">
        <v>113700902</v>
      </c>
      <c r="J41" s="151">
        <v>3697486.5002554655</v>
      </c>
      <c r="K41" s="151"/>
      <c r="N41" s="105">
        <v>17</v>
      </c>
      <c r="O41" s="107">
        <v>5753258.083037138</v>
      </c>
      <c r="P41" s="107">
        <v>7685299.0884708166</v>
      </c>
      <c r="Q41" s="107">
        <v>8319054.0475943685</v>
      </c>
      <c r="R41" s="107">
        <v>5018071.9504947066</v>
      </c>
      <c r="S41" s="107">
        <v>950727.83480727673</v>
      </c>
      <c r="T41" s="107">
        <v>702140.13577263057</v>
      </c>
      <c r="U41" s="107">
        <v>-2085393.3433295488</v>
      </c>
      <c r="AB41" s="131">
        <v>12000000</v>
      </c>
      <c r="AC41" s="51">
        <v>29</v>
      </c>
      <c r="AD41" s="51">
        <v>12</v>
      </c>
    </row>
    <row r="42" spans="1:30" ht="15.75" customHeight="1">
      <c r="A42" s="152">
        <v>33</v>
      </c>
      <c r="B42" s="151">
        <v>56663531</v>
      </c>
      <c r="C42" s="151">
        <v>56663531</v>
      </c>
      <c r="D42" s="151">
        <v>23778267.740992427</v>
      </c>
      <c r="E42" s="151">
        <v>43385433.540076777</v>
      </c>
      <c r="F42" s="150">
        <v>24326495.079006065</v>
      </c>
      <c r="G42" s="151">
        <v>15000000</v>
      </c>
      <c r="H42" s="151">
        <v>106490196.36007527</v>
      </c>
      <c r="I42" s="151">
        <v>113327062</v>
      </c>
      <c r="J42" s="151">
        <v>6836865.6399247348</v>
      </c>
      <c r="K42" s="151"/>
      <c r="N42" s="105">
        <v>18</v>
      </c>
      <c r="O42" s="107">
        <v>1286470.0420058519</v>
      </c>
      <c r="P42" s="107">
        <v>12291104.191153258</v>
      </c>
      <c r="Q42" s="107">
        <v>-2977552.3159258366</v>
      </c>
      <c r="R42" s="107">
        <v>-2452417.5234351754</v>
      </c>
      <c r="S42" s="107">
        <v>-4135352.5063760877</v>
      </c>
      <c r="T42" s="107">
        <v>11413923.013361201</v>
      </c>
      <c r="U42" s="107">
        <v>-2049865.9409317374</v>
      </c>
      <c r="AB42" s="131">
        <v>14000000</v>
      </c>
      <c r="AC42" s="51">
        <v>16</v>
      </c>
      <c r="AD42" s="51">
        <v>14</v>
      </c>
    </row>
    <row r="43" spans="1:30" ht="15.75" customHeight="1">
      <c r="A43" s="152">
        <v>34</v>
      </c>
      <c r="B43" s="151">
        <v>59680851</v>
      </c>
      <c r="C43" s="151">
        <v>59680851</v>
      </c>
      <c r="D43" s="151">
        <v>22978016.297114912</v>
      </c>
      <c r="E43" s="151">
        <v>43488694.130028613</v>
      </c>
      <c r="F43" s="150">
        <v>26841641.734657481</v>
      </c>
      <c r="G43" s="151">
        <v>15000000</v>
      </c>
      <c r="H43" s="151">
        <v>108308352.16180101</v>
      </c>
      <c r="I43" s="151">
        <v>119361702</v>
      </c>
      <c r="J43" s="151">
        <v>11053349.83819899</v>
      </c>
      <c r="K43" s="151"/>
      <c r="N43" s="105">
        <v>19</v>
      </c>
      <c r="O43" s="107">
        <v>18234960.629634768</v>
      </c>
      <c r="P43" s="107">
        <v>13093053.655535474</v>
      </c>
      <c r="Q43" s="107">
        <v>3709661.9454913139</v>
      </c>
      <c r="R43" s="107">
        <v>1414666.8870204687</v>
      </c>
      <c r="S43" s="107">
        <v>-445722.80858539045</v>
      </c>
      <c r="T43" s="107">
        <v>6476210.842630744</v>
      </c>
      <c r="U43" s="107">
        <v>2055096.5107792616</v>
      </c>
      <c r="AB43" s="131">
        <v>16000000</v>
      </c>
      <c r="AC43" s="51">
        <v>14</v>
      </c>
      <c r="AD43" s="51">
        <v>16</v>
      </c>
    </row>
    <row r="44" spans="1:30" ht="15.75" customHeight="1">
      <c r="A44" s="152">
        <v>35</v>
      </c>
      <c r="B44" s="151">
        <v>62109128.5</v>
      </c>
      <c r="C44" s="151">
        <v>62109128.5</v>
      </c>
      <c r="D44" s="151">
        <v>22703387.747908466</v>
      </c>
      <c r="E44" s="151">
        <v>43873807.469317295</v>
      </c>
      <c r="F44" s="150">
        <v>25044749.610109173</v>
      </c>
      <c r="G44" s="151">
        <v>15000000</v>
      </c>
      <c r="H44" s="151">
        <v>106621944.82733494</v>
      </c>
      <c r="I44" s="151">
        <v>124218257</v>
      </c>
      <c r="J44" s="151">
        <v>17596312.17266506</v>
      </c>
      <c r="K44" s="151"/>
      <c r="N44" s="105">
        <v>20</v>
      </c>
      <c r="O44" s="107">
        <v>4856735.4381151944</v>
      </c>
      <c r="P44" s="107">
        <v>21760554.005091235</v>
      </c>
      <c r="Q44" s="107">
        <v>7121593.5093392581</v>
      </c>
      <c r="R44" s="107">
        <v>2857008.1555922925</v>
      </c>
      <c r="S44" s="107">
        <v>2716240.7381943017</v>
      </c>
      <c r="T44" s="107">
        <v>-1182279.6608527154</v>
      </c>
      <c r="U44" s="107">
        <v>-7637698.2858270556</v>
      </c>
      <c r="AB44" s="131">
        <v>18000000</v>
      </c>
      <c r="AC44" s="51">
        <v>4</v>
      </c>
      <c r="AD44" s="51">
        <v>18</v>
      </c>
    </row>
    <row r="45" spans="1:30" ht="15.75" customHeight="1">
      <c r="A45" s="152">
        <v>36</v>
      </c>
      <c r="B45" s="151">
        <v>54528571</v>
      </c>
      <c r="C45" s="151">
        <v>54528571</v>
      </c>
      <c r="D45" s="151">
        <v>25656762.540203631</v>
      </c>
      <c r="E45" s="151">
        <v>42954268.99507311</v>
      </c>
      <c r="F45" s="151">
        <v>26692542.710357964</v>
      </c>
      <c r="G45" s="151">
        <v>15000000</v>
      </c>
      <c r="H45" s="151">
        <v>110303574.2456347</v>
      </c>
      <c r="I45" s="151">
        <v>109057142</v>
      </c>
      <c r="J45" s="151">
        <v>-1246432.2456347048</v>
      </c>
      <c r="K45" s="151"/>
      <c r="N45" s="105">
        <v>21</v>
      </c>
      <c r="O45" s="107">
        <v>16998872.785122618</v>
      </c>
      <c r="P45" s="107">
        <v>14643377.964064628</v>
      </c>
      <c r="Q45" s="107">
        <v>15932864.285208568</v>
      </c>
      <c r="R45" s="107">
        <v>10493522.58164461</v>
      </c>
      <c r="S45" s="107">
        <v>6540435.3333921731</v>
      </c>
      <c r="T45" s="107">
        <v>8660076.5751775503</v>
      </c>
      <c r="U45" s="107">
        <v>-2441674.0545128584</v>
      </c>
      <c r="AB45" s="131">
        <v>20000000</v>
      </c>
      <c r="AC45" s="51">
        <v>1</v>
      </c>
      <c r="AD45" s="51">
        <v>20</v>
      </c>
    </row>
    <row r="46" spans="1:30" ht="15.75" customHeight="1">
      <c r="A46" s="152">
        <v>37</v>
      </c>
      <c r="B46" s="151">
        <v>55717413</v>
      </c>
      <c r="C46" s="151">
        <v>55717413</v>
      </c>
      <c r="D46" s="151">
        <v>24320963.959275711</v>
      </c>
      <c r="E46" s="151">
        <v>42822684.588369966</v>
      </c>
      <c r="F46" s="151">
        <v>25521291.555038765</v>
      </c>
      <c r="G46" s="151">
        <v>15000000</v>
      </c>
      <c r="H46" s="151">
        <v>107664940.10268444</v>
      </c>
      <c r="I46" s="151">
        <v>111434826</v>
      </c>
      <c r="J46" s="151">
        <v>3769885.8973155618</v>
      </c>
      <c r="K46" s="151"/>
      <c r="N46" s="105">
        <v>22</v>
      </c>
      <c r="O46" s="107">
        <v>-5412985.7079919875</v>
      </c>
      <c r="P46" s="107">
        <v>4202196.97391285</v>
      </c>
      <c r="Q46" s="107">
        <v>-5775556.8897307515</v>
      </c>
      <c r="R46" s="107">
        <v>10095383.655300424</v>
      </c>
      <c r="S46" s="107">
        <v>-7271110.552259773</v>
      </c>
      <c r="T46" s="107">
        <v>3609465.2917785645</v>
      </c>
      <c r="U46" s="107">
        <v>-2179119.6704537272</v>
      </c>
      <c r="AB46" s="131">
        <v>22000000</v>
      </c>
      <c r="AC46" s="51">
        <v>2</v>
      </c>
      <c r="AD46" s="51">
        <v>22</v>
      </c>
    </row>
    <row r="47" spans="1:30" ht="15.75" customHeight="1">
      <c r="A47" s="152">
        <v>38</v>
      </c>
      <c r="B47" s="151">
        <v>57469827</v>
      </c>
      <c r="C47" s="151">
        <v>57469827</v>
      </c>
      <c r="D47" s="151">
        <v>22030232.2357032</v>
      </c>
      <c r="E47" s="151">
        <v>42321325.765691578</v>
      </c>
      <c r="F47" s="151">
        <v>28284180.461720973</v>
      </c>
      <c r="G47" s="151">
        <v>15000000</v>
      </c>
      <c r="H47" s="151">
        <v>107635738.46311575</v>
      </c>
      <c r="I47" s="151">
        <v>114939654</v>
      </c>
      <c r="J47" s="151">
        <v>7303915.5368842483</v>
      </c>
      <c r="K47" s="151"/>
      <c r="N47" s="105">
        <v>23</v>
      </c>
      <c r="O47" s="107">
        <v>11175090.317901582</v>
      </c>
      <c r="P47" s="107">
        <v>-858125.39508138597</v>
      </c>
      <c r="Q47" s="107">
        <v>15858357.476113409</v>
      </c>
      <c r="R47" s="107">
        <v>-4108044.3854201436</v>
      </c>
      <c r="S47" s="107">
        <v>1741128.8603608459</v>
      </c>
      <c r="T47" s="107">
        <v>2692049.565924108</v>
      </c>
      <c r="U47" s="107">
        <v>-9651966.8058505803</v>
      </c>
      <c r="AB47" s="131">
        <v>24000000</v>
      </c>
      <c r="AC47" s="51">
        <v>0</v>
      </c>
      <c r="AD47" s="51">
        <v>24</v>
      </c>
    </row>
    <row r="48" spans="1:30" ht="15.75" customHeight="1">
      <c r="A48" s="152">
        <v>39</v>
      </c>
      <c r="B48" s="151">
        <v>55756297</v>
      </c>
      <c r="C48" s="151">
        <v>55756297</v>
      </c>
      <c r="D48" s="151">
        <v>23916170.216698915</v>
      </c>
      <c r="E48" s="151">
        <v>42822520.773740746</v>
      </c>
      <c r="F48" s="151">
        <v>25843277.192755833</v>
      </c>
      <c r="G48" s="151">
        <v>15000000</v>
      </c>
      <c r="H48" s="151">
        <v>107581968.1831955</v>
      </c>
      <c r="I48" s="151">
        <v>111512594</v>
      </c>
      <c r="J48" s="151">
        <v>3930625.8168044984</v>
      </c>
      <c r="K48" s="151"/>
      <c r="N48" s="105">
        <v>24</v>
      </c>
      <c r="O48" s="107">
        <v>350533.5868164748</v>
      </c>
      <c r="P48" s="107">
        <v>12381304.456629574</v>
      </c>
      <c r="Q48" s="107">
        <v>2966095.4743247181</v>
      </c>
      <c r="R48" s="107">
        <v>-728953.03514191508</v>
      </c>
      <c r="S48" s="107">
        <v>5890770.9022689909</v>
      </c>
      <c r="T48" s="107">
        <v>3667248.5300423056</v>
      </c>
      <c r="U48" s="107">
        <v>-5534434.7443466336</v>
      </c>
      <c r="AB48" s="131">
        <v>26000000</v>
      </c>
      <c r="AC48" s="51">
        <v>0</v>
      </c>
      <c r="AD48" s="51">
        <v>26</v>
      </c>
    </row>
    <row r="49" spans="1:30" ht="15.75" customHeight="1">
      <c r="A49" s="152">
        <v>40</v>
      </c>
      <c r="B49" s="151">
        <v>57913995.5</v>
      </c>
      <c r="C49" s="151">
        <v>57913995.5</v>
      </c>
      <c r="D49" s="151">
        <v>23361656.896544714</v>
      </c>
      <c r="E49" s="151">
        <v>43563662.747395992</v>
      </c>
      <c r="F49" s="151">
        <v>25002939.214050267</v>
      </c>
      <c r="G49" s="151">
        <v>15000000</v>
      </c>
      <c r="H49" s="151">
        <v>106928258.85799097</v>
      </c>
      <c r="I49" s="151">
        <v>115827991</v>
      </c>
      <c r="J49" s="151">
        <v>8899732.1420090348</v>
      </c>
      <c r="K49" s="151"/>
      <c r="N49" s="105">
        <v>25</v>
      </c>
      <c r="O49" s="107">
        <v>15158205.626297086</v>
      </c>
      <c r="P49" s="107">
        <v>8429146.9205692559</v>
      </c>
      <c r="Q49" s="107">
        <v>8262463.7332554162</v>
      </c>
      <c r="R49" s="107">
        <v>4767287.4959818721</v>
      </c>
      <c r="S49" s="107">
        <v>6003953.2106956244</v>
      </c>
      <c r="T49" s="107">
        <v>977202.41565749049</v>
      </c>
      <c r="U49" s="107">
        <v>-7162164.9273142815</v>
      </c>
      <c r="AB49" s="131">
        <v>28000000</v>
      </c>
      <c r="AC49" s="51">
        <v>0</v>
      </c>
      <c r="AD49" s="51">
        <v>28</v>
      </c>
    </row>
    <row r="50" spans="1:30" ht="15.75" customHeight="1">
      <c r="A50" s="152">
        <v>41</v>
      </c>
      <c r="B50" s="151">
        <v>57733725</v>
      </c>
      <c r="C50" s="151">
        <v>57733725</v>
      </c>
      <c r="D50" s="151">
        <v>24051003.430707306</v>
      </c>
      <c r="E50" s="151">
        <v>42837860.545303553</v>
      </c>
      <c r="F50" s="151">
        <v>26029597.748530068</v>
      </c>
      <c r="G50" s="151">
        <v>15000000</v>
      </c>
      <c r="H50" s="151">
        <v>107918461.72454092</v>
      </c>
      <c r="I50" s="151">
        <v>115467450</v>
      </c>
      <c r="J50" s="151">
        <v>7548988.2754590809</v>
      </c>
      <c r="K50" s="151"/>
      <c r="N50" s="105">
        <v>26</v>
      </c>
      <c r="O50" s="107">
        <v>15802506.198892176</v>
      </c>
      <c r="P50" s="107">
        <v>4810471.8740877807</v>
      </c>
      <c r="Q50" s="107">
        <v>6583238.0708672404</v>
      </c>
      <c r="R50" s="107">
        <v>12908386.843119189</v>
      </c>
      <c r="S50" s="107">
        <v>3032166.8467879593</v>
      </c>
      <c r="T50" s="107">
        <v>-1350848.5679378062</v>
      </c>
      <c r="U50" s="107">
        <v>-5334018.9379230142</v>
      </c>
      <c r="AB50" s="131">
        <v>30000000</v>
      </c>
      <c r="AC50" s="51">
        <v>0</v>
      </c>
      <c r="AD50" s="51">
        <v>30</v>
      </c>
    </row>
    <row r="51" spans="1:30" ht="15.75" customHeight="1">
      <c r="A51" s="152">
        <v>42</v>
      </c>
      <c r="B51" s="151">
        <v>59711710.5</v>
      </c>
      <c r="C51" s="151">
        <v>59711710.5</v>
      </c>
      <c r="D51" s="151">
        <v>25254155.757670037</v>
      </c>
      <c r="E51" s="151">
        <v>42907202.57121294</v>
      </c>
      <c r="F51" s="151">
        <v>27512628.77010034</v>
      </c>
      <c r="G51" s="151">
        <v>15000000</v>
      </c>
      <c r="H51" s="151">
        <v>110673987.09898332</v>
      </c>
      <c r="I51" s="151">
        <v>119423421</v>
      </c>
      <c r="J51" s="151">
        <v>8749433.9010166824</v>
      </c>
      <c r="K51" s="151"/>
      <c r="N51" s="105">
        <v>27</v>
      </c>
      <c r="O51" s="107">
        <v>9190622.1891983896</v>
      </c>
      <c r="P51" s="107">
        <v>6990460.0895889103</v>
      </c>
      <c r="Q51" s="107">
        <v>-4619067.5199787021</v>
      </c>
      <c r="R51" s="107">
        <v>-3916882.0104090124</v>
      </c>
      <c r="S51" s="107">
        <v>2037928.6047759503</v>
      </c>
      <c r="T51" s="107">
        <v>2510743.373961404</v>
      </c>
      <c r="U51" s="107">
        <v>-13849564.452339351</v>
      </c>
      <c r="AC51" s="36">
        <v>0</v>
      </c>
    </row>
    <row r="52" spans="1:30" ht="15.75" customHeight="1">
      <c r="A52" s="152">
        <v>43</v>
      </c>
      <c r="B52" s="151">
        <v>55193622</v>
      </c>
      <c r="C52" s="151">
        <v>55193622</v>
      </c>
      <c r="D52" s="151">
        <v>23911208.095509242</v>
      </c>
      <c r="E52" s="151">
        <v>42762438.75854712</v>
      </c>
      <c r="F52" s="151">
        <v>28517345.970026437</v>
      </c>
      <c r="G52" s="151">
        <v>15000000</v>
      </c>
      <c r="H52" s="151">
        <v>110190992.82408279</v>
      </c>
      <c r="I52" s="151">
        <v>110387244</v>
      </c>
      <c r="J52" s="151">
        <v>196251.17591720819</v>
      </c>
      <c r="K52" s="151"/>
      <c r="N52" s="105">
        <v>28</v>
      </c>
      <c r="O52" s="107">
        <v>12972474.945727199</v>
      </c>
      <c r="P52" s="107">
        <v>6513790.5490112901</v>
      </c>
      <c r="Q52" s="107">
        <v>7077264.9541673064</v>
      </c>
      <c r="R52" s="107">
        <v>5110291.9803549349</v>
      </c>
      <c r="S52" s="107">
        <v>-7767596.9440638125</v>
      </c>
      <c r="T52" s="107">
        <v>663688.92603346705</v>
      </c>
      <c r="U52" s="107">
        <v>-5821388.979269594</v>
      </c>
    </row>
    <row r="53" spans="1:30" ht="15.75" customHeight="1">
      <c r="A53" s="152">
        <v>44</v>
      </c>
      <c r="B53" s="151">
        <v>54497948.5</v>
      </c>
      <c r="C53" s="151">
        <v>54497948.5</v>
      </c>
      <c r="D53" s="151">
        <v>26194496.637297247</v>
      </c>
      <c r="E53" s="151">
        <v>43398124.940431274</v>
      </c>
      <c r="F53" s="151">
        <v>26450839.366301835</v>
      </c>
      <c r="G53" s="151">
        <v>15000000</v>
      </c>
      <c r="H53" s="151">
        <v>111043460.94403036</v>
      </c>
      <c r="I53" s="151">
        <v>108995897</v>
      </c>
      <c r="J53" s="151">
        <v>-2047563.9440303594</v>
      </c>
      <c r="K53" s="151"/>
      <c r="N53" s="105">
        <v>29</v>
      </c>
      <c r="O53" s="107">
        <v>5406436.5504254401</v>
      </c>
      <c r="P53" s="107">
        <v>12474328.323732629</v>
      </c>
      <c r="Q53" s="107">
        <v>3149034.3389794081</v>
      </c>
      <c r="R53" s="107">
        <v>-860408.49198687077</v>
      </c>
      <c r="S53" s="107">
        <v>1564944.2388345301</v>
      </c>
      <c r="T53" s="107">
        <v>3396729.1931624115</v>
      </c>
      <c r="U53" s="107">
        <v>-1215355.6264825165</v>
      </c>
      <c r="X53" t="s">
        <v>10</v>
      </c>
    </row>
    <row r="54" spans="1:30" ht="15.75" customHeight="1">
      <c r="A54" s="152">
        <v>45</v>
      </c>
      <c r="B54" s="151">
        <v>56137850.5</v>
      </c>
      <c r="C54" s="151">
        <v>56137850.5</v>
      </c>
      <c r="D54" s="151">
        <v>25126177.524342895</v>
      </c>
      <c r="E54" s="151">
        <v>42373100.045946404</v>
      </c>
      <c r="F54" s="151">
        <v>29189567.516744584</v>
      </c>
      <c r="G54" s="151">
        <v>15000000</v>
      </c>
      <c r="H54" s="151">
        <v>111688845.08703388</v>
      </c>
      <c r="I54" s="151">
        <v>112275701</v>
      </c>
      <c r="J54" s="151">
        <v>586855.91296611726</v>
      </c>
      <c r="K54" s="151"/>
      <c r="N54" s="105">
        <v>30</v>
      </c>
      <c r="O54" s="107">
        <v>8075278.7141577452</v>
      </c>
      <c r="P54" s="107">
        <v>14355120.388575077</v>
      </c>
      <c r="Q54" s="107">
        <v>-5101761.0092878789</v>
      </c>
      <c r="R54" s="107">
        <v>836876.03069402277</v>
      </c>
      <c r="S54" s="107">
        <v>7753501.6311811209</v>
      </c>
      <c r="T54" s="107">
        <v>3227818.8393821418</v>
      </c>
      <c r="U54" s="107">
        <v>-685414.23370108008</v>
      </c>
      <c r="X54" t="s">
        <v>10</v>
      </c>
    </row>
    <row r="55" spans="1:30" ht="13.2">
      <c r="A55" s="152">
        <v>46</v>
      </c>
      <c r="B55" s="151">
        <v>57084255</v>
      </c>
      <c r="C55" s="151">
        <v>57084255</v>
      </c>
      <c r="D55" s="151">
        <v>23774187.921457652</v>
      </c>
      <c r="E55" s="151">
        <v>43128301.375404008</v>
      </c>
      <c r="F55" s="151">
        <v>23365446.676789578</v>
      </c>
      <c r="G55" s="151">
        <v>15000000</v>
      </c>
      <c r="H55" s="151">
        <v>105267935.97365125</v>
      </c>
      <c r="I55" s="151">
        <v>114168510</v>
      </c>
      <c r="J55" s="151">
        <v>8900574.0263487548</v>
      </c>
      <c r="K55" s="151"/>
      <c r="N55" s="105">
        <v>31</v>
      </c>
      <c r="O55" s="107">
        <v>12542031.409754828</v>
      </c>
      <c r="P55" s="107">
        <v>12627005.410599142</v>
      </c>
      <c r="Q55" s="107">
        <v>-3027578.4727763534</v>
      </c>
      <c r="R55" s="107">
        <v>-3174997.4730690867</v>
      </c>
      <c r="S55" s="107">
        <v>7521970.4741891474</v>
      </c>
      <c r="T55" s="107">
        <v>2059894.7947704345</v>
      </c>
      <c r="U55" s="107">
        <v>-6998572.6471349597</v>
      </c>
      <c r="X55" t="s">
        <v>10</v>
      </c>
    </row>
    <row r="56" spans="1:30" ht="13.2">
      <c r="A56" s="152">
        <v>47</v>
      </c>
      <c r="B56" s="151">
        <v>54614115</v>
      </c>
      <c r="C56" s="151">
        <v>54614115</v>
      </c>
      <c r="D56" s="151">
        <v>23373179.897863995</v>
      </c>
      <c r="E56" s="151">
        <v>41754394.356713042</v>
      </c>
      <c r="F56" s="151">
        <v>26178795.035935953</v>
      </c>
      <c r="G56" s="151">
        <v>15000000</v>
      </c>
      <c r="H56" s="151">
        <v>106306369.29051299</v>
      </c>
      <c r="I56" s="151">
        <v>109228230</v>
      </c>
      <c r="J56" s="151">
        <v>2921860.7094870061</v>
      </c>
      <c r="K56" s="151"/>
      <c r="N56" s="105">
        <v>32</v>
      </c>
      <c r="O56" s="107">
        <v>3638658.7188224047</v>
      </c>
      <c r="P56" s="107">
        <v>4653891.852397278</v>
      </c>
      <c r="Q56" s="107">
        <v>2138086.3640514612</v>
      </c>
      <c r="R56" s="107">
        <v>4341604.3600446731</v>
      </c>
      <c r="S56" s="107">
        <v>6783284.2058068216</v>
      </c>
      <c r="T56" s="107">
        <v>-9881237.3148868233</v>
      </c>
      <c r="U56" s="107">
        <v>596984.78760612011</v>
      </c>
    </row>
    <row r="57" spans="1:30" ht="13.2">
      <c r="A57" s="152">
        <v>48</v>
      </c>
      <c r="B57" s="151">
        <v>57451054</v>
      </c>
      <c r="C57" s="151">
        <v>57451054</v>
      </c>
      <c r="D57" s="151">
        <v>24453316.112689257</v>
      </c>
      <c r="E57" s="151">
        <v>42795959.432509825</v>
      </c>
      <c r="F57" s="151">
        <v>26058508.468852308</v>
      </c>
      <c r="G57" s="151">
        <v>15000000</v>
      </c>
      <c r="H57" s="151">
        <v>108307784.01405139</v>
      </c>
      <c r="I57" s="151">
        <v>114902108</v>
      </c>
      <c r="J57" s="151">
        <v>6594323.9859486073</v>
      </c>
      <c r="K57" s="151"/>
      <c r="N57" s="105">
        <v>33</v>
      </c>
      <c r="O57" s="107">
        <v>13458819.73374027</v>
      </c>
      <c r="P57" s="107">
        <v>8754182.2544221729</v>
      </c>
      <c r="Q57" s="107">
        <v>7661763.7984854728</v>
      </c>
      <c r="R57" s="107">
        <v>-8925304.5273624957</v>
      </c>
      <c r="S57" s="107">
        <v>6152431.0959473848</v>
      </c>
      <c r="T57" s="107">
        <v>-9953158.8370960057</v>
      </c>
      <c r="U57" s="107">
        <v>1620468.1090616733</v>
      </c>
    </row>
    <row r="58" spans="1:30" ht="13.2">
      <c r="A58" s="152">
        <v>49</v>
      </c>
      <c r="B58" s="151">
        <v>58464316.5</v>
      </c>
      <c r="C58" s="151">
        <v>58464316.5</v>
      </c>
      <c r="D58" s="151">
        <v>24041667.389431223</v>
      </c>
      <c r="E58" s="151">
        <v>43613208.797748432</v>
      </c>
      <c r="F58" s="151">
        <v>25737973.884176649</v>
      </c>
      <c r="G58" s="151">
        <v>15000000</v>
      </c>
      <c r="H58" s="151">
        <v>108392850.0713563</v>
      </c>
      <c r="I58" s="151">
        <v>116928633</v>
      </c>
      <c r="J58" s="151">
        <v>8535782.9286437035</v>
      </c>
      <c r="K58" s="151"/>
      <c r="N58" s="105">
        <v>34</v>
      </c>
      <c r="O58" s="107">
        <v>15184864.294633836</v>
      </c>
      <c r="P58" s="107">
        <v>8302975.1573876888</v>
      </c>
      <c r="Q58" s="107">
        <v>-2301193.392170608</v>
      </c>
      <c r="R58" s="107">
        <v>1320409.2723678201</v>
      </c>
      <c r="S58" s="107">
        <v>826945.81477300823</v>
      </c>
      <c r="T58" s="107">
        <v>2466751.0369127989</v>
      </c>
      <c r="U58" s="107">
        <v>-2829451.4288583696</v>
      </c>
    </row>
    <row r="59" spans="1:30" ht="13.2">
      <c r="A59" s="152">
        <v>50</v>
      </c>
      <c r="B59" s="151">
        <v>57750228.5</v>
      </c>
      <c r="C59" s="151">
        <v>57750228.5</v>
      </c>
      <c r="D59" s="151">
        <v>25386802.011635225</v>
      </c>
      <c r="E59" s="151">
        <v>43197014.138959177</v>
      </c>
      <c r="F59" s="151">
        <v>28791436.87973446</v>
      </c>
      <c r="G59" s="151">
        <v>15000000</v>
      </c>
      <c r="H59" s="151">
        <v>112375253.03032885</v>
      </c>
      <c r="I59" s="151">
        <v>115500457</v>
      </c>
      <c r="J59" s="151">
        <v>3125203.9696711451</v>
      </c>
      <c r="K59" s="151"/>
      <c r="N59" s="105">
        <v>35</v>
      </c>
      <c r="O59" s="107">
        <v>1296878.5045745671</v>
      </c>
      <c r="P59" s="107">
        <v>14190952.591993168</v>
      </c>
      <c r="Q59" s="107">
        <v>5635075.8806220591</v>
      </c>
      <c r="R59" s="107">
        <v>-5929081.4600847363</v>
      </c>
      <c r="S59" s="107">
        <v>-4418358.0287453234</v>
      </c>
      <c r="T59" s="107">
        <v>-5926520.1054888368</v>
      </c>
      <c r="U59" s="107">
        <v>7625364.9886395186</v>
      </c>
    </row>
    <row r="60" spans="1:30" ht="13.2">
      <c r="A60" s="152">
        <v>51</v>
      </c>
      <c r="B60" s="151">
        <v>63791295</v>
      </c>
      <c r="C60" s="151">
        <v>63791295</v>
      </c>
      <c r="D60" s="151">
        <v>23918357.176742122</v>
      </c>
      <c r="E60" s="151">
        <v>42468234.647217974</v>
      </c>
      <c r="F60" s="151">
        <v>30151256.71404209</v>
      </c>
      <c r="G60" s="151">
        <v>15000000</v>
      </c>
      <c r="H60" s="151">
        <v>111537848.53800219</v>
      </c>
      <c r="I60" s="151">
        <v>127582590</v>
      </c>
      <c r="J60" s="151">
        <v>16044741.461997807</v>
      </c>
      <c r="K60" s="151"/>
      <c r="N60" s="105">
        <v>36</v>
      </c>
      <c r="O60" s="107">
        <v>9329787.5686283559</v>
      </c>
      <c r="P60" s="107">
        <v>6601303.3331907094</v>
      </c>
      <c r="Q60" s="107">
        <v>11978091.083454564</v>
      </c>
      <c r="R60" s="107">
        <v>4610981.7861602604</v>
      </c>
      <c r="S60" s="107">
        <v>-5262943.4751855731</v>
      </c>
      <c r="T60" s="107">
        <v>-3613693.6024684906</v>
      </c>
      <c r="U60" s="107">
        <v>-233068.28585368395</v>
      </c>
    </row>
    <row r="61" spans="1:30" ht="13.2">
      <c r="A61" s="152">
        <v>52</v>
      </c>
      <c r="B61" s="151">
        <v>56804758.5</v>
      </c>
      <c r="C61" s="151">
        <v>56804758.5</v>
      </c>
      <c r="D61" s="151">
        <v>24311627.917999633</v>
      </c>
      <c r="E61" s="151">
        <v>43093449.523794509</v>
      </c>
      <c r="F61" s="151">
        <v>25727310.009631786</v>
      </c>
      <c r="G61" s="151">
        <v>15000000</v>
      </c>
      <c r="H61" s="151">
        <v>108132387.45142592</v>
      </c>
      <c r="I61" s="151">
        <v>113609517</v>
      </c>
      <c r="J61" s="151">
        <v>5477129.5485740751</v>
      </c>
      <c r="K61" s="151"/>
      <c r="N61" s="105">
        <v>37</v>
      </c>
      <c r="O61" s="107">
        <v>3972249.2848900855</v>
      </c>
      <c r="P61" s="107">
        <v>3891702.8014570177</v>
      </c>
      <c r="Q61" s="107">
        <v>1449285.5253018141</v>
      </c>
      <c r="R61" s="107">
        <v>4373899.4755755067</v>
      </c>
      <c r="S61" s="107">
        <v>191242.37712551653</v>
      </c>
      <c r="T61" s="107">
        <v>-3332263.2626252323</v>
      </c>
      <c r="U61" s="107">
        <v>-12901481.386189342</v>
      </c>
    </row>
    <row r="62" spans="1:30" ht="13.2">
      <c r="A62" s="152">
        <v>53</v>
      </c>
      <c r="B62" s="151">
        <v>58282504</v>
      </c>
      <c r="C62" s="151">
        <v>58282504</v>
      </c>
      <c r="D62" s="151">
        <v>24299222.61502545</v>
      </c>
      <c r="E62" s="151">
        <v>42703794.539108902</v>
      </c>
      <c r="F62" s="151">
        <v>26965825.146474648</v>
      </c>
      <c r="G62" s="151">
        <v>15000000</v>
      </c>
      <c r="H62" s="151">
        <v>108968842.30060899</v>
      </c>
      <c r="I62" s="151">
        <v>116565008</v>
      </c>
      <c r="J62" s="151">
        <v>7596165.6993910074</v>
      </c>
      <c r="K62" s="151"/>
      <c r="N62" s="105">
        <v>38</v>
      </c>
      <c r="O62" s="107">
        <v>12705234.29350397</v>
      </c>
      <c r="P62" s="107">
        <v>12505787.269484371</v>
      </c>
      <c r="Q62" s="107">
        <v>4004577.070485577</v>
      </c>
      <c r="R62" s="107">
        <v>-6304297.4854314476</v>
      </c>
      <c r="S62" s="107">
        <v>-5453335.227090776</v>
      </c>
      <c r="T62" s="107">
        <v>4959369.9336648881</v>
      </c>
      <c r="U62" s="107">
        <v>7093444.6639820933</v>
      </c>
    </row>
    <row r="63" spans="1:30" ht="13.2">
      <c r="A63" s="152">
        <v>54</v>
      </c>
      <c r="B63" s="151">
        <v>56491769</v>
      </c>
      <c r="C63" s="151">
        <v>56491769</v>
      </c>
      <c r="D63" s="151">
        <v>24453610.213240895</v>
      </c>
      <c r="E63" s="151">
        <v>42846860.894870631</v>
      </c>
      <c r="F63" s="151">
        <v>26378913.074036956</v>
      </c>
      <c r="G63" s="151">
        <v>15000000</v>
      </c>
      <c r="H63" s="151">
        <v>108679384.18214849</v>
      </c>
      <c r="I63" s="151">
        <v>112983538</v>
      </c>
      <c r="J63" s="151">
        <v>4304153.8178515136</v>
      </c>
      <c r="K63" s="151"/>
      <c r="N63" s="105">
        <v>39</v>
      </c>
      <c r="O63" s="107">
        <v>19135922.637084901</v>
      </c>
      <c r="P63" s="107">
        <v>6306806.9156806022</v>
      </c>
      <c r="Q63" s="107">
        <v>5264019.0730197281</v>
      </c>
      <c r="R63" s="107">
        <v>10816468.724300861</v>
      </c>
      <c r="S63" s="107">
        <v>2067810.9036421925</v>
      </c>
      <c r="T63" s="107">
        <v>-13034096.212378711</v>
      </c>
      <c r="U63" s="107">
        <v>2103415.6948359162</v>
      </c>
    </row>
    <row r="64" spans="1:30" ht="13.2">
      <c r="A64" s="152">
        <v>55</v>
      </c>
      <c r="B64" s="151">
        <v>52941634</v>
      </c>
      <c r="C64" s="151">
        <v>52941634</v>
      </c>
      <c r="D64" s="151">
        <v>25265972.859540954</v>
      </c>
      <c r="E64" s="151">
        <v>44504887.387677036</v>
      </c>
      <c r="F64" s="151">
        <v>27762596.839169949</v>
      </c>
      <c r="G64" s="151">
        <v>15000000</v>
      </c>
      <c r="H64" s="151">
        <v>112533457.08638793</v>
      </c>
      <c r="I64" s="151">
        <v>105883268</v>
      </c>
      <c r="J64" s="151">
        <v>-6650189.0863879323</v>
      </c>
      <c r="K64" s="151"/>
      <c r="N64" s="105">
        <v>40</v>
      </c>
      <c r="O64" s="107">
        <v>3943398.0564624667</v>
      </c>
      <c r="P64" s="107">
        <v>6024073.8649665415</v>
      </c>
      <c r="Q64" s="107">
        <v>1988755.3568350375</v>
      </c>
      <c r="R64" s="107">
        <v>13325757.847877145</v>
      </c>
      <c r="S64" s="107">
        <v>-5191253.9480846971</v>
      </c>
      <c r="T64" s="107">
        <v>2643217.6685263962</v>
      </c>
      <c r="U64" s="107">
        <v>281747.88363723457</v>
      </c>
    </row>
    <row r="65" spans="1:21" ht="13.2">
      <c r="A65" s="152">
        <v>56</v>
      </c>
      <c r="B65" s="151">
        <v>60266662.5</v>
      </c>
      <c r="C65" s="151">
        <v>60266662.5</v>
      </c>
      <c r="D65" s="151">
        <v>24443980.071413182</v>
      </c>
      <c r="E65" s="151">
        <v>43344926.157142989</v>
      </c>
      <c r="F65" s="151">
        <v>28037878.40181243</v>
      </c>
      <c r="G65" s="151">
        <v>15000000</v>
      </c>
      <c r="H65" s="151">
        <v>110826784.63036861</v>
      </c>
      <c r="I65" s="151">
        <v>120533325</v>
      </c>
      <c r="J65" s="151">
        <v>9706540.3696313947</v>
      </c>
      <c r="K65" s="151"/>
      <c r="N65" s="105">
        <v>41</v>
      </c>
      <c r="O65" s="107">
        <v>5801128.4393220544</v>
      </c>
      <c r="P65" s="107">
        <v>7992913.6153661013</v>
      </c>
      <c r="Q65" s="107">
        <v>9060706.8484794497</v>
      </c>
      <c r="R65" s="107">
        <v>5930776.5605370402</v>
      </c>
      <c r="S65" s="107">
        <v>-2616819.5945442766</v>
      </c>
      <c r="T65" s="107">
        <v>-1766353.9985361099</v>
      </c>
      <c r="U65" s="107">
        <v>-7483187.2144841701</v>
      </c>
    </row>
    <row r="66" spans="1:21" ht="13.2">
      <c r="A66" s="152">
        <v>57</v>
      </c>
      <c r="B66" s="151">
        <v>54982206</v>
      </c>
      <c r="C66" s="151">
        <v>54982206</v>
      </c>
      <c r="D66" s="151">
        <v>25251674.697075199</v>
      </c>
      <c r="E66" s="151">
        <v>43221844.347768374</v>
      </c>
      <c r="F66" s="151">
        <v>26712470.954225138</v>
      </c>
      <c r="G66" s="151">
        <v>15000000</v>
      </c>
      <c r="H66" s="151">
        <v>110185989.99906871</v>
      </c>
      <c r="I66" s="151">
        <v>109964412</v>
      </c>
      <c r="J66" s="151">
        <v>-221577.99906870723</v>
      </c>
      <c r="K66" s="151"/>
      <c r="N66" s="105">
        <v>42</v>
      </c>
      <c r="O66" s="107">
        <v>17140444.639999151</v>
      </c>
      <c r="P66" s="107">
        <v>-4562397.1001757979</v>
      </c>
      <c r="Q66" s="107">
        <v>6733632.5792242587</v>
      </c>
      <c r="R66" s="107">
        <v>6624459.2982916087</v>
      </c>
      <c r="S66" s="107">
        <v>5173597.9470197856</v>
      </c>
      <c r="T66" s="107">
        <v>300555.58256827295</v>
      </c>
      <c r="U66" s="107">
        <v>-6077378.9806136489</v>
      </c>
    </row>
    <row r="67" spans="1:21" ht="13.2">
      <c r="A67" s="152">
        <v>58</v>
      </c>
      <c r="B67" s="151">
        <v>58446410</v>
      </c>
      <c r="C67" s="151">
        <v>58446410</v>
      </c>
      <c r="D67" s="151">
        <v>22695944.566123955</v>
      </c>
      <c r="E67" s="151">
        <v>42961439.389829509</v>
      </c>
      <c r="F67" s="151">
        <v>28612862.431684647</v>
      </c>
      <c r="G67" s="151">
        <v>15000000</v>
      </c>
      <c r="H67" s="151">
        <v>109270246.38763811</v>
      </c>
      <c r="I67" s="151">
        <v>116892820</v>
      </c>
      <c r="J67" s="151">
        <v>7622573.6123618931</v>
      </c>
      <c r="K67" s="151"/>
      <c r="N67" s="105">
        <v>43</v>
      </c>
      <c r="O67" s="107">
        <v>10403636.091512263</v>
      </c>
      <c r="P67" s="107">
        <v>19119425.215935409</v>
      </c>
      <c r="Q67" s="107">
        <v>2975442.4979847968</v>
      </c>
      <c r="R67" s="107">
        <v>12170899.209633008</v>
      </c>
      <c r="S67" s="107">
        <v>3997718.4953580946</v>
      </c>
      <c r="T67" s="107">
        <v>7470833.0454428494</v>
      </c>
      <c r="U67" s="107">
        <v>1046616.7990714461</v>
      </c>
    </row>
    <row r="68" spans="1:21" ht="13.2">
      <c r="A68" s="152">
        <v>59</v>
      </c>
      <c r="B68" s="151">
        <v>56076827.5</v>
      </c>
      <c r="C68" s="151">
        <v>56076827.5</v>
      </c>
      <c r="D68" s="151">
        <v>24986676.289696466</v>
      </c>
      <c r="E68" s="151">
        <v>41923407.253828153</v>
      </c>
      <c r="F68" s="151">
        <v>27378202.617568463</v>
      </c>
      <c r="G68" s="151">
        <v>15000000</v>
      </c>
      <c r="H68" s="151">
        <v>109288286.16109309</v>
      </c>
      <c r="I68" s="151">
        <v>112153655</v>
      </c>
      <c r="J68" s="151">
        <v>2865368.838906914</v>
      </c>
      <c r="K68" s="151"/>
      <c r="N68" s="105">
        <v>44</v>
      </c>
      <c r="O68" s="107">
        <v>4587261.4393259436</v>
      </c>
      <c r="P68" s="107">
        <v>12447389.035321966</v>
      </c>
      <c r="Q68" s="107">
        <v>-416331.92077031732</v>
      </c>
      <c r="R68" s="107">
        <v>10327363.050721973</v>
      </c>
      <c r="S68" s="107">
        <v>-8986905.0873822123</v>
      </c>
      <c r="T68" s="107">
        <v>3938191.3590545654</v>
      </c>
      <c r="U68" s="107">
        <v>-12330426.775112301</v>
      </c>
    </row>
    <row r="69" spans="1:21" ht="13.2">
      <c r="A69" s="152">
        <v>60</v>
      </c>
      <c r="B69" s="151">
        <v>55849411.5</v>
      </c>
      <c r="C69" s="151">
        <v>55849411.5</v>
      </c>
      <c r="D69" s="151">
        <v>25244231.515290689</v>
      </c>
      <c r="E69" s="151">
        <v>40786678.590355843</v>
      </c>
      <c r="F69" s="151">
        <v>27516719.897210959</v>
      </c>
      <c r="G69" s="151">
        <v>15000000</v>
      </c>
      <c r="H69" s="151">
        <v>108547630.00285749</v>
      </c>
      <c r="I69" s="151">
        <v>111698823</v>
      </c>
      <c r="J69" s="151">
        <v>3151192.9971425086</v>
      </c>
      <c r="K69" s="151"/>
      <c r="N69" s="105">
        <v>45</v>
      </c>
      <c r="O69" s="107">
        <v>5417812.2510037571</v>
      </c>
      <c r="P69" s="107">
        <v>6847141.5279162079</v>
      </c>
      <c r="Q69" s="107">
        <v>4808055.7289382964</v>
      </c>
      <c r="R69" s="107">
        <v>1417123.3975060731</v>
      </c>
      <c r="S69" s="107">
        <v>3429472.9189911783</v>
      </c>
      <c r="T69" s="107">
        <v>1149407.5684787929</v>
      </c>
      <c r="U69" s="107">
        <v>-1861725.1888366193</v>
      </c>
    </row>
    <row r="70" spans="1:21" ht="13.2">
      <c r="A70" s="152">
        <v>61</v>
      </c>
      <c r="B70" s="151">
        <v>55379509</v>
      </c>
      <c r="C70" s="151">
        <v>55379509</v>
      </c>
      <c r="D70" s="151">
        <v>22700612.586761996</v>
      </c>
      <c r="E70" s="151">
        <v>42358805.558184475</v>
      </c>
      <c r="F70" s="151">
        <v>24702974.171351254</v>
      </c>
      <c r="G70" s="151">
        <v>15000000</v>
      </c>
      <c r="H70" s="151">
        <v>104762392.31629772</v>
      </c>
      <c r="I70" s="151">
        <v>110759018</v>
      </c>
      <c r="J70" s="151">
        <v>5996625.6837022752</v>
      </c>
      <c r="K70" s="151"/>
      <c r="N70" s="105">
        <v>46</v>
      </c>
      <c r="O70" s="107">
        <v>7510164.7303546667</v>
      </c>
      <c r="P70" s="107">
        <v>16324822.680793196</v>
      </c>
      <c r="Q70" s="107">
        <v>1859060.301988706</v>
      </c>
      <c r="R70" s="107">
        <v>251592.37161011994</v>
      </c>
      <c r="S70" s="107">
        <v>4655275.2821258605</v>
      </c>
      <c r="T70" s="107">
        <v>3475158.2036528587</v>
      </c>
      <c r="U70" s="107">
        <v>-1475610.7654559165</v>
      </c>
    </row>
    <row r="71" spans="1:21" ht="13.2">
      <c r="A71" s="152">
        <v>62</v>
      </c>
      <c r="B71" s="151">
        <v>58480769.5</v>
      </c>
      <c r="C71" s="151">
        <v>58480769.5</v>
      </c>
      <c r="D71" s="151">
        <v>26174942.253090188</v>
      </c>
      <c r="E71" s="151">
        <v>43939392.573184147</v>
      </c>
      <c r="F71" s="151">
        <v>26685222.570847459</v>
      </c>
      <c r="G71" s="151">
        <v>15000000</v>
      </c>
      <c r="H71" s="151">
        <v>111799557.39712179</v>
      </c>
      <c r="I71" s="151">
        <v>116961539</v>
      </c>
      <c r="J71" s="151">
        <v>5161981.6028782129</v>
      </c>
      <c r="K71" s="151"/>
      <c r="N71" s="105">
        <v>47</v>
      </c>
      <c r="O71" s="107">
        <v>6212606.7135390788</v>
      </c>
      <c r="P71" s="107">
        <v>8473530.0018467754</v>
      </c>
      <c r="Q71" s="107">
        <v>380397.59820827842</v>
      </c>
      <c r="R71" s="107">
        <v>2441266.566333279</v>
      </c>
      <c r="S71" s="107">
        <v>7604199.8052730709</v>
      </c>
      <c r="T71" s="107">
        <v>-375669.22272200882</v>
      </c>
      <c r="U71" s="107">
        <v>-6593129.9633323401</v>
      </c>
    </row>
    <row r="72" spans="1:21" ht="13.2">
      <c r="A72" s="152">
        <v>63</v>
      </c>
      <c r="B72" s="151">
        <v>49105843</v>
      </c>
      <c r="C72" s="151">
        <v>49105843</v>
      </c>
      <c r="D72" s="151">
        <v>24313520.777491201</v>
      </c>
      <c r="E72" s="151">
        <v>44522520.654124409</v>
      </c>
      <c r="F72" s="151">
        <v>28539427.186129365</v>
      </c>
      <c r="G72" s="151">
        <v>15000000</v>
      </c>
      <c r="H72" s="151">
        <v>112375468.61774497</v>
      </c>
      <c r="I72" s="151">
        <v>98211686</v>
      </c>
      <c r="J72" s="151">
        <v>-14163782.617744967</v>
      </c>
      <c r="K72" s="151"/>
      <c r="N72" s="105">
        <v>48</v>
      </c>
      <c r="O72" s="107">
        <v>18355589.253209084</v>
      </c>
      <c r="P72" s="107">
        <v>12052114.184084773</v>
      </c>
      <c r="Q72" s="107">
        <v>5306395.2522556633</v>
      </c>
      <c r="R72" s="107">
        <v>11433230.45060572</v>
      </c>
      <c r="S72" s="107">
        <v>4568754.3492550552</v>
      </c>
      <c r="T72" s="107">
        <v>-9445998.8377697915</v>
      </c>
      <c r="U72" s="107">
        <v>-2026553.3278607875</v>
      </c>
    </row>
    <row r="73" spans="1:21" ht="13.2">
      <c r="A73" s="152">
        <v>64</v>
      </c>
      <c r="B73" s="151">
        <v>60805363.5</v>
      </c>
      <c r="C73" s="151">
        <v>60805363.5</v>
      </c>
      <c r="D73" s="151">
        <v>24967121.905489411</v>
      </c>
      <c r="E73" s="151">
        <v>42235316.474516273</v>
      </c>
      <c r="F73" s="151">
        <v>28724467.850881379</v>
      </c>
      <c r="G73" s="151">
        <v>15000000</v>
      </c>
      <c r="H73" s="151">
        <v>110926906.23088707</v>
      </c>
      <c r="I73" s="151">
        <v>121610727</v>
      </c>
      <c r="J73" s="151">
        <v>10683820.76911293</v>
      </c>
      <c r="K73" s="151"/>
      <c r="N73" s="105">
        <v>49</v>
      </c>
      <c r="O73" s="107">
        <v>29337832.490523368</v>
      </c>
      <c r="P73" s="107">
        <v>2500132.3315827996</v>
      </c>
      <c r="Q73" s="107">
        <v>7650121.5760884434</v>
      </c>
      <c r="R73" s="107">
        <v>9173271.7686988413</v>
      </c>
      <c r="S73" s="107">
        <v>-1182249.951331228</v>
      </c>
      <c r="T73" s="107">
        <v>1897301.4586469084</v>
      </c>
      <c r="U73" s="107">
        <v>-1879680.6242820174</v>
      </c>
    </row>
    <row r="74" spans="1:21" ht="13.2">
      <c r="A74" s="152">
        <v>65</v>
      </c>
      <c r="B74" s="151">
        <v>55998754.5</v>
      </c>
      <c r="C74" s="151">
        <v>55998754.5</v>
      </c>
      <c r="D74" s="151">
        <v>23505826.151829179</v>
      </c>
      <c r="E74" s="151">
        <v>42171841.971513875</v>
      </c>
      <c r="F74" s="151">
        <v>26941704.942018334</v>
      </c>
      <c r="G74" s="151">
        <v>15000000</v>
      </c>
      <c r="H74" s="151">
        <v>107619373.06536138</v>
      </c>
      <c r="I74" s="151">
        <v>111997509</v>
      </c>
      <c r="J74" s="151">
        <v>4378135.9346386194</v>
      </c>
      <c r="K74" s="151"/>
      <c r="N74" s="105">
        <v>50</v>
      </c>
      <c r="O74" s="107">
        <v>7026313.2935361862</v>
      </c>
      <c r="P74" s="107">
        <v>13333896.278026223</v>
      </c>
      <c r="Q74" s="107">
        <v>4287945.0576210022</v>
      </c>
      <c r="R74" s="107">
        <v>-1550573.7776829898</v>
      </c>
      <c r="S74" s="107">
        <v>10117833.682992935</v>
      </c>
      <c r="T74" s="107">
        <v>-293405.31455160677</v>
      </c>
      <c r="U74" s="107">
        <v>536240.27428536117</v>
      </c>
    </row>
    <row r="75" spans="1:21" ht="13.2">
      <c r="A75" s="152">
        <v>66</v>
      </c>
      <c r="B75" s="151">
        <v>59846805</v>
      </c>
      <c r="C75" s="151">
        <v>59846805</v>
      </c>
      <c r="D75" s="151">
        <v>22432839.018236794</v>
      </c>
      <c r="E75" s="151">
        <v>42517279.322868288</v>
      </c>
      <c r="F75" s="151">
        <v>27275535.854881559</v>
      </c>
      <c r="G75" s="151">
        <v>15000000</v>
      </c>
      <c r="H75" s="151">
        <v>107225654.19598664</v>
      </c>
      <c r="I75" s="151">
        <v>119693610</v>
      </c>
      <c r="J75" s="151">
        <v>12467955.804013357</v>
      </c>
      <c r="K75" s="151"/>
      <c r="N75" s="105">
        <v>51</v>
      </c>
      <c r="O75" s="107">
        <v>11677513.15833284</v>
      </c>
      <c r="P75" s="107">
        <v>11539123.85141021</v>
      </c>
      <c r="Q75" s="107">
        <v>2965672.2922903895</v>
      </c>
      <c r="R75" s="107">
        <v>8810795.8661744297</v>
      </c>
      <c r="S75" s="107">
        <v>4671898.736315161</v>
      </c>
      <c r="T75" s="107">
        <v>8452623.8642698824</v>
      </c>
      <c r="U75" s="107">
        <v>2717098.5308519304</v>
      </c>
    </row>
    <row r="76" spans="1:21" ht="13.2">
      <c r="A76" s="152">
        <v>67</v>
      </c>
      <c r="B76" s="151">
        <v>57117651</v>
      </c>
      <c r="C76" s="151">
        <v>57117651</v>
      </c>
      <c r="D76" s="151">
        <v>24039186.328836385</v>
      </c>
      <c r="E76" s="151">
        <v>42765330.410859674</v>
      </c>
      <c r="F76" s="151">
        <v>26977294.24481146</v>
      </c>
      <c r="G76" s="151">
        <v>15000000</v>
      </c>
      <c r="H76" s="151">
        <v>108781810.98450752</v>
      </c>
      <c r="I76" s="151">
        <v>114235302</v>
      </c>
      <c r="J76" s="151">
        <v>5453491.015492484</v>
      </c>
      <c r="K76" s="151"/>
      <c r="N76" s="105">
        <v>52</v>
      </c>
      <c r="O76" s="107">
        <v>6948958.6852178276</v>
      </c>
      <c r="P76" s="107">
        <v>10570378.174666226</v>
      </c>
      <c r="Q76" s="107">
        <v>735059.55646577477</v>
      </c>
      <c r="R76" s="107">
        <v>7488277.6553230882</v>
      </c>
      <c r="S76" s="107">
        <v>7140407.474611491</v>
      </c>
      <c r="T76" s="107">
        <v>-1032829.1664249152</v>
      </c>
      <c r="U76" s="107">
        <v>-9429430.1087048203</v>
      </c>
    </row>
    <row r="77" spans="1:21" ht="13.2">
      <c r="A77" s="152">
        <v>68</v>
      </c>
      <c r="B77" s="151">
        <v>60258188.5</v>
      </c>
      <c r="C77" s="151">
        <v>60258188.5</v>
      </c>
      <c r="D77" s="151">
        <v>23646209.688130505</v>
      </c>
      <c r="E77" s="151">
        <v>42772734.979386799</v>
      </c>
      <c r="F77" s="151">
        <v>27238953.075184919</v>
      </c>
      <c r="G77" s="151">
        <v>15000000</v>
      </c>
      <c r="H77" s="151">
        <v>108657897.74270222</v>
      </c>
      <c r="I77" s="151">
        <v>120516377</v>
      </c>
      <c r="J77" s="151">
        <v>11858479.257297784</v>
      </c>
      <c r="K77" s="151"/>
      <c r="N77" s="105">
        <v>53</v>
      </c>
      <c r="O77" s="107">
        <v>13703256.828888297</v>
      </c>
      <c r="P77" s="107">
        <v>16685551.909255624</v>
      </c>
      <c r="Q77" s="107">
        <v>4372653.0622112453</v>
      </c>
      <c r="R77" s="107">
        <v>13484240.36253038</v>
      </c>
      <c r="S77" s="107">
        <v>3857619.0421325564</v>
      </c>
      <c r="T77" s="107">
        <v>-4040310.8345130682</v>
      </c>
      <c r="U77" s="107">
        <v>-2129712.7686455548</v>
      </c>
    </row>
    <row r="78" spans="1:21" ht="13.2">
      <c r="A78" s="152">
        <v>69</v>
      </c>
      <c r="B78" s="151">
        <v>56342607.5</v>
      </c>
      <c r="C78" s="151">
        <v>56342607.5</v>
      </c>
      <c r="D78" s="151">
        <v>23638766.506345995</v>
      </c>
      <c r="E78" s="151">
        <v>41240341.008665994</v>
      </c>
      <c r="F78" s="151">
        <v>27674931.17460781</v>
      </c>
      <c r="G78" s="151">
        <v>15000000</v>
      </c>
      <c r="H78" s="151">
        <v>107554038.68961979</v>
      </c>
      <c r="I78" s="151">
        <v>112685215</v>
      </c>
      <c r="J78" s="151">
        <v>5131176.3103802055</v>
      </c>
      <c r="K78" s="151"/>
      <c r="N78" s="105">
        <v>54</v>
      </c>
      <c r="O78" s="107">
        <v>14405716.671655282</v>
      </c>
      <c r="P78" s="107">
        <v>12632536.184212476</v>
      </c>
      <c r="Q78" s="107">
        <v>2846850.8957931995</v>
      </c>
      <c r="R78" s="107">
        <v>14583815.741600215</v>
      </c>
      <c r="S78" s="107">
        <v>10197709.999263644</v>
      </c>
      <c r="T78" s="107">
        <v>7743855.3640488833</v>
      </c>
      <c r="U78" s="107">
        <v>12328.894926458597</v>
      </c>
    </row>
    <row r="79" spans="1:21" ht="13.2">
      <c r="A79" s="152">
        <v>70</v>
      </c>
      <c r="B79" s="151">
        <v>54652901</v>
      </c>
      <c r="C79" s="151">
        <v>54652901</v>
      </c>
      <c r="D79" s="151">
        <v>24033930.107095081</v>
      </c>
      <c r="E79" s="151">
        <v>42865073.774423487</v>
      </c>
      <c r="F79" s="151">
        <v>27795974.221651517</v>
      </c>
      <c r="G79" s="151">
        <v>15000000</v>
      </c>
      <c r="H79" s="151">
        <v>109694978.1031701</v>
      </c>
      <c r="I79" s="151">
        <v>109305802</v>
      </c>
      <c r="J79" s="151">
        <v>-389176.10317009687</v>
      </c>
      <c r="K79" s="151"/>
      <c r="N79" s="105">
        <v>55</v>
      </c>
      <c r="O79" s="107">
        <v>22819517.75928314</v>
      </c>
      <c r="P79" s="107">
        <v>8025481.0171688944</v>
      </c>
      <c r="Q79" s="107">
        <v>6446533.6339356005</v>
      </c>
      <c r="R79" s="107">
        <v>5706523.1626656353</v>
      </c>
      <c r="S79" s="107">
        <v>7323004.0296915174</v>
      </c>
      <c r="T79" s="107">
        <v>-1758254.5620625168</v>
      </c>
      <c r="U79" s="107">
        <v>-3090983.2578391582</v>
      </c>
    </row>
    <row r="80" spans="1:21" ht="13.2">
      <c r="A80" s="152">
        <v>71</v>
      </c>
      <c r="B80" s="151">
        <v>58867024</v>
      </c>
      <c r="C80" s="151">
        <v>58867024</v>
      </c>
      <c r="D80" s="151">
        <v>24984195.229101632</v>
      </c>
      <c r="E80" s="151">
        <v>44903752.687701993</v>
      </c>
      <c r="F80" s="151">
        <v>28523731.516767826</v>
      </c>
      <c r="G80" s="151">
        <v>15000000</v>
      </c>
      <c r="H80" s="151">
        <v>113411679.43357146</v>
      </c>
      <c r="I80" s="151">
        <v>117734048</v>
      </c>
      <c r="J80" s="151">
        <v>4322368.5664285421</v>
      </c>
      <c r="K80" s="151"/>
      <c r="N80" s="105">
        <v>56</v>
      </c>
      <c r="O80" s="107">
        <v>6430673.8292414546</v>
      </c>
      <c r="P80" s="107">
        <v>6696951.8753653765</v>
      </c>
      <c r="Q80" s="107">
        <v>2760765.9939849079</v>
      </c>
      <c r="R80" s="107">
        <v>-162308.00724560022</v>
      </c>
      <c r="S80" s="107">
        <v>9611486.3248619437</v>
      </c>
      <c r="T80" s="107">
        <v>5920795.3799768835</v>
      </c>
      <c r="U80" s="107">
        <v>-1313120.6074457169</v>
      </c>
    </row>
    <row r="81" spans="1:21" ht="13.2">
      <c r="A81" s="152">
        <v>72</v>
      </c>
      <c r="B81" s="151">
        <v>56982205.5</v>
      </c>
      <c r="C81" s="151">
        <v>56982205.5</v>
      </c>
      <c r="D81" s="151">
        <v>26174942.253090188</v>
      </c>
      <c r="E81" s="151">
        <v>41967230.565963477</v>
      </c>
      <c r="F81" s="151">
        <v>30506315.46493097</v>
      </c>
      <c r="G81" s="151">
        <v>15000000</v>
      </c>
      <c r="H81" s="151">
        <v>113648488.28398463</v>
      </c>
      <c r="I81" s="151">
        <v>113964411</v>
      </c>
      <c r="J81" s="151">
        <v>315922.7160153687</v>
      </c>
      <c r="K81" s="151"/>
      <c r="N81" s="105">
        <v>57</v>
      </c>
      <c r="O81" s="107">
        <v>5386822.3122229874</v>
      </c>
      <c r="P81" s="107">
        <v>1435529.9978858232</v>
      </c>
      <c r="Q81" s="107">
        <v>7026475.5213903487</v>
      </c>
      <c r="R81" s="107">
        <v>15861940.277916685</v>
      </c>
      <c r="S81" s="107">
        <v>-37896.945527791977</v>
      </c>
      <c r="T81" s="107">
        <v>-4942137.5421656966</v>
      </c>
      <c r="U81" s="107">
        <v>1330643.3705962896</v>
      </c>
    </row>
    <row r="82" spans="1:21" ht="13.2">
      <c r="A82" s="152">
        <v>73</v>
      </c>
      <c r="B82" s="151">
        <v>55984459</v>
      </c>
      <c r="C82" s="151">
        <v>55984459</v>
      </c>
      <c r="D82" s="151">
        <v>26057182.362694021</v>
      </c>
      <c r="E82" s="151">
        <v>43845420.877629191</v>
      </c>
      <c r="F82" s="151">
        <v>26967617.901508365</v>
      </c>
      <c r="G82" s="151">
        <v>15000000</v>
      </c>
      <c r="H82" s="151">
        <v>111870221.14183158</v>
      </c>
      <c r="I82" s="151">
        <v>111968918</v>
      </c>
      <c r="J82" s="151">
        <v>98696.858168423176</v>
      </c>
      <c r="K82" s="151"/>
      <c r="N82" s="105">
        <v>58</v>
      </c>
      <c r="O82" s="107">
        <v>4187431.6293555498</v>
      </c>
      <c r="P82" s="107">
        <v>8917636.6098377705</v>
      </c>
      <c r="Q82" s="107">
        <v>7716291.3077129573</v>
      </c>
      <c r="R82" s="107">
        <v>12029426.351145372</v>
      </c>
      <c r="S82" s="107">
        <v>1962011.526852563</v>
      </c>
      <c r="T82" s="107">
        <v>-4974153.0846188366</v>
      </c>
      <c r="U82" s="107">
        <v>6361682.6476247907</v>
      </c>
    </row>
    <row r="83" spans="1:21" ht="13.2">
      <c r="A83" s="152">
        <v>74</v>
      </c>
      <c r="B83" s="151">
        <v>53863866</v>
      </c>
      <c r="C83" s="151">
        <v>53863866</v>
      </c>
      <c r="D83" s="151">
        <v>22840702.022511691</v>
      </c>
      <c r="E83" s="151">
        <v>42409092.821804218</v>
      </c>
      <c r="F83" s="151">
        <v>26036351.290325664</v>
      </c>
      <c r="G83" s="151">
        <v>15000000</v>
      </c>
      <c r="H83" s="151">
        <v>106286146.13464157</v>
      </c>
      <c r="I83" s="151">
        <v>107727732</v>
      </c>
      <c r="J83" s="151">
        <v>1441585.8653584272</v>
      </c>
      <c r="K83" s="151"/>
      <c r="N83" s="105">
        <v>59</v>
      </c>
      <c r="O83" s="107">
        <v>13479671.35170424</v>
      </c>
      <c r="P83" s="107">
        <v>1302064.4646627307</v>
      </c>
      <c r="Q83" s="107">
        <v>3499652.7249087095</v>
      </c>
      <c r="R83" s="107">
        <v>5671961.9165915996</v>
      </c>
      <c r="S83" s="107">
        <v>11644617.132253647</v>
      </c>
      <c r="T83" s="107">
        <v>182291.70536756516</v>
      </c>
      <c r="U83" s="107">
        <v>-5408593.062466532</v>
      </c>
    </row>
    <row r="84" spans="1:21" ht="13.2">
      <c r="A84" s="152">
        <v>75</v>
      </c>
      <c r="B84" s="151">
        <v>54971236.5</v>
      </c>
      <c r="C84" s="151">
        <v>54971236.5</v>
      </c>
      <c r="D84" s="151">
        <v>26174942.253090188</v>
      </c>
      <c r="E84" s="151">
        <v>42802083.028122887</v>
      </c>
      <c r="F84" s="151">
        <v>29784171.109292209</v>
      </c>
      <c r="G84" s="151">
        <v>15000000</v>
      </c>
      <c r="H84" s="151">
        <v>113761196.39050528</v>
      </c>
      <c r="I84" s="151">
        <v>109942473</v>
      </c>
      <c r="J84" s="151">
        <v>-3818723.3905052841</v>
      </c>
      <c r="K84" s="151"/>
      <c r="N84" s="105">
        <v>60</v>
      </c>
      <c r="O84" s="107">
        <v>9121111.9551176727</v>
      </c>
      <c r="P84" s="107">
        <v>3892223.9164239764</v>
      </c>
      <c r="Q84" s="107">
        <v>6528081.9229401201</v>
      </c>
      <c r="R84" s="107">
        <v>2565415.3199893087</v>
      </c>
      <c r="S84" s="107">
        <v>2323624.7923250794</v>
      </c>
      <c r="T84" s="107">
        <v>5130084.01039657</v>
      </c>
      <c r="U84" s="107">
        <v>-4106544.9340924174</v>
      </c>
    </row>
    <row r="85" spans="1:21" ht="13.2">
      <c r="A85" s="152">
        <v>76</v>
      </c>
      <c r="B85" s="151">
        <v>59027257.5</v>
      </c>
      <c r="C85" s="151">
        <v>59027257.5</v>
      </c>
      <c r="D85" s="151">
        <v>24051003.430707306</v>
      </c>
      <c r="E85" s="151">
        <v>42454761.64651417</v>
      </c>
      <c r="F85" s="151">
        <v>26717008.198201161</v>
      </c>
      <c r="G85" s="151">
        <v>15000000</v>
      </c>
      <c r="H85" s="151">
        <v>108222773.27542263</v>
      </c>
      <c r="I85" s="151">
        <v>118054515</v>
      </c>
      <c r="J85" s="151">
        <v>9831741.7245773673</v>
      </c>
      <c r="K85" s="151"/>
      <c r="N85" s="105">
        <v>61</v>
      </c>
      <c r="O85" s="107">
        <v>11346975.316245228</v>
      </c>
      <c r="P85" s="107">
        <v>8387640.2968103439</v>
      </c>
      <c r="Q85" s="107">
        <v>248193.85186989605</v>
      </c>
      <c r="R85" s="107">
        <v>16567172.728220254</v>
      </c>
      <c r="S85" s="107">
        <v>791433.90992176533</v>
      </c>
      <c r="T85" s="107">
        <v>-13793065.699040443</v>
      </c>
      <c r="U85" s="107">
        <v>-2062288.2258787304</v>
      </c>
    </row>
    <row r="86" spans="1:21" ht="13.2">
      <c r="A86" s="152">
        <v>77</v>
      </c>
      <c r="B86" s="151">
        <v>59298672</v>
      </c>
      <c r="C86" s="151">
        <v>59298672</v>
      </c>
      <c r="D86" s="151">
        <v>25116253.281963546</v>
      </c>
      <c r="E86" s="151">
        <v>44590437.885747246</v>
      </c>
      <c r="F86" s="151">
        <v>27653279.490813825</v>
      </c>
      <c r="G86" s="151">
        <v>15000000</v>
      </c>
      <c r="H86" s="151">
        <v>112359970.65852462</v>
      </c>
      <c r="I86" s="151">
        <v>118597344</v>
      </c>
      <c r="J86" s="151">
        <v>6237373.3414753824</v>
      </c>
      <c r="K86" s="151"/>
      <c r="N86" s="105">
        <v>62</v>
      </c>
      <c r="O86" s="107">
        <v>9435419.0182085037</v>
      </c>
      <c r="P86" s="107">
        <v>8822986.0633877367</v>
      </c>
      <c r="Q86" s="107">
        <v>1869625.7339468747</v>
      </c>
      <c r="R86" s="107">
        <v>17184325.141163334</v>
      </c>
      <c r="S86" s="107">
        <v>2134908.0609074682</v>
      </c>
      <c r="T86" s="107">
        <v>-1856803.0556640327</v>
      </c>
      <c r="U86" s="107">
        <v>-3411448.6506078392</v>
      </c>
    </row>
    <row r="87" spans="1:21" ht="13.2">
      <c r="A87" s="152">
        <v>78</v>
      </c>
      <c r="B87" s="151">
        <v>59936518</v>
      </c>
      <c r="C87" s="151">
        <v>59936518</v>
      </c>
      <c r="D87" s="151">
        <v>24431868.868990634</v>
      </c>
      <c r="E87" s="151">
        <v>42264071.02011469</v>
      </c>
      <c r="F87" s="151">
        <v>26043095.05815291</v>
      </c>
      <c r="G87" s="151">
        <v>15000000</v>
      </c>
      <c r="H87" s="151">
        <v>107739034.94725823</v>
      </c>
      <c r="I87" s="151">
        <v>119873036</v>
      </c>
      <c r="J87" s="151">
        <v>12134001.052741766</v>
      </c>
      <c r="K87" s="151"/>
      <c r="N87" s="105">
        <v>63</v>
      </c>
      <c r="O87" s="107">
        <v>9243300.1578406394</v>
      </c>
      <c r="P87" s="107">
        <v>11571854.631717771</v>
      </c>
      <c r="Q87" s="107">
        <v>3068666.9640800953</v>
      </c>
      <c r="R87" s="107">
        <v>458179.63133381307</v>
      </c>
      <c r="S87" s="107">
        <v>3960905.7465146035</v>
      </c>
      <c r="T87" s="107">
        <v>-2510535.347692579</v>
      </c>
      <c r="U87" s="107">
        <v>-2897652.6802346855</v>
      </c>
    </row>
    <row r="88" spans="1:21" ht="13.2">
      <c r="A88" s="152">
        <v>79</v>
      </c>
      <c r="B88" s="151">
        <v>58136716.5</v>
      </c>
      <c r="C88" s="151">
        <v>58136716.5</v>
      </c>
      <c r="D88" s="151">
        <v>24044148.450026058</v>
      </c>
      <c r="E88" s="151">
        <v>42752925.107144855</v>
      </c>
      <c r="F88" s="151">
        <v>26093293.094701331</v>
      </c>
      <c r="G88" s="151">
        <v>15000000</v>
      </c>
      <c r="H88" s="151">
        <v>107890366.65187225</v>
      </c>
      <c r="I88" s="151">
        <v>116273433</v>
      </c>
      <c r="J88" s="151">
        <v>8383066.3481277525</v>
      </c>
      <c r="K88" s="151"/>
      <c r="N88" s="105">
        <v>64</v>
      </c>
      <c r="O88" s="107">
        <v>6500188.5257369429</v>
      </c>
      <c r="P88" s="107">
        <v>10998041.634583652</v>
      </c>
      <c r="Q88" s="107">
        <v>6250068.2714805156</v>
      </c>
      <c r="R88" s="107">
        <v>1149494.1243114024</v>
      </c>
      <c r="S88" s="107">
        <v>6836333.1831969619</v>
      </c>
      <c r="T88" s="107">
        <v>-1728849.417060703</v>
      </c>
      <c r="U88" s="107">
        <v>-5648551.8208718449</v>
      </c>
    </row>
    <row r="89" spans="1:21" ht="13.2">
      <c r="A89" s="152">
        <v>80</v>
      </c>
      <c r="B89" s="151">
        <v>55930709</v>
      </c>
      <c r="C89" s="151">
        <v>55930709</v>
      </c>
      <c r="D89" s="151">
        <v>23356694.775355041</v>
      </c>
      <c r="E89" s="151">
        <v>42475252.818118885</v>
      </c>
      <c r="F89" s="151">
        <v>28046966.611464027</v>
      </c>
      <c r="G89" s="151">
        <v>15000000</v>
      </c>
      <c r="H89" s="151">
        <v>108878914.20493795</v>
      </c>
      <c r="I89" s="151">
        <v>111861418</v>
      </c>
      <c r="J89" s="151">
        <v>2982503.7950620502</v>
      </c>
      <c r="K89" s="151"/>
      <c r="N89" s="105">
        <v>65</v>
      </c>
      <c r="O89" s="107">
        <v>8193739.3397921324</v>
      </c>
      <c r="P89" s="107">
        <v>12670306.36967361</v>
      </c>
      <c r="Q89" s="107">
        <v>5086417.5563213229</v>
      </c>
      <c r="R89" s="107">
        <v>-259515.02467934787</v>
      </c>
      <c r="S89" s="107">
        <v>2293322.1998533309</v>
      </c>
      <c r="T89" s="107">
        <v>-520983.96611568332</v>
      </c>
      <c r="U89" s="107">
        <v>-7354572.1254971325</v>
      </c>
    </row>
    <row r="90" spans="1:21" ht="13.2">
      <c r="A90" s="152">
        <v>81</v>
      </c>
      <c r="B90" s="151">
        <v>59633499.5</v>
      </c>
      <c r="C90" s="151">
        <v>59633499.5</v>
      </c>
      <c r="D90" s="151">
        <v>23231491.703174368</v>
      </c>
      <c r="E90" s="151">
        <v>42013843.429997824</v>
      </c>
      <c r="F90" s="151">
        <v>28146734.566110708</v>
      </c>
      <c r="G90" s="151">
        <v>15000000</v>
      </c>
      <c r="H90" s="151">
        <v>108392069.6992829</v>
      </c>
      <c r="I90" s="151">
        <v>119266999</v>
      </c>
      <c r="J90" s="151">
        <v>10874929.300717101</v>
      </c>
      <c r="K90" s="151"/>
      <c r="N90" s="105">
        <v>66</v>
      </c>
      <c r="O90" s="107">
        <v>12083855.585622236</v>
      </c>
      <c r="P90" s="107">
        <v>12013983.668229729</v>
      </c>
      <c r="Q90" s="107">
        <v>9178043.866798386</v>
      </c>
      <c r="R90" s="107">
        <v>3419224.2988573611</v>
      </c>
      <c r="S90" s="107">
        <v>2010517.9886386096</v>
      </c>
      <c r="T90" s="107">
        <v>-1410403.6138445288</v>
      </c>
      <c r="U90" s="107">
        <v>-8889140.8440907747</v>
      </c>
    </row>
    <row r="91" spans="1:21" ht="13.2">
      <c r="A91" s="152">
        <v>82</v>
      </c>
      <c r="B91" s="151">
        <v>58234973.5</v>
      </c>
      <c r="C91" s="151">
        <v>58234973.5</v>
      </c>
      <c r="D91" s="151">
        <v>25374396.708661042</v>
      </c>
      <c r="E91" s="151">
        <v>42109635.354703918</v>
      </c>
      <c r="F91" s="151">
        <v>27897710.874925118</v>
      </c>
      <c r="G91" s="151">
        <v>15000000</v>
      </c>
      <c r="H91" s="151">
        <v>110381742.93829007</v>
      </c>
      <c r="I91" s="151">
        <v>116469947</v>
      </c>
      <c r="J91" s="151">
        <v>6088204.0617099255</v>
      </c>
      <c r="K91" s="151"/>
      <c r="N91" s="105">
        <v>67</v>
      </c>
      <c r="O91" s="107">
        <v>20942983.077316567</v>
      </c>
      <c r="P91" s="107">
        <v>10149913.969054759</v>
      </c>
      <c r="Q91" s="107">
        <v>12028295.778717905</v>
      </c>
      <c r="R91" s="107">
        <v>8674691.2379227579</v>
      </c>
      <c r="S91" s="107">
        <v>2933020.7888091356</v>
      </c>
      <c r="T91" s="107">
        <v>2371340.72728315</v>
      </c>
      <c r="U91" s="107">
        <v>-3600176.4359630942</v>
      </c>
    </row>
    <row r="92" spans="1:21" ht="13.2">
      <c r="A92" s="152">
        <v>83</v>
      </c>
      <c r="B92" s="151">
        <v>53602480</v>
      </c>
      <c r="C92" s="151">
        <v>53602480</v>
      </c>
      <c r="D92" s="151">
        <v>23231197.602622733</v>
      </c>
      <c r="E92" s="151">
        <v>43504336.941953801</v>
      </c>
      <c r="F92" s="151">
        <v>26586483.094736662</v>
      </c>
      <c r="G92" s="151">
        <v>15000000</v>
      </c>
      <c r="H92" s="151">
        <v>108322017.63931319</v>
      </c>
      <c r="I92" s="151">
        <v>107204960</v>
      </c>
      <c r="J92" s="151">
        <v>-1117057.6393131912</v>
      </c>
      <c r="K92" s="151"/>
      <c r="N92" s="105">
        <v>68</v>
      </c>
      <c r="O92" s="107">
        <v>14387495.105540171</v>
      </c>
      <c r="P92" s="107">
        <v>5357236.8530178964</v>
      </c>
      <c r="Q92" s="107">
        <v>-135296.27779433131</v>
      </c>
      <c r="R92" s="107">
        <v>5414307.7444224805</v>
      </c>
      <c r="S92" s="107">
        <v>-1886751.9586646557</v>
      </c>
      <c r="T92" s="107">
        <v>247478.9888304472</v>
      </c>
      <c r="U92" s="107">
        <v>-2169587.5001329482</v>
      </c>
    </row>
    <row r="93" spans="1:21" ht="13.2">
      <c r="A93" s="152">
        <v>84</v>
      </c>
      <c r="B93" s="151">
        <v>56489428.5</v>
      </c>
      <c r="C93" s="151">
        <v>56489428.5</v>
      </c>
      <c r="D93" s="151">
        <v>23641541.667492472</v>
      </c>
      <c r="E93" s="151">
        <v>42489684.012618676</v>
      </c>
      <c r="F93" s="151">
        <v>25136388.372909401</v>
      </c>
      <c r="G93" s="151">
        <v>15000000</v>
      </c>
      <c r="H93" s="151">
        <v>106267614.05302055</v>
      </c>
      <c r="I93" s="151">
        <v>112978857</v>
      </c>
      <c r="J93" s="151">
        <v>6711242.9469794482</v>
      </c>
      <c r="K93" s="151"/>
      <c r="N93" s="105">
        <v>69</v>
      </c>
      <c r="O93" s="107">
        <v>11970113.119582489</v>
      </c>
      <c r="P93" s="107">
        <v>11430697.331998706</v>
      </c>
      <c r="Q93" s="107">
        <v>2283918.235637486</v>
      </c>
      <c r="R93" s="107">
        <v>6464284.3753799498</v>
      </c>
      <c r="S93" s="107">
        <v>14015760.758293003</v>
      </c>
      <c r="T93" s="107">
        <v>-10006488.365714937</v>
      </c>
      <c r="U93" s="107">
        <v>-6934010.1293259561</v>
      </c>
    </row>
    <row r="94" spans="1:21" ht="13.2">
      <c r="A94" s="152">
        <v>85</v>
      </c>
      <c r="B94" s="151">
        <v>55167813</v>
      </c>
      <c r="C94" s="151">
        <v>55167813</v>
      </c>
      <c r="D94" s="151">
        <v>25265972.859540954</v>
      </c>
      <c r="E94" s="151">
        <v>42524176.643321693</v>
      </c>
      <c r="F94" s="151">
        <v>27854627.957303192</v>
      </c>
      <c r="G94" s="151">
        <v>15000000</v>
      </c>
      <c r="H94" s="151">
        <v>110644777.46016584</v>
      </c>
      <c r="I94" s="151">
        <v>110335626</v>
      </c>
      <c r="J94" s="151">
        <v>-309151.46016584337</v>
      </c>
      <c r="K94" s="151"/>
      <c r="N94" s="105">
        <v>70</v>
      </c>
      <c r="O94" s="107">
        <v>15048413.069032416</v>
      </c>
      <c r="P94" s="107">
        <v>4074696.8194587231</v>
      </c>
      <c r="Q94" s="107">
        <v>2973867.1255929619</v>
      </c>
      <c r="R94" s="107">
        <v>-6544625.9383223355</v>
      </c>
      <c r="S94" s="107">
        <v>-4457137.5154082477</v>
      </c>
      <c r="T94" s="107">
        <v>-4319213.4740797877</v>
      </c>
      <c r="U94" s="107">
        <v>4438198.9886889309</v>
      </c>
    </row>
    <row r="95" spans="1:21" ht="13.2">
      <c r="A95" s="152">
        <v>86</v>
      </c>
      <c r="B95" s="151">
        <v>62047072</v>
      </c>
      <c r="C95" s="151">
        <v>62047072</v>
      </c>
      <c r="D95" s="151">
        <v>24436536.889628675</v>
      </c>
      <c r="E95" s="151">
        <v>43593555.969495334</v>
      </c>
      <c r="F95" s="151">
        <v>28733781.840930615</v>
      </c>
      <c r="G95" s="151">
        <v>15000000</v>
      </c>
      <c r="H95" s="151">
        <v>111763874.70005462</v>
      </c>
      <c r="I95" s="151">
        <v>124094144</v>
      </c>
      <c r="J95" s="151">
        <v>12330269.299945384</v>
      </c>
      <c r="K95" s="151"/>
      <c r="N95" s="105">
        <v>71</v>
      </c>
      <c r="O95" s="107">
        <v>18146420.850847855</v>
      </c>
      <c r="P95" s="107">
        <v>15369353.655390218</v>
      </c>
      <c r="Q95" s="107">
        <v>10049112.965451628</v>
      </c>
      <c r="R95" s="107">
        <v>8573414.5612080544</v>
      </c>
      <c r="S95" s="107">
        <v>4949797.5800422281</v>
      </c>
      <c r="T95" s="107">
        <v>-2740905.6573334932</v>
      </c>
      <c r="U95" s="107">
        <v>438530.6865748316</v>
      </c>
    </row>
    <row r="96" spans="1:21" ht="13.2">
      <c r="A96" s="152">
        <v>87</v>
      </c>
      <c r="B96" s="151">
        <v>56855568</v>
      </c>
      <c r="C96" s="151">
        <v>56855568</v>
      </c>
      <c r="D96" s="151">
        <v>23513563.434165321</v>
      </c>
      <c r="E96" s="151">
        <v>43470823.163451508</v>
      </c>
      <c r="F96" s="151">
        <v>25816510.523350075</v>
      </c>
      <c r="G96" s="151">
        <v>15000000</v>
      </c>
      <c r="H96" s="151">
        <v>107800897.12096691</v>
      </c>
      <c r="I96" s="151">
        <v>113711136</v>
      </c>
      <c r="J96" s="151">
        <v>5910238.8790330887</v>
      </c>
      <c r="K96" s="151"/>
      <c r="N96" s="105">
        <v>72</v>
      </c>
      <c r="O96" s="107">
        <v>8553519.0359657556</v>
      </c>
      <c r="P96" s="107">
        <v>7981423.9039651752</v>
      </c>
      <c r="Q96" s="107">
        <v>13217271.958952159</v>
      </c>
      <c r="R96" s="107">
        <v>1545267.2439673692</v>
      </c>
      <c r="S96" s="107">
        <v>4505077.1200925112</v>
      </c>
      <c r="T96" s="107">
        <v>12143206.284382835</v>
      </c>
      <c r="U96" s="107">
        <v>4250833.9269582182</v>
      </c>
    </row>
    <row r="97" spans="1:21" ht="13.2">
      <c r="A97" s="152">
        <v>88</v>
      </c>
      <c r="B97" s="151">
        <v>51546517.5</v>
      </c>
      <c r="C97" s="151">
        <v>51546517.5</v>
      </c>
      <c r="D97" s="151">
        <v>23496490.110553101</v>
      </c>
      <c r="E97" s="151">
        <v>43212137.792689048</v>
      </c>
      <c r="F97" s="151">
        <v>26538477.492663607</v>
      </c>
      <c r="G97" s="151">
        <v>15000000</v>
      </c>
      <c r="H97" s="151">
        <v>108247105.39590576</v>
      </c>
      <c r="I97" s="151">
        <v>103093035</v>
      </c>
      <c r="J97" s="151">
        <v>-5154070.3959057629</v>
      </c>
      <c r="K97" s="151"/>
      <c r="N97" s="105">
        <v>73</v>
      </c>
      <c r="O97" s="107">
        <v>13931328.010352924</v>
      </c>
      <c r="P97" s="107">
        <v>6732060.2277295887</v>
      </c>
      <c r="Q97" s="107">
        <v>16302166.196538597</v>
      </c>
      <c r="R97" s="107">
        <v>997144.29398451746</v>
      </c>
      <c r="S97" s="107">
        <v>7345966.3093203306</v>
      </c>
      <c r="T97" s="107">
        <v>2408908.9906155318</v>
      </c>
      <c r="U97" s="107">
        <v>-1247943.8898011893</v>
      </c>
    </row>
    <row r="98" spans="1:21" ht="13.2">
      <c r="A98" s="152">
        <v>89</v>
      </c>
      <c r="B98" s="151">
        <v>57246433.5</v>
      </c>
      <c r="C98" s="151">
        <v>57246433.5</v>
      </c>
      <c r="D98" s="151">
        <v>23496490.110553101</v>
      </c>
      <c r="E98" s="151">
        <v>42659965.288492851</v>
      </c>
      <c r="F98" s="151">
        <v>26384411.695023958</v>
      </c>
      <c r="G98" s="151">
        <v>15000000</v>
      </c>
      <c r="H98" s="151">
        <v>107540867.09406991</v>
      </c>
      <c r="I98" s="151">
        <v>114492867</v>
      </c>
      <c r="J98" s="151">
        <v>6951999.905930087</v>
      </c>
      <c r="K98" s="151"/>
      <c r="N98" s="105">
        <v>74</v>
      </c>
      <c r="O98" s="107">
        <v>12411505.499771833</v>
      </c>
      <c r="P98" s="107">
        <v>13223934.135855615</v>
      </c>
      <c r="Q98" s="107">
        <v>4497564.0987405032</v>
      </c>
      <c r="R98" s="107">
        <v>-1279160.378196612</v>
      </c>
      <c r="S98" s="107">
        <v>545110.40680994093</v>
      </c>
      <c r="T98" s="107">
        <v>2772178.6452396363</v>
      </c>
      <c r="U98" s="107">
        <v>-3649521.1629480571</v>
      </c>
    </row>
    <row r="99" spans="1:21" ht="13.2">
      <c r="A99" s="152">
        <v>90</v>
      </c>
      <c r="B99" s="151">
        <v>58397591</v>
      </c>
      <c r="C99" s="151">
        <v>58397591</v>
      </c>
      <c r="D99" s="151">
        <v>24174019.542844772</v>
      </c>
      <c r="E99" s="151">
        <v>42817413.062378503</v>
      </c>
      <c r="F99" s="151">
        <v>26384996.713762362</v>
      </c>
      <c r="G99" s="151">
        <v>15000000</v>
      </c>
      <c r="H99" s="151">
        <v>108376429.31898564</v>
      </c>
      <c r="I99" s="151">
        <v>116795182</v>
      </c>
      <c r="J99" s="151">
        <v>8418752.681014359</v>
      </c>
      <c r="K99" s="151"/>
      <c r="N99" s="105">
        <v>75</v>
      </c>
      <c r="O99" s="107">
        <v>6797504.2063060552</v>
      </c>
      <c r="P99" s="107">
        <v>7889141.8400091231</v>
      </c>
      <c r="Q99" s="107">
        <v>11426463.516813114</v>
      </c>
      <c r="R99" s="107">
        <v>5349425.3678551763</v>
      </c>
      <c r="S99" s="107">
        <v>-6078914.1897363961</v>
      </c>
      <c r="T99" s="107">
        <v>8095202.4502136856</v>
      </c>
      <c r="U99" s="107">
        <v>1070606.8692305684</v>
      </c>
    </row>
    <row r="100" spans="1:21" ht="13.2">
      <c r="A100" s="152">
        <v>91</v>
      </c>
      <c r="B100" s="151">
        <v>59145708</v>
      </c>
      <c r="C100" s="151">
        <v>59145708</v>
      </c>
      <c r="D100" s="151">
        <v>22565485.272201978</v>
      </c>
      <c r="E100" s="151">
        <v>42530548.736398093</v>
      </c>
      <c r="F100" s="151">
        <v>22960103.482522361</v>
      </c>
      <c r="G100" s="151">
        <v>15000000</v>
      </c>
      <c r="H100" s="151">
        <v>103056137.49112242</v>
      </c>
      <c r="I100" s="151">
        <v>118291416</v>
      </c>
      <c r="J100" s="151">
        <v>15235278.508877575</v>
      </c>
      <c r="K100" s="151"/>
      <c r="N100" s="105">
        <v>76</v>
      </c>
      <c r="O100" s="107">
        <v>19480761.775951132</v>
      </c>
      <c r="P100" s="107">
        <v>-2892730.1638415158</v>
      </c>
      <c r="Q100" s="107">
        <v>3555151.9106580615</v>
      </c>
      <c r="R100" s="107">
        <v>3139672.1641837358</v>
      </c>
      <c r="S100" s="107">
        <v>6370215.8588078469</v>
      </c>
      <c r="T100" s="107">
        <v>6216705.0951303542</v>
      </c>
      <c r="U100" s="107">
        <v>3322596.0150224268</v>
      </c>
    </row>
    <row r="101" spans="1:21" ht="13.2">
      <c r="A101" s="152">
        <v>92</v>
      </c>
      <c r="B101" s="151">
        <v>61344801.5</v>
      </c>
      <c r="C101" s="151">
        <v>61344801.5</v>
      </c>
      <c r="D101" s="151">
        <v>24708978.478791915</v>
      </c>
      <c r="E101" s="151">
        <v>43179117.733925954</v>
      </c>
      <c r="F101" s="151">
        <v>27800835.976604555</v>
      </c>
      <c r="G101" s="151">
        <v>15000000</v>
      </c>
      <c r="H101" s="151">
        <v>110688932.18932241</v>
      </c>
      <c r="I101" s="151">
        <v>122689603</v>
      </c>
      <c r="J101" s="151">
        <v>12000670.810677588</v>
      </c>
      <c r="K101" s="151"/>
      <c r="N101" s="105">
        <v>77</v>
      </c>
      <c r="O101" s="107">
        <v>9907292.2760194093</v>
      </c>
      <c r="P101" s="107">
        <v>14464413.46034956</v>
      </c>
      <c r="Q101" s="107">
        <v>4687651.9225168228</v>
      </c>
      <c r="R101" s="107">
        <v>-1714525.4904393852</v>
      </c>
      <c r="S101" s="107">
        <v>3653550.1341498047</v>
      </c>
      <c r="T101" s="107">
        <v>2403607.6643663198</v>
      </c>
      <c r="U101" s="107">
        <v>-12492889.801494136</v>
      </c>
    </row>
    <row r="102" spans="1:21" ht="13.2">
      <c r="A102" s="152">
        <v>93</v>
      </c>
      <c r="B102" s="151">
        <v>54240691</v>
      </c>
      <c r="C102" s="151">
        <v>54240691</v>
      </c>
      <c r="D102" s="151">
        <v>25258823.778308082</v>
      </c>
      <c r="E102" s="151">
        <v>43144582.000202432</v>
      </c>
      <c r="F102" s="151">
        <v>29596718.225287806</v>
      </c>
      <c r="G102" s="151">
        <v>15000000</v>
      </c>
      <c r="H102" s="151">
        <v>113000124.00379832</v>
      </c>
      <c r="I102" s="151">
        <v>108481382</v>
      </c>
      <c r="J102" s="151">
        <v>-4518742.0037983209</v>
      </c>
      <c r="K102" s="151"/>
      <c r="N102" s="105">
        <v>78</v>
      </c>
      <c r="O102" s="107">
        <v>19007052.608277947</v>
      </c>
      <c r="P102" s="107">
        <v>13894663.770230681</v>
      </c>
      <c r="Q102" s="107">
        <v>7537850.7120349109</v>
      </c>
      <c r="R102" s="107">
        <v>7699037.303461045</v>
      </c>
      <c r="S102" s="107">
        <v>-6239180.6207262278</v>
      </c>
      <c r="T102" s="107">
        <v>-5475193.8757224381</v>
      </c>
      <c r="U102" s="107">
        <v>-675856.96140223742</v>
      </c>
    </row>
    <row r="103" spans="1:21" ht="13.2">
      <c r="A103" s="152">
        <v>94</v>
      </c>
      <c r="B103" s="151">
        <v>55091106</v>
      </c>
      <c r="C103" s="151">
        <v>55091106</v>
      </c>
      <c r="D103" s="151">
        <v>25521635.225643612</v>
      </c>
      <c r="E103" s="151">
        <v>43068173.02546408</v>
      </c>
      <c r="F103" s="151">
        <v>26221247.663398493</v>
      </c>
      <c r="G103" s="151">
        <v>15000000</v>
      </c>
      <c r="H103" s="151">
        <v>109811055.91450618</v>
      </c>
      <c r="I103" s="151">
        <v>110182212</v>
      </c>
      <c r="J103" s="151">
        <v>371156.08549381793</v>
      </c>
      <c r="K103" s="151"/>
      <c r="N103" s="105">
        <v>79</v>
      </c>
      <c r="O103" s="107">
        <v>8694019.4221874326</v>
      </c>
      <c r="P103" s="107">
        <v>18295259.939701825</v>
      </c>
      <c r="Q103" s="107">
        <v>5937822.8210674226</v>
      </c>
      <c r="R103" s="107">
        <v>6775702.9041172564</v>
      </c>
      <c r="S103" s="107">
        <v>8254615.8860148042</v>
      </c>
      <c r="T103" s="107">
        <v>-4451640.4360789657</v>
      </c>
      <c r="U103" s="107">
        <v>-2415814.8939933479</v>
      </c>
    </row>
    <row r="104" spans="1:21" ht="13.2">
      <c r="A104" s="152">
        <v>95</v>
      </c>
      <c r="B104" s="151">
        <v>57698287.5</v>
      </c>
      <c r="C104" s="151">
        <v>57698287.5</v>
      </c>
      <c r="D104" s="151">
        <v>23368805.977777589</v>
      </c>
      <c r="E104" s="151">
        <v>41931463.345657915</v>
      </c>
      <c r="F104" s="151">
        <v>26559112.990880098</v>
      </c>
      <c r="G104" s="151">
        <v>15000000</v>
      </c>
      <c r="H104" s="151">
        <v>106859382.3143156</v>
      </c>
      <c r="I104" s="151">
        <v>115396575</v>
      </c>
      <c r="J104" s="151">
        <v>8537192.6856843978</v>
      </c>
      <c r="K104" s="151"/>
      <c r="N104" s="105">
        <v>80</v>
      </c>
      <c r="O104" s="107">
        <v>12037619.452296227</v>
      </c>
      <c r="P104" s="107">
        <v>7255920.5489436984</v>
      </c>
      <c r="Q104" s="107">
        <v>9226297.2858389765</v>
      </c>
      <c r="R104" s="107">
        <v>1507416.5318801105</v>
      </c>
      <c r="S104" s="107">
        <v>7725432.1556684971</v>
      </c>
      <c r="T104" s="107">
        <v>-54689.723866283894</v>
      </c>
      <c r="U104" s="107">
        <v>-9962717.6581760943</v>
      </c>
    </row>
    <row r="105" spans="1:21" ht="13.2">
      <c r="A105" s="152">
        <v>96</v>
      </c>
      <c r="B105" s="151">
        <v>56576852.5</v>
      </c>
      <c r="C105" s="151">
        <v>56576852.5</v>
      </c>
      <c r="D105" s="151">
        <v>24041667.389431223</v>
      </c>
      <c r="E105" s="151">
        <v>42119375.262424409</v>
      </c>
      <c r="F105" s="151">
        <v>27720983.331559923</v>
      </c>
      <c r="G105" s="151">
        <v>15000000</v>
      </c>
      <c r="H105" s="151">
        <v>108882025.98341556</v>
      </c>
      <c r="I105" s="151">
        <v>113153705</v>
      </c>
      <c r="J105" s="151">
        <v>4271679.0165844411</v>
      </c>
      <c r="K105" s="151"/>
      <c r="N105" s="105">
        <v>81</v>
      </c>
      <c r="O105" s="107">
        <v>10936123.310156673</v>
      </c>
      <c r="P105" s="107">
        <v>5721949.3028168976</v>
      </c>
      <c r="Q105" s="107">
        <v>12585160.533485025</v>
      </c>
      <c r="R105" s="107">
        <v>2880924.0037805587</v>
      </c>
      <c r="S105" s="107">
        <v>609471.1945938915</v>
      </c>
      <c r="T105" s="107">
        <v>-1196786.6762063652</v>
      </c>
      <c r="U105" s="107">
        <v>1579017.2104787976</v>
      </c>
    </row>
    <row r="106" spans="1:21" ht="13.2">
      <c r="A106" s="152">
        <v>97</v>
      </c>
      <c r="B106" s="151">
        <v>54914963.5</v>
      </c>
      <c r="C106" s="151">
        <v>54914963.5</v>
      </c>
      <c r="D106" s="151">
        <v>23764263.679078307</v>
      </c>
      <c r="E106" s="151">
        <v>42994799.553579658</v>
      </c>
      <c r="F106" s="151">
        <v>28396376.428617831</v>
      </c>
      <c r="G106" s="151">
        <v>15000000</v>
      </c>
      <c r="H106" s="151">
        <v>110155439.6612758</v>
      </c>
      <c r="I106" s="151">
        <v>109829927</v>
      </c>
      <c r="J106" s="151">
        <v>-325512.66127580404</v>
      </c>
      <c r="K106" s="151"/>
      <c r="N106" s="105">
        <v>82</v>
      </c>
      <c r="O106" s="107">
        <v>1976150.9691171795</v>
      </c>
      <c r="P106" s="107">
        <v>9298371.0420881361</v>
      </c>
      <c r="Q106" s="107">
        <v>1548593.420560807</v>
      </c>
      <c r="R106" s="107">
        <v>2358514.063912943</v>
      </c>
      <c r="S106" s="107">
        <v>2066760.3619087487</v>
      </c>
      <c r="T106" s="107">
        <v>8167625.8192944378</v>
      </c>
      <c r="U106" s="107">
        <v>-5026900.0066828579</v>
      </c>
    </row>
    <row r="107" spans="1:21" ht="13.2">
      <c r="A107" s="152">
        <v>98</v>
      </c>
      <c r="B107" s="151">
        <v>52627405.5</v>
      </c>
      <c r="C107" s="151">
        <v>52627405.5</v>
      </c>
      <c r="D107" s="151">
        <v>26589954.338597964</v>
      </c>
      <c r="E107" s="151">
        <v>42208475.037861198</v>
      </c>
      <c r="F107" s="151">
        <v>25299159.788961317</v>
      </c>
      <c r="G107" s="151">
        <v>15000000</v>
      </c>
      <c r="H107" s="151">
        <v>109097589.16542049</v>
      </c>
      <c r="I107" s="151">
        <v>105254811</v>
      </c>
      <c r="J107" s="151">
        <v>-3842778.1654204875</v>
      </c>
      <c r="K107" s="151"/>
      <c r="N107" s="105">
        <v>83</v>
      </c>
      <c r="O107" s="107">
        <v>13764893.80642134</v>
      </c>
      <c r="P107" s="107">
        <v>11739688.815403804</v>
      </c>
      <c r="Q107" s="107">
        <v>1070572.7180893272</v>
      </c>
      <c r="R107" s="107">
        <v>6722555.0889992714</v>
      </c>
      <c r="S107" s="107">
        <v>-4277539.9201388061</v>
      </c>
      <c r="T107" s="107">
        <v>2287000.3449970037</v>
      </c>
      <c r="U107" s="107">
        <v>-1574976.0555543602</v>
      </c>
    </row>
    <row r="108" spans="1:21" ht="13.2">
      <c r="A108" s="152">
        <v>99</v>
      </c>
      <c r="B108" s="151">
        <v>56297938</v>
      </c>
      <c r="C108" s="151">
        <v>56297938</v>
      </c>
      <c r="D108" s="151">
        <v>22440282.2000213</v>
      </c>
      <c r="E108" s="151">
        <v>44560310.455950759</v>
      </c>
      <c r="F108" s="151">
        <v>23861383.533505656</v>
      </c>
      <c r="G108" s="151">
        <v>15000000</v>
      </c>
      <c r="H108" s="151">
        <v>105861976.18947771</v>
      </c>
      <c r="I108" s="151">
        <v>112595876</v>
      </c>
      <c r="J108" s="151">
        <v>6733899.8105222881</v>
      </c>
      <c r="K108" s="151"/>
      <c r="N108" s="105">
        <v>84</v>
      </c>
      <c r="O108" s="107">
        <v>14516947.260643944</v>
      </c>
      <c r="P108" s="107">
        <v>8833575.3722339869</v>
      </c>
      <c r="Q108" s="107">
        <v>19808.75299885869</v>
      </c>
      <c r="R108" s="107">
        <v>-1023630.0192411393</v>
      </c>
      <c r="S108" s="107">
        <v>-2067541.2802374661</v>
      </c>
      <c r="T108" s="107">
        <v>-4556530.941765368</v>
      </c>
      <c r="U108" s="107">
        <v>-4098230.9209564924</v>
      </c>
    </row>
    <row r="109" spans="1:21" ht="13.2">
      <c r="A109" s="152">
        <v>100</v>
      </c>
      <c r="B109" s="151">
        <v>57548863</v>
      </c>
      <c r="C109" s="151">
        <v>57548863</v>
      </c>
      <c r="D109" s="151">
        <v>25781671.511832677</v>
      </c>
      <c r="E109" s="151">
        <v>42453703.164521784</v>
      </c>
      <c r="F109" s="151">
        <v>29305100.261406634</v>
      </c>
      <c r="G109" s="151">
        <v>15000000</v>
      </c>
      <c r="H109" s="151">
        <v>112540474.9377611</v>
      </c>
      <c r="I109" s="151">
        <v>115097726</v>
      </c>
      <c r="J109" s="151">
        <v>2557251.0622389019</v>
      </c>
      <c r="K109" s="151"/>
      <c r="N109" s="105">
        <v>85</v>
      </c>
      <c r="O109" s="107">
        <v>4672661.3666498363</v>
      </c>
      <c r="P109" s="107">
        <v>17180843.689336687</v>
      </c>
      <c r="Q109" s="107">
        <v>975331.43329034746</v>
      </c>
      <c r="R109" s="107">
        <v>-2003362.7412463129</v>
      </c>
      <c r="S109" s="107">
        <v>-5412329.6065841019</v>
      </c>
      <c r="T109" s="107">
        <v>-333957.45365349948</v>
      </c>
      <c r="U109" s="107">
        <v>-11351032.799570113</v>
      </c>
    </row>
    <row r="110" spans="1:21" ht="13.2">
      <c r="A110" s="152">
        <v>101</v>
      </c>
      <c r="B110" s="151">
        <v>58491741</v>
      </c>
      <c r="C110" s="151">
        <v>58491741</v>
      </c>
      <c r="D110" s="151">
        <v>25393951.092868101</v>
      </c>
      <c r="E110" s="151">
        <v>42903775.92302379</v>
      </c>
      <c r="F110" s="151">
        <v>29489452.356949698</v>
      </c>
      <c r="G110" s="151">
        <v>15000000</v>
      </c>
      <c r="H110" s="151">
        <v>112787179.3728416</v>
      </c>
      <c r="I110" s="151">
        <v>116983482</v>
      </c>
      <c r="J110" s="151">
        <v>4196302.6271584034</v>
      </c>
      <c r="K110" s="151"/>
      <c r="N110" s="105">
        <v>86</v>
      </c>
      <c r="O110" s="107">
        <v>1748623.7137180865</v>
      </c>
      <c r="P110" s="107">
        <v>9579567.498268947</v>
      </c>
      <c r="Q110" s="107">
        <v>15311957.138255894</v>
      </c>
      <c r="R110" s="107">
        <v>17945429.912456751</v>
      </c>
      <c r="S110" s="107">
        <v>-694158.52800323069</v>
      </c>
      <c r="T110" s="107">
        <v>2578710.3676503897</v>
      </c>
      <c r="U110" s="107">
        <v>1414457.6192149967</v>
      </c>
    </row>
    <row r="111" spans="1:21" ht="13.2">
      <c r="A111" s="152">
        <v>102</v>
      </c>
      <c r="B111" s="151">
        <v>57769612.5</v>
      </c>
      <c r="C111" s="151">
        <v>57769612.5</v>
      </c>
      <c r="D111" s="151">
        <v>24858698.056369323</v>
      </c>
      <c r="E111" s="151">
        <v>42736357.064348638</v>
      </c>
      <c r="F111" s="151">
        <v>23640720.650280278</v>
      </c>
      <c r="G111" s="151">
        <v>15000000</v>
      </c>
      <c r="H111" s="151">
        <v>106235775.77099824</v>
      </c>
      <c r="I111" s="151">
        <v>115539225</v>
      </c>
      <c r="J111" s="151">
        <v>9303449.2290017605</v>
      </c>
      <c r="K111" s="151"/>
      <c r="N111" s="105">
        <v>87</v>
      </c>
      <c r="O111" s="107">
        <v>10528305.444173068</v>
      </c>
      <c r="P111" s="107">
        <v>5277701.575584814</v>
      </c>
      <c r="Q111" s="107">
        <v>5648152.1077145785</v>
      </c>
      <c r="R111" s="107">
        <v>-544181.75359690189</v>
      </c>
      <c r="S111" s="107">
        <v>2316113.612224713</v>
      </c>
      <c r="T111" s="107">
        <v>2436338.7014141083</v>
      </c>
      <c r="U111" s="107">
        <v>1792881.0059098005</v>
      </c>
    </row>
    <row r="112" spans="1:21" ht="13.2">
      <c r="A112" s="152">
        <v>103</v>
      </c>
      <c r="B112" s="151">
        <v>50247092.5</v>
      </c>
      <c r="C112" s="151">
        <v>50247092.5</v>
      </c>
      <c r="D112" s="151">
        <v>23513563.434165321</v>
      </c>
      <c r="E112" s="151">
        <v>42882947.225531749</v>
      </c>
      <c r="F112" s="151">
        <v>27313178.330723561</v>
      </c>
      <c r="G112" s="151">
        <v>15000000</v>
      </c>
      <c r="H112" s="151">
        <v>108709688.99042064</v>
      </c>
      <c r="I112" s="151">
        <v>100494185</v>
      </c>
      <c r="J112" s="151">
        <v>-8215503.9904206395</v>
      </c>
      <c r="K112" s="151"/>
      <c r="N112" s="105">
        <v>88</v>
      </c>
      <c r="O112" s="107">
        <v>18026387.526649356</v>
      </c>
      <c r="P112" s="107">
        <v>4722456.6529934853</v>
      </c>
      <c r="Q112" s="107">
        <v>9853383.190235883</v>
      </c>
      <c r="R112" s="107">
        <v>-1059440.5310704708</v>
      </c>
      <c r="S112" s="107">
        <v>1331483.3387345076</v>
      </c>
      <c r="T112" s="107">
        <v>812701.80062529445</v>
      </c>
      <c r="U112" s="107">
        <v>-4531971.1223890483</v>
      </c>
    </row>
    <row r="113" spans="1:21" ht="13.2">
      <c r="A113" s="152">
        <v>104</v>
      </c>
      <c r="B113" s="151">
        <v>57556360</v>
      </c>
      <c r="C113" s="151">
        <v>57556360</v>
      </c>
      <c r="D113" s="151">
        <v>25123990.564299691</v>
      </c>
      <c r="E113" s="151">
        <v>41803682.922412895</v>
      </c>
      <c r="F113" s="151">
        <v>27214302.028837375</v>
      </c>
      <c r="G113" s="151">
        <v>15000000</v>
      </c>
      <c r="H113" s="151">
        <v>109141975.51554996</v>
      </c>
      <c r="I113" s="151">
        <v>115112720</v>
      </c>
      <c r="J113" s="151">
        <v>5970744.4844500422</v>
      </c>
      <c r="K113" s="151"/>
      <c r="N113" s="105">
        <v>89</v>
      </c>
      <c r="O113" s="107">
        <v>4128644.5806652158</v>
      </c>
      <c r="P113" s="107">
        <v>5605832.2870077342</v>
      </c>
      <c r="Q113" s="107">
        <v>3142703.2531112581</v>
      </c>
      <c r="R113" s="107">
        <v>9702802.4517993778</v>
      </c>
      <c r="S113" s="107">
        <v>5468900.8427484185</v>
      </c>
      <c r="T113" s="107">
        <v>-4966409.8504431993</v>
      </c>
      <c r="U113" s="107">
        <v>5453544.2055750042</v>
      </c>
    </row>
    <row r="114" spans="1:21" ht="13.2">
      <c r="A114" s="152">
        <v>105</v>
      </c>
      <c r="B114" s="151">
        <v>56591306</v>
      </c>
      <c r="C114" s="151">
        <v>56591306</v>
      </c>
      <c r="D114" s="151">
        <v>25393656.992316466</v>
      </c>
      <c r="E114" s="151">
        <v>43294257.088549495</v>
      </c>
      <c r="F114" s="151">
        <v>28051161.538958367</v>
      </c>
      <c r="G114" s="151">
        <v>15000000</v>
      </c>
      <c r="H114" s="151">
        <v>111739075.61982433</v>
      </c>
      <c r="I114" s="151">
        <v>113182612</v>
      </c>
      <c r="J114" s="151">
        <v>1443536.380175665</v>
      </c>
      <c r="K114" s="151"/>
      <c r="N114" s="105">
        <v>90</v>
      </c>
      <c r="O114" s="107">
        <v>8256274.8996664733</v>
      </c>
      <c r="P114" s="107">
        <v>3378249.9447684437</v>
      </c>
      <c r="Q114" s="107">
        <v>6798770.1974541098</v>
      </c>
      <c r="R114" s="107">
        <v>-2600806.8155311048</v>
      </c>
      <c r="S114" s="107">
        <v>4590266.5653271079</v>
      </c>
      <c r="T114" s="107">
        <v>-5547286.3685249537</v>
      </c>
      <c r="U114" s="107">
        <v>3774656.8247684538</v>
      </c>
    </row>
    <row r="115" spans="1:21" ht="13.2">
      <c r="A115" s="152">
        <v>106</v>
      </c>
      <c r="B115" s="151">
        <v>52172845</v>
      </c>
      <c r="C115" s="151">
        <v>52172845</v>
      </c>
      <c r="D115" s="151">
        <v>23633804.385156322</v>
      </c>
      <c r="E115" s="151">
        <v>42239001.738021702</v>
      </c>
      <c r="F115" s="151">
        <v>29087261.858858179</v>
      </c>
      <c r="G115" s="151">
        <v>15000000</v>
      </c>
      <c r="H115" s="151">
        <v>109960067.9820362</v>
      </c>
      <c r="I115" s="151">
        <v>104345690</v>
      </c>
      <c r="J115" s="151">
        <v>-5614377.9820362031</v>
      </c>
      <c r="K115" s="151"/>
      <c r="N115" s="105">
        <v>91</v>
      </c>
      <c r="O115" s="107">
        <v>11025115.450561494</v>
      </c>
      <c r="P115" s="107">
        <v>13836811.95605807</v>
      </c>
      <c r="Q115" s="107">
        <v>-3353841.4051796198</v>
      </c>
      <c r="R115" s="107">
        <v>6111734.1244392991</v>
      </c>
      <c r="S115" s="107">
        <v>1311306.722872898</v>
      </c>
      <c r="T115" s="107">
        <v>5624483.6151456237</v>
      </c>
      <c r="U115" s="107">
        <v>2432946.1961930841</v>
      </c>
    </row>
    <row r="116" spans="1:21" ht="13.2">
      <c r="A116" s="152">
        <v>107</v>
      </c>
      <c r="B116" s="151">
        <v>49932009.5</v>
      </c>
      <c r="C116" s="151">
        <v>49932009.5</v>
      </c>
      <c r="D116" s="151">
        <v>24174313.643396407</v>
      </c>
      <c r="E116" s="151">
        <v>41974284.131109625</v>
      </c>
      <c r="F116" s="151">
        <v>27084952.410929244</v>
      </c>
      <c r="G116" s="151">
        <v>15000000</v>
      </c>
      <c r="H116" s="151">
        <v>108233550.18543528</v>
      </c>
      <c r="I116" s="151">
        <v>99864019</v>
      </c>
      <c r="J116" s="151">
        <v>-8369531.1854352802</v>
      </c>
      <c r="K116" s="151"/>
      <c r="N116" s="105">
        <v>92</v>
      </c>
      <c r="O116" s="107">
        <v>16421568.840964884</v>
      </c>
      <c r="P116" s="107">
        <v>9422032.1202757061</v>
      </c>
      <c r="Q116" s="107">
        <v>12508.637180238962</v>
      </c>
      <c r="R116" s="107">
        <v>11367138.807924837</v>
      </c>
      <c r="S116" s="107">
        <v>508811.46011853218</v>
      </c>
      <c r="T116" s="107">
        <v>2950266.3234666288</v>
      </c>
      <c r="U116" s="107">
        <v>-4397983.1914479434</v>
      </c>
    </row>
    <row r="117" spans="1:21" ht="13.2">
      <c r="A117" s="152">
        <v>108</v>
      </c>
      <c r="B117" s="151">
        <v>61409094</v>
      </c>
      <c r="C117" s="151">
        <v>61409094</v>
      </c>
      <c r="D117" s="151">
        <v>25256636.818264872</v>
      </c>
      <c r="E117" s="151">
        <v>42467902.13573131</v>
      </c>
      <c r="F117" s="151">
        <v>27579811.646685183</v>
      </c>
      <c r="G117" s="151">
        <v>15000000</v>
      </c>
      <c r="H117" s="151">
        <v>110304350.60068136</v>
      </c>
      <c r="I117" s="151">
        <v>122818188</v>
      </c>
      <c r="J117" s="151">
        <v>12513837.399318635</v>
      </c>
      <c r="K117" s="151"/>
      <c r="N117" s="105">
        <v>93</v>
      </c>
      <c r="O117" s="107">
        <v>7486752.9680117667</v>
      </c>
      <c r="P117" s="107">
        <v>3599726.7661917508</v>
      </c>
      <c r="Q117" s="107">
        <v>-5136467.4951760918</v>
      </c>
      <c r="R117" s="107">
        <v>-5098533.955052644</v>
      </c>
      <c r="S117" s="107">
        <v>2021795.3727642149</v>
      </c>
      <c r="T117" s="107">
        <v>-485084.41534680128</v>
      </c>
      <c r="U117" s="107">
        <v>-8693176.5128892064</v>
      </c>
    </row>
    <row r="118" spans="1:21" ht="13.2">
      <c r="A118" s="152">
        <v>109</v>
      </c>
      <c r="B118" s="151">
        <v>55381062</v>
      </c>
      <c r="C118" s="151">
        <v>55381062</v>
      </c>
      <c r="D118" s="151">
        <v>23904059.014276363</v>
      </c>
      <c r="E118" s="151">
        <v>43464126.28468135</v>
      </c>
      <c r="F118" s="151">
        <v>28751383.799059212</v>
      </c>
      <c r="G118" s="151">
        <v>15000000</v>
      </c>
      <c r="H118" s="151">
        <v>111119569.09801692</v>
      </c>
      <c r="I118" s="151">
        <v>110762124</v>
      </c>
      <c r="J118" s="151">
        <v>-357445.09801691771</v>
      </c>
      <c r="K118" s="151"/>
      <c r="N118" s="105">
        <v>94</v>
      </c>
      <c r="O118" s="107">
        <v>20217939.874035746</v>
      </c>
      <c r="P118" s="107">
        <v>5219132.3770216256</v>
      </c>
      <c r="Q118" s="107">
        <v>10627429.35223867</v>
      </c>
      <c r="R118" s="107">
        <v>231104.40253202617</v>
      </c>
      <c r="S118" s="107">
        <v>670745.30200845003</v>
      </c>
      <c r="T118" s="107">
        <v>2961150.3399211317</v>
      </c>
      <c r="U118" s="107">
        <v>-4364701.6108597219</v>
      </c>
    </row>
    <row r="119" spans="1:21" ht="13.2">
      <c r="A119" s="152">
        <v>110</v>
      </c>
      <c r="B119" s="151">
        <v>59849741.5</v>
      </c>
      <c r="C119" s="151">
        <v>59849741.5</v>
      </c>
      <c r="D119" s="151">
        <v>24436536.889628675</v>
      </c>
      <c r="E119" s="151">
        <v>43276684.884789675</v>
      </c>
      <c r="F119" s="151">
        <v>27260147.378998935</v>
      </c>
      <c r="G119" s="151">
        <v>15000000</v>
      </c>
      <c r="H119" s="151">
        <v>109973369.15341729</v>
      </c>
      <c r="I119" s="151">
        <v>119699483</v>
      </c>
      <c r="J119" s="151">
        <v>9726113.8465827107</v>
      </c>
      <c r="K119" s="151"/>
      <c r="N119" s="105">
        <v>95</v>
      </c>
      <c r="O119" s="107">
        <v>16775499.082999095</v>
      </c>
      <c r="P119" s="107">
        <v>-1086166.7091726214</v>
      </c>
      <c r="Q119" s="107">
        <v>-787800.55375517905</v>
      </c>
      <c r="R119" s="107">
        <v>6148737.234223783</v>
      </c>
      <c r="S119" s="107">
        <v>-2042549.5159869641</v>
      </c>
      <c r="T119" s="107">
        <v>781243.98980179429</v>
      </c>
      <c r="U119" s="107">
        <v>-2125021.4735945463</v>
      </c>
    </row>
    <row r="120" spans="1:21" ht="13.2">
      <c r="A120" s="152">
        <v>111</v>
      </c>
      <c r="B120" s="151">
        <v>60555562</v>
      </c>
      <c r="C120" s="151">
        <v>60555562</v>
      </c>
      <c r="D120" s="151">
        <v>22445244.321210977</v>
      </c>
      <c r="E120" s="151">
        <v>42642438.298676558</v>
      </c>
      <c r="F120" s="151">
        <v>27949515.931940999</v>
      </c>
      <c r="G120" s="151">
        <v>15000000</v>
      </c>
      <c r="H120" s="151">
        <v>108037198.55182853</v>
      </c>
      <c r="I120" s="151">
        <v>121111124</v>
      </c>
      <c r="J120" s="151">
        <v>13073925.448171467</v>
      </c>
      <c r="K120" s="151"/>
      <c r="N120" s="105">
        <v>96</v>
      </c>
      <c r="O120" s="107">
        <v>9412667.9979464263</v>
      </c>
      <c r="P120" s="107">
        <v>1802048.727279067</v>
      </c>
      <c r="Q120" s="107">
        <v>5271220.1902617812</v>
      </c>
      <c r="R120" s="107">
        <v>1675810.105508402</v>
      </c>
      <c r="S120" s="107">
        <v>4562512.7682538927</v>
      </c>
      <c r="T120" s="107">
        <v>-7791216.784938857</v>
      </c>
      <c r="U120" s="107">
        <v>-5324350.3315183222</v>
      </c>
    </row>
    <row r="121" spans="1:21" ht="13.2">
      <c r="A121" s="152">
        <v>112</v>
      </c>
      <c r="B121" s="151">
        <v>57570422.5</v>
      </c>
      <c r="C121" s="151">
        <v>57570422.5</v>
      </c>
      <c r="D121" s="151">
        <v>25786927.733573981</v>
      </c>
      <c r="E121" s="151">
        <v>43843996.538265914</v>
      </c>
      <c r="F121" s="151">
        <v>24367380.439142771</v>
      </c>
      <c r="G121" s="151">
        <v>15000000</v>
      </c>
      <c r="H121" s="151">
        <v>108998304.71098265</v>
      </c>
      <c r="I121" s="151">
        <v>115140845</v>
      </c>
      <c r="J121" s="151">
        <v>6142540.2890173495</v>
      </c>
      <c r="K121" s="151"/>
      <c r="N121" s="105">
        <v>97</v>
      </c>
      <c r="O121" s="107">
        <v>5601372.4157947153</v>
      </c>
      <c r="P121" s="107">
        <v>7888297.903850913</v>
      </c>
      <c r="Q121" s="107">
        <v>-429502.13302080333</v>
      </c>
      <c r="R121" s="107">
        <v>-6181060.3975294381</v>
      </c>
      <c r="S121" s="107">
        <v>3700444.6440574378</v>
      </c>
      <c r="T121" s="107">
        <v>7879041.3251255006</v>
      </c>
      <c r="U121" s="107">
        <v>-8139363.382905215</v>
      </c>
    </row>
    <row r="122" spans="1:21" ht="13.2">
      <c r="A122" s="152">
        <v>113</v>
      </c>
      <c r="B122" s="151">
        <v>63944690</v>
      </c>
      <c r="C122" s="151">
        <v>63944690</v>
      </c>
      <c r="D122" s="151">
        <v>25263491.79894612</v>
      </c>
      <c r="E122" s="151">
        <v>41067455.818382122</v>
      </c>
      <c r="F122" s="151">
        <v>25619234.033227678</v>
      </c>
      <c r="G122" s="151">
        <v>15000000</v>
      </c>
      <c r="H122" s="151">
        <v>106950181.65055592</v>
      </c>
      <c r="I122" s="151">
        <v>127889380</v>
      </c>
      <c r="J122" s="151">
        <v>20939198.349444076</v>
      </c>
      <c r="K122" s="151"/>
      <c r="N122" s="105">
        <v>98</v>
      </c>
      <c r="O122" s="107">
        <v>4098208.7986313701</v>
      </c>
      <c r="P122" s="107">
        <v>18570596.076108798</v>
      </c>
      <c r="Q122" s="107">
        <v>3021896.7008184493</v>
      </c>
      <c r="R122" s="107">
        <v>5268054.7098351121</v>
      </c>
      <c r="S122" s="107">
        <v>13045955.414430857</v>
      </c>
      <c r="T122" s="107">
        <v>-7105133.7867972404</v>
      </c>
      <c r="U122" s="107">
        <v>-7687287.7977831513</v>
      </c>
    </row>
    <row r="123" spans="1:21" ht="13.2">
      <c r="A123" s="152">
        <v>114</v>
      </c>
      <c r="B123" s="151">
        <v>57566668</v>
      </c>
      <c r="C123" s="151">
        <v>57566668</v>
      </c>
      <c r="D123" s="151">
        <v>23233972.763769206</v>
      </c>
      <c r="E123" s="151">
        <v>42953851.807254001</v>
      </c>
      <c r="F123" s="151">
        <v>28462115.266257692</v>
      </c>
      <c r="G123" s="151">
        <v>15000000</v>
      </c>
      <c r="H123" s="151">
        <v>109649939.8372809</v>
      </c>
      <c r="I123" s="151">
        <v>115133336</v>
      </c>
      <c r="J123" s="151">
        <v>5483396.1627191007</v>
      </c>
      <c r="K123" s="151"/>
      <c r="N123" s="105">
        <v>99</v>
      </c>
      <c r="O123" s="107">
        <v>12184659.171280324</v>
      </c>
      <c r="P123" s="107">
        <v>4892866.2775214016</v>
      </c>
      <c r="Q123" s="107">
        <v>7130085.8420957625</v>
      </c>
      <c r="R123" s="107">
        <v>5406101.8580622673</v>
      </c>
      <c r="S123" s="107">
        <v>10371007.10213013</v>
      </c>
      <c r="T123" s="107">
        <v>5590123.7445760518</v>
      </c>
      <c r="U123" s="107">
        <v>5781694.3728992045</v>
      </c>
    </row>
    <row r="124" spans="1:21" ht="13.2">
      <c r="A124" s="152">
        <v>115</v>
      </c>
      <c r="B124" s="151">
        <v>57570638</v>
      </c>
      <c r="C124" s="151">
        <v>57570638</v>
      </c>
      <c r="D124" s="151">
        <v>24048816.470664099</v>
      </c>
      <c r="E124" s="151">
        <v>42636345.303614907</v>
      </c>
      <c r="F124" s="151">
        <v>28080104.003766689</v>
      </c>
      <c r="G124" s="151">
        <v>15000000</v>
      </c>
      <c r="H124" s="151">
        <v>109765265.7780457</v>
      </c>
      <c r="I124" s="151">
        <v>115141276</v>
      </c>
      <c r="J124" s="151">
        <v>5376010.221954301</v>
      </c>
      <c r="K124" s="151"/>
      <c r="N124" s="105">
        <v>100</v>
      </c>
      <c r="O124" s="107">
        <v>15336032.006105959</v>
      </c>
      <c r="P124" s="107">
        <v>17086249.632867128</v>
      </c>
      <c r="Q124" s="107">
        <v>10576296.009861723</v>
      </c>
      <c r="R124" s="107">
        <v>-1047979.7931335568</v>
      </c>
      <c r="S124" s="107">
        <v>-3949410.3979276419</v>
      </c>
      <c r="T124" s="107">
        <v>-5263528.0628271997</v>
      </c>
      <c r="U124" s="107">
        <v>54667.417862504721</v>
      </c>
    </row>
    <row r="125" spans="1:21" ht="13.2">
      <c r="A125" s="152">
        <v>116</v>
      </c>
      <c r="B125" s="151">
        <v>56628992</v>
      </c>
      <c r="C125" s="151">
        <v>56628992</v>
      </c>
      <c r="D125" s="151">
        <v>22170321.671452891</v>
      </c>
      <c r="E125" s="151">
        <v>42089033.982495174</v>
      </c>
      <c r="F125" s="151">
        <v>27272083.160534129</v>
      </c>
      <c r="G125" s="151">
        <v>15000000</v>
      </c>
      <c r="H125" s="151">
        <v>106531438.8144822</v>
      </c>
      <c r="I125" s="151">
        <v>113257984</v>
      </c>
      <c r="J125" s="151">
        <v>6726545.1855178028</v>
      </c>
      <c r="K125" s="151"/>
      <c r="N125" s="105">
        <v>101</v>
      </c>
      <c r="O125" s="107">
        <v>5776701.5050594956</v>
      </c>
      <c r="P125" s="107">
        <v>2936725.289318487</v>
      </c>
      <c r="Q125" s="107">
        <v>1581405.1374254376</v>
      </c>
      <c r="R125" s="107">
        <v>2247691.207090795</v>
      </c>
      <c r="S125" s="107">
        <v>-2054594.4535842687</v>
      </c>
      <c r="T125" s="107">
        <v>5960174.6089902222</v>
      </c>
      <c r="U125" s="107">
        <v>1931433.1521265954</v>
      </c>
    </row>
    <row r="126" spans="1:21" ht="13.2">
      <c r="A126" s="152">
        <v>117</v>
      </c>
      <c r="B126" s="151">
        <v>59434289</v>
      </c>
      <c r="C126" s="151">
        <v>59434289</v>
      </c>
      <c r="D126" s="151">
        <v>23498971.171147939</v>
      </c>
      <c r="E126" s="151">
        <v>42778196.479457065</v>
      </c>
      <c r="F126" s="151">
        <v>27543260.655122351</v>
      </c>
      <c r="G126" s="151">
        <v>15000000</v>
      </c>
      <c r="H126" s="151">
        <v>108820428.30572736</v>
      </c>
      <c r="I126" s="151">
        <v>118868578</v>
      </c>
      <c r="J126" s="151">
        <v>10048149.694272637</v>
      </c>
      <c r="K126" s="151"/>
      <c r="N126" s="105">
        <v>102</v>
      </c>
      <c r="O126" s="107">
        <v>7710106.4760164022</v>
      </c>
      <c r="P126" s="107">
        <v>17587298.041361153</v>
      </c>
      <c r="Q126" s="107">
        <v>-3982273.0913707018</v>
      </c>
      <c r="R126" s="107">
        <v>274549.41710707545</v>
      </c>
      <c r="S126" s="107">
        <v>1778950.2356367856</v>
      </c>
      <c r="T126" s="107">
        <v>648951.17335082591</v>
      </c>
      <c r="U126" s="107">
        <v>-708384.57426652312</v>
      </c>
    </row>
    <row r="127" spans="1:21" ht="13.2">
      <c r="A127" s="152">
        <v>118</v>
      </c>
      <c r="B127" s="151">
        <v>58341039.5</v>
      </c>
      <c r="C127" s="151">
        <v>58341039.5</v>
      </c>
      <c r="D127" s="151">
        <v>24306371.696258325</v>
      </c>
      <c r="E127" s="151">
        <v>41281937.958108947</v>
      </c>
      <c r="F127" s="151">
        <v>26299970.281642891</v>
      </c>
      <c r="G127" s="151">
        <v>15000000</v>
      </c>
      <c r="H127" s="151">
        <v>106888279.93601015</v>
      </c>
      <c r="I127" s="151">
        <v>116682079</v>
      </c>
      <c r="J127" s="151">
        <v>9793799.0639898479</v>
      </c>
      <c r="K127" s="151"/>
      <c r="N127" s="105">
        <v>103</v>
      </c>
      <c r="O127" s="107">
        <v>23991942.213713646</v>
      </c>
      <c r="P127" s="107">
        <v>22676542.086630791</v>
      </c>
      <c r="Q127" s="107">
        <v>5548765.4135455042</v>
      </c>
      <c r="R127" s="107">
        <v>5735381.7175324261</v>
      </c>
      <c r="S127" s="107">
        <v>-4935715.3921000212</v>
      </c>
      <c r="T127" s="107">
        <v>-8129650.5559851229</v>
      </c>
      <c r="U127" s="107">
        <v>-6488564.2396198362</v>
      </c>
    </row>
    <row r="128" spans="1:21" ht="13.2">
      <c r="A128" s="152">
        <v>119</v>
      </c>
      <c r="B128" s="151">
        <v>61536329.5</v>
      </c>
      <c r="C128" s="151">
        <v>61536329.5</v>
      </c>
      <c r="D128" s="151">
        <v>22710536.829141345</v>
      </c>
      <c r="E128" s="151">
        <v>41400144.340492442</v>
      </c>
      <c r="F128" s="151">
        <v>24493270.350795832</v>
      </c>
      <c r="G128" s="151">
        <v>15000000</v>
      </c>
      <c r="H128" s="151">
        <v>103603951.52042963</v>
      </c>
      <c r="I128" s="151">
        <v>123072659</v>
      </c>
      <c r="J128" s="151">
        <v>19468707.479570374</v>
      </c>
      <c r="K128" s="151"/>
      <c r="N128" s="105">
        <v>104</v>
      </c>
      <c r="O128" s="107">
        <v>10062986.709851116</v>
      </c>
      <c r="P128" s="107">
        <v>9216033.6159028709</v>
      </c>
      <c r="Q128" s="107">
        <v>5557375.8990893364</v>
      </c>
      <c r="R128" s="107">
        <v>-461255.87469409406</v>
      </c>
      <c r="S128" s="107">
        <v>3050602.7303783149</v>
      </c>
      <c r="T128" s="107">
        <v>8018994.6628053635</v>
      </c>
      <c r="U128" s="107">
        <v>-1954466.6183896214</v>
      </c>
    </row>
    <row r="129" spans="1:21" ht="13.2">
      <c r="A129" s="152">
        <v>120</v>
      </c>
      <c r="B129" s="151">
        <v>61427168</v>
      </c>
      <c r="C129" s="151">
        <v>61427168</v>
      </c>
      <c r="D129" s="151">
        <v>24982008.269058429</v>
      </c>
      <c r="E129" s="151">
        <v>43230637.130321667</v>
      </c>
      <c r="F129" s="151">
        <v>27278976.015124772</v>
      </c>
      <c r="G129" s="151">
        <v>15000000</v>
      </c>
      <c r="H129" s="151">
        <v>110491621.41450486</v>
      </c>
      <c r="I129" s="151">
        <v>122854336</v>
      </c>
      <c r="J129" s="151">
        <v>12362714.585495144</v>
      </c>
      <c r="K129" s="151"/>
      <c r="N129" s="105">
        <v>105</v>
      </c>
      <c r="O129" s="107">
        <v>12348482.748752221</v>
      </c>
      <c r="P129" s="107">
        <v>5403841.8991155475</v>
      </c>
      <c r="Q129" s="107">
        <v>2276014.2208667099</v>
      </c>
      <c r="R129" s="107">
        <v>2936219.1089115143</v>
      </c>
      <c r="S129" s="107">
        <v>5981941.0689868331</v>
      </c>
      <c r="T129" s="107">
        <v>4618523.8960877359</v>
      </c>
      <c r="U129" s="107">
        <v>13142801.911416054</v>
      </c>
    </row>
    <row r="130" spans="1:21" ht="13.2">
      <c r="A130" s="152">
        <v>121</v>
      </c>
      <c r="B130" s="151">
        <v>61266591</v>
      </c>
      <c r="C130" s="151">
        <v>61266591</v>
      </c>
      <c r="D130" s="151">
        <v>24436830.990180306</v>
      </c>
      <c r="E130" s="151">
        <v>43181282.800559454</v>
      </c>
      <c r="F130" s="151">
        <v>24052796.792755917</v>
      </c>
      <c r="G130" s="151">
        <v>15000000</v>
      </c>
      <c r="H130" s="151">
        <v>106670910.58349568</v>
      </c>
      <c r="I130" s="151">
        <v>122533182</v>
      </c>
      <c r="J130" s="151">
        <v>15862271.416504323</v>
      </c>
      <c r="K130" s="151"/>
      <c r="N130" s="105">
        <v>106</v>
      </c>
      <c r="O130" s="107">
        <v>23080511.245355383</v>
      </c>
      <c r="P130" s="107">
        <v>9143290.4941512942</v>
      </c>
      <c r="Q130" s="107">
        <v>11782882.390982777</v>
      </c>
      <c r="R130" s="107">
        <v>385211.19276827574</v>
      </c>
      <c r="S130" s="107">
        <v>-7683226.867586121</v>
      </c>
      <c r="T130" s="107">
        <v>-1013272.9715709686</v>
      </c>
      <c r="U130" s="107">
        <v>1319580.0812583268</v>
      </c>
    </row>
    <row r="131" spans="1:21" ht="13.2">
      <c r="A131" s="152">
        <v>122</v>
      </c>
      <c r="B131" s="151">
        <v>55380735</v>
      </c>
      <c r="C131" s="151">
        <v>55380735</v>
      </c>
      <c r="D131" s="151">
        <v>23498677.070596304</v>
      </c>
      <c r="E131" s="151">
        <v>42907611.143781587</v>
      </c>
      <c r="F131" s="151">
        <v>27268475.181533113</v>
      </c>
      <c r="G131" s="151">
        <v>15000000</v>
      </c>
      <c r="H131" s="151">
        <v>108674763.39591101</v>
      </c>
      <c r="I131" s="151">
        <v>110761470</v>
      </c>
      <c r="J131" s="151">
        <v>2086706.6040889919</v>
      </c>
      <c r="K131" s="151"/>
      <c r="N131" s="105">
        <v>107</v>
      </c>
      <c r="O131" s="107">
        <v>9770110.2276498228</v>
      </c>
      <c r="P131" s="107">
        <v>5125444.1983806789</v>
      </c>
      <c r="Q131" s="107">
        <v>447641.23213636875</v>
      </c>
      <c r="R131" s="107">
        <v>13652389.648389816</v>
      </c>
      <c r="S131" s="107">
        <v>6742808.6569214761</v>
      </c>
      <c r="T131" s="107">
        <v>4211046.6076997966</v>
      </c>
      <c r="U131" s="107">
        <v>-5527771.576577574</v>
      </c>
    </row>
    <row r="132" spans="1:21" ht="13.2">
      <c r="A132" s="152">
        <v>123</v>
      </c>
      <c r="B132" s="151">
        <v>54578520.5</v>
      </c>
      <c r="C132" s="151">
        <v>54578520.5</v>
      </c>
      <c r="D132" s="151">
        <v>25649319.35841912</v>
      </c>
      <c r="E132" s="151">
        <v>43521122.562635794</v>
      </c>
      <c r="F132" s="151">
        <v>27177519.099762686</v>
      </c>
      <c r="G132" s="151">
        <v>15000000</v>
      </c>
      <c r="H132" s="151">
        <v>111347961.02081761</v>
      </c>
      <c r="I132" s="151">
        <v>109157041</v>
      </c>
      <c r="J132" s="151">
        <v>-2190920.0208176076</v>
      </c>
      <c r="K132" s="151"/>
      <c r="N132" s="105">
        <v>108</v>
      </c>
      <c r="O132" s="107">
        <v>7339093.5070395768</v>
      </c>
      <c r="P132" s="107">
        <v>10624505.612178415</v>
      </c>
      <c r="Q132" s="107">
        <v>-2921097.3653820604</v>
      </c>
      <c r="R132" s="107">
        <v>-4822869.2826284319</v>
      </c>
      <c r="S132" s="107">
        <v>7598474.4195707142</v>
      </c>
      <c r="T132" s="107">
        <v>-8271483.3341136873</v>
      </c>
      <c r="U132" s="107">
        <v>-6461431.4323143363</v>
      </c>
    </row>
    <row r="133" spans="1:21" ht="13.2">
      <c r="A133" s="152">
        <v>124</v>
      </c>
      <c r="B133" s="151">
        <v>56964245</v>
      </c>
      <c r="C133" s="151">
        <v>56964245</v>
      </c>
      <c r="D133" s="151">
        <v>23913689.15610408</v>
      </c>
      <c r="E133" s="151">
        <v>41817327.295540765</v>
      </c>
      <c r="F133" s="151">
        <v>26988141.01349007</v>
      </c>
      <c r="G133" s="151">
        <v>15000000</v>
      </c>
      <c r="H133" s="151">
        <v>107719157.46513492</v>
      </c>
      <c r="I133" s="151">
        <v>113928490</v>
      </c>
      <c r="J133" s="151">
        <v>6209332.5348650813</v>
      </c>
      <c r="K133" s="151"/>
      <c r="N133" s="105">
        <v>109</v>
      </c>
      <c r="O133" s="107">
        <v>15785601.808503687</v>
      </c>
      <c r="P133" s="107">
        <v>12903054.868608445</v>
      </c>
      <c r="Q133" s="107">
        <v>6075750.3930215538</v>
      </c>
      <c r="R133" s="107">
        <v>4257020.1685400009</v>
      </c>
      <c r="S133" s="107">
        <v>5749727.8172770888</v>
      </c>
      <c r="T133" s="107">
        <v>-3529050.379374072</v>
      </c>
      <c r="U133" s="107">
        <v>7547787.0871507674</v>
      </c>
    </row>
    <row r="134" spans="1:21" ht="13.2">
      <c r="A134" s="152">
        <v>125</v>
      </c>
      <c r="B134" s="151">
        <v>56180579</v>
      </c>
      <c r="C134" s="151">
        <v>56180579</v>
      </c>
      <c r="D134" s="151">
        <v>23373768.098967265</v>
      </c>
      <c r="E134" s="151">
        <v>41617066.893260643</v>
      </c>
      <c r="F134" s="151">
        <v>27858778.183523927</v>
      </c>
      <c r="G134" s="151">
        <v>15000000</v>
      </c>
      <c r="H134" s="151">
        <v>107849613.17575184</v>
      </c>
      <c r="I134" s="151">
        <v>112361158</v>
      </c>
      <c r="J134" s="151">
        <v>4511544.8242481649</v>
      </c>
      <c r="K134" s="151"/>
      <c r="N134" s="105">
        <v>110</v>
      </c>
      <c r="O134" s="107">
        <v>3129530.3539768308</v>
      </c>
      <c r="P134" s="107">
        <v>8953852.5208865106</v>
      </c>
      <c r="Q134" s="107">
        <v>1939745.7075463235</v>
      </c>
      <c r="R134" s="107">
        <v>-3799847.8849146664</v>
      </c>
      <c r="S134" s="107">
        <v>-49745.548941582441</v>
      </c>
      <c r="T134" s="107">
        <v>3360376.5049008727</v>
      </c>
      <c r="U134" s="107">
        <v>-6273814.3556103408</v>
      </c>
    </row>
    <row r="135" spans="1:21" ht="13.2">
      <c r="A135" s="152">
        <v>126</v>
      </c>
      <c r="B135" s="151">
        <v>56394822</v>
      </c>
      <c r="C135" s="151">
        <v>56394822</v>
      </c>
      <c r="D135" s="151">
        <v>22833552.941278812</v>
      </c>
      <c r="E135" s="151">
        <v>42968980.245063901</v>
      </c>
      <c r="F135" s="151">
        <v>27582842.420862295</v>
      </c>
      <c r="G135" s="151">
        <v>15000000</v>
      </c>
      <c r="H135" s="151">
        <v>108385375.607205</v>
      </c>
      <c r="I135" s="151">
        <v>112789644</v>
      </c>
      <c r="J135" s="151">
        <v>4404268.3927949965</v>
      </c>
      <c r="K135" s="151"/>
      <c r="N135" s="105">
        <v>111</v>
      </c>
      <c r="O135" s="107">
        <v>14464108.965584412</v>
      </c>
      <c r="P135" s="107">
        <v>-1215088.0319831222</v>
      </c>
      <c r="Q135" s="107">
        <v>4883677.5951454341</v>
      </c>
      <c r="R135" s="107">
        <v>3756088.6621807069</v>
      </c>
      <c r="S135" s="107">
        <v>5761452.5544716716</v>
      </c>
      <c r="T135" s="107">
        <v>-5726890.0427758098</v>
      </c>
      <c r="U135" s="107">
        <v>5426617.8337654918</v>
      </c>
    </row>
    <row r="136" spans="1:21" ht="13.2">
      <c r="A136" s="152">
        <v>127</v>
      </c>
      <c r="B136" s="151">
        <v>52190982.5</v>
      </c>
      <c r="C136" s="151">
        <v>52190982.5</v>
      </c>
      <c r="D136" s="151">
        <v>24713940.599981587</v>
      </c>
      <c r="E136" s="151">
        <v>42669679.902045667</v>
      </c>
      <c r="F136" s="151">
        <v>26926067.551842578</v>
      </c>
      <c r="G136" s="151">
        <v>15000000</v>
      </c>
      <c r="H136" s="151">
        <v>109309688.05386984</v>
      </c>
      <c r="I136" s="151">
        <v>104381965</v>
      </c>
      <c r="J136" s="151">
        <v>-4927723.0538698435</v>
      </c>
      <c r="K136" s="151"/>
      <c r="N136" s="105">
        <v>112</v>
      </c>
      <c r="O136" s="107">
        <v>14362471.136229247</v>
      </c>
      <c r="P136" s="107">
        <v>4651404.7732983977</v>
      </c>
      <c r="Q136" s="107">
        <v>9394987.0310918093</v>
      </c>
      <c r="R136" s="107">
        <v>13649460.777471423</v>
      </c>
      <c r="S136" s="107">
        <v>6729788.842590183</v>
      </c>
      <c r="T136" s="107">
        <v>2601810.709874332</v>
      </c>
      <c r="U136" s="107">
        <v>-271902.94703650475</v>
      </c>
    </row>
    <row r="137" spans="1:21" ht="13.2">
      <c r="A137" s="152">
        <v>128</v>
      </c>
      <c r="B137" s="151">
        <v>57919245</v>
      </c>
      <c r="C137" s="151">
        <v>57919245</v>
      </c>
      <c r="D137" s="151">
        <v>24441204.910266712</v>
      </c>
      <c r="E137" s="151">
        <v>42937410.141855642</v>
      </c>
      <c r="F137" s="151">
        <v>27561335.777371828</v>
      </c>
      <c r="G137" s="151">
        <v>15000000</v>
      </c>
      <c r="H137" s="151">
        <v>109939950.82949418</v>
      </c>
      <c r="I137" s="151">
        <v>115838490</v>
      </c>
      <c r="J137" s="151">
        <v>5898539.1705058217</v>
      </c>
      <c r="K137" s="151"/>
      <c r="N137" s="105">
        <v>113</v>
      </c>
      <c r="O137" s="107">
        <v>12535056.137086928</v>
      </c>
      <c r="P137" s="107">
        <v>3100603.0633039773</v>
      </c>
      <c r="Q137" s="107">
        <v>1043428.4462466091</v>
      </c>
      <c r="R137" s="107">
        <v>938855.67268428206</v>
      </c>
      <c r="S137" s="107">
        <v>9402334.7024010718</v>
      </c>
      <c r="T137" s="107">
        <v>4885213.0504740775</v>
      </c>
      <c r="U137" s="107">
        <v>4951515.3148814589</v>
      </c>
    </row>
    <row r="138" spans="1:21" ht="13.2">
      <c r="A138" s="152">
        <v>129</v>
      </c>
      <c r="B138" s="151">
        <v>57518355</v>
      </c>
      <c r="C138" s="151">
        <v>57518355</v>
      </c>
      <c r="D138" s="151">
        <v>24308558.656301528</v>
      </c>
      <c r="E138" s="151">
        <v>42168550.217895389</v>
      </c>
      <c r="F138" s="151">
        <v>25759085.447802756</v>
      </c>
      <c r="G138" s="151">
        <v>15000000</v>
      </c>
      <c r="H138" s="151">
        <v>107236194.32199967</v>
      </c>
      <c r="I138" s="151">
        <v>115036710</v>
      </c>
      <c r="J138" s="151">
        <v>7800515.6780003309</v>
      </c>
      <c r="K138" s="151"/>
      <c r="N138" s="105">
        <v>114</v>
      </c>
      <c r="O138" s="107">
        <v>7601539.7530237138</v>
      </c>
      <c r="P138" s="107">
        <v>1173975.42935054</v>
      </c>
      <c r="Q138" s="107">
        <v>4936300.5790051222</v>
      </c>
      <c r="R138" s="107">
        <v>12861371.179991677</v>
      </c>
      <c r="S138" s="107">
        <v>5275068.1998341233</v>
      </c>
      <c r="T138" s="107">
        <v>5718492.2860996872</v>
      </c>
      <c r="U138" s="107">
        <v>-6765647.4444674253</v>
      </c>
    </row>
    <row r="139" spans="1:21" ht="13.2">
      <c r="A139" s="152">
        <v>130</v>
      </c>
      <c r="B139" s="151">
        <v>58426461</v>
      </c>
      <c r="C139" s="151">
        <v>58426461</v>
      </c>
      <c r="D139" s="151">
        <v>24983901.128549997</v>
      </c>
      <c r="E139" s="151">
        <v>44640211.12130174</v>
      </c>
      <c r="F139" s="151">
        <v>27821773.144602019</v>
      </c>
      <c r="G139" s="151">
        <v>15000000</v>
      </c>
      <c r="H139" s="151">
        <v>112445885.39445375</v>
      </c>
      <c r="I139" s="151">
        <v>116852922</v>
      </c>
      <c r="J139" s="151">
        <v>4407036.6055462509</v>
      </c>
      <c r="K139" s="151"/>
      <c r="N139" s="105">
        <v>115</v>
      </c>
      <c r="O139" s="107">
        <v>22429419.034246504</v>
      </c>
      <c r="P139" s="107">
        <v>14007717.718091071</v>
      </c>
      <c r="Q139" s="107">
        <v>5740365.0628399402</v>
      </c>
      <c r="R139" s="107">
        <v>-112738.69986900687</v>
      </c>
      <c r="S139" s="107">
        <v>6619597.6761276722</v>
      </c>
      <c r="T139" s="107">
        <v>-5863859.2545264363</v>
      </c>
      <c r="U139" s="107">
        <v>5880520.6756440997</v>
      </c>
    </row>
    <row r="140" spans="1:21" ht="13.2">
      <c r="A140" s="152">
        <v>131</v>
      </c>
      <c r="B140" s="151">
        <v>59507454.5</v>
      </c>
      <c r="C140" s="151">
        <v>59507454.5</v>
      </c>
      <c r="D140" s="151">
        <v>24839143.672162265</v>
      </c>
      <c r="E140" s="151">
        <v>42644615.147074774</v>
      </c>
      <c r="F140" s="151">
        <v>26760034.718125109</v>
      </c>
      <c r="G140" s="151">
        <v>15000000</v>
      </c>
      <c r="H140" s="151">
        <v>109243793.53736214</v>
      </c>
      <c r="I140" s="151">
        <v>119014909</v>
      </c>
      <c r="J140" s="151">
        <v>9771115.4626378566</v>
      </c>
      <c r="K140" s="151"/>
      <c r="N140" s="105">
        <v>116</v>
      </c>
      <c r="O140" s="107">
        <v>12367318.999545217</v>
      </c>
      <c r="P140" s="107">
        <v>94591.616004213691</v>
      </c>
      <c r="Q140" s="107">
        <v>9168170.695670709</v>
      </c>
      <c r="R140" s="107">
        <v>1897032.0099670142</v>
      </c>
      <c r="S140" s="107">
        <v>15087935.467524961</v>
      </c>
      <c r="T140" s="107">
        <v>-1267434.1098097861</v>
      </c>
      <c r="U140" s="107">
        <v>-2989189.5862962753</v>
      </c>
    </row>
    <row r="141" spans="1:21" ht="13.2">
      <c r="A141" s="152">
        <v>132</v>
      </c>
      <c r="B141" s="151">
        <v>55750699</v>
      </c>
      <c r="C141" s="151">
        <v>55750699</v>
      </c>
      <c r="D141" s="151">
        <v>25393656.992316466</v>
      </c>
      <c r="E141" s="151">
        <v>42850471.081502385</v>
      </c>
      <c r="F141" s="151">
        <v>30267352.148329154</v>
      </c>
      <c r="G141" s="151">
        <v>15000000</v>
      </c>
      <c r="H141" s="151">
        <v>113511480.222148</v>
      </c>
      <c r="I141" s="151">
        <v>111501398</v>
      </c>
      <c r="J141" s="151">
        <v>-2010082.2221480012</v>
      </c>
      <c r="K141" s="151"/>
      <c r="N141" s="105">
        <v>117</v>
      </c>
      <c r="O141" s="107">
        <v>7981326.2260100245</v>
      </c>
      <c r="P141" s="107">
        <v>-1406543.1693175286</v>
      </c>
      <c r="Q141" s="107">
        <v>-2831026.271438092</v>
      </c>
      <c r="R141" s="107">
        <v>-2438659.024347201</v>
      </c>
      <c r="S141" s="107">
        <v>3438659.3255723119</v>
      </c>
      <c r="T141" s="107">
        <v>-2045940.1432650238</v>
      </c>
      <c r="U141" s="107">
        <v>-5747009.1065372527</v>
      </c>
    </row>
    <row r="142" spans="1:21" ht="13.2">
      <c r="A142" s="152">
        <v>133</v>
      </c>
      <c r="B142" s="151">
        <v>53808753</v>
      </c>
      <c r="C142" s="151">
        <v>53808753</v>
      </c>
      <c r="D142" s="151">
        <v>24185836.644715689</v>
      </c>
      <c r="E142" s="151">
        <v>41864717.604461417</v>
      </c>
      <c r="F142" s="151">
        <v>28001156.664455049</v>
      </c>
      <c r="G142" s="151">
        <v>15000000</v>
      </c>
      <c r="H142" s="151">
        <v>109051710.91363215</v>
      </c>
      <c r="I142" s="151">
        <v>107617506</v>
      </c>
      <c r="J142" s="151">
        <v>-1434204.9136321545</v>
      </c>
      <c r="K142" s="151"/>
      <c r="N142" s="105">
        <v>118</v>
      </c>
      <c r="O142" s="107">
        <v>15867064.611559004</v>
      </c>
      <c r="P142" s="107">
        <v>13585449.999491528</v>
      </c>
      <c r="Q142" s="107">
        <v>4234604.6546689421</v>
      </c>
      <c r="R142" s="107">
        <v>7867789.2466344088</v>
      </c>
      <c r="S142" s="107">
        <v>-4755323.7167320549</v>
      </c>
      <c r="T142" s="107">
        <v>-936569.94510382414</v>
      </c>
      <c r="U142" s="107">
        <v>4112420.1318830252</v>
      </c>
    </row>
    <row r="143" spans="1:21" ht="13.2">
      <c r="A143" s="152">
        <v>134</v>
      </c>
      <c r="B143" s="151">
        <v>50911002</v>
      </c>
      <c r="C143" s="151">
        <v>50911002</v>
      </c>
      <c r="D143" s="151">
        <v>24186130.745267324</v>
      </c>
      <c r="E143" s="151">
        <v>41853866.714970492</v>
      </c>
      <c r="F143" s="151">
        <v>27286393.73002379</v>
      </c>
      <c r="G143" s="151">
        <v>15000000</v>
      </c>
      <c r="H143" s="151">
        <v>108326391.1902616</v>
      </c>
      <c r="I143" s="151">
        <v>101822004</v>
      </c>
      <c r="J143" s="151">
        <v>-6504387.1902616024</v>
      </c>
      <c r="K143" s="151"/>
      <c r="N143" s="105">
        <v>119</v>
      </c>
      <c r="O143" s="107">
        <v>5893510.6996048987</v>
      </c>
      <c r="P143" s="107">
        <v>1212209.6571922451</v>
      </c>
      <c r="Q143" s="107">
        <v>1131368.2454785407</v>
      </c>
      <c r="R143" s="107">
        <v>6961629.6024978459</v>
      </c>
      <c r="S143" s="107">
        <v>-1278943.5935866535</v>
      </c>
      <c r="T143" s="107">
        <v>-122803.86587707698</v>
      </c>
      <c r="U143" s="107">
        <v>-11048745.141076341</v>
      </c>
    </row>
    <row r="144" spans="1:21" ht="13.2">
      <c r="A144" s="152">
        <v>135</v>
      </c>
      <c r="B144" s="151">
        <v>58009811</v>
      </c>
      <c r="C144" s="151">
        <v>58009811</v>
      </c>
      <c r="D144" s="151">
        <v>22565485.272201978</v>
      </c>
      <c r="E144" s="151">
        <v>43959318.121692277</v>
      </c>
      <c r="F144" s="151">
        <v>30056266.031615283</v>
      </c>
      <c r="G144" s="151">
        <v>15000000</v>
      </c>
      <c r="H144" s="151">
        <v>111581069.42550954</v>
      </c>
      <c r="I144" s="151">
        <v>116019622</v>
      </c>
      <c r="J144" s="151">
        <v>4438552.5744904578</v>
      </c>
      <c r="K144" s="151"/>
      <c r="N144" s="105">
        <v>120</v>
      </c>
      <c r="O144" s="107">
        <v>-6443405.2794205099</v>
      </c>
      <c r="P144" s="107">
        <v>5764526.7081779689</v>
      </c>
      <c r="Q144" s="107">
        <v>6849616.2695668936</v>
      </c>
      <c r="R144" s="107">
        <v>8954070.7226174623</v>
      </c>
      <c r="S144" s="107">
        <v>5404147.1758810282</v>
      </c>
      <c r="T144" s="107">
        <v>-5503879.6076397598</v>
      </c>
      <c r="U144" s="107">
        <v>-5062789.1640710235</v>
      </c>
    </row>
    <row r="145" spans="1:21" ht="13.2">
      <c r="A145" s="152">
        <v>136</v>
      </c>
      <c r="B145" s="151">
        <v>51324477</v>
      </c>
      <c r="C145" s="151">
        <v>51324477</v>
      </c>
      <c r="D145" s="151">
        <v>26179904.37427986</v>
      </c>
      <c r="E145" s="151">
        <v>41791461.410495415</v>
      </c>
      <c r="F145" s="151">
        <v>27745949.636446737</v>
      </c>
      <c r="G145" s="151">
        <v>15000000</v>
      </c>
      <c r="H145" s="151">
        <v>110717315.421222</v>
      </c>
      <c r="I145" s="151">
        <v>102648954</v>
      </c>
      <c r="J145" s="151">
        <v>-8068361.4212220013</v>
      </c>
      <c r="K145" s="151"/>
      <c r="N145" s="105">
        <v>121</v>
      </c>
      <c r="O145" s="107">
        <v>23881941.85485892</v>
      </c>
      <c r="P145" s="107">
        <v>25641992.992422044</v>
      </c>
      <c r="Q145" s="107">
        <v>12218951.906870127</v>
      </c>
      <c r="R145" s="107">
        <v>4755809.3223686367</v>
      </c>
      <c r="S145" s="107">
        <v>1328318.6645115763</v>
      </c>
      <c r="T145" s="107">
        <v>1834480.3330781162</v>
      </c>
      <c r="U145" s="107">
        <v>-11143451.928919226</v>
      </c>
    </row>
    <row r="146" spans="1:21" ht="13.2">
      <c r="A146" s="152">
        <v>137</v>
      </c>
      <c r="B146" s="151">
        <v>58627136</v>
      </c>
      <c r="C146" s="151">
        <v>58627136</v>
      </c>
      <c r="D146" s="151">
        <v>25119028.443110019</v>
      </c>
      <c r="E146" s="151">
        <v>43492700.358304873</v>
      </c>
      <c r="F146" s="151">
        <v>26548948.100545399</v>
      </c>
      <c r="G146" s="151">
        <v>15000000</v>
      </c>
      <c r="H146" s="151">
        <v>110160676.90196028</v>
      </c>
      <c r="I146" s="151">
        <v>117254272</v>
      </c>
      <c r="J146" s="151">
        <v>7093595.0980397165</v>
      </c>
      <c r="K146" s="151"/>
      <c r="N146" s="105">
        <v>122</v>
      </c>
      <c r="O146" s="107">
        <v>17961022.504420087</v>
      </c>
      <c r="P146" s="107">
        <v>4644792.6305765361</v>
      </c>
      <c r="Q146" s="107">
        <v>715101.18261954188</v>
      </c>
      <c r="R146" s="107">
        <v>5001771.473994717</v>
      </c>
      <c r="S146" s="107">
        <v>6057544.8299301267</v>
      </c>
      <c r="T146" s="107">
        <v>-7977338.484659493</v>
      </c>
      <c r="U146" s="107">
        <v>1293598.840245381</v>
      </c>
    </row>
    <row r="147" spans="1:21" ht="13.2">
      <c r="A147" s="152">
        <v>138</v>
      </c>
      <c r="B147" s="151">
        <v>57425097</v>
      </c>
      <c r="C147" s="151">
        <v>57425097</v>
      </c>
      <c r="D147" s="151">
        <v>26182385.434874695</v>
      </c>
      <c r="E147" s="151">
        <v>41856164.941970766</v>
      </c>
      <c r="F147" s="151">
        <v>27016461.664221272</v>
      </c>
      <c r="G147" s="151">
        <v>15000000</v>
      </c>
      <c r="H147" s="151">
        <v>110055012.04106674</v>
      </c>
      <c r="I147" s="151">
        <v>114850194</v>
      </c>
      <c r="J147" s="151">
        <v>4795181.958933264</v>
      </c>
      <c r="K147" s="151"/>
      <c r="N147" s="105">
        <v>123</v>
      </c>
      <c r="O147" s="107">
        <v>14312373.78874737</v>
      </c>
      <c r="P147" s="107">
        <v>11223289.002908215</v>
      </c>
      <c r="Q147" s="107">
        <v>6365753.1558094174</v>
      </c>
      <c r="R147" s="107">
        <v>2236441.2855292857</v>
      </c>
      <c r="S147" s="107">
        <v>1433688.1473737657</v>
      </c>
      <c r="T147" s="107">
        <v>630351.40886873007</v>
      </c>
      <c r="U147" s="107">
        <v>3768936.2090218812</v>
      </c>
    </row>
    <row r="148" spans="1:21" ht="13.2">
      <c r="A148" s="152">
        <v>139</v>
      </c>
      <c r="B148" s="151">
        <v>55277124</v>
      </c>
      <c r="C148" s="151">
        <v>55277124</v>
      </c>
      <c r="D148" s="151">
        <v>26179610.273728229</v>
      </c>
      <c r="E148" s="151">
        <v>41861516.266656443</v>
      </c>
      <c r="F148" s="151">
        <v>24514526.769347843</v>
      </c>
      <c r="G148" s="151">
        <v>15000000</v>
      </c>
      <c r="H148" s="151">
        <v>107555653.30973253</v>
      </c>
      <c r="I148" s="151">
        <v>110554248</v>
      </c>
      <c r="J148" s="151">
        <v>2998594.6902674735</v>
      </c>
      <c r="K148" s="151"/>
      <c r="N148" s="105">
        <v>124</v>
      </c>
      <c r="O148" s="107">
        <v>22200984.322989076</v>
      </c>
      <c r="P148" s="107">
        <v>11979121.103017122</v>
      </c>
      <c r="Q148" s="107">
        <v>6481147.0348445922</v>
      </c>
      <c r="R148" s="107">
        <v>5641063.3885595351</v>
      </c>
      <c r="S148" s="107">
        <v>2110709.2618574947</v>
      </c>
      <c r="T148" s="107">
        <v>-4382570.4323536158</v>
      </c>
      <c r="U148" s="107">
        <v>-9024820.7767698765</v>
      </c>
    </row>
    <row r="149" spans="1:21" ht="13.2">
      <c r="A149" s="152">
        <v>140</v>
      </c>
      <c r="B149" s="151">
        <v>57274698</v>
      </c>
      <c r="C149" s="151">
        <v>57274698</v>
      </c>
      <c r="D149" s="151">
        <v>25379064.729299083</v>
      </c>
      <c r="E149" s="151">
        <v>42849848.805771217</v>
      </c>
      <c r="F149" s="151">
        <v>26951997.897430863</v>
      </c>
      <c r="G149" s="151">
        <v>15000000</v>
      </c>
      <c r="H149" s="151">
        <v>110180911.43250117</v>
      </c>
      <c r="I149" s="151">
        <v>114549396</v>
      </c>
      <c r="J149" s="151">
        <v>4368484.5674988329</v>
      </c>
      <c r="K149" s="151"/>
      <c r="N149" s="105">
        <v>125</v>
      </c>
      <c r="O149" s="107">
        <v>12409101.161991432</v>
      </c>
      <c r="P149" s="107">
        <v>11590715.665295869</v>
      </c>
      <c r="Q149" s="107">
        <v>-2143347.3931398243</v>
      </c>
      <c r="R149" s="107">
        <v>-7437422.874283731</v>
      </c>
      <c r="S149" s="107">
        <v>-3580801.6485603005</v>
      </c>
      <c r="T149" s="107">
        <v>-821012.7750864476</v>
      </c>
      <c r="U149" s="107">
        <v>-8328455.1500451863</v>
      </c>
    </row>
    <row r="150" spans="1:21" ht="13.2">
      <c r="A150" s="152">
        <v>141</v>
      </c>
      <c r="B150" s="151">
        <v>59220232</v>
      </c>
      <c r="C150" s="151">
        <v>59220232</v>
      </c>
      <c r="D150" s="151">
        <v>25114360.422471978</v>
      </c>
      <c r="E150" s="151">
        <v>43369505.124135993</v>
      </c>
      <c r="F150" s="151">
        <v>26632725.276884973</v>
      </c>
      <c r="G150" s="151">
        <v>15000000</v>
      </c>
      <c r="H150" s="151">
        <v>110116590.82349294</v>
      </c>
      <c r="I150" s="151">
        <v>118440464</v>
      </c>
      <c r="J150" s="151">
        <v>8323873.1765070558</v>
      </c>
      <c r="K150" s="151"/>
      <c r="N150" s="105">
        <v>126</v>
      </c>
      <c r="O150" s="107">
        <v>13674718.326524273</v>
      </c>
      <c r="P150" s="107">
        <v>7449848.6118695289</v>
      </c>
      <c r="Q150" s="107">
        <v>1119947.0730088353</v>
      </c>
      <c r="R150" s="107">
        <v>13474996.370846406</v>
      </c>
      <c r="S150" s="107">
        <v>-657347.71548095345</v>
      </c>
      <c r="T150" s="107">
        <v>1034396.7665924728</v>
      </c>
      <c r="U150" s="107">
        <v>-4781042.1387197524</v>
      </c>
    </row>
    <row r="151" spans="1:21" ht="13.2">
      <c r="A151" s="152">
        <v>142</v>
      </c>
      <c r="B151" s="151">
        <v>58553635</v>
      </c>
      <c r="C151" s="151">
        <v>58553635</v>
      </c>
      <c r="D151" s="151">
        <v>26182385.434874695</v>
      </c>
      <c r="E151" s="151">
        <v>43569451.702126086</v>
      </c>
      <c r="F151" s="151">
        <v>25137931.091050576</v>
      </c>
      <c r="G151" s="151">
        <v>15000000</v>
      </c>
      <c r="H151" s="151">
        <v>109889768.22805136</v>
      </c>
      <c r="I151" s="151">
        <v>117107270</v>
      </c>
      <c r="J151" s="151">
        <v>7217501.7719486356</v>
      </c>
      <c r="K151" s="151"/>
      <c r="N151" s="105">
        <v>127</v>
      </c>
      <c r="O151" s="107">
        <v>6535636.1467113346</v>
      </c>
      <c r="P151" s="107">
        <v>21715966.528588429</v>
      </c>
      <c r="Q151" s="107">
        <v>5355904.723739326</v>
      </c>
      <c r="R151" s="107">
        <v>2314644.5277740657</v>
      </c>
      <c r="S151" s="107">
        <v>467321.02319052815</v>
      </c>
      <c r="T151" s="107">
        <v>-5174383.3556775004</v>
      </c>
      <c r="U151" s="107">
        <v>3451520.9116256535</v>
      </c>
    </row>
    <row r="152" spans="1:21" ht="13.2">
      <c r="A152" s="152">
        <v>143</v>
      </c>
      <c r="B152" s="151">
        <v>58111285.5</v>
      </c>
      <c r="C152" s="151">
        <v>58111285.5</v>
      </c>
      <c r="D152" s="151">
        <v>24431868.868990634</v>
      </c>
      <c r="E152" s="151">
        <v>43508885.750022605</v>
      </c>
      <c r="F152" s="151">
        <v>27744885.816676378</v>
      </c>
      <c r="G152" s="151">
        <v>15000000</v>
      </c>
      <c r="H152" s="151">
        <v>110685640.43568961</v>
      </c>
      <c r="I152" s="151">
        <v>116222571</v>
      </c>
      <c r="J152" s="151">
        <v>5536930.5643103868</v>
      </c>
      <c r="K152" s="151"/>
      <c r="N152" s="105">
        <v>128</v>
      </c>
      <c r="O152" s="107">
        <v>6804862.2482765317</v>
      </c>
      <c r="P152" s="107">
        <v>5475024.7394196838</v>
      </c>
      <c r="Q152" s="107">
        <v>4554065.3721516132</v>
      </c>
      <c r="R152" s="107">
        <v>7002742.9035863578</v>
      </c>
      <c r="S152" s="107">
        <v>2997402.0831153095</v>
      </c>
      <c r="T152" s="107">
        <v>10033547.714536667</v>
      </c>
      <c r="U152" s="107">
        <v>-4504500.9651735872</v>
      </c>
    </row>
    <row r="153" spans="1:21" ht="13.2">
      <c r="A153" s="152">
        <v>144</v>
      </c>
      <c r="B153" s="151">
        <v>56520785.5</v>
      </c>
      <c r="C153" s="151">
        <v>56520785.5</v>
      </c>
      <c r="D153" s="151">
        <v>25929204.129366878</v>
      </c>
      <c r="E153" s="151">
        <v>43509870.218842454</v>
      </c>
      <c r="F153" s="151">
        <v>26894141.576943442</v>
      </c>
      <c r="G153" s="151">
        <v>15000000</v>
      </c>
      <c r="H153" s="151">
        <v>111333215.92515278</v>
      </c>
      <c r="I153" s="151">
        <v>113041571</v>
      </c>
      <c r="J153" s="151">
        <v>1708355.0748472214</v>
      </c>
      <c r="K153" s="151"/>
      <c r="N153" s="105">
        <v>129</v>
      </c>
      <c r="O153" s="107">
        <v>19655220.380018398</v>
      </c>
      <c r="P153" s="107">
        <v>7300127.3538788557</v>
      </c>
      <c r="Q153" s="107">
        <v>6157371.3379836529</v>
      </c>
      <c r="R153" s="107">
        <v>3481213.820473209</v>
      </c>
      <c r="S153" s="107">
        <v>-414064.85087032616</v>
      </c>
      <c r="T153" s="107">
        <v>-2181631.7679704279</v>
      </c>
      <c r="U153" s="107">
        <v>286731.26926763356</v>
      </c>
    </row>
    <row r="154" spans="1:21" ht="13.2">
      <c r="A154" s="152">
        <v>145</v>
      </c>
      <c r="B154" s="151">
        <v>59185747</v>
      </c>
      <c r="C154" s="151">
        <v>59185747</v>
      </c>
      <c r="D154" s="151">
        <v>22035194.356892873</v>
      </c>
      <c r="E154" s="151">
        <v>44119458.383868396</v>
      </c>
      <c r="F154" s="151">
        <v>26477886.071525287</v>
      </c>
      <c r="G154" s="151">
        <v>15000000</v>
      </c>
      <c r="H154" s="151">
        <v>107632538.81228656</v>
      </c>
      <c r="I154" s="151">
        <v>118371494</v>
      </c>
      <c r="J154" s="151">
        <v>10738955.187713444</v>
      </c>
      <c r="K154" s="151"/>
      <c r="N154" s="105">
        <v>130</v>
      </c>
      <c r="O154" s="107">
        <v>6354594.3214629292</v>
      </c>
      <c r="P154" s="107">
        <v>14291622.85646154</v>
      </c>
      <c r="Q154" s="107">
        <v>5167317.2906836867</v>
      </c>
      <c r="R154" s="107">
        <v>6957491.6578503251</v>
      </c>
      <c r="S154" s="107">
        <v>417198.19897505641</v>
      </c>
      <c r="T154" s="107">
        <v>12984266.66374287</v>
      </c>
      <c r="U154" s="107">
        <v>5517324.5023343712</v>
      </c>
    </row>
    <row r="155" spans="1:21" ht="13.2">
      <c r="A155" s="152">
        <v>146</v>
      </c>
      <c r="B155" s="151">
        <v>56548995.5</v>
      </c>
      <c r="C155" s="151">
        <v>56548995.5</v>
      </c>
      <c r="D155" s="151">
        <v>22440576.300572935</v>
      </c>
      <c r="E155" s="151">
        <v>42370152.071599096</v>
      </c>
      <c r="F155" s="151">
        <v>25306989.275640287</v>
      </c>
      <c r="G155" s="151">
        <v>15000000</v>
      </c>
      <c r="H155" s="151">
        <v>105117717.64781231</v>
      </c>
      <c r="I155" s="151">
        <v>113097991</v>
      </c>
      <c r="J155" s="151">
        <v>7980273.3521876931</v>
      </c>
      <c r="K155" s="151"/>
      <c r="N155" s="105">
        <v>131</v>
      </c>
      <c r="O155" s="107">
        <v>5910185.4135513902</v>
      </c>
      <c r="P155" s="107">
        <v>7418149.7910176516</v>
      </c>
      <c r="Q155" s="107">
        <v>2103181.4999398589</v>
      </c>
      <c r="R155" s="107">
        <v>2458488.4366428852</v>
      </c>
      <c r="S155" s="107">
        <v>-13940187.753833234</v>
      </c>
      <c r="T155" s="107">
        <v>-8322791.4671432525</v>
      </c>
      <c r="U155" s="107">
        <v>-6930322.4489514828</v>
      </c>
    </row>
    <row r="156" spans="1:21" ht="13.2">
      <c r="A156" s="152">
        <v>147</v>
      </c>
      <c r="B156" s="151">
        <v>57015364.5</v>
      </c>
      <c r="C156" s="151">
        <v>57015364.5</v>
      </c>
      <c r="D156" s="151">
        <v>24726051.802404135</v>
      </c>
      <c r="E156" s="151">
        <v>42480626.830057673</v>
      </c>
      <c r="F156" s="151">
        <v>27445442.984441075</v>
      </c>
      <c r="G156" s="151">
        <v>15000000</v>
      </c>
      <c r="H156" s="151">
        <v>109652121.61690289</v>
      </c>
      <c r="I156" s="151">
        <v>114030729</v>
      </c>
      <c r="J156" s="151">
        <v>4378607.3830971122</v>
      </c>
      <c r="K156" s="151"/>
      <c r="N156" s="105">
        <v>132</v>
      </c>
      <c r="O156" s="107">
        <v>11346107.868881613</v>
      </c>
      <c r="P156" s="107">
        <v>10507049.638938561</v>
      </c>
      <c r="Q156" s="107">
        <v>12439989.636782289</v>
      </c>
      <c r="R156" s="107">
        <v>2025496.912902832</v>
      </c>
      <c r="S156" s="107">
        <v>-2629213.655086264</v>
      </c>
      <c r="T156" s="107">
        <v>-2856046.4722731858</v>
      </c>
      <c r="U156" s="107">
        <v>141342.72377373278</v>
      </c>
    </row>
    <row r="157" spans="1:21" ht="13.2">
      <c r="A157" s="152">
        <v>148</v>
      </c>
      <c r="B157" s="151">
        <v>59799554.5</v>
      </c>
      <c r="C157" s="151">
        <v>59799554.5</v>
      </c>
      <c r="D157" s="151">
        <v>25389283.07223006</v>
      </c>
      <c r="E157" s="151">
        <v>43204577.411112219</v>
      </c>
      <c r="F157" s="151">
        <v>26043661.725594174</v>
      </c>
      <c r="G157" s="151">
        <v>15000000</v>
      </c>
      <c r="H157" s="151">
        <v>109637522.20893645</v>
      </c>
      <c r="I157" s="151">
        <v>119599109</v>
      </c>
      <c r="J157" s="151">
        <v>9961586.7910635471</v>
      </c>
      <c r="K157" s="151"/>
      <c r="N157" s="105">
        <v>133</v>
      </c>
      <c r="O157" s="107">
        <v>10878125.603843957</v>
      </c>
      <c r="P157" s="107">
        <v>7984442.72701855</v>
      </c>
      <c r="Q157" s="107">
        <v>13275067.683329403</v>
      </c>
      <c r="R157" s="107">
        <v>11511601.972083718</v>
      </c>
      <c r="S157" s="107">
        <v>951866.23164986074</v>
      </c>
      <c r="T157" s="107">
        <v>-1892734.0789812952</v>
      </c>
      <c r="U157" s="107">
        <v>272502.42761707306</v>
      </c>
    </row>
    <row r="158" spans="1:21" ht="13.2">
      <c r="A158" s="152">
        <v>149</v>
      </c>
      <c r="B158" s="151">
        <v>57594653</v>
      </c>
      <c r="C158" s="151">
        <v>57594653</v>
      </c>
      <c r="D158" s="151">
        <v>24976457.94676549</v>
      </c>
      <c r="E158" s="151">
        <v>42695078.462625481</v>
      </c>
      <c r="F158" s="151">
        <v>28639464.73509397</v>
      </c>
      <c r="G158" s="151">
        <v>15000000</v>
      </c>
      <c r="H158" s="151">
        <v>111311001.14448494</v>
      </c>
      <c r="I158" s="151">
        <v>115189306</v>
      </c>
      <c r="J158" s="151">
        <v>3878304.8555150628</v>
      </c>
      <c r="K158" s="151"/>
      <c r="N158" s="105">
        <v>134</v>
      </c>
      <c r="O158" s="107">
        <v>-52091.209965452552</v>
      </c>
      <c r="P158" s="107">
        <v>12345382.398047492</v>
      </c>
      <c r="Q158" s="107">
        <v>7270366.1026937962</v>
      </c>
      <c r="R158" s="107">
        <v>14466423.236270905</v>
      </c>
      <c r="S158" s="107">
        <v>-4306186.8344894499</v>
      </c>
      <c r="T158" s="107">
        <v>-2884437.5594512373</v>
      </c>
      <c r="U158" s="107">
        <v>6157522.0187708735</v>
      </c>
    </row>
    <row r="159" spans="1:21" ht="13.2">
      <c r="A159" s="152">
        <v>150</v>
      </c>
      <c r="B159" s="151">
        <v>60947994.5</v>
      </c>
      <c r="C159" s="151">
        <v>60947994.5</v>
      </c>
      <c r="D159" s="151">
        <v>22978016.297114912</v>
      </c>
      <c r="E159" s="151">
        <v>43200291.96265208</v>
      </c>
      <c r="F159" s="151">
        <v>27632403.438740518</v>
      </c>
      <c r="G159" s="151">
        <v>15000000</v>
      </c>
      <c r="H159" s="151">
        <v>108810711.69850752</v>
      </c>
      <c r="I159" s="151">
        <v>121895989</v>
      </c>
      <c r="J159" s="151">
        <v>13085277.301492482</v>
      </c>
      <c r="K159" s="151"/>
      <c r="N159" s="105">
        <v>135</v>
      </c>
      <c r="O159" s="107">
        <v>11483616.938550755</v>
      </c>
      <c r="P159" s="107">
        <v>6979110.080821842</v>
      </c>
      <c r="Q159" s="107">
        <v>8227602.958857581</v>
      </c>
      <c r="R159" s="107">
        <v>3929177.0516997278</v>
      </c>
      <c r="S159" s="107">
        <v>-10467986.388391912</v>
      </c>
      <c r="T159" s="107">
        <v>-20659.927080109715</v>
      </c>
      <c r="U159" s="107">
        <v>-1865057.7374515533</v>
      </c>
    </row>
    <row r="160" spans="1:21" ht="13.2">
      <c r="A160" s="152">
        <v>151</v>
      </c>
      <c r="B160" s="151">
        <v>61298722</v>
      </c>
      <c r="C160" s="151">
        <v>61298722</v>
      </c>
      <c r="D160" s="151">
        <v>24564515.122955818</v>
      </c>
      <c r="E160" s="151">
        <v>42331078.010081641</v>
      </c>
      <c r="F160" s="151">
        <v>28664937.660676781</v>
      </c>
      <c r="G160" s="151">
        <v>15000000</v>
      </c>
      <c r="H160" s="151">
        <v>110560530.79371424</v>
      </c>
      <c r="I160" s="151">
        <v>122597444</v>
      </c>
      <c r="J160" s="151">
        <v>12036913.20628576</v>
      </c>
      <c r="K160" s="151"/>
      <c r="N160" s="105">
        <v>136</v>
      </c>
      <c r="O160" s="107">
        <v>6873555.141237855</v>
      </c>
      <c r="P160" s="107">
        <v>2968312.3156939596</v>
      </c>
      <c r="Q160" s="107">
        <v>5461374.675920248</v>
      </c>
      <c r="R160" s="107">
        <v>3059960.2429285645</v>
      </c>
      <c r="S160" s="107">
        <v>-4902028.8056712151</v>
      </c>
      <c r="T160" s="107">
        <v>2947099.1435253024</v>
      </c>
      <c r="U160" s="107">
        <v>5555522.7215376347</v>
      </c>
    </row>
    <row r="161" spans="1:21" ht="13.2">
      <c r="A161" s="152">
        <v>152</v>
      </c>
      <c r="B161" s="151">
        <v>59872604</v>
      </c>
      <c r="C161" s="151">
        <v>59872604</v>
      </c>
      <c r="D161" s="151">
        <v>23768637.599164713</v>
      </c>
      <c r="E161" s="151">
        <v>44113434.365788922</v>
      </c>
      <c r="F161" s="151">
        <v>25779532.288941607</v>
      </c>
      <c r="G161" s="151">
        <v>15000000</v>
      </c>
      <c r="H161" s="151">
        <v>108661604.25389524</v>
      </c>
      <c r="I161" s="151">
        <v>119745208</v>
      </c>
      <c r="J161" s="151">
        <v>11083603.746104762</v>
      </c>
      <c r="K161" s="151"/>
      <c r="N161" s="105">
        <v>137</v>
      </c>
      <c r="O161" s="107">
        <v>14632797.60666655</v>
      </c>
      <c r="P161" s="107">
        <v>7529240.3410060555</v>
      </c>
      <c r="Q161" s="107">
        <v>4594352.0333069712</v>
      </c>
      <c r="R161" s="107">
        <v>-1124019.9576842189</v>
      </c>
      <c r="S161" s="107">
        <v>9296131.3059254438</v>
      </c>
      <c r="T161" s="107">
        <v>-5276949.1902634799</v>
      </c>
      <c r="U161" s="107">
        <v>2528032.5152385831</v>
      </c>
    </row>
    <row r="162" spans="1:21" ht="13.2">
      <c r="A162" s="152">
        <v>153</v>
      </c>
      <c r="B162" s="151">
        <v>56909727.5</v>
      </c>
      <c r="C162" s="151">
        <v>56909727.5</v>
      </c>
      <c r="D162" s="151">
        <v>25246418.475333899</v>
      </c>
      <c r="E162" s="151">
        <v>41223429.071604021</v>
      </c>
      <c r="F162" s="151">
        <v>29330236.690716695</v>
      </c>
      <c r="G162" s="151">
        <v>15000000</v>
      </c>
      <c r="H162" s="151">
        <v>110800084.23765461</v>
      </c>
      <c r="I162" s="151">
        <v>113819455</v>
      </c>
      <c r="J162" s="151">
        <v>3019370.7623453885</v>
      </c>
      <c r="K162" s="151"/>
      <c r="N162" s="105">
        <v>138</v>
      </c>
      <c r="O162" s="107">
        <v>10240404.875856102</v>
      </c>
      <c r="P162" s="107">
        <v>-536233.82391947508</v>
      </c>
      <c r="Q162" s="107">
        <v>10094386.8654553</v>
      </c>
      <c r="R162" s="107">
        <v>8800652.5319823474</v>
      </c>
      <c r="S162" s="107">
        <v>4829444.5283822566</v>
      </c>
      <c r="T162" s="107">
        <v>-1561217.1149692833</v>
      </c>
      <c r="U162" s="107">
        <v>-2233803.5173090994</v>
      </c>
    </row>
    <row r="163" spans="1:21" ht="13.2">
      <c r="A163" s="152">
        <v>154</v>
      </c>
      <c r="B163" s="151">
        <v>57062045</v>
      </c>
      <c r="C163" s="151">
        <v>57062045</v>
      </c>
      <c r="D163" s="151">
        <v>24844399.893903572</v>
      </c>
      <c r="E163" s="151">
        <v>41299366.825292975</v>
      </c>
      <c r="F163" s="151">
        <v>29054933.330249023</v>
      </c>
      <c r="G163" s="151">
        <v>15000000</v>
      </c>
      <c r="H163" s="151">
        <v>110198700.04944557</v>
      </c>
      <c r="I163" s="151">
        <v>114124090</v>
      </c>
      <c r="J163" s="151">
        <v>3925389.9505544305</v>
      </c>
      <c r="K163" s="151"/>
      <c r="N163" s="105">
        <v>139</v>
      </c>
      <c r="O163" s="107">
        <v>17794540.731004179</v>
      </c>
      <c r="P163" s="107">
        <v>9774985.5934491605</v>
      </c>
      <c r="Q163" s="107">
        <v>-485608.06240524352</v>
      </c>
      <c r="R163" s="107">
        <v>2725931.2623916715</v>
      </c>
      <c r="S163" s="107">
        <v>-4925553.7382307798</v>
      </c>
      <c r="T163" s="107">
        <v>5683414.2379732132</v>
      </c>
      <c r="U163" s="107">
        <v>-191353.91590361297</v>
      </c>
    </row>
    <row r="164" spans="1:21" ht="13.2">
      <c r="A164" s="152">
        <v>155</v>
      </c>
      <c r="B164" s="151">
        <v>57699230.5</v>
      </c>
      <c r="C164" s="151">
        <v>57699230.5</v>
      </c>
      <c r="D164" s="151">
        <v>24058152.511940178</v>
      </c>
      <c r="E164" s="151">
        <v>44336975.407894179</v>
      </c>
      <c r="F164" s="151">
        <v>26265875.661660843</v>
      </c>
      <c r="G164" s="151">
        <v>15000000</v>
      </c>
      <c r="H164" s="151">
        <v>109661003.5814952</v>
      </c>
      <c r="I164" s="151">
        <v>115398461</v>
      </c>
      <c r="J164" s="151">
        <v>5737457.4185048044</v>
      </c>
      <c r="K164" s="151"/>
      <c r="N164" s="105">
        <v>140</v>
      </c>
      <c r="O164" s="107">
        <v>17629225.018641636</v>
      </c>
      <c r="P164" s="107">
        <v>5919273.4305871725</v>
      </c>
      <c r="Q164" s="107">
        <v>8501227.7616045773</v>
      </c>
      <c r="R164" s="107">
        <v>9056855.9944645613</v>
      </c>
      <c r="S164" s="107">
        <v>1463988.4272593856</v>
      </c>
      <c r="T164" s="107">
        <v>6932231.5199062824</v>
      </c>
      <c r="U164" s="107">
        <v>-7916982.0768030137</v>
      </c>
    </row>
    <row r="165" spans="1:21" ht="13.2">
      <c r="A165" s="152">
        <v>156</v>
      </c>
      <c r="B165" s="151">
        <v>57849495</v>
      </c>
      <c r="C165" s="151">
        <v>57849495</v>
      </c>
      <c r="D165" s="151">
        <v>24578519.184869934</v>
      </c>
      <c r="E165" s="151">
        <v>43850645.418138355</v>
      </c>
      <c r="F165" s="151">
        <v>28067811.333588116</v>
      </c>
      <c r="G165" s="151">
        <v>15000000</v>
      </c>
      <c r="H165" s="151">
        <v>111496975.93659639</v>
      </c>
      <c r="I165" s="151">
        <v>115698990</v>
      </c>
      <c r="J165" s="151">
        <v>4202014.0634036064</v>
      </c>
      <c r="K165" s="151"/>
      <c r="N165" s="105">
        <v>141</v>
      </c>
      <c r="O165" s="107">
        <v>20009578.021017388</v>
      </c>
      <c r="P165" s="107">
        <v>5339604.3887507617</v>
      </c>
      <c r="Q165" s="107">
        <v>1908212.6715252995</v>
      </c>
      <c r="R165" s="107">
        <v>2371014.7392989993</v>
      </c>
      <c r="S165" s="107">
        <v>6142347.9676899761</v>
      </c>
      <c r="T165" s="107">
        <v>-11623925.097925961</v>
      </c>
      <c r="U165" s="107">
        <v>-13949648.09535253</v>
      </c>
    </row>
    <row r="166" spans="1:21" ht="13.2">
      <c r="A166" s="152">
        <v>157</v>
      </c>
      <c r="B166" s="151">
        <v>56109378.5</v>
      </c>
      <c r="C166" s="151">
        <v>56109378.5</v>
      </c>
      <c r="D166" s="151">
        <v>23771412.760311179</v>
      </c>
      <c r="E166" s="151">
        <v>43224066.230159685</v>
      </c>
      <c r="F166" s="151">
        <v>25862169.318535455</v>
      </c>
      <c r="G166" s="151">
        <v>15000000</v>
      </c>
      <c r="H166" s="151">
        <v>107857648.30900632</v>
      </c>
      <c r="I166" s="151">
        <v>112218757</v>
      </c>
      <c r="J166" s="151">
        <v>4361108.6909936816</v>
      </c>
      <c r="K166" s="151"/>
      <c r="N166" s="105">
        <v>142</v>
      </c>
      <c r="O166" s="107">
        <v>8929201.6121863872</v>
      </c>
      <c r="P166" s="107">
        <v>-1083417.9371291399</v>
      </c>
      <c r="Q166" s="107">
        <v>6743941.7058495134</v>
      </c>
      <c r="R166" s="107">
        <v>11896650.134690955</v>
      </c>
      <c r="S166" s="107">
        <v>6181738.5059300661</v>
      </c>
      <c r="T166" s="107">
        <v>4603440.3903854638</v>
      </c>
      <c r="U166" s="107">
        <v>-11454187.90486978</v>
      </c>
    </row>
    <row r="167" spans="1:21" ht="13.2">
      <c r="A167" s="152">
        <v>158</v>
      </c>
      <c r="B167" s="151">
        <v>58888163</v>
      </c>
      <c r="C167" s="151">
        <v>58888163</v>
      </c>
      <c r="D167" s="151">
        <v>24299222.61502545</v>
      </c>
      <c r="E167" s="151">
        <v>43112765.332247019</v>
      </c>
      <c r="F167" s="151">
        <v>27809607.313285545</v>
      </c>
      <c r="G167" s="151">
        <v>15000000</v>
      </c>
      <c r="H167" s="151">
        <v>110221595.26055801</v>
      </c>
      <c r="I167" s="151">
        <v>117776326</v>
      </c>
      <c r="J167" s="151">
        <v>7554730.7394419909</v>
      </c>
      <c r="K167" s="151"/>
      <c r="N167" s="105">
        <v>143</v>
      </c>
      <c r="O167" s="107">
        <v>11687073.096021205</v>
      </c>
      <c r="P167" s="107">
        <v>11794263.876676068</v>
      </c>
      <c r="Q167" s="107">
        <v>8437791.6288347244</v>
      </c>
      <c r="R167" s="107">
        <v>4083825.9165396094</v>
      </c>
      <c r="S167" s="107">
        <v>4163755.788998723</v>
      </c>
      <c r="T167" s="107">
        <v>-7537556.0988605022</v>
      </c>
      <c r="U167" s="107">
        <v>-1366674.2564264238</v>
      </c>
    </row>
    <row r="168" spans="1:21" ht="13.2">
      <c r="A168" s="152">
        <v>159</v>
      </c>
      <c r="B168" s="151">
        <v>57559411</v>
      </c>
      <c r="C168" s="151">
        <v>57559411</v>
      </c>
      <c r="D168" s="151">
        <v>25649613.458970755</v>
      </c>
      <c r="E168" s="151">
        <v>42116098.026329175</v>
      </c>
      <c r="F168" s="151">
        <v>26846204.306431424</v>
      </c>
      <c r="G168" s="151">
        <v>15000000</v>
      </c>
      <c r="H168" s="151">
        <v>109611915.79173136</v>
      </c>
      <c r="I168" s="151">
        <v>115118822</v>
      </c>
      <c r="J168" s="151">
        <v>5506906.2082686424</v>
      </c>
      <c r="K168" s="151"/>
      <c r="N168" s="105">
        <v>144</v>
      </c>
      <c r="O168" s="107">
        <v>7139982.1388314068</v>
      </c>
      <c r="P168" s="107">
        <v>1970101.2114848793</v>
      </c>
      <c r="Q168" s="107">
        <v>4150862.1569119692</v>
      </c>
      <c r="R168" s="107">
        <v>5871763.0654004067</v>
      </c>
      <c r="S168" s="107">
        <v>2894948.7785375267</v>
      </c>
      <c r="T168" s="107">
        <v>4698855.3250578344</v>
      </c>
      <c r="U168" s="107">
        <v>270470.15022730827</v>
      </c>
    </row>
    <row r="169" spans="1:21" ht="13.2">
      <c r="A169" s="152">
        <v>160</v>
      </c>
      <c r="B169" s="151">
        <v>54598795</v>
      </c>
      <c r="C169" s="151">
        <v>54598795</v>
      </c>
      <c r="D169" s="151">
        <v>25779484.55178947</v>
      </c>
      <c r="E169" s="151">
        <v>43973455.67094133</v>
      </c>
      <c r="F169" s="151">
        <v>26898599.678650346</v>
      </c>
      <c r="G169" s="151">
        <v>15000000</v>
      </c>
      <c r="H169" s="151">
        <v>111651539.90138115</v>
      </c>
      <c r="I169" s="151">
        <v>109197590</v>
      </c>
      <c r="J169" s="151">
        <v>-2453949.9013811499</v>
      </c>
      <c r="K169" s="151"/>
      <c r="N169" s="105">
        <v>145</v>
      </c>
      <c r="O169" s="107">
        <v>10943621.743930697</v>
      </c>
      <c r="P169" s="107">
        <v>15605199.048004746</v>
      </c>
      <c r="Q169" s="107">
        <v>921922.85180528462</v>
      </c>
      <c r="R169" s="107">
        <v>3179250.3540869504</v>
      </c>
      <c r="S169" s="107">
        <v>-645183.96322090924</v>
      </c>
      <c r="T169" s="107">
        <v>-2822678.9664902389</v>
      </c>
      <c r="U169" s="107">
        <v>3870981.8504048586</v>
      </c>
    </row>
    <row r="170" spans="1:21" ht="13.2">
      <c r="A170" s="152">
        <v>161</v>
      </c>
      <c r="B170" s="151">
        <v>59131988.5</v>
      </c>
      <c r="C170" s="151">
        <v>59131988.5</v>
      </c>
      <c r="D170" s="151">
        <v>24446755.232559651</v>
      </c>
      <c r="E170" s="151">
        <v>44228955.623386823</v>
      </c>
      <c r="F170" s="151">
        <v>25881501.712169331</v>
      </c>
      <c r="G170" s="151">
        <v>15000000</v>
      </c>
      <c r="H170" s="151">
        <v>109557212.56811582</v>
      </c>
      <c r="I170" s="151">
        <v>118263977</v>
      </c>
      <c r="J170" s="151">
        <v>8706764.4318841845</v>
      </c>
      <c r="K170" s="151"/>
      <c r="N170" s="105">
        <v>146</v>
      </c>
      <c r="O170" s="107">
        <v>11002695.467609435</v>
      </c>
      <c r="P170" s="107">
        <v>17519609.78169243</v>
      </c>
      <c r="Q170" s="107">
        <v>3943565.1363686472</v>
      </c>
      <c r="R170" s="107">
        <v>8422219.6023955345</v>
      </c>
      <c r="S170" s="107">
        <v>-5155320.8599784672</v>
      </c>
      <c r="T170" s="107">
        <v>-1659472.888173908</v>
      </c>
      <c r="U170" s="107">
        <v>5345142.0819959044</v>
      </c>
    </row>
    <row r="171" spans="1:21" ht="13.2">
      <c r="A171" s="152">
        <v>162</v>
      </c>
      <c r="B171" s="151">
        <v>56083456.5</v>
      </c>
      <c r="C171" s="151">
        <v>56083456.5</v>
      </c>
      <c r="D171" s="151">
        <v>24044148.450026058</v>
      </c>
      <c r="E171" s="151">
        <v>42947520.447470874</v>
      </c>
      <c r="F171" s="151">
        <v>26426165.49389312</v>
      </c>
      <c r="G171" s="151">
        <v>15000000</v>
      </c>
      <c r="H171" s="151">
        <v>108417834.39139006</v>
      </c>
      <c r="I171" s="151">
        <v>112166913</v>
      </c>
      <c r="J171" s="151">
        <v>3749078.6086099446</v>
      </c>
      <c r="K171" s="151"/>
      <c r="N171" s="105">
        <v>147</v>
      </c>
      <c r="O171" s="107">
        <v>1160082.926617682</v>
      </c>
      <c r="P171" s="107">
        <v>759560.02796173096</v>
      </c>
      <c r="Q171" s="107">
        <v>9548642.7593574822</v>
      </c>
      <c r="R171" s="107">
        <v>1254734.5038930774</v>
      </c>
      <c r="S171" s="107">
        <v>2176177.698168546</v>
      </c>
      <c r="T171" s="107">
        <v>-4529298.9505117238</v>
      </c>
      <c r="U171" s="107">
        <v>-6534421.0927231163</v>
      </c>
    </row>
    <row r="172" spans="1:21" ht="13.2">
      <c r="A172" s="152">
        <v>163</v>
      </c>
      <c r="B172" s="151">
        <v>55632092</v>
      </c>
      <c r="C172" s="151">
        <v>55632092</v>
      </c>
      <c r="D172" s="151">
        <v>23640659.36583757</v>
      </c>
      <c r="E172" s="151">
        <v>42302226.513637029</v>
      </c>
      <c r="F172" s="151">
        <v>28991974.639248591</v>
      </c>
      <c r="G172" s="151">
        <v>15000000</v>
      </c>
      <c r="H172" s="151">
        <v>109934860.51872319</v>
      </c>
      <c r="I172" s="151">
        <v>111264184</v>
      </c>
      <c r="J172" s="151">
        <v>1329323.4812768102</v>
      </c>
      <c r="K172" s="151"/>
      <c r="N172" s="105">
        <v>148</v>
      </c>
      <c r="O172" s="107">
        <v>16158739.076519981</v>
      </c>
      <c r="P172" s="107">
        <v>4974042.3646015823</v>
      </c>
      <c r="Q172" s="107">
        <v>13112881.161105856</v>
      </c>
      <c r="R172" s="107">
        <v>7201027.342705518</v>
      </c>
      <c r="S172" s="107">
        <v>5256529.7820876539</v>
      </c>
      <c r="T172" s="107">
        <v>8081387.5623512566</v>
      </c>
      <c r="U172" s="107">
        <v>2056888.0318135917</v>
      </c>
    </row>
    <row r="173" spans="1:21" ht="13.2">
      <c r="A173" s="152">
        <v>164</v>
      </c>
      <c r="B173" s="151">
        <v>54547532.5</v>
      </c>
      <c r="C173" s="151">
        <v>54547532.5</v>
      </c>
      <c r="D173" s="151">
        <v>24171538.482249938</v>
      </c>
      <c r="E173" s="151">
        <v>42396144.905321747</v>
      </c>
      <c r="F173" s="151">
        <v>26017466.633358143</v>
      </c>
      <c r="G173" s="151">
        <v>15000000</v>
      </c>
      <c r="H173" s="151">
        <v>107585150.02092983</v>
      </c>
      <c r="I173" s="151">
        <v>109095065</v>
      </c>
      <c r="J173" s="151">
        <v>1509914.9790701717</v>
      </c>
      <c r="K173" s="151"/>
      <c r="N173" s="105">
        <v>149</v>
      </c>
      <c r="O173" s="107">
        <v>11108588.696362212</v>
      </c>
      <c r="P173" s="107">
        <v>12802954.510174319</v>
      </c>
      <c r="Q173" s="107">
        <v>7576332.8567433655</v>
      </c>
      <c r="R173" s="107">
        <v>5459200.648054108</v>
      </c>
      <c r="S173" s="107">
        <v>7991122.8171260655</v>
      </c>
      <c r="T173" s="107">
        <v>-14194496.733696848</v>
      </c>
      <c r="U173" s="107">
        <v>-8305744.5566290915</v>
      </c>
    </row>
    <row r="174" spans="1:21" ht="13.2">
      <c r="A174" s="152">
        <v>165</v>
      </c>
      <c r="B174" s="151">
        <v>63436022</v>
      </c>
      <c r="C174" s="151">
        <v>63436022</v>
      </c>
      <c r="D174" s="151">
        <v>23896615.832491856</v>
      </c>
      <c r="E174" s="151">
        <v>42819962.719852284</v>
      </c>
      <c r="F174" s="151">
        <v>29636287.768747851</v>
      </c>
      <c r="G174" s="151">
        <v>15000000</v>
      </c>
      <c r="H174" s="151">
        <v>111352866.32109199</v>
      </c>
      <c r="I174" s="151">
        <v>126872044</v>
      </c>
      <c r="J174" s="151">
        <v>15519177.678908005</v>
      </c>
      <c r="K174" s="151"/>
      <c r="N174" s="105">
        <v>150</v>
      </c>
      <c r="O174" s="107">
        <v>14866255.265090361</v>
      </c>
      <c r="P174" s="107">
        <v>14101653.512250453</v>
      </c>
      <c r="Q174" s="107">
        <v>8396293.9423573613</v>
      </c>
      <c r="R174" s="107">
        <v>-9069519.7901087552</v>
      </c>
      <c r="S174" s="107">
        <v>6947412.5543198138</v>
      </c>
      <c r="T174" s="107">
        <v>5167207.3829970062</v>
      </c>
      <c r="U174" s="107">
        <v>-3360028.8646150976</v>
      </c>
    </row>
    <row r="175" spans="1:21" ht="13.2">
      <c r="A175" s="152">
        <v>166</v>
      </c>
      <c r="B175" s="151">
        <v>52873903.5</v>
      </c>
      <c r="C175" s="151">
        <v>52873903.5</v>
      </c>
      <c r="D175" s="151">
        <v>25518860.064497139</v>
      </c>
      <c r="E175" s="151">
        <v>41867121.465030931</v>
      </c>
      <c r="F175" s="151">
        <v>25775383.502020393</v>
      </c>
      <c r="G175" s="151">
        <v>15000000</v>
      </c>
      <c r="H175" s="151">
        <v>108161365.03154846</v>
      </c>
      <c r="I175" s="151">
        <v>105747807</v>
      </c>
      <c r="J175" s="151">
        <v>-2413558.0315484554</v>
      </c>
      <c r="K175" s="151"/>
      <c r="N175" s="105">
        <v>151</v>
      </c>
      <c r="O175" s="107">
        <v>2183388.7459369898</v>
      </c>
      <c r="P175" s="107">
        <v>8207125.0714770555</v>
      </c>
      <c r="Q175" s="107">
        <v>283108.36910752952</v>
      </c>
      <c r="R175" s="107">
        <v>2214622.1355651468</v>
      </c>
      <c r="S175" s="107">
        <v>4453649.5224900842</v>
      </c>
      <c r="T175" s="107">
        <v>-3837789.9056611359</v>
      </c>
      <c r="U175" s="107">
        <v>6005619.3393360078</v>
      </c>
    </row>
    <row r="176" spans="1:21" ht="13.2">
      <c r="A176" s="152">
        <v>167</v>
      </c>
      <c r="B176" s="151">
        <v>53756864.5</v>
      </c>
      <c r="C176" s="151">
        <v>53756864.5</v>
      </c>
      <c r="D176" s="151">
        <v>25248899.535928734</v>
      </c>
      <c r="E176" s="151">
        <v>42054964.705990873</v>
      </c>
      <c r="F176" s="151">
        <v>27902383.402412675</v>
      </c>
      <c r="G176" s="151">
        <v>15000000</v>
      </c>
      <c r="H176" s="151">
        <v>110206247.64433229</v>
      </c>
      <c r="I176" s="151">
        <v>107513729</v>
      </c>
      <c r="J176" s="151">
        <v>-2692518.6443322897</v>
      </c>
      <c r="K176" s="151"/>
      <c r="N176" s="105">
        <v>152</v>
      </c>
      <c r="O176" s="107">
        <v>16173560.67277433</v>
      </c>
      <c r="P176" s="107">
        <v>12434414.379796907</v>
      </c>
      <c r="Q176" s="107">
        <v>14230052.070210084</v>
      </c>
      <c r="R176" s="107">
        <v>7220353.6400726885</v>
      </c>
      <c r="S176" s="107">
        <v>-5277515.9728715569</v>
      </c>
      <c r="T176" s="107">
        <v>969937.68611203134</v>
      </c>
      <c r="U176" s="107">
        <v>-11104149.727988601</v>
      </c>
    </row>
    <row r="177" spans="1:21" ht="13.2">
      <c r="A177" s="152">
        <v>168</v>
      </c>
      <c r="B177" s="151">
        <v>59674700.5</v>
      </c>
      <c r="C177" s="151">
        <v>59674700.5</v>
      </c>
      <c r="D177" s="151">
        <v>23911502.196060874</v>
      </c>
      <c r="E177" s="151">
        <v>42758187.809310392</v>
      </c>
      <c r="F177" s="151">
        <v>25975846.755970586</v>
      </c>
      <c r="G177" s="151">
        <v>15000000</v>
      </c>
      <c r="H177" s="151">
        <v>107645536.76134185</v>
      </c>
      <c r="I177" s="151">
        <v>119349401</v>
      </c>
      <c r="J177" s="151">
        <v>11703864.238658145</v>
      </c>
      <c r="K177" s="151"/>
      <c r="N177" s="105">
        <v>153</v>
      </c>
      <c r="O177" s="107">
        <v>8526526.075928092</v>
      </c>
      <c r="P177" s="107">
        <v>10807742.286278367</v>
      </c>
      <c r="Q177" s="107">
        <v>6186825.3945151567</v>
      </c>
      <c r="R177" s="107">
        <v>6961994.2787840664</v>
      </c>
      <c r="S177" s="107">
        <v>6108930.0364882201</v>
      </c>
      <c r="T177" s="107">
        <v>-6489058.6559373736</v>
      </c>
      <c r="U177" s="107">
        <v>3829451.572704643</v>
      </c>
    </row>
    <row r="178" spans="1:21" ht="13.2">
      <c r="A178" s="152">
        <v>169</v>
      </c>
      <c r="B178" s="151">
        <v>61708444.5</v>
      </c>
      <c r="C178" s="151">
        <v>61708444.5</v>
      </c>
      <c r="D178" s="151">
        <v>25256636.818264872</v>
      </c>
      <c r="E178" s="151">
        <v>43027656.455569923</v>
      </c>
      <c r="F178" s="151">
        <v>26572252.187081594</v>
      </c>
      <c r="G178" s="151">
        <v>15000000</v>
      </c>
      <c r="H178" s="151">
        <v>109856545.46091639</v>
      </c>
      <c r="I178" s="151">
        <v>123416889</v>
      </c>
      <c r="J178" s="151">
        <v>13560343.539083615</v>
      </c>
      <c r="K178" s="151"/>
      <c r="N178" s="105">
        <v>154</v>
      </c>
      <c r="O178" s="107">
        <v>6935633.3242374063</v>
      </c>
      <c r="P178" s="107">
        <v>-1018003.3069226444</v>
      </c>
      <c r="Q178" s="107">
        <v>5467842.8041309863</v>
      </c>
      <c r="R178" s="107">
        <v>7625988.5355280936</v>
      </c>
      <c r="S178" s="107">
        <v>-1374237.8530751914</v>
      </c>
      <c r="T178" s="107">
        <v>-925463.44037413597</v>
      </c>
      <c r="U178" s="107">
        <v>-1861921.6201517731</v>
      </c>
    </row>
    <row r="179" spans="1:21" ht="13.2">
      <c r="A179" s="152">
        <v>170</v>
      </c>
      <c r="B179" s="151">
        <v>56362671.5</v>
      </c>
      <c r="C179" s="151">
        <v>56362671.5</v>
      </c>
      <c r="D179" s="151">
        <v>23359175.835949875</v>
      </c>
      <c r="E179" s="151">
        <v>41510493.361193866</v>
      </c>
      <c r="F179" s="151">
        <v>27269558.904448558</v>
      </c>
      <c r="G179" s="151">
        <v>15000000</v>
      </c>
      <c r="H179" s="151">
        <v>107139228.1015923</v>
      </c>
      <c r="I179" s="151">
        <v>112725343</v>
      </c>
      <c r="J179" s="151">
        <v>5586114.8984076977</v>
      </c>
      <c r="K179" s="151"/>
      <c r="N179" s="105">
        <v>155</v>
      </c>
      <c r="O179" s="107">
        <v>8112350.8937499672</v>
      </c>
      <c r="P179" s="107">
        <v>4630989.5628655404</v>
      </c>
      <c r="Q179" s="107">
        <v>-3615118.8968360275</v>
      </c>
      <c r="R179" s="107">
        <v>10731109.461264759</v>
      </c>
      <c r="S179" s="107">
        <v>13185694.079394668</v>
      </c>
      <c r="T179" s="107">
        <v>-3250593.1268653721</v>
      </c>
      <c r="U179" s="107">
        <v>-668498.72217869759</v>
      </c>
    </row>
    <row r="180" spans="1:21" ht="13.2">
      <c r="A180" s="152">
        <v>171</v>
      </c>
      <c r="B180" s="151">
        <v>59714806</v>
      </c>
      <c r="C180" s="151">
        <v>59714806</v>
      </c>
      <c r="D180" s="151">
        <v>23904059.014276363</v>
      </c>
      <c r="E180" s="151">
        <v>42293774.516106531</v>
      </c>
      <c r="F180" s="151">
        <v>28826061.180590186</v>
      </c>
      <c r="G180" s="151">
        <v>15000000</v>
      </c>
      <c r="H180" s="151">
        <v>110023894.71097308</v>
      </c>
      <c r="I180" s="151">
        <v>119429612</v>
      </c>
      <c r="J180" s="151">
        <v>9405717.289026916</v>
      </c>
      <c r="K180" s="151"/>
      <c r="N180" s="105">
        <v>156</v>
      </c>
      <c r="O180" s="107">
        <v>918084.99325855076</v>
      </c>
      <c r="P180" s="107">
        <v>4185357.6659178585</v>
      </c>
      <c r="Q180" s="107">
        <v>4191290.0920800418</v>
      </c>
      <c r="R180" s="107">
        <v>2605812.6154915243</v>
      </c>
      <c r="S180" s="107">
        <v>-8856808.5750413984</v>
      </c>
      <c r="T180" s="107">
        <v>-922890.4254771173</v>
      </c>
      <c r="U180" s="107">
        <v>-638063.08909741044</v>
      </c>
    </row>
    <row r="181" spans="1:21" ht="13.2">
      <c r="A181" s="152">
        <v>172</v>
      </c>
      <c r="B181" s="151">
        <v>53859997</v>
      </c>
      <c r="C181" s="151">
        <v>53859997</v>
      </c>
      <c r="D181" s="151">
        <v>24581000.245464768</v>
      </c>
      <c r="E181" s="151">
        <v>42854795.609920651</v>
      </c>
      <c r="F181" s="151">
        <v>26176502.633437</v>
      </c>
      <c r="G181" s="151">
        <v>15000000</v>
      </c>
      <c r="H181" s="151">
        <v>108612298.48882243</v>
      </c>
      <c r="I181" s="151">
        <v>107719994</v>
      </c>
      <c r="J181" s="151">
        <v>-892304.48882243037</v>
      </c>
      <c r="K181" s="151"/>
      <c r="N181" s="105">
        <v>157</v>
      </c>
      <c r="O181" s="107">
        <v>638603.66983480752</v>
      </c>
      <c r="P181" s="107">
        <v>10349430.467996046</v>
      </c>
      <c r="Q181" s="107">
        <v>7679432.525710389</v>
      </c>
      <c r="R181" s="107">
        <v>5793184.9333172292</v>
      </c>
      <c r="S181" s="107">
        <v>-237111.3358553648</v>
      </c>
      <c r="T181" s="107">
        <v>-533912.74914731085</v>
      </c>
      <c r="U181" s="107">
        <v>3400460.2758131772</v>
      </c>
    </row>
    <row r="182" spans="1:21" ht="13.2">
      <c r="A182" s="152">
        <v>173</v>
      </c>
      <c r="B182" s="151">
        <v>56592601.5</v>
      </c>
      <c r="C182" s="151">
        <v>56592601.5</v>
      </c>
      <c r="D182" s="151">
        <v>22845370.043149728</v>
      </c>
      <c r="E182" s="151">
        <v>43672912.896015257</v>
      </c>
      <c r="F182" s="151">
        <v>27579920.418870132</v>
      </c>
      <c r="G182" s="151">
        <v>15000000</v>
      </c>
      <c r="H182" s="151">
        <v>109098203.35803512</v>
      </c>
      <c r="I182" s="151">
        <v>113185203</v>
      </c>
      <c r="J182" s="151">
        <v>4086999.6419648826</v>
      </c>
      <c r="K182" s="151"/>
      <c r="N182" s="105">
        <v>158</v>
      </c>
      <c r="O182" s="107">
        <v>15200991.677394256</v>
      </c>
      <c r="P182" s="107">
        <v>15775461.862083361</v>
      </c>
      <c r="Q182" s="107">
        <v>849846.06392981112</v>
      </c>
      <c r="R182" s="107">
        <v>8198662.2075261623</v>
      </c>
      <c r="S182" s="107">
        <v>1488893.7922017574</v>
      </c>
      <c r="T182" s="107">
        <v>5144789.8561456501</v>
      </c>
      <c r="U182" s="107">
        <v>-7237238.3487946093</v>
      </c>
    </row>
    <row r="183" spans="1:21" ht="13.2">
      <c r="A183" s="152">
        <v>174</v>
      </c>
      <c r="B183" s="151">
        <v>54834253</v>
      </c>
      <c r="C183" s="151">
        <v>54834253</v>
      </c>
      <c r="D183" s="151">
        <v>24974270.986722283</v>
      </c>
      <c r="E183" s="151">
        <v>42595848.025673121</v>
      </c>
      <c r="F183" s="151">
        <v>27691928.041730434</v>
      </c>
      <c r="G183" s="151">
        <v>15000000</v>
      </c>
      <c r="H183" s="151">
        <v>110262047.05412585</v>
      </c>
      <c r="I183" s="151">
        <v>109668506</v>
      </c>
      <c r="J183" s="151">
        <v>-593541.05412584543</v>
      </c>
      <c r="K183" s="151"/>
      <c r="N183" s="105">
        <v>159</v>
      </c>
      <c r="O183" s="107">
        <v>10487299.595200509</v>
      </c>
      <c r="P183" s="107">
        <v>10398283.887324721</v>
      </c>
      <c r="Q183" s="107">
        <v>12292746.430322766</v>
      </c>
      <c r="R183" s="107">
        <v>3853776.5227995813</v>
      </c>
      <c r="S183" s="107">
        <v>2239711.9840227664</v>
      </c>
      <c r="T183" s="107">
        <v>-5493295.9000656605</v>
      </c>
      <c r="U183" s="107">
        <v>-6458774.6175969839</v>
      </c>
    </row>
    <row r="184" spans="1:21" ht="13.2">
      <c r="A184" s="152">
        <v>175</v>
      </c>
      <c r="B184" s="151">
        <v>51861616.5</v>
      </c>
      <c r="C184" s="151">
        <v>51861616.5</v>
      </c>
      <c r="D184" s="151">
        <v>25521929.326195244</v>
      </c>
      <c r="E184" s="151">
        <v>43393464.831561618</v>
      </c>
      <c r="F184" s="151">
        <v>26393051.128722798</v>
      </c>
      <c r="G184" s="151">
        <v>15000000</v>
      </c>
      <c r="H184" s="151">
        <v>110308445.28647967</v>
      </c>
      <c r="I184" s="151">
        <v>103723233</v>
      </c>
      <c r="J184" s="151">
        <v>-6585212.2864796668</v>
      </c>
      <c r="K184" s="151"/>
      <c r="N184" s="105">
        <v>160</v>
      </c>
      <c r="O184" s="107">
        <v>10334270.541681796</v>
      </c>
      <c r="P184" s="107">
        <v>8181229.4810337424</v>
      </c>
      <c r="Q184" s="107">
        <v>3873895.8364062905</v>
      </c>
      <c r="R184" s="107">
        <v>5662689.0487010777</v>
      </c>
      <c r="S184" s="107">
        <v>11639103.86055854</v>
      </c>
      <c r="T184" s="107">
        <v>-6329018.4282844365</v>
      </c>
      <c r="U184" s="107">
        <v>-7068420.6929839849</v>
      </c>
    </row>
    <row r="185" spans="1:21" ht="13.2">
      <c r="A185" s="152">
        <v>176</v>
      </c>
      <c r="B185" s="151">
        <v>55969928</v>
      </c>
      <c r="C185" s="151">
        <v>55969928</v>
      </c>
      <c r="D185" s="151">
        <v>23106288.63099369</v>
      </c>
      <c r="E185" s="151">
        <v>43426718.789271437</v>
      </c>
      <c r="F185" s="151">
        <v>28846571.614981886</v>
      </c>
      <c r="G185" s="151">
        <v>15000000</v>
      </c>
      <c r="H185" s="151">
        <v>110379579.03524701</v>
      </c>
      <c r="I185" s="151">
        <v>111939856</v>
      </c>
      <c r="J185" s="151">
        <v>1560276.964752987</v>
      </c>
      <c r="K185" s="151"/>
      <c r="N185" s="105">
        <v>161</v>
      </c>
      <c r="O185" s="107">
        <v>10302928.578673601</v>
      </c>
      <c r="P185" s="107">
        <v>12039558.288468182</v>
      </c>
      <c r="Q185" s="107">
        <v>3433675.6502393335</v>
      </c>
      <c r="R185" s="107">
        <v>846884.40207853913</v>
      </c>
      <c r="S185" s="107">
        <v>1233971.3490138501</v>
      </c>
      <c r="T185" s="107">
        <v>2751339.1556969285</v>
      </c>
      <c r="U185" s="107">
        <v>511331.18924382329</v>
      </c>
    </row>
    <row r="186" spans="1:21" ht="13.2">
      <c r="A186" s="152">
        <v>177</v>
      </c>
      <c r="B186" s="151">
        <v>55920953.5</v>
      </c>
      <c r="C186" s="151">
        <v>55920953.5</v>
      </c>
      <c r="D186" s="151">
        <v>23235865.62326077</v>
      </c>
      <c r="E186" s="151">
        <v>42286504.046721883</v>
      </c>
      <c r="F186" s="151">
        <v>28492145.748653196</v>
      </c>
      <c r="G186" s="151">
        <v>15000000</v>
      </c>
      <c r="H186" s="151">
        <v>109014515.41863585</v>
      </c>
      <c r="I186" s="151">
        <v>111841907</v>
      </c>
      <c r="J186" s="151">
        <v>2827391.5813641548</v>
      </c>
      <c r="K186" s="151"/>
      <c r="N186" s="105">
        <v>162</v>
      </c>
      <c r="O186" s="107">
        <v>6901236.2333561182</v>
      </c>
      <c r="P186" s="107">
        <v>5137146.4825852066</v>
      </c>
      <c r="Q186" s="107">
        <v>12183673.089678466</v>
      </c>
      <c r="R186" s="107">
        <v>2097090.996446982</v>
      </c>
      <c r="S186" s="107">
        <v>-7451346.452860117</v>
      </c>
      <c r="T186" s="107">
        <v>-1135848.2449507415</v>
      </c>
      <c r="U186" s="107">
        <v>-6986685.102476418</v>
      </c>
    </row>
    <row r="187" spans="1:21" ht="13.2">
      <c r="A187" s="152">
        <v>178</v>
      </c>
      <c r="B187" s="151">
        <v>55899658.5</v>
      </c>
      <c r="C187" s="151">
        <v>55899658.5</v>
      </c>
      <c r="D187" s="151">
        <v>24584069.507162876</v>
      </c>
      <c r="E187" s="151">
        <v>41842686.516867459</v>
      </c>
      <c r="F187" s="151">
        <v>26223919.790768005</v>
      </c>
      <c r="G187" s="151">
        <v>15000000</v>
      </c>
      <c r="H187" s="151">
        <v>107650675.81479834</v>
      </c>
      <c r="I187" s="151">
        <v>111799317</v>
      </c>
      <c r="J187" s="151">
        <v>4148641.1852016598</v>
      </c>
      <c r="K187" s="151"/>
      <c r="N187" s="105">
        <v>163</v>
      </c>
      <c r="O187" s="107">
        <v>9309489.1660251021</v>
      </c>
      <c r="P187" s="107">
        <v>5152534.8496067971</v>
      </c>
      <c r="Q187" s="107">
        <v>7468522.6276309192</v>
      </c>
      <c r="R187" s="107">
        <v>-2179935.975417465</v>
      </c>
      <c r="S187" s="107">
        <v>-7372679.8230915964</v>
      </c>
      <c r="T187" s="107">
        <v>-1066280.4947910309</v>
      </c>
      <c r="U187" s="107">
        <v>-4789635.0132982433</v>
      </c>
    </row>
    <row r="188" spans="1:21" ht="13.2">
      <c r="A188" s="152">
        <v>179</v>
      </c>
      <c r="B188" s="151">
        <v>57689770.5</v>
      </c>
      <c r="C188" s="151">
        <v>57689770.5</v>
      </c>
      <c r="D188" s="151">
        <v>25242044.555247493</v>
      </c>
      <c r="E188" s="151">
        <v>43531145.193667457</v>
      </c>
      <c r="F188" s="151">
        <v>28179525.05071827</v>
      </c>
      <c r="G188" s="151">
        <v>15000000</v>
      </c>
      <c r="H188" s="151">
        <v>111952714.79963323</v>
      </c>
      <c r="I188" s="151">
        <v>115379541</v>
      </c>
      <c r="J188" s="151">
        <v>3426826.2003667653</v>
      </c>
      <c r="K188" s="151"/>
      <c r="N188" s="105">
        <v>164</v>
      </c>
      <c r="O188" s="107">
        <v>5989837.0595905632</v>
      </c>
      <c r="P188" s="107">
        <v>19732638.991578743</v>
      </c>
      <c r="Q188" s="107">
        <v>2918716.2050605565</v>
      </c>
      <c r="R188" s="107">
        <v>943506.97053462267</v>
      </c>
      <c r="S188" s="107">
        <v>-5946012.5674712658</v>
      </c>
      <c r="T188" s="107">
        <v>6155259.5716501623</v>
      </c>
      <c r="U188" s="107">
        <v>-4253192.4681534618</v>
      </c>
    </row>
    <row r="189" spans="1:21" ht="13.2">
      <c r="A189" s="152">
        <v>180</v>
      </c>
      <c r="B189" s="151">
        <v>55389619.5</v>
      </c>
      <c r="C189" s="151">
        <v>55389619.5</v>
      </c>
      <c r="D189" s="151">
        <v>23776080.78094922</v>
      </c>
      <c r="E189" s="151">
        <v>41794308.889818609</v>
      </c>
      <c r="F189" s="151">
        <v>25048367.355844915</v>
      </c>
      <c r="G189" s="151">
        <v>15000000</v>
      </c>
      <c r="H189" s="151">
        <v>105618757.02661274</v>
      </c>
      <c r="I189" s="151">
        <v>110779239</v>
      </c>
      <c r="J189" s="151">
        <v>5160481.9733872563</v>
      </c>
      <c r="K189" s="151"/>
      <c r="N189" s="105">
        <v>165</v>
      </c>
      <c r="O189" s="107">
        <v>-2469744.5216179341</v>
      </c>
      <c r="P189" s="107">
        <v>11577423.773182392</v>
      </c>
      <c r="Q189" s="107">
        <v>-7909962.0628347695</v>
      </c>
      <c r="R189" s="107">
        <v>9356977.1974380016</v>
      </c>
      <c r="S189" s="107">
        <v>3194534.1164498031</v>
      </c>
      <c r="T189" s="107">
        <v>761127.54161418974</v>
      </c>
      <c r="U189" s="107">
        <v>130417.30754424632</v>
      </c>
    </row>
    <row r="190" spans="1:21" ht="13.2">
      <c r="A190" s="152">
        <v>181</v>
      </c>
      <c r="B190" s="151">
        <v>53368513</v>
      </c>
      <c r="C190" s="151">
        <v>53368513</v>
      </c>
      <c r="D190" s="151">
        <v>25123696.463748056</v>
      </c>
      <c r="E190" s="151">
        <v>41850652.026767381</v>
      </c>
      <c r="F190" s="151">
        <v>29195280.782840028</v>
      </c>
      <c r="G190" s="151">
        <v>15000000</v>
      </c>
      <c r="H190" s="151">
        <v>111169629.27335547</v>
      </c>
      <c r="I190" s="151">
        <v>106737026</v>
      </c>
      <c r="J190" s="151">
        <v>-4432603.2733554691</v>
      </c>
      <c r="K190" s="151"/>
      <c r="N190" s="105">
        <v>166</v>
      </c>
      <c r="O190" s="107">
        <v>4226530.4305171371</v>
      </c>
      <c r="P190" s="107">
        <v>1744289.729813531</v>
      </c>
      <c r="Q190" s="107">
        <v>4785286.3742147684</v>
      </c>
      <c r="R190" s="107">
        <v>7916115.3968735337</v>
      </c>
      <c r="S190" s="107">
        <v>748400.67303359509</v>
      </c>
      <c r="T190" s="107">
        <v>-3047440.6760652661</v>
      </c>
      <c r="U190" s="107">
        <v>-7031317.8742892444</v>
      </c>
    </row>
    <row r="191" spans="1:21" ht="13.2">
      <c r="A191" s="152">
        <v>182</v>
      </c>
      <c r="B191" s="151">
        <v>51565246.5</v>
      </c>
      <c r="C191" s="151">
        <v>51565246.5</v>
      </c>
      <c r="D191" s="151">
        <v>25379064.729299083</v>
      </c>
      <c r="E191" s="151">
        <v>41889067.89302367</v>
      </c>
      <c r="F191" s="151">
        <v>26918212.535572391</v>
      </c>
      <c r="G191" s="151">
        <v>15000000</v>
      </c>
      <c r="H191" s="151">
        <v>109186345.15789515</v>
      </c>
      <c r="I191" s="151">
        <v>103130493</v>
      </c>
      <c r="J191" s="151">
        <v>-6055852.1578951478</v>
      </c>
      <c r="K191" s="151"/>
      <c r="N191" s="105">
        <v>167</v>
      </c>
      <c r="O191" s="107">
        <v>19869419.387112498</v>
      </c>
      <c r="P191" s="107">
        <v>7920506.2178567201</v>
      </c>
      <c r="Q191" s="107">
        <v>5440879.2365591824</v>
      </c>
      <c r="R191" s="107">
        <v>-5542824.4506346881</v>
      </c>
      <c r="S191" s="107">
        <v>-4706613.283255592</v>
      </c>
      <c r="T191" s="107">
        <v>-2139035.3255596459</v>
      </c>
      <c r="U191" s="107">
        <v>-1238848.0265141129</v>
      </c>
    </row>
    <row r="192" spans="1:21" ht="13.2">
      <c r="A192" s="152">
        <v>183</v>
      </c>
      <c r="B192" s="151">
        <v>58323848</v>
      </c>
      <c r="C192" s="151">
        <v>58323848</v>
      </c>
      <c r="D192" s="151">
        <v>24579401.486524835</v>
      </c>
      <c r="E192" s="151">
        <v>42360360.115856782</v>
      </c>
      <c r="F192" s="151">
        <v>27464139.202959105</v>
      </c>
      <c r="G192" s="151">
        <v>15000000</v>
      </c>
      <c r="H192" s="151">
        <v>109403900.80534072</v>
      </c>
      <c r="I192" s="151">
        <v>116647696</v>
      </c>
      <c r="J192" s="151">
        <v>7243795.1946592778</v>
      </c>
      <c r="K192" s="151"/>
      <c r="N192" s="105">
        <v>168</v>
      </c>
      <c r="O192" s="107">
        <v>17815566.391742945</v>
      </c>
      <c r="P192" s="107">
        <v>18968033.658109784</v>
      </c>
      <c r="Q192" s="107">
        <v>4054015.5725981146</v>
      </c>
      <c r="R192" s="107">
        <v>11088133.270980775</v>
      </c>
      <c r="S192" s="107">
        <v>-225223.5465349853</v>
      </c>
      <c r="T192" s="107">
        <v>426816.11865758896</v>
      </c>
      <c r="U192" s="107">
        <v>7331886.6291319281</v>
      </c>
    </row>
    <row r="193" spans="1:21" ht="13.2">
      <c r="A193" s="152">
        <v>184</v>
      </c>
      <c r="B193" s="151">
        <v>55569120</v>
      </c>
      <c r="C193" s="151">
        <v>55569120</v>
      </c>
      <c r="D193" s="151">
        <v>25256048.617161609</v>
      </c>
      <c r="E193" s="151">
        <v>42191549.168492883</v>
      </c>
      <c r="F193" s="151">
        <v>30782962.88767048</v>
      </c>
      <c r="G193" s="151">
        <v>15000000</v>
      </c>
      <c r="H193" s="151">
        <v>113230560.67332497</v>
      </c>
      <c r="I193" s="151">
        <v>111138240</v>
      </c>
      <c r="J193" s="151">
        <v>-2092320.6733249724</v>
      </c>
      <c r="K193" s="151"/>
      <c r="N193" s="105">
        <v>169</v>
      </c>
      <c r="O193" s="107">
        <v>14529262.980028883</v>
      </c>
      <c r="P193" s="107">
        <v>-223181.90109707415</v>
      </c>
      <c r="Q193" s="107">
        <v>6504703.2164542973</v>
      </c>
      <c r="R193" s="107">
        <v>6926277.7079023868</v>
      </c>
      <c r="S193" s="107">
        <v>-8294288.8180989623</v>
      </c>
      <c r="T193" s="107">
        <v>-3657782.331868127</v>
      </c>
      <c r="U193" s="107">
        <v>-4671636.6383803785</v>
      </c>
    </row>
    <row r="194" spans="1:21" ht="13.2">
      <c r="A194" s="152">
        <v>185</v>
      </c>
      <c r="B194" s="151">
        <v>53858442.5</v>
      </c>
      <c r="C194" s="151">
        <v>53858442.5</v>
      </c>
      <c r="D194" s="151">
        <v>24718902.721171264</v>
      </c>
      <c r="E194" s="151">
        <v>42502065.791376293</v>
      </c>
      <c r="F194" s="151">
        <v>25809857.60721435</v>
      </c>
      <c r="G194" s="151">
        <v>15000000</v>
      </c>
      <c r="H194" s="151">
        <v>108030826.1197619</v>
      </c>
      <c r="I194" s="151">
        <v>107716885</v>
      </c>
      <c r="J194" s="151">
        <v>-313941.11976189911</v>
      </c>
      <c r="K194" s="151"/>
      <c r="N194" s="105">
        <v>170</v>
      </c>
      <c r="O194" s="107">
        <v>22052541.973851398</v>
      </c>
      <c r="P194" s="107">
        <v>13580453.252014786</v>
      </c>
      <c r="Q194" s="107">
        <v>9507897.8303670436</v>
      </c>
      <c r="R194" s="107">
        <v>25074.04196035862</v>
      </c>
      <c r="S194" s="107">
        <v>-9829080.8276607096</v>
      </c>
      <c r="T194" s="107">
        <v>-11019169.394777909</v>
      </c>
      <c r="U194" s="107">
        <v>-5529420.5096192658</v>
      </c>
    </row>
    <row r="195" spans="1:21" ht="13.2">
      <c r="A195" s="152">
        <v>186</v>
      </c>
      <c r="B195" s="151">
        <v>58421242.5</v>
      </c>
      <c r="C195" s="151">
        <v>58421242.5</v>
      </c>
      <c r="D195" s="151">
        <v>24183355.584120851</v>
      </c>
      <c r="E195" s="151">
        <v>41772221.037956938</v>
      </c>
      <c r="F195" s="151">
        <v>26104855.762196172</v>
      </c>
      <c r="G195" s="151">
        <v>15000000</v>
      </c>
      <c r="H195" s="151">
        <v>107060432.38427396</v>
      </c>
      <c r="I195" s="151">
        <v>116842485</v>
      </c>
      <c r="J195" s="151">
        <v>9782052.6157260388</v>
      </c>
      <c r="K195" s="151"/>
      <c r="N195" s="105">
        <v>171</v>
      </c>
      <c r="O195" s="107">
        <v>3616289.2854089737</v>
      </c>
      <c r="P195" s="107">
        <v>13632637.716518536</v>
      </c>
      <c r="Q195" s="107">
        <v>5130352.3595623523</v>
      </c>
      <c r="R195" s="107">
        <v>1919997.311421454</v>
      </c>
      <c r="S195" s="107">
        <v>-1992347.197868675</v>
      </c>
      <c r="T195" s="107">
        <v>7088519.2904210091</v>
      </c>
      <c r="U195" s="107">
        <v>-1922.3895616829395</v>
      </c>
    </row>
    <row r="196" spans="1:21" ht="13.2">
      <c r="A196" s="152">
        <v>187</v>
      </c>
      <c r="B196" s="151">
        <v>59834679</v>
      </c>
      <c r="C196" s="151">
        <v>59834679</v>
      </c>
      <c r="D196" s="151">
        <v>22300486.864823241</v>
      </c>
      <c r="E196" s="151">
        <v>42260761.414166898</v>
      </c>
      <c r="F196" s="151">
        <v>24592029.323502954</v>
      </c>
      <c r="G196" s="151">
        <v>15000000</v>
      </c>
      <c r="H196" s="151">
        <v>104153277.60249309</v>
      </c>
      <c r="I196" s="151">
        <v>119669358</v>
      </c>
      <c r="J196" s="151">
        <v>15516080.397506908</v>
      </c>
      <c r="K196" s="151"/>
      <c r="N196" s="105">
        <v>172</v>
      </c>
      <c r="O196" s="107">
        <v>6690787.6651163101</v>
      </c>
      <c r="P196" s="107">
        <v>4742585.1605173796</v>
      </c>
      <c r="Q196" s="107">
        <v>12739953.00930655</v>
      </c>
      <c r="R196" s="107">
        <v>5458129.9132309705</v>
      </c>
      <c r="S196" s="107">
        <v>2572320.6144105345</v>
      </c>
      <c r="T196" s="107">
        <v>-438121.17717756331</v>
      </c>
      <c r="U196" s="107">
        <v>9899150.4149075896</v>
      </c>
    </row>
    <row r="197" spans="1:21" ht="13.2">
      <c r="A197" s="152">
        <v>188</v>
      </c>
      <c r="B197" s="151">
        <v>57211640</v>
      </c>
      <c r="C197" s="151">
        <v>57211640</v>
      </c>
      <c r="D197" s="151">
        <v>24711753.639938388</v>
      </c>
      <c r="E197" s="151">
        <v>43253800.349281035</v>
      </c>
      <c r="F197" s="151">
        <v>27804587.942034829</v>
      </c>
      <c r="G197" s="151">
        <v>15000000</v>
      </c>
      <c r="H197" s="151">
        <v>110770141.93125425</v>
      </c>
      <c r="I197" s="151">
        <v>114423280</v>
      </c>
      <c r="J197" s="151">
        <v>3653138.0687457472</v>
      </c>
      <c r="K197" s="151"/>
      <c r="N197" s="105">
        <v>173</v>
      </c>
      <c r="O197" s="107">
        <v>9429530.5579132736</v>
      </c>
      <c r="P197" s="107">
        <v>8191410.0304121971</v>
      </c>
      <c r="Q197" s="107">
        <v>11843273.194217056</v>
      </c>
      <c r="R197" s="107">
        <v>-5314575.4095206559</v>
      </c>
      <c r="S197" s="107">
        <v>2227080.68781057</v>
      </c>
      <c r="T197" s="107">
        <v>-4942915.1803862751</v>
      </c>
      <c r="U197" s="107">
        <v>-6440062.6120367348</v>
      </c>
    </row>
    <row r="198" spans="1:21" ht="13.2">
      <c r="A198" s="152">
        <v>189</v>
      </c>
      <c r="B198" s="151">
        <v>57603812</v>
      </c>
      <c r="C198" s="151">
        <v>57603812</v>
      </c>
      <c r="D198" s="151">
        <v>24320963.959275711</v>
      </c>
      <c r="E198" s="151">
        <v>41516982.724395983</v>
      </c>
      <c r="F198" s="151">
        <v>29652389.686097134</v>
      </c>
      <c r="G198" s="151">
        <v>15000000</v>
      </c>
      <c r="H198" s="151">
        <v>110490336.36976883</v>
      </c>
      <c r="I198" s="151">
        <v>115207624</v>
      </c>
      <c r="J198" s="151">
        <v>4717287.6302311718</v>
      </c>
      <c r="K198" s="151"/>
      <c r="N198" s="105">
        <v>174</v>
      </c>
      <c r="O198" s="107">
        <v>15936778.777444854</v>
      </c>
      <c r="P198" s="107">
        <v>13350152.403982565</v>
      </c>
      <c r="Q198" s="107">
        <v>10967596.552227318</v>
      </c>
      <c r="R198" s="107">
        <v>3104068.9219544083</v>
      </c>
      <c r="S198" s="107">
        <v>1497464.320192039</v>
      </c>
      <c r="T198" s="107">
        <v>-1932977.5031151474</v>
      </c>
      <c r="U198" s="107">
        <v>-2466225.9381339252</v>
      </c>
    </row>
    <row r="199" spans="1:21" ht="13.2">
      <c r="A199" s="152">
        <v>190</v>
      </c>
      <c r="B199" s="151">
        <v>54299551</v>
      </c>
      <c r="C199" s="151">
        <v>54299551</v>
      </c>
      <c r="D199" s="151">
        <v>23904059.014276363</v>
      </c>
      <c r="E199" s="151">
        <v>42873167.450781852</v>
      </c>
      <c r="F199" s="151">
        <v>29613555.991700724</v>
      </c>
      <c r="G199" s="151">
        <v>15000000</v>
      </c>
      <c r="H199" s="151">
        <v>111390782.45675895</v>
      </c>
      <c r="I199" s="151">
        <v>108599102</v>
      </c>
      <c r="J199" s="151">
        <v>-2791680.4567589462</v>
      </c>
      <c r="K199" s="151"/>
      <c r="N199" s="105">
        <v>175</v>
      </c>
      <c r="O199" s="107">
        <v>18479417.617910385</v>
      </c>
      <c r="P199" s="107">
        <v>16300118.565884739</v>
      </c>
      <c r="Q199" s="107">
        <v>13861128.824917316</v>
      </c>
      <c r="R199" s="107">
        <v>4299024.4701345265</v>
      </c>
      <c r="S199" s="107">
        <v>-3484309.1920247227</v>
      </c>
      <c r="T199" s="107">
        <v>-6298260.4105361104</v>
      </c>
      <c r="U199" s="107">
        <v>1883843.1363953948</v>
      </c>
    </row>
    <row r="200" spans="1:21" ht="13.2">
      <c r="A200" s="152">
        <v>191</v>
      </c>
      <c r="B200" s="151">
        <v>58116282.5</v>
      </c>
      <c r="C200" s="151">
        <v>58116282.5</v>
      </c>
      <c r="D200" s="151">
        <v>26059369.322737224</v>
      </c>
      <c r="E200" s="151">
        <v>42321532.394249327</v>
      </c>
      <c r="F200" s="151">
        <v>26204115.163810875</v>
      </c>
      <c r="G200" s="151">
        <v>15000000</v>
      </c>
      <c r="H200" s="151">
        <v>109585016.88079743</v>
      </c>
      <c r="I200" s="151">
        <v>116232565</v>
      </c>
      <c r="J200" s="151">
        <v>6647548.1192025691</v>
      </c>
      <c r="K200" s="151"/>
      <c r="N200" s="105">
        <v>176</v>
      </c>
      <c r="O200" s="107">
        <v>6401236.6423720419</v>
      </c>
      <c r="P200" s="107">
        <v>14212489.61587663</v>
      </c>
      <c r="Q200" s="107">
        <v>-5677614.4823010564</v>
      </c>
      <c r="R200" s="107">
        <v>10441173.843985394</v>
      </c>
      <c r="S200" s="107">
        <v>900188.95534986258</v>
      </c>
      <c r="T200" s="107">
        <v>41310.171623766422</v>
      </c>
      <c r="U200" s="107">
        <v>-3617571.2760394812</v>
      </c>
    </row>
    <row r="201" spans="1:21" ht="13.2">
      <c r="A201" s="152">
        <v>192</v>
      </c>
      <c r="B201" s="151">
        <v>57645610</v>
      </c>
      <c r="C201" s="151">
        <v>57645610</v>
      </c>
      <c r="D201" s="151">
        <v>23643434.526984036</v>
      </c>
      <c r="E201" s="151">
        <v>43447166.242383569</v>
      </c>
      <c r="F201" s="151">
        <v>28846879.346280605</v>
      </c>
      <c r="G201" s="151">
        <v>15000000</v>
      </c>
      <c r="H201" s="151">
        <v>110937480.11564821</v>
      </c>
      <c r="I201" s="151">
        <v>115291220</v>
      </c>
      <c r="J201" s="151">
        <v>4353739.88435179</v>
      </c>
      <c r="K201" s="151"/>
      <c r="N201" s="105">
        <v>177</v>
      </c>
      <c r="O201" s="107">
        <v>11592695.810052097</v>
      </c>
      <c r="P201" s="107">
        <v>-1553921.2667380422</v>
      </c>
      <c r="Q201" s="107">
        <v>-4020675.8314909339</v>
      </c>
      <c r="R201" s="107">
        <v>-1549003.1298834682</v>
      </c>
      <c r="S201" s="107">
        <v>5667967.2745523006</v>
      </c>
      <c r="T201" s="107">
        <v>-4434748.0487376601</v>
      </c>
      <c r="U201" s="107">
        <v>4494882.5470559299</v>
      </c>
    </row>
    <row r="202" spans="1:21" ht="13.2">
      <c r="A202" s="152">
        <v>193</v>
      </c>
      <c r="B202" s="151">
        <v>56088554</v>
      </c>
      <c r="C202" s="151">
        <v>56088554</v>
      </c>
      <c r="D202" s="151">
        <v>24185836.644715689</v>
      </c>
      <c r="E202" s="151">
        <v>43981684.604395635</v>
      </c>
      <c r="F202" s="151">
        <v>28593947.069414489</v>
      </c>
      <c r="G202" s="151">
        <v>15000000</v>
      </c>
      <c r="H202" s="151">
        <v>111761468.31852582</v>
      </c>
      <c r="I202" s="151">
        <v>112177108</v>
      </c>
      <c r="J202" s="151">
        <v>415639.68147417903</v>
      </c>
      <c r="K202" s="151"/>
      <c r="N202" s="105">
        <v>178</v>
      </c>
      <c r="O202" s="107">
        <v>11211142.58733651</v>
      </c>
      <c r="P202" s="107">
        <v>6074130.7712767273</v>
      </c>
      <c r="Q202" s="107">
        <v>7044159.2904463708</v>
      </c>
      <c r="R202" s="107">
        <v>8842516.7931213975</v>
      </c>
      <c r="S202" s="107">
        <v>-4693.2640827894211</v>
      </c>
      <c r="T202" s="107">
        <v>-1533057.1694416851</v>
      </c>
      <c r="U202" s="107">
        <v>7956023.2354936302</v>
      </c>
    </row>
    <row r="203" spans="1:21" ht="13.2">
      <c r="A203" s="152">
        <v>194</v>
      </c>
      <c r="B203" s="151">
        <v>56379084</v>
      </c>
      <c r="C203" s="151">
        <v>56379084</v>
      </c>
      <c r="D203" s="151">
        <v>24043560.248922795</v>
      </c>
      <c r="E203" s="151">
        <v>41581803.486129746</v>
      </c>
      <c r="F203" s="151">
        <v>29395095.717037216</v>
      </c>
      <c r="G203" s="151">
        <v>15000000</v>
      </c>
      <c r="H203" s="151">
        <v>110020459.45208976</v>
      </c>
      <c r="I203" s="151">
        <v>112758168</v>
      </c>
      <c r="J203" s="151">
        <v>2737708.5479102433</v>
      </c>
      <c r="K203" s="151"/>
      <c r="N203" s="105">
        <v>179</v>
      </c>
      <c r="O203" s="107">
        <v>-363110.98302453756</v>
      </c>
      <c r="P203" s="107">
        <v>-320707.6480538547</v>
      </c>
      <c r="Q203" s="107">
        <v>11856207.447704136</v>
      </c>
      <c r="R203" s="107">
        <v>15710125.575471759</v>
      </c>
      <c r="S203" s="107">
        <v>-11432722.109829709</v>
      </c>
      <c r="T203" s="107">
        <v>-2012226.3870746344</v>
      </c>
      <c r="U203" s="107">
        <v>4674569.9273482263</v>
      </c>
    </row>
    <row r="204" spans="1:21" ht="13.2">
      <c r="A204" s="152">
        <v>195</v>
      </c>
      <c r="B204" s="151">
        <v>59359082</v>
      </c>
      <c r="C204" s="151">
        <v>59359082</v>
      </c>
      <c r="D204" s="151">
        <v>26057182.362694021</v>
      </c>
      <c r="E204" s="151">
        <v>42579971.167786352</v>
      </c>
      <c r="F204" s="151">
        <v>26269079.969111528</v>
      </c>
      <c r="G204" s="151">
        <v>15000000</v>
      </c>
      <c r="H204" s="151">
        <v>109906233.4995919</v>
      </c>
      <c r="I204" s="151">
        <v>118718164</v>
      </c>
      <c r="J204" s="151">
        <v>8811930.5004080981</v>
      </c>
      <c r="K204" s="151"/>
      <c r="N204" s="105">
        <v>180</v>
      </c>
      <c r="O204" s="107">
        <v>12190662.082878202</v>
      </c>
      <c r="P204" s="107">
        <v>6721016.5372460932</v>
      </c>
      <c r="Q204" s="107">
        <v>1686475.1667516232</v>
      </c>
      <c r="R204" s="107">
        <v>-2113123.1556541622</v>
      </c>
      <c r="S204" s="107">
        <v>16301216.305991024</v>
      </c>
      <c r="T204" s="107">
        <v>2086054.9743419886</v>
      </c>
      <c r="U204" s="107">
        <v>2486756.8953549713</v>
      </c>
    </row>
    <row r="205" spans="1:21" ht="13.2">
      <c r="A205" s="152">
        <v>196</v>
      </c>
      <c r="B205" s="151">
        <v>56723968.5</v>
      </c>
      <c r="C205" s="151">
        <v>56723968.5</v>
      </c>
      <c r="D205" s="151">
        <v>24834475.651524227</v>
      </c>
      <c r="E205" s="151">
        <v>42879051.86735791</v>
      </c>
      <c r="F205" s="151">
        <v>28675922.493174475</v>
      </c>
      <c r="G205" s="151">
        <v>15000000</v>
      </c>
      <c r="H205" s="151">
        <v>111389450.01205662</v>
      </c>
      <c r="I205" s="151">
        <v>113447937</v>
      </c>
      <c r="J205" s="151">
        <v>2058486.9879433811</v>
      </c>
      <c r="K205" s="151"/>
      <c r="N205" s="105">
        <v>181</v>
      </c>
      <c r="O205" s="107">
        <v>-6297841.0225930214</v>
      </c>
      <c r="P205" s="107">
        <v>10563696.835317314</v>
      </c>
      <c r="Q205" s="107">
        <v>3802233.9957714528</v>
      </c>
      <c r="R205" s="107">
        <v>5914522.2974854112</v>
      </c>
      <c r="S205" s="107">
        <v>2199954.8443011194</v>
      </c>
      <c r="T205" s="107">
        <v>-2490880.7890197337</v>
      </c>
      <c r="U205" s="107">
        <v>-2485481.6284743845</v>
      </c>
    </row>
    <row r="206" spans="1:21" ht="13.2">
      <c r="A206" s="152">
        <v>197</v>
      </c>
      <c r="B206" s="151">
        <v>54636945</v>
      </c>
      <c r="C206" s="151">
        <v>54636945</v>
      </c>
      <c r="D206" s="151">
        <v>26189828.616659205</v>
      </c>
      <c r="E206" s="151">
        <v>42568846.332769133</v>
      </c>
      <c r="F206" s="151">
        <v>26213253.268598203</v>
      </c>
      <c r="G206" s="151">
        <v>15000000</v>
      </c>
      <c r="H206" s="151">
        <v>109971928.21802653</v>
      </c>
      <c r="I206" s="151">
        <v>109273890</v>
      </c>
      <c r="J206" s="151">
        <v>-698038.21802653372</v>
      </c>
      <c r="K206" s="151"/>
      <c r="N206" s="105">
        <v>182</v>
      </c>
      <c r="O206" s="107">
        <v>12154347.478768334</v>
      </c>
      <c r="P206" s="107">
        <v>6594548.6388860643</v>
      </c>
      <c r="Q206" s="107">
        <v>-412440.26549129188</v>
      </c>
      <c r="R206" s="107">
        <v>9719039.725036025</v>
      </c>
      <c r="S206" s="107">
        <v>3802603.2303109169</v>
      </c>
      <c r="T206" s="107">
        <v>-14531720.653147668</v>
      </c>
      <c r="U206" s="107">
        <v>1350960.608944416</v>
      </c>
    </row>
    <row r="207" spans="1:21" ht="13.2">
      <c r="A207" s="152">
        <v>198</v>
      </c>
      <c r="B207" s="151">
        <v>59855061</v>
      </c>
      <c r="C207" s="151">
        <v>59855061</v>
      </c>
      <c r="D207" s="151">
        <v>23229010.642579533</v>
      </c>
      <c r="E207" s="151">
        <v>41760953.224405333</v>
      </c>
      <c r="F207" s="151">
        <v>24974722.498676389</v>
      </c>
      <c r="G207" s="151">
        <v>15000000</v>
      </c>
      <c r="H207" s="151">
        <v>104964686.36566126</v>
      </c>
      <c r="I207" s="151">
        <v>119710122</v>
      </c>
      <c r="J207" s="151">
        <v>14745435.634338737</v>
      </c>
      <c r="K207" s="151"/>
      <c r="N207" s="105">
        <v>183</v>
      </c>
      <c r="O207" s="107">
        <v>6273345.6999320984</v>
      </c>
      <c r="P207" s="107">
        <v>8186853.7076545805</v>
      </c>
      <c r="Q207" s="107">
        <v>5099686.3040775657</v>
      </c>
      <c r="R207" s="107">
        <v>7601698.062611714</v>
      </c>
      <c r="S207" s="107">
        <v>-384090.96194148064</v>
      </c>
      <c r="T207" s="107">
        <v>1068778.2207063437</v>
      </c>
      <c r="U207" s="107">
        <v>-7961180.1746523082</v>
      </c>
    </row>
    <row r="208" spans="1:21" ht="13.2">
      <c r="A208" s="152">
        <v>199</v>
      </c>
      <c r="B208" s="151">
        <v>54935525.5</v>
      </c>
      <c r="C208" s="151">
        <v>54935525.5</v>
      </c>
      <c r="D208" s="151">
        <v>25398619.113506138</v>
      </c>
      <c r="E208" s="151">
        <v>43350154.954801388</v>
      </c>
      <c r="F208" s="151">
        <v>29637017.773275871</v>
      </c>
      <c r="G208" s="151">
        <v>15000000</v>
      </c>
      <c r="H208" s="151">
        <v>113385791.84158339</v>
      </c>
      <c r="I208" s="151">
        <v>109871051</v>
      </c>
      <c r="J208" s="151">
        <v>-3514740.8415833861</v>
      </c>
      <c r="K208" s="151"/>
      <c r="N208" s="105">
        <v>184</v>
      </c>
      <c r="O208" s="107">
        <v>12785521.276735842</v>
      </c>
      <c r="P208" s="107">
        <v>14563897.954470783</v>
      </c>
      <c r="Q208" s="107">
        <v>12921730.153969109</v>
      </c>
      <c r="R208" s="107">
        <v>2507823.9146889746</v>
      </c>
      <c r="S208" s="107">
        <v>6698975.4456952512</v>
      </c>
      <c r="T208" s="107">
        <v>-5904212.6140862703</v>
      </c>
      <c r="U208" s="107">
        <v>-1827707.007044062</v>
      </c>
    </row>
    <row r="209" spans="1:21" ht="13.2">
      <c r="A209" s="152">
        <v>200</v>
      </c>
      <c r="B209" s="151">
        <v>57821741.5</v>
      </c>
      <c r="C209" s="151">
        <v>57821741.5</v>
      </c>
      <c r="D209" s="151">
        <v>23247976.825683322</v>
      </c>
      <c r="E209" s="151">
        <v>43101278.31794478</v>
      </c>
      <c r="F209" s="151">
        <v>25558112.378364116</v>
      </c>
      <c r="G209" s="151">
        <v>15000000</v>
      </c>
      <c r="H209" s="151">
        <v>106907367.52199222</v>
      </c>
      <c r="I209" s="151">
        <v>115643483</v>
      </c>
      <c r="J209" s="151">
        <v>8736115.4780077785</v>
      </c>
      <c r="K209" s="151"/>
      <c r="N209" s="105">
        <v>185</v>
      </c>
      <c r="O209" s="107">
        <v>16399754.598169714</v>
      </c>
      <c r="P209" s="107">
        <v>14334964.330376342</v>
      </c>
      <c r="Q209" s="107">
        <v>5836583.0005860329</v>
      </c>
      <c r="R209" s="107">
        <v>11117392.441119105</v>
      </c>
      <c r="S209" s="107">
        <v>8547715.4004118145</v>
      </c>
      <c r="T209" s="107">
        <v>-12997683.208420366</v>
      </c>
      <c r="U209" s="107">
        <v>-2174394.9083684981</v>
      </c>
    </row>
    <row r="210" spans="1:21" ht="13.2">
      <c r="A210" s="152">
        <v>201</v>
      </c>
      <c r="B210" s="151">
        <v>58902910.5</v>
      </c>
      <c r="C210" s="151">
        <v>58902910.5</v>
      </c>
      <c r="D210" s="151">
        <v>24031743.147051875</v>
      </c>
      <c r="E210" s="151">
        <v>42765321.034915693</v>
      </c>
      <c r="F210" s="151">
        <v>27023363.29087685</v>
      </c>
      <c r="G210" s="151">
        <v>15000000</v>
      </c>
      <c r="H210" s="151">
        <v>108820427.47284442</v>
      </c>
      <c r="I210" s="151">
        <v>117805821</v>
      </c>
      <c r="J210" s="151">
        <v>8985393.5271555781</v>
      </c>
      <c r="K210" s="151"/>
      <c r="N210" s="105">
        <v>186</v>
      </c>
      <c r="O210" s="107">
        <v>13075144.655712008</v>
      </c>
      <c r="P210" s="107">
        <v>879733.38534891605</v>
      </c>
      <c r="Q210" s="107">
        <v>7017310.0891734809</v>
      </c>
      <c r="R210" s="107">
        <v>11419752.676209241</v>
      </c>
      <c r="S210" s="107">
        <v>-3233136.4379016757</v>
      </c>
      <c r="T210" s="107">
        <v>4144316.3068767637</v>
      </c>
      <c r="U210" s="107">
        <v>-3696382.0587460995</v>
      </c>
    </row>
    <row r="211" spans="1:21" ht="13.2">
      <c r="A211" s="152">
        <v>202</v>
      </c>
      <c r="B211" s="151">
        <v>54956800</v>
      </c>
      <c r="C211" s="151">
        <v>54956800</v>
      </c>
      <c r="D211" s="151">
        <v>23913395.055552445</v>
      </c>
      <c r="E211" s="151">
        <v>42379949.769479617</v>
      </c>
      <c r="F211" s="151">
        <v>27097715.803611793</v>
      </c>
      <c r="G211" s="151">
        <v>15000000</v>
      </c>
      <c r="H211" s="151">
        <v>108391060.62864386</v>
      </c>
      <c r="I211" s="151">
        <v>109913600</v>
      </c>
      <c r="J211" s="151">
        <v>1522539.3713561445</v>
      </c>
      <c r="K211" s="151"/>
      <c r="N211" s="105">
        <v>187</v>
      </c>
      <c r="O211" s="107">
        <v>13827247.073730141</v>
      </c>
      <c r="P211" s="107">
        <v>13892044.186209992</v>
      </c>
      <c r="Q211" s="107">
        <v>6570083.0799921453</v>
      </c>
      <c r="R211" s="107">
        <v>16726480.836139694</v>
      </c>
      <c r="S211" s="107">
        <v>-1191810.9145217836</v>
      </c>
      <c r="T211" s="107">
        <v>-2566275.5353152007</v>
      </c>
      <c r="U211" s="107">
        <v>237795.48144504428</v>
      </c>
    </row>
    <row r="212" spans="1:21" ht="13.2">
      <c r="A212" s="152">
        <v>203</v>
      </c>
      <c r="B212" s="151">
        <v>51664926.5</v>
      </c>
      <c r="C212" s="151">
        <v>51664926.5</v>
      </c>
      <c r="D212" s="151">
        <v>23773305.619802754</v>
      </c>
      <c r="E212" s="151">
        <v>41361640.157468915</v>
      </c>
      <c r="F212" s="151">
        <v>27401723.624710694</v>
      </c>
      <c r="G212" s="151">
        <v>15000000</v>
      </c>
      <c r="H212" s="151">
        <v>107536669.40198237</v>
      </c>
      <c r="I212" s="151">
        <v>103329853</v>
      </c>
      <c r="J212" s="151">
        <v>-4206816.401982367</v>
      </c>
      <c r="K212" s="151"/>
      <c r="N212" s="105">
        <v>188</v>
      </c>
      <c r="O212" s="107">
        <v>14573883.402282685</v>
      </c>
      <c r="P212" s="107">
        <v>7940815.5870977938</v>
      </c>
      <c r="Q212" s="107">
        <v>-1090998.2010227144</v>
      </c>
      <c r="R212" s="107">
        <v>15035860.840013385</v>
      </c>
      <c r="S212" s="107">
        <v>1337446.0889737308</v>
      </c>
      <c r="T212" s="107">
        <v>-3447770.4420273304</v>
      </c>
      <c r="U212" s="107">
        <v>-1217921.7412051708</v>
      </c>
    </row>
    <row r="213" spans="1:21" ht="13.2">
      <c r="A213" s="152">
        <v>204</v>
      </c>
      <c r="B213" s="151">
        <v>53319365.5</v>
      </c>
      <c r="C213" s="151">
        <v>53319365.5</v>
      </c>
      <c r="D213" s="151">
        <v>24860885.016412526</v>
      </c>
      <c r="E213" s="151">
        <v>42953188.47069554</v>
      </c>
      <c r="F213" s="151">
        <v>27805541.796077691</v>
      </c>
      <c r="G213" s="151">
        <v>15000000</v>
      </c>
      <c r="H213" s="151">
        <v>110619615.28318575</v>
      </c>
      <c r="I213" s="151">
        <v>106638731</v>
      </c>
      <c r="J213" s="151">
        <v>-3980884.2831857502</v>
      </c>
      <c r="K213" s="151"/>
      <c r="N213" s="105">
        <v>189</v>
      </c>
      <c r="O213" s="107">
        <v>12454774.197060019</v>
      </c>
      <c r="P213" s="107">
        <v>1763166.634136796</v>
      </c>
      <c r="Q213" s="107">
        <v>-5661295.4956134111</v>
      </c>
      <c r="R213" s="107">
        <v>-11521252.952442572</v>
      </c>
      <c r="S213" s="107">
        <v>-3938984.965749234</v>
      </c>
      <c r="T213" s="107">
        <v>-793951.31650131941</v>
      </c>
      <c r="U213" s="107">
        <v>6215388.1996034235</v>
      </c>
    </row>
    <row r="214" spans="1:21" ht="13.2">
      <c r="A214" s="152">
        <v>205</v>
      </c>
      <c r="B214" s="151">
        <v>58236781</v>
      </c>
      <c r="C214" s="151">
        <v>58236781</v>
      </c>
      <c r="D214" s="151">
        <v>23903764.913724732</v>
      </c>
      <c r="E214" s="151">
        <v>44832777.950355925</v>
      </c>
      <c r="F214" s="151">
        <v>28857395.998414967</v>
      </c>
      <c r="G214" s="151">
        <v>15000000</v>
      </c>
      <c r="H214" s="151">
        <v>112593938.86249562</v>
      </c>
      <c r="I214" s="151">
        <v>116473562</v>
      </c>
      <c r="J214" s="151">
        <v>3879623.1375043839</v>
      </c>
      <c r="K214" s="151"/>
      <c r="N214" s="105">
        <v>190</v>
      </c>
      <c r="O214" s="107">
        <v>5501600.8261660188</v>
      </c>
      <c r="P214" s="107">
        <v>3560777.3347091973</v>
      </c>
      <c r="Q214" s="107">
        <v>3263558.494568646</v>
      </c>
      <c r="R214" s="107">
        <v>886681.42621994019</v>
      </c>
      <c r="S214" s="107">
        <v>4715824.9321053028</v>
      </c>
      <c r="T214" s="107">
        <v>-2815725.3148123622</v>
      </c>
      <c r="U214" s="107">
        <v>-613618.48707057536</v>
      </c>
    </row>
    <row r="215" spans="1:21" ht="13.2">
      <c r="A215" s="152">
        <v>206</v>
      </c>
      <c r="B215" s="151">
        <v>53631143</v>
      </c>
      <c r="C215" s="151">
        <v>53631143</v>
      </c>
      <c r="D215" s="151">
        <v>25653987.379057165</v>
      </c>
      <c r="E215" s="151">
        <v>43631338.517521352</v>
      </c>
      <c r="F215" s="151">
        <v>28297888.733202703</v>
      </c>
      <c r="G215" s="151">
        <v>15000000</v>
      </c>
      <c r="H215" s="151">
        <v>112583214.62978122</v>
      </c>
      <c r="I215" s="151">
        <v>107262286</v>
      </c>
      <c r="J215" s="151">
        <v>-5320928.6297812164</v>
      </c>
      <c r="K215" s="151"/>
      <c r="N215" s="105">
        <v>191</v>
      </c>
      <c r="O215" s="107">
        <v>13560290.642434388</v>
      </c>
      <c r="P215" s="107">
        <v>5437645.749321878</v>
      </c>
      <c r="Q215" s="107">
        <v>11445018.824259534</v>
      </c>
      <c r="R215" s="107">
        <v>6449655.6305843592</v>
      </c>
      <c r="S215" s="107">
        <v>9166008.8687166125</v>
      </c>
      <c r="T215" s="107">
        <v>3785415.0102778822</v>
      </c>
      <c r="U215" s="107">
        <v>-6128618.3540035188</v>
      </c>
    </row>
    <row r="216" spans="1:21" ht="13.2">
      <c r="A216" s="152">
        <v>207</v>
      </c>
      <c r="B216" s="151">
        <v>60924690.5</v>
      </c>
      <c r="C216" s="151">
        <v>60924690.5</v>
      </c>
      <c r="D216" s="151">
        <v>23783523.962733731</v>
      </c>
      <c r="E216" s="151">
        <v>41996106.15082822</v>
      </c>
      <c r="F216" s="151">
        <v>25950290.768315844</v>
      </c>
      <c r="G216" s="151">
        <v>15000000</v>
      </c>
      <c r="H216" s="151">
        <v>106729920.88187779</v>
      </c>
      <c r="I216" s="151">
        <v>121849381</v>
      </c>
      <c r="J216" s="151">
        <v>15119460.118122205</v>
      </c>
      <c r="K216" s="151"/>
      <c r="N216" s="105">
        <v>192</v>
      </c>
      <c r="O216" s="107">
        <v>8566997.9480003417</v>
      </c>
      <c r="P216" s="107">
        <v>5166118.2104223073</v>
      </c>
      <c r="Q216" s="107">
        <v>9354421.9496334344</v>
      </c>
      <c r="R216" s="107">
        <v>801868.61484187841</v>
      </c>
      <c r="S216" s="107">
        <v>9397458.8038293421</v>
      </c>
      <c r="T216" s="107">
        <v>7182248.0495991409</v>
      </c>
      <c r="U216" s="107">
        <v>-2560310.137851119</v>
      </c>
    </row>
    <row r="217" spans="1:21" ht="13.2">
      <c r="A217" s="152">
        <v>208</v>
      </c>
      <c r="B217" s="151">
        <v>59277389</v>
      </c>
      <c r="C217" s="151">
        <v>59277389</v>
      </c>
      <c r="D217" s="151">
        <v>24169057.4216551</v>
      </c>
      <c r="E217" s="151">
        <v>42354917.672743358</v>
      </c>
      <c r="F217" s="151">
        <v>25696498.265315734</v>
      </c>
      <c r="G217" s="151">
        <v>15000000</v>
      </c>
      <c r="H217" s="151">
        <v>107220473.35971418</v>
      </c>
      <c r="I217" s="151">
        <v>118554778</v>
      </c>
      <c r="J217" s="151">
        <v>11334304.64028582</v>
      </c>
      <c r="K217" s="151"/>
      <c r="N217" s="105">
        <v>193</v>
      </c>
      <c r="O217" s="107">
        <v>1374891.2085112929</v>
      </c>
      <c r="P217" s="107">
        <v>22593374.176297575</v>
      </c>
      <c r="Q217" s="107">
        <v>10572133.344381779</v>
      </c>
      <c r="R217" s="107">
        <v>14688070.885932133</v>
      </c>
      <c r="S217" s="107">
        <v>1020591.1401828974</v>
      </c>
      <c r="T217" s="107">
        <v>-1564227.7842383087</v>
      </c>
      <c r="U217" s="107">
        <v>-2684108.0529693365</v>
      </c>
    </row>
    <row r="218" spans="1:21" ht="13.2">
      <c r="A218" s="152">
        <v>209</v>
      </c>
      <c r="B218" s="151">
        <v>56233657.5</v>
      </c>
      <c r="C218" s="151">
        <v>56233657.5</v>
      </c>
      <c r="D218" s="151">
        <v>23518231.454803362</v>
      </c>
      <c r="E218" s="151">
        <v>43156630.669947729</v>
      </c>
      <c r="F218" s="151">
        <v>28365883.553399906</v>
      </c>
      <c r="G218" s="151">
        <v>15000000</v>
      </c>
      <c r="H218" s="151">
        <v>110040745.678151</v>
      </c>
      <c r="I218" s="151">
        <v>112467315</v>
      </c>
      <c r="J218" s="151">
        <v>2426569.3218490034</v>
      </c>
      <c r="K218" s="151"/>
      <c r="N218" s="105">
        <v>194</v>
      </c>
      <c r="O218" s="107">
        <v>19160112.604323953</v>
      </c>
      <c r="P218" s="107">
        <v>-246638.60515797138</v>
      </c>
      <c r="Q218" s="107">
        <v>9454310.2450031787</v>
      </c>
      <c r="R218" s="107">
        <v>357492.81244814396</v>
      </c>
      <c r="S218" s="107">
        <v>694357.07848879695</v>
      </c>
      <c r="T218" s="107">
        <v>-9339167.5189525634</v>
      </c>
      <c r="U218" s="107">
        <v>1232809.2734367549</v>
      </c>
    </row>
    <row r="219" spans="1:21" ht="13.2">
      <c r="A219" s="152">
        <v>210</v>
      </c>
      <c r="B219" s="151">
        <v>59416907.5</v>
      </c>
      <c r="C219" s="151">
        <v>59416907.5</v>
      </c>
      <c r="D219" s="151">
        <v>24441204.910266712</v>
      </c>
      <c r="E219" s="151">
        <v>43925485.806336552</v>
      </c>
      <c r="F219" s="151">
        <v>27018001.672625266</v>
      </c>
      <c r="G219" s="151">
        <v>15000000</v>
      </c>
      <c r="H219" s="151">
        <v>110384692.38922852</v>
      </c>
      <c r="I219" s="151">
        <v>118833815</v>
      </c>
      <c r="J219" s="151">
        <v>8449122.6107714772</v>
      </c>
      <c r="K219" s="151"/>
      <c r="N219" s="105">
        <v>195</v>
      </c>
      <c r="O219" s="107">
        <v>17161802.533086017</v>
      </c>
      <c r="P219" s="107">
        <v>12937892.614482418</v>
      </c>
      <c r="Q219" s="107">
        <v>11125302.223165482</v>
      </c>
      <c r="R219" s="107">
        <v>1982491.4563454837</v>
      </c>
      <c r="S219" s="107">
        <v>4205006.4089130908</v>
      </c>
      <c r="T219" s="107">
        <v>1366153.833427161</v>
      </c>
      <c r="U219" s="107">
        <v>-10646581.406043649</v>
      </c>
    </row>
    <row r="220" spans="1:21" ht="13.2">
      <c r="A220" s="152">
        <v>211</v>
      </c>
      <c r="B220" s="151">
        <v>56651429</v>
      </c>
      <c r="C220" s="151">
        <v>56651429</v>
      </c>
      <c r="D220" s="151">
        <v>22705574.707951669</v>
      </c>
      <c r="E220" s="151">
        <v>43915344.274784259</v>
      </c>
      <c r="F220" s="151">
        <v>26992983.17499866</v>
      </c>
      <c r="G220" s="151">
        <v>15000000</v>
      </c>
      <c r="H220" s="151">
        <v>108613902.15773459</v>
      </c>
      <c r="I220" s="151">
        <v>113302858</v>
      </c>
      <c r="J220" s="151">
        <v>4688955.8422654122</v>
      </c>
      <c r="K220" s="151"/>
      <c r="N220" s="105">
        <v>196</v>
      </c>
      <c r="O220" s="107">
        <v>13164389.747941241</v>
      </c>
      <c r="P220" s="107">
        <v>17619375.212360829</v>
      </c>
      <c r="Q220" s="107">
        <v>-608697.32143953443</v>
      </c>
      <c r="R220" s="107">
        <v>11001986.580724865</v>
      </c>
      <c r="S220" s="107">
        <v>-2909307.6180394292</v>
      </c>
      <c r="T220" s="107">
        <v>-6139731.5432187766</v>
      </c>
      <c r="U220" s="107">
        <v>-10130288.911240727</v>
      </c>
    </row>
    <row r="221" spans="1:21" ht="13.2">
      <c r="A221" s="152">
        <v>212</v>
      </c>
      <c r="B221" s="151">
        <v>54271899.5</v>
      </c>
      <c r="C221" s="151">
        <v>54271899.5</v>
      </c>
      <c r="D221" s="151">
        <v>23247976.825683322</v>
      </c>
      <c r="E221" s="151">
        <v>42513855.429995105</v>
      </c>
      <c r="F221" s="151">
        <v>26463092.402032342</v>
      </c>
      <c r="G221" s="151">
        <v>15000000</v>
      </c>
      <c r="H221" s="151">
        <v>107224924.65771078</v>
      </c>
      <c r="I221" s="151">
        <v>108543799</v>
      </c>
      <c r="J221" s="151">
        <v>1318874.3422892243</v>
      </c>
      <c r="K221" s="151"/>
      <c r="N221" s="105">
        <v>197</v>
      </c>
      <c r="O221" s="107">
        <v>10408630.265625477</v>
      </c>
      <c r="P221" s="107">
        <v>-1085446.6700532585</v>
      </c>
      <c r="Q221" s="107">
        <v>13506067.515832394</v>
      </c>
      <c r="R221" s="107">
        <v>11298465.062516719</v>
      </c>
      <c r="S221" s="107">
        <v>-1487775.677225545</v>
      </c>
      <c r="T221" s="107">
        <v>2461438.6834125072</v>
      </c>
      <c r="U221" s="107">
        <v>323261.16218997538</v>
      </c>
    </row>
    <row r="222" spans="1:21" ht="13.2">
      <c r="A222" s="152">
        <v>213</v>
      </c>
      <c r="B222" s="151">
        <v>60892183.5</v>
      </c>
      <c r="C222" s="151">
        <v>60892183.5</v>
      </c>
      <c r="D222" s="151">
        <v>23901283.853129897</v>
      </c>
      <c r="E222" s="151">
        <v>42877253.592518449</v>
      </c>
      <c r="F222" s="151">
        <v>28732432.03934605</v>
      </c>
      <c r="G222" s="151">
        <v>15000000</v>
      </c>
      <c r="H222" s="151">
        <v>110510969.4849944</v>
      </c>
      <c r="I222" s="151">
        <v>121784367</v>
      </c>
      <c r="J222" s="151">
        <v>11273397.515005603</v>
      </c>
      <c r="K222" s="151"/>
      <c r="N222" s="105">
        <v>198</v>
      </c>
      <c r="O222" s="107">
        <v>13333296.853607804</v>
      </c>
      <c r="P222" s="107">
        <v>11308426.583943516</v>
      </c>
      <c r="Q222" s="107">
        <v>5148632.9846737981</v>
      </c>
      <c r="R222" s="107">
        <v>9072992.6161877066</v>
      </c>
      <c r="S222" s="107">
        <v>772618.82264477015</v>
      </c>
      <c r="T222" s="107">
        <v>-8322867.7116744816</v>
      </c>
      <c r="U222" s="107">
        <v>-2512204.9979825318</v>
      </c>
    </row>
    <row r="223" spans="1:21" ht="13.2">
      <c r="A223" s="152">
        <v>214</v>
      </c>
      <c r="B223" s="151">
        <v>53063054.5</v>
      </c>
      <c r="C223" s="151">
        <v>53063054.5</v>
      </c>
      <c r="D223" s="151">
        <v>23905951.873767938</v>
      </c>
      <c r="E223" s="151">
        <v>43702374.756899096</v>
      </c>
      <c r="F223" s="151">
        <v>27857503.66089711</v>
      </c>
      <c r="G223" s="151">
        <v>15000000</v>
      </c>
      <c r="H223" s="151">
        <v>110465830.29156414</v>
      </c>
      <c r="I223" s="151">
        <v>106126109</v>
      </c>
      <c r="J223" s="151">
        <v>-4339721.2915641367</v>
      </c>
      <c r="K223" s="151"/>
      <c r="N223" s="105">
        <v>199</v>
      </c>
      <c r="O223" s="107">
        <v>3500677.9799119532</v>
      </c>
      <c r="P223" s="107">
        <v>10646220.870539173</v>
      </c>
      <c r="Q223" s="107">
        <v>17577421.632946014</v>
      </c>
      <c r="R223" s="107">
        <v>3018679.7526534647</v>
      </c>
      <c r="S223" s="107">
        <v>3289869.454022646</v>
      </c>
      <c r="T223" s="107">
        <v>10879744.387615591</v>
      </c>
      <c r="U223" s="107">
        <v>28616.930684104562</v>
      </c>
    </row>
    <row r="224" spans="1:21" ht="13.2">
      <c r="A224" s="152">
        <v>215</v>
      </c>
      <c r="B224" s="151">
        <v>53766269</v>
      </c>
      <c r="C224" s="151">
        <v>53766269</v>
      </c>
      <c r="D224" s="151">
        <v>25114360.422471978</v>
      </c>
      <c r="E224" s="151">
        <v>42203343.620842874</v>
      </c>
      <c r="F224" s="151">
        <v>27751545.133476146</v>
      </c>
      <c r="G224" s="151">
        <v>15000000</v>
      </c>
      <c r="H224" s="151">
        <v>110069249.17679098</v>
      </c>
      <c r="I224" s="151">
        <v>107532538</v>
      </c>
      <c r="J224" s="151">
        <v>-2536711.1767909825</v>
      </c>
      <c r="K224" s="151"/>
      <c r="N224" s="105">
        <v>200</v>
      </c>
      <c r="O224" s="107">
        <v>15687686.787840679</v>
      </c>
      <c r="P224" s="107">
        <v>11545643.120011091</v>
      </c>
      <c r="Q224" s="107">
        <v>8393531.1194491088</v>
      </c>
      <c r="R224" s="107">
        <v>-9007558.2990623116</v>
      </c>
      <c r="S224" s="107">
        <v>828208.62811556458</v>
      </c>
      <c r="T224" s="107">
        <v>-1047761.5620085001</v>
      </c>
      <c r="U224" s="107">
        <v>963208.27310474217</v>
      </c>
    </row>
    <row r="225" spans="1:11" ht="13.2">
      <c r="A225" s="152">
        <v>216</v>
      </c>
      <c r="B225" s="151">
        <v>55133549</v>
      </c>
      <c r="C225" s="151">
        <v>55133549</v>
      </c>
      <c r="D225" s="151">
        <v>25922055.048134003</v>
      </c>
      <c r="E225" s="151">
        <v>43290406.203549162</v>
      </c>
      <c r="F225" s="151">
        <v>29354201.694351003</v>
      </c>
      <c r="G225" s="151">
        <v>15000000</v>
      </c>
      <c r="H225" s="151">
        <v>113566662.94603416</v>
      </c>
      <c r="I225" s="151">
        <v>110267098</v>
      </c>
      <c r="J225" s="151">
        <v>-3299564.9460341632</v>
      </c>
      <c r="K225" s="151"/>
    </row>
    <row r="226" spans="1:11" ht="13.2">
      <c r="A226" s="152">
        <v>217</v>
      </c>
      <c r="B226" s="151">
        <v>56320790</v>
      </c>
      <c r="C226" s="151">
        <v>56320790</v>
      </c>
      <c r="D226" s="151">
        <v>22440282.2000213</v>
      </c>
      <c r="E226" s="151">
        <v>43976874.161232062</v>
      </c>
      <c r="F226" s="151">
        <v>24715075.485870786</v>
      </c>
      <c r="G226" s="151">
        <v>15000000</v>
      </c>
      <c r="H226" s="151">
        <v>106132231.84712416</v>
      </c>
      <c r="I226" s="151">
        <v>112641580</v>
      </c>
      <c r="J226" s="151">
        <v>6509348.1528758407</v>
      </c>
      <c r="K226" s="151"/>
    </row>
    <row r="227" spans="1:11" ht="13.2">
      <c r="A227" s="152">
        <v>218</v>
      </c>
      <c r="B227" s="151">
        <v>56057870</v>
      </c>
      <c r="C227" s="151">
        <v>56057870</v>
      </c>
      <c r="D227" s="151">
        <v>23908432.934362773</v>
      </c>
      <c r="E227" s="151">
        <v>42702800.164172336</v>
      </c>
      <c r="F227" s="151">
        <v>25364973.959224522</v>
      </c>
      <c r="G227" s="151">
        <v>15000000</v>
      </c>
      <c r="H227" s="151">
        <v>106976207.05775963</v>
      </c>
      <c r="I227" s="151">
        <v>112115740</v>
      </c>
      <c r="J227" s="151">
        <v>5139532.9422403723</v>
      </c>
      <c r="K227" s="151"/>
    </row>
    <row r="228" spans="1:11" ht="13.2">
      <c r="A228" s="152">
        <v>219</v>
      </c>
      <c r="B228" s="151">
        <v>58653192.5</v>
      </c>
      <c r="C228" s="151">
        <v>58653192.5</v>
      </c>
      <c r="D228" s="151">
        <v>25248899.535928734</v>
      </c>
      <c r="E228" s="151">
        <v>43938861.22604844</v>
      </c>
      <c r="F228" s="151">
        <v>26558764.196258858</v>
      </c>
      <c r="G228" s="151">
        <v>15000000</v>
      </c>
      <c r="H228" s="151">
        <v>110746524.95823602</v>
      </c>
      <c r="I228" s="151">
        <v>117306385</v>
      </c>
      <c r="J228" s="151">
        <v>6559860.0417639762</v>
      </c>
      <c r="K228" s="151"/>
    </row>
    <row r="229" spans="1:11" ht="13.2">
      <c r="A229" s="152">
        <v>220</v>
      </c>
      <c r="B229" s="151">
        <v>53875281.5</v>
      </c>
      <c r="C229" s="151">
        <v>53875281.5</v>
      </c>
      <c r="D229" s="151">
        <v>26049445.080357876</v>
      </c>
      <c r="E229" s="151">
        <v>41771535.535957389</v>
      </c>
      <c r="F229" s="151">
        <v>30090881.577508911</v>
      </c>
      <c r="G229" s="151">
        <v>15000000</v>
      </c>
      <c r="H229" s="151">
        <v>112911862.19382417</v>
      </c>
      <c r="I229" s="151">
        <v>107750563</v>
      </c>
      <c r="J229" s="151">
        <v>-5161299.193824172</v>
      </c>
      <c r="K229" s="151"/>
    </row>
    <row r="230" spans="1:11" ht="13.2">
      <c r="A230" s="152">
        <v>221</v>
      </c>
      <c r="B230" s="151">
        <v>56967271.5</v>
      </c>
      <c r="C230" s="151">
        <v>56967271.5</v>
      </c>
      <c r="D230" s="151">
        <v>25123696.463748056</v>
      </c>
      <c r="E230" s="151">
        <v>43058286.146292888</v>
      </c>
      <c r="F230" s="151">
        <v>26242663.39613533</v>
      </c>
      <c r="G230" s="151">
        <v>15000000</v>
      </c>
      <c r="H230" s="151">
        <v>109424646.00617628</v>
      </c>
      <c r="I230" s="151">
        <v>113934543</v>
      </c>
      <c r="J230" s="151">
        <v>4509896.993823722</v>
      </c>
      <c r="K230" s="151"/>
    </row>
    <row r="231" spans="1:11" ht="13.2">
      <c r="A231" s="152">
        <v>222</v>
      </c>
      <c r="B231" s="151">
        <v>58064030.5</v>
      </c>
      <c r="C231" s="151">
        <v>58064030.5</v>
      </c>
      <c r="D231" s="151">
        <v>25926723.068772044</v>
      </c>
      <c r="E231" s="151">
        <v>41464340.057210259</v>
      </c>
      <c r="F231" s="151">
        <v>28100566.412630465</v>
      </c>
      <c r="G231" s="151">
        <v>15000000</v>
      </c>
      <c r="H231" s="151">
        <v>110491629.53861277</v>
      </c>
      <c r="I231" s="151">
        <v>116128061</v>
      </c>
      <c r="J231" s="151">
        <v>5636431.4613872319</v>
      </c>
      <c r="K231" s="151"/>
    </row>
    <row r="232" spans="1:11" ht="13.2">
      <c r="A232" s="152">
        <v>223</v>
      </c>
      <c r="B232" s="151">
        <v>53821084</v>
      </c>
      <c r="C232" s="151">
        <v>53821084</v>
      </c>
      <c r="D232" s="151">
        <v>24564515.122955818</v>
      </c>
      <c r="E232" s="151">
        <v>41590888.284411132</v>
      </c>
      <c r="F232" s="151">
        <v>29537327.133095831</v>
      </c>
      <c r="G232" s="151">
        <v>15000000</v>
      </c>
      <c r="H232" s="151">
        <v>110692730.54046278</v>
      </c>
      <c r="I232" s="151">
        <v>107642168</v>
      </c>
      <c r="J232" s="151">
        <v>-3050562.540462777</v>
      </c>
      <c r="K232" s="151"/>
    </row>
    <row r="233" spans="1:11" ht="13.2">
      <c r="A233" s="152">
        <v>224</v>
      </c>
      <c r="B233" s="151">
        <v>51973211.5</v>
      </c>
      <c r="C233" s="151">
        <v>51973211.5</v>
      </c>
      <c r="D233" s="151">
        <v>22826109.759494305</v>
      </c>
      <c r="E233" s="151">
        <v>43366504.58721523</v>
      </c>
      <c r="F233" s="151">
        <v>26744386.186846215</v>
      </c>
      <c r="G233" s="151">
        <v>15000000</v>
      </c>
      <c r="H233" s="151">
        <v>107937000.53355575</v>
      </c>
      <c r="I233" s="151">
        <v>103946423</v>
      </c>
      <c r="J233" s="151">
        <v>-3990577.5335557461</v>
      </c>
      <c r="K233" s="151"/>
    </row>
    <row r="234" spans="1:11" ht="13.2">
      <c r="A234" s="152">
        <v>225</v>
      </c>
      <c r="B234" s="151">
        <v>59581164.5</v>
      </c>
      <c r="C234" s="151">
        <v>59581164.5</v>
      </c>
      <c r="D234" s="151">
        <v>24716715.761128061</v>
      </c>
      <c r="E234" s="151">
        <v>42805168.331497528</v>
      </c>
      <c r="F234" s="151">
        <v>26048661.069608897</v>
      </c>
      <c r="G234" s="151">
        <v>15000000</v>
      </c>
      <c r="H234" s="151">
        <v>108570545.16223449</v>
      </c>
      <c r="I234" s="151">
        <v>119162329</v>
      </c>
      <c r="J234" s="151">
        <v>10591783.837765515</v>
      </c>
      <c r="K234" s="151"/>
    </row>
    <row r="235" spans="1:11" ht="13.2">
      <c r="A235" s="152">
        <v>226</v>
      </c>
      <c r="B235" s="151">
        <v>56006452.5</v>
      </c>
      <c r="C235" s="151">
        <v>56006452.5</v>
      </c>
      <c r="D235" s="151">
        <v>25781965.612384308</v>
      </c>
      <c r="E235" s="151">
        <v>43754826.88377323</v>
      </c>
      <c r="F235" s="151">
        <v>25963313.695572339</v>
      </c>
      <c r="G235" s="151">
        <v>15000000</v>
      </c>
      <c r="H235" s="151">
        <v>110500106.19172987</v>
      </c>
      <c r="I235" s="151">
        <v>112012905</v>
      </c>
      <c r="J235" s="151">
        <v>1512798.8082701266</v>
      </c>
      <c r="K235" s="151"/>
    </row>
    <row r="236" spans="1:11" ht="13.2">
      <c r="A236" s="152">
        <v>227</v>
      </c>
      <c r="B236" s="151">
        <v>52696951.5</v>
      </c>
      <c r="C236" s="151">
        <v>52696951.5</v>
      </c>
      <c r="D236" s="151">
        <v>25382133.990997184</v>
      </c>
      <c r="E236" s="151">
        <v>41797722.461399689</v>
      </c>
      <c r="F236" s="151">
        <v>25616588.727844734</v>
      </c>
      <c r="G236" s="151">
        <v>15000000</v>
      </c>
      <c r="H236" s="151">
        <v>107796445.1802416</v>
      </c>
      <c r="I236" s="151">
        <v>105393903</v>
      </c>
      <c r="J236" s="151">
        <v>-2402542.1802415997</v>
      </c>
      <c r="K236" s="151"/>
    </row>
    <row r="237" spans="1:11" ht="13.2">
      <c r="A237" s="152">
        <v>228</v>
      </c>
      <c r="B237" s="151">
        <v>57455480.5</v>
      </c>
      <c r="C237" s="151">
        <v>57455480.5</v>
      </c>
      <c r="D237" s="151">
        <v>25791595.754212022</v>
      </c>
      <c r="E237" s="151">
        <v>41774102.196844943</v>
      </c>
      <c r="F237" s="151">
        <v>26323633.300336506</v>
      </c>
      <c r="G237" s="151">
        <v>15000000</v>
      </c>
      <c r="H237" s="151">
        <v>108889331.25139347</v>
      </c>
      <c r="I237" s="151">
        <v>114910961</v>
      </c>
      <c r="J237" s="151">
        <v>6021629.7486065328</v>
      </c>
      <c r="K237" s="151"/>
    </row>
    <row r="238" spans="1:11" ht="13.2">
      <c r="A238" s="152">
        <v>229</v>
      </c>
      <c r="B238" s="151">
        <v>53856914</v>
      </c>
      <c r="C238" s="151">
        <v>53856914</v>
      </c>
      <c r="D238" s="151">
        <v>22705574.707951669</v>
      </c>
      <c r="E238" s="151">
        <v>43307448.082956612</v>
      </c>
      <c r="F238" s="151">
        <v>27020942.62995765</v>
      </c>
      <c r="G238" s="151">
        <v>15000000</v>
      </c>
      <c r="H238" s="151">
        <v>108033965.42086592</v>
      </c>
      <c r="I238" s="151">
        <v>107713828</v>
      </c>
      <c r="J238" s="151">
        <v>-320137.42086592317</v>
      </c>
      <c r="K238" s="151"/>
    </row>
    <row r="239" spans="1:11" ht="13.2">
      <c r="A239" s="152">
        <v>230</v>
      </c>
      <c r="B239" s="151">
        <v>50987244</v>
      </c>
      <c r="C239" s="151">
        <v>50987244</v>
      </c>
      <c r="D239" s="151">
        <v>22982978.418304585</v>
      </c>
      <c r="E239" s="151">
        <v>43069065.406931102</v>
      </c>
      <c r="F239" s="151">
        <v>29617816.208235044</v>
      </c>
      <c r="G239" s="151">
        <v>15000000</v>
      </c>
      <c r="H239" s="151">
        <v>110669860.03347073</v>
      </c>
      <c r="I239" s="151">
        <v>101974488</v>
      </c>
      <c r="J239" s="151">
        <v>-8695372.033470735</v>
      </c>
      <c r="K239" s="151"/>
    </row>
    <row r="240" spans="1:11" ht="13.2">
      <c r="A240" s="152">
        <v>231</v>
      </c>
      <c r="B240" s="151">
        <v>57180697.5</v>
      </c>
      <c r="C240" s="151">
        <v>57180697.5</v>
      </c>
      <c r="D240" s="151">
        <v>24716127.56002479</v>
      </c>
      <c r="E240" s="151">
        <v>43134418.132128537</v>
      </c>
      <c r="F240" s="151">
        <v>27882499.263988227</v>
      </c>
      <c r="G240" s="151">
        <v>15000000</v>
      </c>
      <c r="H240" s="151">
        <v>110733044.95614156</v>
      </c>
      <c r="I240" s="151">
        <v>114361395</v>
      </c>
      <c r="J240" s="151">
        <v>3628350.0438584387</v>
      </c>
      <c r="K240" s="151"/>
    </row>
    <row r="241" spans="1:11" ht="13.2">
      <c r="A241" s="152">
        <v>232</v>
      </c>
      <c r="B241" s="151">
        <v>54999701.5</v>
      </c>
      <c r="C241" s="151">
        <v>54999701.5</v>
      </c>
      <c r="D241" s="151">
        <v>25922055.048134003</v>
      </c>
      <c r="E241" s="151">
        <v>40688053.178508043</v>
      </c>
      <c r="F241" s="151">
        <v>26131379.491214778</v>
      </c>
      <c r="G241" s="151">
        <v>15000000</v>
      </c>
      <c r="H241" s="151">
        <v>107741487.71785682</v>
      </c>
      <c r="I241" s="151">
        <v>109999403</v>
      </c>
      <c r="J241" s="151">
        <v>2257915.2821431756</v>
      </c>
      <c r="K241" s="151"/>
    </row>
    <row r="242" spans="1:11" ht="13.2">
      <c r="A242" s="152">
        <v>233</v>
      </c>
      <c r="B242" s="151">
        <v>58551183</v>
      </c>
      <c r="C242" s="151">
        <v>58551183</v>
      </c>
      <c r="D242" s="151">
        <v>22577890.575176161</v>
      </c>
      <c r="E242" s="151">
        <v>43138517.316724323</v>
      </c>
      <c r="F242" s="151">
        <v>28197570.389532603</v>
      </c>
      <c r="G242" s="151">
        <v>15000000</v>
      </c>
      <c r="H242" s="151">
        <v>108913978.28143308</v>
      </c>
      <c r="I242" s="151">
        <v>117102366</v>
      </c>
      <c r="J242" s="151">
        <v>8188387.7185669243</v>
      </c>
      <c r="K242" s="151"/>
    </row>
    <row r="243" spans="1:11" ht="13.2">
      <c r="A243" s="152">
        <v>234</v>
      </c>
      <c r="B243" s="151">
        <v>56294677</v>
      </c>
      <c r="C243" s="151">
        <v>56294677</v>
      </c>
      <c r="D243" s="151">
        <v>24311627.917999633</v>
      </c>
      <c r="E243" s="151">
        <v>42309018.945645191</v>
      </c>
      <c r="F243" s="151">
        <v>28812333.87322136</v>
      </c>
      <c r="G243" s="151">
        <v>15000000</v>
      </c>
      <c r="H243" s="151">
        <v>110432980.73686618</v>
      </c>
      <c r="I243" s="151">
        <v>112589354</v>
      </c>
      <c r="J243" s="151">
        <v>2156373.2631338239</v>
      </c>
      <c r="K243" s="151"/>
    </row>
    <row r="244" spans="1:11" ht="13.2">
      <c r="A244" s="152">
        <v>235</v>
      </c>
      <c r="B244" s="151">
        <v>56065883</v>
      </c>
      <c r="C244" s="151">
        <v>56065883</v>
      </c>
      <c r="D244" s="151">
        <v>22975829.337071717</v>
      </c>
      <c r="E244" s="151">
        <v>41610103.266582951</v>
      </c>
      <c r="F244" s="151">
        <v>25946782.457313217</v>
      </c>
      <c r="G244" s="151">
        <v>15000000</v>
      </c>
      <c r="H244" s="151">
        <v>105532715.06096789</v>
      </c>
      <c r="I244" s="151">
        <v>112131766</v>
      </c>
      <c r="J244" s="151">
        <v>6599050.9390321076</v>
      </c>
      <c r="K244" s="151"/>
    </row>
    <row r="245" spans="1:11" ht="13.2">
      <c r="A245" s="152">
        <v>236</v>
      </c>
      <c r="B245" s="151">
        <v>53030861.5</v>
      </c>
      <c r="C245" s="151">
        <v>53030861.5</v>
      </c>
      <c r="D245" s="151">
        <v>22968680.255838834</v>
      </c>
      <c r="E245" s="151">
        <v>43223133.984194458</v>
      </c>
      <c r="F245" s="151">
        <v>27689986.906017903</v>
      </c>
      <c r="G245" s="151">
        <v>15000000</v>
      </c>
      <c r="H245" s="151">
        <v>108881801.1460512</v>
      </c>
      <c r="I245" s="151">
        <v>106061723</v>
      </c>
      <c r="J245" s="151">
        <v>-2820078.1460511982</v>
      </c>
      <c r="K245" s="151"/>
    </row>
    <row r="246" spans="1:11" ht="13.2">
      <c r="A246" s="152">
        <v>237</v>
      </c>
      <c r="B246" s="151">
        <v>55930251</v>
      </c>
      <c r="C246" s="151">
        <v>55930251</v>
      </c>
      <c r="D246" s="151">
        <v>24055671.451345343</v>
      </c>
      <c r="E246" s="151">
        <v>42487370.765256271</v>
      </c>
      <c r="F246" s="151">
        <v>26863422.069828194</v>
      </c>
      <c r="G246" s="151">
        <v>15000000</v>
      </c>
      <c r="H246" s="151">
        <v>108406464.28642981</v>
      </c>
      <c r="I246" s="151">
        <v>111860502</v>
      </c>
      <c r="J246" s="151">
        <v>3454037.7135701925</v>
      </c>
      <c r="K246" s="151"/>
    </row>
    <row r="247" spans="1:11" ht="13.2">
      <c r="A247" s="152">
        <v>238</v>
      </c>
      <c r="B247" s="151">
        <v>52350950</v>
      </c>
      <c r="C247" s="151">
        <v>52350950</v>
      </c>
      <c r="D247" s="151">
        <v>23646209.688130505</v>
      </c>
      <c r="E247" s="151">
        <v>43775413.273383796</v>
      </c>
      <c r="F247" s="151">
        <v>25303308.533857491</v>
      </c>
      <c r="G247" s="151">
        <v>15000000</v>
      </c>
      <c r="H247" s="151">
        <v>107724931.49537179</v>
      </c>
      <c r="I247" s="151">
        <v>104701900</v>
      </c>
      <c r="J247" s="151">
        <v>-3023031.4953717887</v>
      </c>
      <c r="K247" s="151"/>
    </row>
    <row r="248" spans="1:11" ht="13.2">
      <c r="A248" s="152">
        <v>239</v>
      </c>
      <c r="B248" s="151">
        <v>54329861</v>
      </c>
      <c r="C248" s="151">
        <v>54329861</v>
      </c>
      <c r="D248" s="151">
        <v>23911208.095509242</v>
      </c>
      <c r="E248" s="151">
        <v>43231088.134804443</v>
      </c>
      <c r="F248" s="151">
        <v>27111267.161307614</v>
      </c>
      <c r="G248" s="151">
        <v>15000000</v>
      </c>
      <c r="H248" s="151">
        <v>109253563.39162131</v>
      </c>
      <c r="I248" s="151">
        <v>108659722</v>
      </c>
      <c r="J248" s="151">
        <v>-593841.39162130654</v>
      </c>
      <c r="K248" s="151"/>
    </row>
    <row r="249" spans="1:11" ht="13.2">
      <c r="A249" s="152">
        <v>240</v>
      </c>
      <c r="B249" s="151">
        <v>53905468.5</v>
      </c>
      <c r="C249" s="151">
        <v>53905468.5</v>
      </c>
      <c r="D249" s="151">
        <v>23370992.937820792</v>
      </c>
      <c r="E249" s="151">
        <v>42741534.100371897</v>
      </c>
      <c r="F249" s="151">
        <v>25847938.037413307</v>
      </c>
      <c r="G249" s="151">
        <v>15000000</v>
      </c>
      <c r="H249" s="151">
        <v>106960465.07560599</v>
      </c>
      <c r="I249" s="151">
        <v>107810937</v>
      </c>
      <c r="J249" s="151">
        <v>850471.9243940115</v>
      </c>
      <c r="K249" s="151"/>
    </row>
    <row r="250" spans="1:11" ht="13.2">
      <c r="A250" s="152">
        <v>241</v>
      </c>
      <c r="B250" s="151">
        <v>59599461</v>
      </c>
      <c r="C250" s="151">
        <v>59599461</v>
      </c>
      <c r="D250" s="151">
        <v>23371581.138924059</v>
      </c>
      <c r="E250" s="151">
        <v>43240133.130559064</v>
      </c>
      <c r="F250" s="151">
        <v>24583081.626499794</v>
      </c>
      <c r="G250" s="151">
        <v>15000000</v>
      </c>
      <c r="H250" s="151">
        <v>106194795.89598292</v>
      </c>
      <c r="I250" s="151">
        <v>119198922</v>
      </c>
      <c r="J250" s="151">
        <v>13004126.104017079</v>
      </c>
      <c r="K250" s="151"/>
    </row>
    <row r="251" spans="1:11" ht="13.2">
      <c r="A251" s="152">
        <v>242</v>
      </c>
      <c r="B251" s="151">
        <v>56275453.5</v>
      </c>
      <c r="C251" s="151">
        <v>56275453.5</v>
      </c>
      <c r="D251" s="151">
        <v>25388988.971678428</v>
      </c>
      <c r="E251" s="151">
        <v>42756225.105766118</v>
      </c>
      <c r="F251" s="151">
        <v>28409612.924295586</v>
      </c>
      <c r="G251" s="151">
        <v>15000000</v>
      </c>
      <c r="H251" s="151">
        <v>111554827.00174014</v>
      </c>
      <c r="I251" s="151">
        <v>112550907</v>
      </c>
      <c r="J251" s="151">
        <v>996079.9982598573</v>
      </c>
      <c r="K251" s="151"/>
    </row>
    <row r="252" spans="1:11" ht="13.2">
      <c r="A252" s="152">
        <v>243</v>
      </c>
      <c r="B252" s="151">
        <v>54848985</v>
      </c>
      <c r="C252" s="151">
        <v>54848985</v>
      </c>
      <c r="D252" s="151">
        <v>24458278.233878933</v>
      </c>
      <c r="E252" s="151">
        <v>42721525.891650617</v>
      </c>
      <c r="F252" s="151">
        <v>28305996.11388107</v>
      </c>
      <c r="G252" s="151">
        <v>15000000</v>
      </c>
      <c r="H252" s="151">
        <v>110485800.23941062</v>
      </c>
      <c r="I252" s="151">
        <v>109697970</v>
      </c>
      <c r="J252" s="151">
        <v>-787830.23941062391</v>
      </c>
      <c r="K252" s="151"/>
    </row>
    <row r="253" spans="1:11" ht="13.2">
      <c r="A253" s="152">
        <v>244</v>
      </c>
      <c r="B253" s="151">
        <v>56949361.5</v>
      </c>
      <c r="C253" s="151">
        <v>56949361.5</v>
      </c>
      <c r="D253" s="151">
        <v>25251380.596523572</v>
      </c>
      <c r="E253" s="151">
        <v>41870094.283214971</v>
      </c>
      <c r="F253" s="151">
        <v>27577738.442511085</v>
      </c>
      <c r="G253" s="151">
        <v>15000000</v>
      </c>
      <c r="H253" s="151">
        <v>109699213.32224962</v>
      </c>
      <c r="I253" s="151">
        <v>113898723</v>
      </c>
      <c r="J253" s="151">
        <v>4199509.6777503788</v>
      </c>
      <c r="K253" s="151"/>
    </row>
    <row r="254" spans="1:11" ht="13.2">
      <c r="A254" s="152">
        <v>245</v>
      </c>
      <c r="B254" s="151">
        <v>58449377</v>
      </c>
      <c r="C254" s="151">
        <v>58449377</v>
      </c>
      <c r="D254" s="151">
        <v>24318482.898680873</v>
      </c>
      <c r="E254" s="151">
        <v>41343520.648099318</v>
      </c>
      <c r="F254" s="151">
        <v>26561885.113841679</v>
      </c>
      <c r="G254" s="151">
        <v>15000000</v>
      </c>
      <c r="H254" s="151">
        <v>107223888.66062187</v>
      </c>
      <c r="I254" s="151">
        <v>116898754</v>
      </c>
      <c r="J254" s="151">
        <v>9674865.3393781334</v>
      </c>
      <c r="K254" s="151"/>
    </row>
    <row r="255" spans="1:11" ht="13.2">
      <c r="A255" s="152">
        <v>246</v>
      </c>
      <c r="B255" s="151">
        <v>58112480</v>
      </c>
      <c r="C255" s="151">
        <v>58112480</v>
      </c>
      <c r="D255" s="151">
        <v>23248270.926234953</v>
      </c>
      <c r="E255" s="151">
        <v>44052343.434280984</v>
      </c>
      <c r="F255" s="151">
        <v>29246105.14428848</v>
      </c>
      <c r="G255" s="151">
        <v>15000000</v>
      </c>
      <c r="H255" s="151">
        <v>111546719.50480442</v>
      </c>
      <c r="I255" s="151">
        <v>116224960</v>
      </c>
      <c r="J255" s="151">
        <v>4678240.4951955825</v>
      </c>
      <c r="K255" s="151"/>
    </row>
    <row r="256" spans="1:11" ht="13.2">
      <c r="A256" s="152">
        <v>247</v>
      </c>
      <c r="B256" s="151">
        <v>54569399</v>
      </c>
      <c r="C256" s="151">
        <v>54569399</v>
      </c>
      <c r="D256" s="151">
        <v>24721383.781766098</v>
      </c>
      <c r="E256" s="151">
        <v>42609693.599976473</v>
      </c>
      <c r="F256" s="151">
        <v>26722667.28891404</v>
      </c>
      <c r="G256" s="151">
        <v>15000000</v>
      </c>
      <c r="H256" s="151">
        <v>109053744.67065661</v>
      </c>
      <c r="I256" s="151">
        <v>109138798</v>
      </c>
      <c r="J256" s="151">
        <v>85053.329343393445</v>
      </c>
      <c r="K256" s="151"/>
    </row>
    <row r="257" spans="1:11" ht="13.2">
      <c r="A257" s="152">
        <v>248</v>
      </c>
      <c r="B257" s="151">
        <v>59306867.5</v>
      </c>
      <c r="C257" s="151">
        <v>59306867.5</v>
      </c>
      <c r="D257" s="151">
        <v>23505826.151829179</v>
      </c>
      <c r="E257" s="151">
        <v>42997865.428743288</v>
      </c>
      <c r="F257" s="151">
        <v>27858667.268184908</v>
      </c>
      <c r="G257" s="151">
        <v>15000000</v>
      </c>
      <c r="H257" s="151">
        <v>109362358.84875739</v>
      </c>
      <c r="I257" s="151">
        <v>118613735</v>
      </c>
      <c r="J257" s="151">
        <v>9251376.1512426138</v>
      </c>
      <c r="K257" s="151"/>
    </row>
    <row r="258" spans="1:11" ht="13.2">
      <c r="A258" s="152">
        <v>249</v>
      </c>
      <c r="B258" s="151">
        <v>54894389.5</v>
      </c>
      <c r="C258" s="151">
        <v>54894389.5</v>
      </c>
      <c r="D258" s="151">
        <v>24186130.745267324</v>
      </c>
      <c r="E258" s="151">
        <v>41489489.353415102</v>
      </c>
      <c r="F258" s="151">
        <v>25739822.684612859</v>
      </c>
      <c r="G258" s="151">
        <v>15000000</v>
      </c>
      <c r="H258" s="151">
        <v>106415442.78329529</v>
      </c>
      <c r="I258" s="151">
        <v>109788779</v>
      </c>
      <c r="J258" s="151">
        <v>3373336.2167047113</v>
      </c>
      <c r="K258" s="151"/>
    </row>
    <row r="259" spans="1:11" ht="13.2">
      <c r="A259" s="152">
        <v>250</v>
      </c>
      <c r="B259" s="151">
        <v>55124850</v>
      </c>
      <c r="C259" s="151">
        <v>55124850</v>
      </c>
      <c r="D259" s="151">
        <v>23356694.775355041</v>
      </c>
      <c r="E259" s="151">
        <v>42393424.434912547</v>
      </c>
      <c r="F259" s="151">
        <v>27687056.256292023</v>
      </c>
      <c r="G259" s="151">
        <v>15000000</v>
      </c>
      <c r="H259" s="151">
        <v>108437175.46655962</v>
      </c>
      <c r="I259" s="151">
        <v>110249700</v>
      </c>
      <c r="J259" s="151">
        <v>1812524.5334403813</v>
      </c>
      <c r="K259" s="151"/>
    </row>
    <row r="260" spans="1:11" ht="13.2">
      <c r="A260" s="152">
        <v>251</v>
      </c>
      <c r="B260" s="151">
        <v>61707536</v>
      </c>
      <c r="C260" s="151">
        <v>61707536</v>
      </c>
      <c r="D260" s="151">
        <v>22572928.453986485</v>
      </c>
      <c r="E260" s="151">
        <v>41486298.321796231</v>
      </c>
      <c r="F260" s="151">
        <v>29105655.884217717</v>
      </c>
      <c r="G260" s="151">
        <v>15000000</v>
      </c>
      <c r="H260" s="151">
        <v>108164882.66000044</v>
      </c>
      <c r="I260" s="151">
        <v>123415072</v>
      </c>
      <c r="J260" s="151">
        <v>15250189.339999557</v>
      </c>
      <c r="K260" s="151"/>
    </row>
    <row r="261" spans="1:11" ht="13.2">
      <c r="A261" s="152">
        <v>252</v>
      </c>
      <c r="B261" s="151">
        <v>56041804.5</v>
      </c>
      <c r="C261" s="151">
        <v>56041804.5</v>
      </c>
      <c r="D261" s="151">
        <v>25654281.479608793</v>
      </c>
      <c r="E261" s="151">
        <v>43797952.524785854</v>
      </c>
      <c r="F261" s="151">
        <v>29420209.199536007</v>
      </c>
      <c r="G261" s="151">
        <v>15000000</v>
      </c>
      <c r="H261" s="151">
        <v>113872443.20393066</v>
      </c>
      <c r="I261" s="151">
        <v>112083609</v>
      </c>
      <c r="J261" s="151">
        <v>-1788834.2039306611</v>
      </c>
      <c r="K261" s="151"/>
    </row>
    <row r="262" spans="1:11" ht="13.2">
      <c r="A262" s="152">
        <v>253</v>
      </c>
      <c r="B262" s="151">
        <v>57923261.5</v>
      </c>
      <c r="C262" s="151">
        <v>57923261.5</v>
      </c>
      <c r="D262" s="151">
        <v>26182091.334323063</v>
      </c>
      <c r="E262" s="151">
        <v>41040447.550170638</v>
      </c>
      <c r="F262" s="151">
        <v>24780008.160314541</v>
      </c>
      <c r="G262" s="151">
        <v>15000000</v>
      </c>
      <c r="H262" s="151">
        <v>107002547.04480825</v>
      </c>
      <c r="I262" s="151">
        <v>115846523</v>
      </c>
      <c r="J262" s="151">
        <v>8843975.9551917464</v>
      </c>
      <c r="K262" s="151"/>
    </row>
    <row r="263" spans="1:11" ht="13.2">
      <c r="A263" s="152">
        <v>254</v>
      </c>
      <c r="B263" s="151">
        <v>51468806.5</v>
      </c>
      <c r="C263" s="151">
        <v>51468806.5</v>
      </c>
      <c r="D263" s="151">
        <v>22705868.808503304</v>
      </c>
      <c r="E263" s="151">
        <v>44038403.837017864</v>
      </c>
      <c r="F263" s="151">
        <v>28460152.485929791</v>
      </c>
      <c r="G263" s="151">
        <v>15000000</v>
      </c>
      <c r="H263" s="151">
        <v>110204425.13145095</v>
      </c>
      <c r="I263" s="151">
        <v>102937613</v>
      </c>
      <c r="J263" s="151">
        <v>-7266812.1314509511</v>
      </c>
      <c r="K263" s="151"/>
    </row>
    <row r="264" spans="1:11" ht="13.2">
      <c r="A264" s="152">
        <v>255</v>
      </c>
      <c r="B264" s="151">
        <v>54430550.5</v>
      </c>
      <c r="C264" s="151">
        <v>54430550.5</v>
      </c>
      <c r="D264" s="151">
        <v>25123990.564299691</v>
      </c>
      <c r="E264" s="151">
        <v>43037420.932748258</v>
      </c>
      <c r="F264" s="151">
        <v>24885128.15365335</v>
      </c>
      <c r="G264" s="151">
        <v>15000000</v>
      </c>
      <c r="H264" s="151">
        <v>108046539.6507013</v>
      </c>
      <c r="I264" s="151">
        <v>108861101</v>
      </c>
      <c r="J264" s="151">
        <v>814561.34929870069</v>
      </c>
      <c r="K264" s="151"/>
    </row>
    <row r="265" spans="1:11" ht="13.2">
      <c r="A265" s="152">
        <v>256</v>
      </c>
      <c r="B265" s="151">
        <v>58791254</v>
      </c>
      <c r="C265" s="151">
        <v>58791254</v>
      </c>
      <c r="D265" s="151">
        <v>23247976.825683322</v>
      </c>
      <c r="E265" s="151">
        <v>42159590.256680518</v>
      </c>
      <c r="F265" s="151">
        <v>26461335.648048535</v>
      </c>
      <c r="G265" s="151">
        <v>15000000</v>
      </c>
      <c r="H265" s="151">
        <v>106868902.73041238</v>
      </c>
      <c r="I265" s="151">
        <v>117582508</v>
      </c>
      <c r="J265" s="151">
        <v>10713605.269587621</v>
      </c>
      <c r="K265" s="151"/>
    </row>
    <row r="266" spans="1:11" ht="13.2">
      <c r="A266" s="152">
        <v>257</v>
      </c>
      <c r="B266" s="151">
        <v>57626372</v>
      </c>
      <c r="C266" s="151">
        <v>57626372</v>
      </c>
      <c r="D266" s="151">
        <v>25123990.564299691</v>
      </c>
      <c r="E266" s="151">
        <v>41944368.57562203</v>
      </c>
      <c r="F266" s="151">
        <v>26563575.981362592</v>
      </c>
      <c r="G266" s="151">
        <v>15000000</v>
      </c>
      <c r="H266" s="151">
        <v>108631935.12128432</v>
      </c>
      <c r="I266" s="151">
        <v>115252744</v>
      </c>
      <c r="J266" s="151">
        <v>6620808.878715679</v>
      </c>
      <c r="K266" s="151"/>
    </row>
    <row r="267" spans="1:11" ht="13.2">
      <c r="A267" s="152">
        <v>258</v>
      </c>
      <c r="B267" s="151">
        <v>52955009.5</v>
      </c>
      <c r="C267" s="151">
        <v>52955009.5</v>
      </c>
      <c r="D267" s="151">
        <v>25644651.337781083</v>
      </c>
      <c r="E267" s="151">
        <v>45295807.186392441</v>
      </c>
      <c r="F267" s="151">
        <v>26685903.949869022</v>
      </c>
      <c r="G267" s="151">
        <v>15000000</v>
      </c>
      <c r="H267" s="151">
        <v>112626362.47404255</v>
      </c>
      <c r="I267" s="151">
        <v>105910019</v>
      </c>
      <c r="J267" s="151">
        <v>-6716343.4740425497</v>
      </c>
      <c r="K267" s="151"/>
    </row>
    <row r="268" spans="1:11" ht="13.2">
      <c r="A268" s="152">
        <v>259</v>
      </c>
      <c r="B268" s="151">
        <v>58333939.5</v>
      </c>
      <c r="C268" s="151">
        <v>58333939.5</v>
      </c>
      <c r="D268" s="151">
        <v>26042295.999125004</v>
      </c>
      <c r="E268" s="151">
        <v>43166016.729054227</v>
      </c>
      <c r="F268" s="151">
        <v>28126423.044468317</v>
      </c>
      <c r="G268" s="151">
        <v>15000000</v>
      </c>
      <c r="H268" s="151">
        <v>112334735.77264754</v>
      </c>
      <c r="I268" s="151">
        <v>116667879</v>
      </c>
      <c r="J268" s="151">
        <v>4333143.2273524553</v>
      </c>
      <c r="K268" s="151"/>
    </row>
    <row r="269" spans="1:11" ht="13.2">
      <c r="A269" s="152">
        <v>260</v>
      </c>
      <c r="B269" s="151">
        <v>54250754.5</v>
      </c>
      <c r="C269" s="151">
        <v>54250754.5</v>
      </c>
      <c r="D269" s="151">
        <v>23911208.095509242</v>
      </c>
      <c r="E269" s="151">
        <v>42942504.239672869</v>
      </c>
      <c r="F269" s="151">
        <v>27107891.137600645</v>
      </c>
      <c r="G269" s="151">
        <v>15000000</v>
      </c>
      <c r="H269" s="151">
        <v>108961603.47278276</v>
      </c>
      <c r="I269" s="151">
        <v>108501509</v>
      </c>
      <c r="J269" s="151">
        <v>-460094.47278276086</v>
      </c>
      <c r="K269" s="151"/>
    </row>
    <row r="270" spans="1:11" ht="13.2">
      <c r="A270" s="152">
        <v>261</v>
      </c>
      <c r="B270" s="151">
        <v>54749885</v>
      </c>
      <c r="C270" s="151">
        <v>54749885</v>
      </c>
      <c r="D270" s="151">
        <v>25244525.615842327</v>
      </c>
      <c r="E270" s="151">
        <v>42819359.767403468</v>
      </c>
      <c r="F270" s="151">
        <v>27207500.093385607</v>
      </c>
      <c r="G270" s="151">
        <v>15000000</v>
      </c>
      <c r="H270" s="151">
        <v>110271385.4766314</v>
      </c>
      <c r="I270" s="151">
        <v>109499770</v>
      </c>
      <c r="J270" s="151">
        <v>-771615.47663140297</v>
      </c>
      <c r="K270" s="151"/>
    </row>
    <row r="271" spans="1:11" ht="13.2">
      <c r="A271" s="152">
        <v>262</v>
      </c>
      <c r="B271" s="151">
        <v>56351284</v>
      </c>
      <c r="C271" s="151">
        <v>56351284</v>
      </c>
      <c r="D271" s="151">
        <v>22828590.820089139</v>
      </c>
      <c r="E271" s="151">
        <v>42194120.350273483</v>
      </c>
      <c r="F271" s="151">
        <v>27708957.582903925</v>
      </c>
      <c r="G271" s="151">
        <v>15000000</v>
      </c>
      <c r="H271" s="151">
        <v>107731668.75326654</v>
      </c>
      <c r="I271" s="151">
        <v>112702568</v>
      </c>
      <c r="J271" s="151">
        <v>4970899.2467334569</v>
      </c>
      <c r="K271" s="151"/>
    </row>
    <row r="272" spans="1:11" ht="13.2">
      <c r="A272" s="152">
        <v>263</v>
      </c>
      <c r="B272" s="151">
        <v>54154729.5</v>
      </c>
      <c r="C272" s="151">
        <v>54154729.5</v>
      </c>
      <c r="D272" s="151">
        <v>25649319.35841912</v>
      </c>
      <c r="E272" s="151">
        <v>41588351.761994146</v>
      </c>
      <c r="F272" s="151">
        <v>28020910.692437414</v>
      </c>
      <c r="G272" s="151">
        <v>15000000</v>
      </c>
      <c r="H272" s="151">
        <v>110258581.81285068</v>
      </c>
      <c r="I272" s="151">
        <v>108309459</v>
      </c>
      <c r="J272" s="151">
        <v>-1949122.8128506839</v>
      </c>
      <c r="K272" s="151"/>
    </row>
    <row r="273" spans="1:11" ht="13.2">
      <c r="A273" s="152">
        <v>264</v>
      </c>
      <c r="B273" s="151">
        <v>58310054</v>
      </c>
      <c r="C273" s="151">
        <v>58310054</v>
      </c>
      <c r="D273" s="151">
        <v>25391175.931721628</v>
      </c>
      <c r="E273" s="151">
        <v>42443982.845689476</v>
      </c>
      <c r="F273" s="151">
        <v>28476857.74160929</v>
      </c>
      <c r="G273" s="151">
        <v>15000000</v>
      </c>
      <c r="H273" s="151">
        <v>111312016.51902039</v>
      </c>
      <c r="I273" s="151">
        <v>116620108</v>
      </c>
      <c r="J273" s="151">
        <v>5308091.4809796065</v>
      </c>
      <c r="K273" s="151"/>
    </row>
    <row r="274" spans="1:11" ht="13.2">
      <c r="A274" s="152">
        <v>265</v>
      </c>
      <c r="B274" s="151">
        <v>57448892.5</v>
      </c>
      <c r="C274" s="151">
        <v>57448892.5</v>
      </c>
      <c r="D274" s="151">
        <v>22307930.046607751</v>
      </c>
      <c r="E274" s="151">
        <v>43191557.723389126</v>
      </c>
      <c r="F274" s="151">
        <v>28423246.321982119</v>
      </c>
      <c r="G274" s="151">
        <v>15000000</v>
      </c>
      <c r="H274" s="151">
        <v>108922734.091979</v>
      </c>
      <c r="I274" s="151">
        <v>114897785</v>
      </c>
      <c r="J274" s="151">
        <v>5975050.908021003</v>
      </c>
      <c r="K274" s="151"/>
    </row>
    <row r="275" spans="1:11" ht="13.2">
      <c r="A275" s="152">
        <v>266</v>
      </c>
      <c r="B275" s="151">
        <v>58655931</v>
      </c>
      <c r="C275" s="151">
        <v>58655931</v>
      </c>
      <c r="D275" s="151">
        <v>26182385.434874695</v>
      </c>
      <c r="E275" s="151">
        <v>43360805.49344711</v>
      </c>
      <c r="F275" s="151">
        <v>26973709.446038704</v>
      </c>
      <c r="G275" s="151">
        <v>15000000</v>
      </c>
      <c r="H275" s="151">
        <v>111516900.37436052</v>
      </c>
      <c r="I275" s="151">
        <v>117311862</v>
      </c>
      <c r="J275" s="151">
        <v>5794961.6256394833</v>
      </c>
      <c r="K275" s="151"/>
    </row>
    <row r="276" spans="1:11" ht="13.2">
      <c r="A276" s="152">
        <v>267</v>
      </c>
      <c r="B276" s="151">
        <v>62454019</v>
      </c>
      <c r="C276" s="151">
        <v>62454019</v>
      </c>
      <c r="D276" s="151">
        <v>23778855.942095689</v>
      </c>
      <c r="E276" s="151">
        <v>42845789.660098709</v>
      </c>
      <c r="F276" s="151">
        <v>28527291.716104679</v>
      </c>
      <c r="G276" s="151">
        <v>15000000</v>
      </c>
      <c r="H276" s="151">
        <v>110151937.31829908</v>
      </c>
      <c r="I276" s="151">
        <v>124908038</v>
      </c>
      <c r="J276" s="151">
        <v>14756100.681700915</v>
      </c>
      <c r="K276" s="151"/>
    </row>
    <row r="277" spans="1:11" ht="13.2">
      <c r="A277" s="152">
        <v>268</v>
      </c>
      <c r="B277" s="151">
        <v>55414183</v>
      </c>
      <c r="C277" s="151">
        <v>55414183</v>
      </c>
      <c r="D277" s="151">
        <v>26454827.024037942</v>
      </c>
      <c r="E277" s="151">
        <v>41994144.482110985</v>
      </c>
      <c r="F277" s="151">
        <v>27792578.410036504</v>
      </c>
      <c r="G277" s="151">
        <v>15000000</v>
      </c>
      <c r="H277" s="151">
        <v>111241549.91618544</v>
      </c>
      <c r="I277" s="151">
        <v>110828366</v>
      </c>
      <c r="J277" s="151">
        <v>-413183.91618543863</v>
      </c>
      <c r="K277" s="151"/>
    </row>
    <row r="278" spans="1:11" ht="13.2">
      <c r="A278" s="152">
        <v>269</v>
      </c>
      <c r="B278" s="151">
        <v>54173618.5</v>
      </c>
      <c r="C278" s="151">
        <v>54173618.5</v>
      </c>
      <c r="D278" s="151">
        <v>22442763.260616139</v>
      </c>
      <c r="E278" s="151">
        <v>43452899.237267323</v>
      </c>
      <c r="F278" s="151">
        <v>29663244.485972855</v>
      </c>
      <c r="G278" s="151">
        <v>15000000</v>
      </c>
      <c r="H278" s="151">
        <v>110558906.98385632</v>
      </c>
      <c r="I278" s="151">
        <v>108347237</v>
      </c>
      <c r="J278" s="151">
        <v>-2211669.9838563204</v>
      </c>
      <c r="K278" s="151"/>
    </row>
    <row r="279" spans="1:11" ht="13.2">
      <c r="A279" s="152">
        <v>270</v>
      </c>
      <c r="B279" s="151">
        <v>50996472.5</v>
      </c>
      <c r="C279" s="151">
        <v>50996472.5</v>
      </c>
      <c r="D279" s="151">
        <v>24176794.703991242</v>
      </c>
      <c r="E279" s="151">
        <v>43018109.792038187</v>
      </c>
      <c r="F279" s="151">
        <v>25414679.382632188</v>
      </c>
      <c r="G279" s="151">
        <v>15000000</v>
      </c>
      <c r="H279" s="151">
        <v>107609583.87866163</v>
      </c>
      <c r="I279" s="151">
        <v>101992945</v>
      </c>
      <c r="J279" s="151">
        <v>-5616638.8786616325</v>
      </c>
      <c r="K279" s="151"/>
    </row>
    <row r="280" spans="1:11" ht="13.2">
      <c r="A280" s="152">
        <v>271</v>
      </c>
      <c r="B280" s="151">
        <v>53908241.5</v>
      </c>
      <c r="C280" s="151">
        <v>53908241.5</v>
      </c>
      <c r="D280" s="151">
        <v>23513563.434165321</v>
      </c>
      <c r="E280" s="151">
        <v>41750979.53475982</v>
      </c>
      <c r="F280" s="151">
        <v>28243927.392290942</v>
      </c>
      <c r="G280" s="151">
        <v>15000000</v>
      </c>
      <c r="H280" s="151">
        <v>108508470.36121608</v>
      </c>
      <c r="I280" s="151">
        <v>107816483</v>
      </c>
      <c r="J280" s="151">
        <v>-691987.36121608317</v>
      </c>
      <c r="K280" s="151"/>
    </row>
    <row r="281" spans="1:11" ht="13.2">
      <c r="A281" s="152">
        <v>272</v>
      </c>
      <c r="B281" s="151">
        <v>57810684.5</v>
      </c>
      <c r="C281" s="151">
        <v>57810684.5</v>
      </c>
      <c r="D281" s="151">
        <v>22708349.869098138</v>
      </c>
      <c r="E281" s="151">
        <v>42010661.773420796</v>
      </c>
      <c r="F281" s="151">
        <v>26290469.085167125</v>
      </c>
      <c r="G281" s="151">
        <v>15000000</v>
      </c>
      <c r="H281" s="151">
        <v>106009480.72768606</v>
      </c>
      <c r="I281" s="151">
        <v>115621369</v>
      </c>
      <c r="J281" s="151">
        <v>9611888.2723139375</v>
      </c>
      <c r="K281" s="151"/>
    </row>
    <row r="282" spans="1:11" ht="13.2">
      <c r="A282" s="152">
        <v>273</v>
      </c>
      <c r="B282" s="151">
        <v>53684894.5</v>
      </c>
      <c r="C282" s="151">
        <v>53684894.5</v>
      </c>
      <c r="D282" s="151">
        <v>25248899.535928734</v>
      </c>
      <c r="E282" s="151">
        <v>43835406.87111903</v>
      </c>
      <c r="F282" s="151">
        <v>25967823.0322605</v>
      </c>
      <c r="G282" s="151">
        <v>15000000</v>
      </c>
      <c r="H282" s="151">
        <v>110052129.43930826</v>
      </c>
      <c r="I282" s="151">
        <v>107369789</v>
      </c>
      <c r="J282" s="151">
        <v>-2682340.4393082559</v>
      </c>
      <c r="K282" s="151"/>
    </row>
    <row r="283" spans="1:11" ht="13.2">
      <c r="A283" s="152">
        <v>274</v>
      </c>
      <c r="B283" s="151">
        <v>57823105</v>
      </c>
      <c r="C283" s="151">
        <v>57823105</v>
      </c>
      <c r="D283" s="151">
        <v>25123696.463748056</v>
      </c>
      <c r="E283" s="151">
        <v>42082209.986648113</v>
      </c>
      <c r="F283" s="151">
        <v>26341364.15189575</v>
      </c>
      <c r="G283" s="151">
        <v>15000000</v>
      </c>
      <c r="H283" s="151">
        <v>108547270.60229191</v>
      </c>
      <c r="I283" s="151">
        <v>115646210</v>
      </c>
      <c r="J283" s="151">
        <v>7098939.3977080882</v>
      </c>
      <c r="K283" s="151"/>
    </row>
    <row r="284" spans="1:11" ht="13.2">
      <c r="A284" s="152">
        <v>275</v>
      </c>
      <c r="B284" s="151">
        <v>63503156.5</v>
      </c>
      <c r="C284" s="151">
        <v>63503156.5</v>
      </c>
      <c r="D284" s="151">
        <v>24851254.874584813</v>
      </c>
      <c r="E284" s="151">
        <v>42234845.031920314</v>
      </c>
      <c r="F284" s="151">
        <v>29572288.068544202</v>
      </c>
      <c r="G284" s="151">
        <v>15000000</v>
      </c>
      <c r="H284" s="151">
        <v>111658387.97504932</v>
      </c>
      <c r="I284" s="151">
        <v>127006313</v>
      </c>
      <c r="J284" s="151">
        <v>15347925.024950683</v>
      </c>
      <c r="K284" s="151"/>
    </row>
    <row r="285" spans="1:11" ht="13.2">
      <c r="A285" s="152">
        <v>276</v>
      </c>
      <c r="B285" s="151">
        <v>60291473</v>
      </c>
      <c r="C285" s="151">
        <v>60291473</v>
      </c>
      <c r="D285" s="151">
        <v>24986382.189144835</v>
      </c>
      <c r="E285" s="151">
        <v>42534303.615114197</v>
      </c>
      <c r="F285" s="151">
        <v>26750225.745022807</v>
      </c>
      <c r="G285" s="151">
        <v>15000000</v>
      </c>
      <c r="H285" s="151">
        <v>109270911.54928184</v>
      </c>
      <c r="I285" s="151">
        <v>120582946</v>
      </c>
      <c r="J285" s="151">
        <v>11312034.450718164</v>
      </c>
      <c r="K285" s="151"/>
    </row>
    <row r="286" spans="1:11" ht="13.2">
      <c r="A286" s="152">
        <v>277</v>
      </c>
      <c r="B286" s="151">
        <v>55324644</v>
      </c>
      <c r="C286" s="151">
        <v>55324644</v>
      </c>
      <c r="D286" s="151">
        <v>25649025.257867493</v>
      </c>
      <c r="E286" s="151">
        <v>40215251.403298914</v>
      </c>
      <c r="F286" s="151">
        <v>28682813.530857012</v>
      </c>
      <c r="G286" s="151">
        <v>15000000</v>
      </c>
      <c r="H286" s="151">
        <v>109547090.19202343</v>
      </c>
      <c r="I286" s="151">
        <v>110649288</v>
      </c>
      <c r="J286" s="151">
        <v>1102197.8079765737</v>
      </c>
      <c r="K286" s="151"/>
    </row>
    <row r="287" spans="1:11" ht="13.2">
      <c r="A287" s="152">
        <v>278</v>
      </c>
      <c r="B287" s="151">
        <v>58147159.5</v>
      </c>
      <c r="C287" s="151">
        <v>58147159.5</v>
      </c>
      <c r="D287" s="151">
        <v>24171244.381698307</v>
      </c>
      <c r="E287" s="151">
        <v>42555252.217324942</v>
      </c>
      <c r="F287" s="151">
        <v>26963165.601032924</v>
      </c>
      <c r="G287" s="151">
        <v>15000000</v>
      </c>
      <c r="H287" s="151">
        <v>108689662.20005618</v>
      </c>
      <c r="I287" s="151">
        <v>116294319</v>
      </c>
      <c r="J287" s="151">
        <v>7604656.7999438196</v>
      </c>
      <c r="K287" s="151"/>
    </row>
    <row r="288" spans="1:11" ht="13.2">
      <c r="A288" s="152">
        <v>279</v>
      </c>
      <c r="B288" s="151">
        <v>51823155.5</v>
      </c>
      <c r="C288" s="151">
        <v>51823155.5</v>
      </c>
      <c r="D288" s="151">
        <v>24706791.518748716</v>
      </c>
      <c r="E288" s="151">
        <v>41214837.012554049</v>
      </c>
      <c r="F288" s="151">
        <v>24101127.071849737</v>
      </c>
      <c r="G288" s="151">
        <v>15000000</v>
      </c>
      <c r="H288" s="151">
        <v>105022755.6031525</v>
      </c>
      <c r="I288" s="151">
        <v>103646311</v>
      </c>
      <c r="J288" s="151">
        <v>-1376444.6031524986</v>
      </c>
      <c r="K288" s="151"/>
    </row>
    <row r="289" spans="1:11" ht="13.2">
      <c r="A289" s="152">
        <v>280</v>
      </c>
      <c r="B289" s="151">
        <v>53575585.5</v>
      </c>
      <c r="C289" s="151">
        <v>53575585.5</v>
      </c>
      <c r="D289" s="151">
        <v>23243308.805045281</v>
      </c>
      <c r="E289" s="151">
        <v>43061930.626868688</v>
      </c>
      <c r="F289" s="151">
        <v>27417761.720278341</v>
      </c>
      <c r="G289" s="151">
        <v>15000000</v>
      </c>
      <c r="H289" s="151">
        <v>108723001.15219231</v>
      </c>
      <c r="I289" s="151">
        <v>107151171</v>
      </c>
      <c r="J289" s="151">
        <v>-1571830.1521923095</v>
      </c>
      <c r="K289" s="151"/>
    </row>
    <row r="290" spans="1:11" ht="13.2">
      <c r="A290" s="152">
        <v>281</v>
      </c>
      <c r="B290" s="151">
        <v>62585022.5</v>
      </c>
      <c r="C290" s="151">
        <v>62585022.5</v>
      </c>
      <c r="D290" s="151">
        <v>24851254.874584813</v>
      </c>
      <c r="E290" s="151">
        <v>42351422.38419199</v>
      </c>
      <c r="F290" s="151">
        <v>26789516.633324869</v>
      </c>
      <c r="G290" s="151">
        <v>15000000</v>
      </c>
      <c r="H290" s="151">
        <v>108992193.89210168</v>
      </c>
      <c r="I290" s="151">
        <v>125170045</v>
      </c>
      <c r="J290" s="151">
        <v>16177851.107898325</v>
      </c>
      <c r="K290" s="151"/>
    </row>
    <row r="291" spans="1:11" ht="13.2">
      <c r="A291" s="152">
        <v>282</v>
      </c>
      <c r="B291" s="151">
        <v>59419315.5</v>
      </c>
      <c r="C291" s="151">
        <v>59419315.5</v>
      </c>
      <c r="D291" s="151">
        <v>23785710.922776937</v>
      </c>
      <c r="E291" s="151">
        <v>41743725.115009859</v>
      </c>
      <c r="F291" s="151">
        <v>27358581.955434944</v>
      </c>
      <c r="G291" s="151">
        <v>15000000</v>
      </c>
      <c r="H291" s="151">
        <v>107888017.99322174</v>
      </c>
      <c r="I291" s="151">
        <v>118838631</v>
      </c>
      <c r="J291" s="151">
        <v>10950613.006778255</v>
      </c>
      <c r="K291" s="151"/>
    </row>
    <row r="292" spans="1:11" ht="13.2">
      <c r="A292" s="152">
        <v>283</v>
      </c>
      <c r="B292" s="151">
        <v>60660261</v>
      </c>
      <c r="C292" s="151">
        <v>60660261</v>
      </c>
      <c r="D292" s="151">
        <v>22973642.377028506</v>
      </c>
      <c r="E292" s="151">
        <v>41756313.282675579</v>
      </c>
      <c r="F292" s="151">
        <v>25742676.152995478</v>
      </c>
      <c r="G292" s="151">
        <v>15000000</v>
      </c>
      <c r="H292" s="151">
        <v>105472631.81269957</v>
      </c>
      <c r="I292" s="151">
        <v>121320522</v>
      </c>
      <c r="J292" s="151">
        <v>15847890.187300429</v>
      </c>
      <c r="K292" s="151"/>
    </row>
    <row r="293" spans="1:11" ht="13.2">
      <c r="A293" s="152">
        <v>284</v>
      </c>
      <c r="B293" s="151">
        <v>57228245.5</v>
      </c>
      <c r="C293" s="151">
        <v>57228245.5</v>
      </c>
      <c r="D293" s="151">
        <v>22032713.296298034</v>
      </c>
      <c r="E293" s="151">
        <v>43369421.835641019</v>
      </c>
      <c r="F293" s="151">
        <v>30505646.285714425</v>
      </c>
      <c r="G293" s="151">
        <v>15000000</v>
      </c>
      <c r="H293" s="151">
        <v>110907781.41765347</v>
      </c>
      <c r="I293" s="151">
        <v>114456491</v>
      </c>
      <c r="J293" s="151">
        <v>3548709.5823465288</v>
      </c>
      <c r="K293" s="151"/>
    </row>
    <row r="294" spans="1:11" ht="13.2">
      <c r="A294" s="152">
        <v>285</v>
      </c>
      <c r="B294" s="151">
        <v>57419130.5</v>
      </c>
      <c r="C294" s="151">
        <v>57419130.5</v>
      </c>
      <c r="D294" s="151">
        <v>25659243.600798465</v>
      </c>
      <c r="E294" s="151">
        <v>44478594.920613669</v>
      </c>
      <c r="F294" s="151">
        <v>26227045.885534793</v>
      </c>
      <c r="G294" s="151">
        <v>15000000</v>
      </c>
      <c r="H294" s="151">
        <v>111364884.40694693</v>
      </c>
      <c r="I294" s="151">
        <v>114838261</v>
      </c>
      <c r="J294" s="151">
        <v>3473376.5930530727</v>
      </c>
      <c r="K294" s="151"/>
    </row>
    <row r="295" spans="1:11" ht="13.2">
      <c r="A295" s="152">
        <v>286</v>
      </c>
      <c r="B295" s="151">
        <v>61309209</v>
      </c>
      <c r="C295" s="151">
        <v>61309209</v>
      </c>
      <c r="D295" s="151">
        <v>23780748.801587261</v>
      </c>
      <c r="E295" s="151">
        <v>41930048.203922898</v>
      </c>
      <c r="F295" s="151">
        <v>27445409.895383127</v>
      </c>
      <c r="G295" s="151">
        <v>15000000</v>
      </c>
      <c r="H295" s="151">
        <v>108156206.90089329</v>
      </c>
      <c r="I295" s="151">
        <v>122618418</v>
      </c>
      <c r="J295" s="151">
        <v>14462211.099106714</v>
      </c>
      <c r="K295" s="151"/>
    </row>
    <row r="296" spans="1:11" ht="13.2">
      <c r="A296" s="152">
        <v>287</v>
      </c>
      <c r="B296" s="151">
        <v>60464924</v>
      </c>
      <c r="C296" s="151">
        <v>60464924</v>
      </c>
      <c r="D296" s="151">
        <v>23373179.897863995</v>
      </c>
      <c r="E296" s="151">
        <v>43466383.111542121</v>
      </c>
      <c r="F296" s="151">
        <v>30103292.198747896</v>
      </c>
      <c r="G296" s="151">
        <v>15000000</v>
      </c>
      <c r="H296" s="151">
        <v>111942855.20815402</v>
      </c>
      <c r="I296" s="151">
        <v>120929848</v>
      </c>
      <c r="J296" s="151">
        <v>8986992.7918459773</v>
      </c>
      <c r="K296" s="151"/>
    </row>
    <row r="297" spans="1:11" ht="13.2">
      <c r="A297" s="152">
        <v>288</v>
      </c>
      <c r="B297" s="151">
        <v>55283203.5</v>
      </c>
      <c r="C297" s="151">
        <v>55283203.5</v>
      </c>
      <c r="D297" s="151">
        <v>25384615.051592018</v>
      </c>
      <c r="E297" s="151">
        <v>42410057.596864522</v>
      </c>
      <c r="F297" s="151">
        <v>27113783.347021859</v>
      </c>
      <c r="G297" s="151">
        <v>15000000</v>
      </c>
      <c r="H297" s="151">
        <v>109908455.99547841</v>
      </c>
      <c r="I297" s="151">
        <v>110566407</v>
      </c>
      <c r="J297" s="151">
        <v>657951.00452159345</v>
      </c>
      <c r="K297" s="151"/>
    </row>
    <row r="298" spans="1:11" ht="13.2">
      <c r="A298" s="152">
        <v>289</v>
      </c>
      <c r="B298" s="151">
        <v>48343343</v>
      </c>
      <c r="C298" s="151">
        <v>48343343</v>
      </c>
      <c r="D298" s="151">
        <v>23096364.388614345</v>
      </c>
      <c r="E298" s="151">
        <v>42706306.45144926</v>
      </c>
      <c r="F298" s="151">
        <v>25966335.107115768</v>
      </c>
      <c r="G298" s="151">
        <v>15000000</v>
      </c>
      <c r="H298" s="151">
        <v>106769005.94717938</v>
      </c>
      <c r="I298" s="151">
        <v>96686686</v>
      </c>
      <c r="J298" s="151">
        <v>-10082319.947179377</v>
      </c>
      <c r="K298" s="151"/>
    </row>
    <row r="299" spans="1:11" ht="13.2">
      <c r="A299" s="152">
        <v>290</v>
      </c>
      <c r="B299" s="151">
        <v>57867678.5</v>
      </c>
      <c r="C299" s="151">
        <v>57867678.5</v>
      </c>
      <c r="D299" s="151">
        <v>25253567.556566771</v>
      </c>
      <c r="E299" s="151">
        <v>44285831.249023616</v>
      </c>
      <c r="F299" s="151">
        <v>26621453.076318584</v>
      </c>
      <c r="G299" s="151">
        <v>15000000</v>
      </c>
      <c r="H299" s="151">
        <v>111160851.88190898</v>
      </c>
      <c r="I299" s="151">
        <v>115735357</v>
      </c>
      <c r="J299" s="151">
        <v>4574505.118091017</v>
      </c>
      <c r="K299" s="151"/>
    </row>
    <row r="300" spans="1:11" ht="13.2">
      <c r="A300" s="152">
        <v>291</v>
      </c>
      <c r="B300" s="151">
        <v>49434812</v>
      </c>
      <c r="C300" s="151">
        <v>49434812</v>
      </c>
      <c r="D300" s="151">
        <v>25393951.092868101</v>
      </c>
      <c r="E300" s="151">
        <v>41123103.716220587</v>
      </c>
      <c r="F300" s="151">
        <v>28780490.417642571</v>
      </c>
      <c r="G300" s="151">
        <v>15000000</v>
      </c>
      <c r="H300" s="151">
        <v>110297545.22673127</v>
      </c>
      <c r="I300" s="151">
        <v>98869624</v>
      </c>
      <c r="J300" s="151">
        <v>-11427921.226731271</v>
      </c>
      <c r="K300" s="151"/>
    </row>
    <row r="301" spans="1:11" ht="13.2">
      <c r="A301" s="152">
        <v>292</v>
      </c>
      <c r="B301" s="151">
        <v>57309867</v>
      </c>
      <c r="C301" s="151">
        <v>57309867</v>
      </c>
      <c r="D301" s="151">
        <v>23373473.998415627</v>
      </c>
      <c r="E301" s="151">
        <v>43561289.536696002</v>
      </c>
      <c r="F301" s="151">
        <v>26100493.92159678</v>
      </c>
      <c r="G301" s="151">
        <v>15000000</v>
      </c>
      <c r="H301" s="151">
        <v>108035257.4567084</v>
      </c>
      <c r="I301" s="151">
        <v>114619734</v>
      </c>
      <c r="J301" s="151">
        <v>6584476.5432915986</v>
      </c>
      <c r="K301" s="151"/>
    </row>
    <row r="302" spans="1:11" ht="13.2">
      <c r="A302" s="152">
        <v>293</v>
      </c>
      <c r="B302" s="151">
        <v>53457959</v>
      </c>
      <c r="C302" s="151">
        <v>53457959</v>
      </c>
      <c r="D302" s="151">
        <v>24581000.245464768</v>
      </c>
      <c r="E302" s="151">
        <v>43119675.829415262</v>
      </c>
      <c r="F302" s="151">
        <v>26549370.029720075</v>
      </c>
      <c r="G302" s="151">
        <v>15000000</v>
      </c>
      <c r="H302" s="151">
        <v>109250046.1046001</v>
      </c>
      <c r="I302" s="151">
        <v>106915918</v>
      </c>
      <c r="J302" s="151">
        <v>-2334128.1046001017</v>
      </c>
      <c r="K302" s="151"/>
    </row>
    <row r="303" spans="1:11" ht="13.2">
      <c r="A303" s="152">
        <v>294</v>
      </c>
      <c r="B303" s="151">
        <v>57284454.5</v>
      </c>
      <c r="C303" s="151">
        <v>57284454.5</v>
      </c>
      <c r="D303" s="151">
        <v>24578813.285421573</v>
      </c>
      <c r="E303" s="151">
        <v>42808803.743761241</v>
      </c>
      <c r="F303" s="151">
        <v>29498808.270826727</v>
      </c>
      <c r="G303" s="151">
        <v>15000000</v>
      </c>
      <c r="H303" s="151">
        <v>111886425.30000955</v>
      </c>
      <c r="I303" s="151">
        <v>114568909</v>
      </c>
      <c r="J303" s="151">
        <v>2682483.6999904513</v>
      </c>
      <c r="K303" s="151"/>
    </row>
    <row r="304" spans="1:11" ht="13.2">
      <c r="A304" s="152">
        <v>295</v>
      </c>
      <c r="B304" s="151">
        <v>55815289.5</v>
      </c>
      <c r="C304" s="151">
        <v>55815289.5</v>
      </c>
      <c r="D304" s="151">
        <v>24858698.056369323</v>
      </c>
      <c r="E304" s="151">
        <v>40937147.998894811</v>
      </c>
      <c r="F304" s="151">
        <v>29832471.255485702</v>
      </c>
      <c r="G304" s="151">
        <v>15000000</v>
      </c>
      <c r="H304" s="151">
        <v>110628317.31074983</v>
      </c>
      <c r="I304" s="151">
        <v>111630579</v>
      </c>
      <c r="J304" s="151">
        <v>1002261.6892501712</v>
      </c>
      <c r="K304" s="151"/>
    </row>
    <row r="305" spans="1:11" ht="13.2">
      <c r="A305" s="152">
        <v>296</v>
      </c>
      <c r="B305" s="151">
        <v>56809352</v>
      </c>
      <c r="C305" s="151">
        <v>56809352</v>
      </c>
      <c r="D305" s="151">
        <v>23769225.80026798</v>
      </c>
      <c r="E305" s="151">
        <v>43312155.009106234</v>
      </c>
      <c r="F305" s="151">
        <v>25675734.803583484</v>
      </c>
      <c r="G305" s="151">
        <v>15000000</v>
      </c>
      <c r="H305" s="151">
        <v>107757115.6129577</v>
      </c>
      <c r="I305" s="151">
        <v>113618704</v>
      </c>
      <c r="J305" s="151">
        <v>5861588.3870422989</v>
      </c>
      <c r="K305" s="151"/>
    </row>
    <row r="306" spans="1:11" ht="13.2">
      <c r="A306" s="152">
        <v>297</v>
      </c>
      <c r="B306" s="151">
        <v>57497101.5</v>
      </c>
      <c r="C306" s="151">
        <v>57497101.5</v>
      </c>
      <c r="D306" s="151">
        <v>25109104.200730674</v>
      </c>
      <c r="E306" s="151">
        <v>42854755.425459877</v>
      </c>
      <c r="F306" s="151">
        <v>27528059.869518958</v>
      </c>
      <c r="G306" s="151">
        <v>15000000</v>
      </c>
      <c r="H306" s="151">
        <v>110491919.49570951</v>
      </c>
      <c r="I306" s="151">
        <v>114994203</v>
      </c>
      <c r="J306" s="151">
        <v>4502283.5042904913</v>
      </c>
      <c r="K306" s="151"/>
    </row>
    <row r="307" spans="1:11" ht="13.2">
      <c r="A307" s="152">
        <v>298</v>
      </c>
      <c r="B307" s="151">
        <v>55427653</v>
      </c>
      <c r="C307" s="151">
        <v>55427653</v>
      </c>
      <c r="D307" s="151">
        <v>24721383.781766098</v>
      </c>
      <c r="E307" s="151">
        <v>41963539.126214504</v>
      </c>
      <c r="F307" s="151">
        <v>25023444.204532783</v>
      </c>
      <c r="G307" s="151">
        <v>15000000</v>
      </c>
      <c r="H307" s="151">
        <v>106708367.11251339</v>
      </c>
      <c r="I307" s="151">
        <v>110855306</v>
      </c>
      <c r="J307" s="151">
        <v>4146938.8874866068</v>
      </c>
      <c r="K307" s="151"/>
    </row>
    <row r="308" spans="1:11" ht="13.2">
      <c r="A308" s="152">
        <v>299</v>
      </c>
      <c r="B308" s="151">
        <v>55973971.5</v>
      </c>
      <c r="C308" s="151">
        <v>55973971.5</v>
      </c>
      <c r="D308" s="151">
        <v>23247976.825683322</v>
      </c>
      <c r="E308" s="151">
        <v>42544993.030758761</v>
      </c>
      <c r="F308" s="151">
        <v>25574104.928846404</v>
      </c>
      <c r="G308" s="151">
        <v>15000000</v>
      </c>
      <c r="H308" s="151">
        <v>106367074.78528848</v>
      </c>
      <c r="I308" s="151">
        <v>111947943</v>
      </c>
      <c r="J308" s="151">
        <v>5580868.2147115171</v>
      </c>
      <c r="K308" s="151"/>
    </row>
    <row r="309" spans="1:11" ht="13.2">
      <c r="A309" s="152">
        <v>300</v>
      </c>
      <c r="B309" s="151">
        <v>57717732.5</v>
      </c>
      <c r="C309" s="151">
        <v>57717732.5</v>
      </c>
      <c r="D309" s="151">
        <v>26057182.362694021</v>
      </c>
      <c r="E309" s="151">
        <v>41838313.676338941</v>
      </c>
      <c r="F309" s="151">
        <v>28697086.799213417</v>
      </c>
      <c r="G309" s="151">
        <v>15000000</v>
      </c>
      <c r="H309" s="151">
        <v>111592582.83824638</v>
      </c>
      <c r="I309" s="151">
        <v>115435465</v>
      </c>
      <c r="J309" s="151">
        <v>3842882.1617536247</v>
      </c>
      <c r="K309" s="151"/>
    </row>
    <row r="310" spans="1:11" ht="13.2">
      <c r="A310" s="152">
        <v>301</v>
      </c>
      <c r="B310" s="151">
        <v>54888784</v>
      </c>
      <c r="C310" s="151">
        <v>54888784</v>
      </c>
      <c r="D310" s="151">
        <v>25651506.318462327</v>
      </c>
      <c r="E310" s="151">
        <v>41922681.050352529</v>
      </c>
      <c r="F310" s="151">
        <v>24893271.739263225</v>
      </c>
      <c r="G310" s="151">
        <v>15000000</v>
      </c>
      <c r="H310" s="151">
        <v>107467459.10807808</v>
      </c>
      <c r="I310" s="151">
        <v>109777568</v>
      </c>
      <c r="J310" s="151">
        <v>2310108.8919219226</v>
      </c>
      <c r="K310" s="151"/>
    </row>
    <row r="311" spans="1:11" ht="13.2">
      <c r="A311" s="152">
        <v>302</v>
      </c>
      <c r="B311" s="151">
        <v>58574401</v>
      </c>
      <c r="C311" s="151">
        <v>58574401</v>
      </c>
      <c r="D311" s="151">
        <v>24584069.507162876</v>
      </c>
      <c r="E311" s="151">
        <v>42211892.523934811</v>
      </c>
      <c r="F311" s="151">
        <v>27657492.019184787</v>
      </c>
      <c r="G311" s="151">
        <v>15000000</v>
      </c>
      <c r="H311" s="151">
        <v>109453454.05028248</v>
      </c>
      <c r="I311" s="151">
        <v>117148802</v>
      </c>
      <c r="J311" s="151">
        <v>7695347.9497175217</v>
      </c>
      <c r="K311" s="151"/>
    </row>
    <row r="312" spans="1:11" ht="13.2">
      <c r="A312" s="152">
        <v>303</v>
      </c>
      <c r="B312" s="151">
        <v>51689509</v>
      </c>
      <c r="C312" s="151">
        <v>51689509</v>
      </c>
      <c r="D312" s="151">
        <v>24863366.077007361</v>
      </c>
      <c r="E312" s="151">
        <v>43507523.073729321</v>
      </c>
      <c r="F312" s="151">
        <v>28021300.861464534</v>
      </c>
      <c r="G312" s="151">
        <v>15000000</v>
      </c>
      <c r="H312" s="151">
        <v>111392190.01220122</v>
      </c>
      <c r="I312" s="151">
        <v>103379018</v>
      </c>
      <c r="J312" s="151">
        <v>-8013172.0122012198</v>
      </c>
      <c r="K312" s="151"/>
    </row>
    <row r="313" spans="1:11" ht="13.2">
      <c r="A313" s="152">
        <v>304</v>
      </c>
      <c r="B313" s="151">
        <v>59834221.5</v>
      </c>
      <c r="C313" s="151">
        <v>59834221.5</v>
      </c>
      <c r="D313" s="151">
        <v>25386507.91108359</v>
      </c>
      <c r="E313" s="151">
        <v>42479128.071265727</v>
      </c>
      <c r="F313" s="151">
        <v>25548828.695759349</v>
      </c>
      <c r="G313" s="151">
        <v>15000000</v>
      </c>
      <c r="H313" s="151">
        <v>108414464.67810866</v>
      </c>
      <c r="I313" s="151">
        <v>119668443</v>
      </c>
      <c r="J313" s="151">
        <v>11253978.321891338</v>
      </c>
      <c r="K313" s="151"/>
    </row>
    <row r="314" spans="1:11" ht="13.2">
      <c r="A314" s="152">
        <v>305</v>
      </c>
      <c r="B314" s="151">
        <v>60129288</v>
      </c>
      <c r="C314" s="151">
        <v>60129288</v>
      </c>
      <c r="D314" s="151">
        <v>26324661.830667596</v>
      </c>
      <c r="E314" s="151">
        <v>43162959.416113481</v>
      </c>
      <c r="F314" s="151">
        <v>29536791.217299629</v>
      </c>
      <c r="G314" s="151">
        <v>15000000</v>
      </c>
      <c r="H314" s="151">
        <v>114024412.46408071</v>
      </c>
      <c r="I314" s="151">
        <v>120258576</v>
      </c>
      <c r="J314" s="151">
        <v>6234163.5359192938</v>
      </c>
      <c r="K314" s="151"/>
    </row>
    <row r="315" spans="1:11" ht="13.2">
      <c r="A315" s="152">
        <v>306</v>
      </c>
      <c r="B315" s="151">
        <v>55489322.5</v>
      </c>
      <c r="C315" s="151">
        <v>55489322.5</v>
      </c>
      <c r="D315" s="151">
        <v>24718608.620619625</v>
      </c>
      <c r="E315" s="151">
        <v>43085040.751817688</v>
      </c>
      <c r="F315" s="151">
        <v>25962309.778544292</v>
      </c>
      <c r="G315" s="151">
        <v>15000000</v>
      </c>
      <c r="H315" s="151">
        <v>108765959.15098161</v>
      </c>
      <c r="I315" s="151">
        <v>110978645</v>
      </c>
      <c r="J315" s="151">
        <v>2212685.8490183949</v>
      </c>
      <c r="K315" s="151"/>
    </row>
    <row r="316" spans="1:11" ht="13.2">
      <c r="A316" s="152">
        <v>307</v>
      </c>
      <c r="B316" s="151">
        <v>59074088</v>
      </c>
      <c r="C316" s="151">
        <v>59074088</v>
      </c>
      <c r="D316" s="151">
        <v>24711753.639938388</v>
      </c>
      <c r="E316" s="151">
        <v>43394823.483463958</v>
      </c>
      <c r="F316" s="151">
        <v>28293897.4265691</v>
      </c>
      <c r="G316" s="151">
        <v>15000000</v>
      </c>
      <c r="H316" s="151">
        <v>111400474.54997145</v>
      </c>
      <c r="I316" s="151">
        <v>118148176</v>
      </c>
      <c r="J316" s="151">
        <v>6747701.4500285536</v>
      </c>
      <c r="K316" s="151"/>
    </row>
    <row r="317" spans="1:11" ht="13.2">
      <c r="A317" s="152">
        <v>308</v>
      </c>
      <c r="B317" s="151">
        <v>56967397.5</v>
      </c>
      <c r="C317" s="151">
        <v>56967397.5</v>
      </c>
      <c r="D317" s="151">
        <v>24050709.330155667</v>
      </c>
      <c r="E317" s="151">
        <v>42355462.579743505</v>
      </c>
      <c r="F317" s="151">
        <v>28204477.6758673</v>
      </c>
      <c r="G317" s="151">
        <v>15000000</v>
      </c>
      <c r="H317" s="151">
        <v>109610649.58576648</v>
      </c>
      <c r="I317" s="151">
        <v>113934795</v>
      </c>
      <c r="J317" s="151">
        <v>4324145.4142335206</v>
      </c>
      <c r="K317" s="151"/>
    </row>
    <row r="318" spans="1:11" ht="13.2">
      <c r="A318" s="152">
        <v>309</v>
      </c>
      <c r="B318" s="151">
        <v>57166543.5</v>
      </c>
      <c r="C318" s="151">
        <v>57166543.5</v>
      </c>
      <c r="D318" s="151">
        <v>22978016.297114912</v>
      </c>
      <c r="E318" s="151">
        <v>41474819.14071802</v>
      </c>
      <c r="F318" s="151">
        <v>27288335.281522866</v>
      </c>
      <c r="G318" s="151">
        <v>15000000</v>
      </c>
      <c r="H318" s="151">
        <v>106741170.71935581</v>
      </c>
      <c r="I318" s="151">
        <v>114333087</v>
      </c>
      <c r="J318" s="151">
        <v>7591916.2806441933</v>
      </c>
      <c r="K318" s="151"/>
    </row>
    <row r="319" spans="1:11" ht="13.2">
      <c r="A319" s="152">
        <v>310</v>
      </c>
      <c r="B319" s="151">
        <v>54282458</v>
      </c>
      <c r="C319" s="151">
        <v>54282458</v>
      </c>
      <c r="D319" s="151">
        <v>26194496.637297247</v>
      </c>
      <c r="E319" s="151">
        <v>42829862.4347433</v>
      </c>
      <c r="F319" s="151">
        <v>30477158.324282542</v>
      </c>
      <c r="G319" s="151">
        <v>15000000</v>
      </c>
      <c r="H319" s="151">
        <v>114501517.39632308</v>
      </c>
      <c r="I319" s="151">
        <v>108564916</v>
      </c>
      <c r="J319" s="151">
        <v>-5936601.3963230848</v>
      </c>
      <c r="K319" s="151"/>
    </row>
    <row r="320" spans="1:11" ht="13.2">
      <c r="A320" s="152">
        <v>311</v>
      </c>
      <c r="B320" s="151">
        <v>55643402.5</v>
      </c>
      <c r="C320" s="151">
        <v>55643402.5</v>
      </c>
      <c r="D320" s="151">
        <v>25128658.584937729</v>
      </c>
      <c r="E320" s="151">
        <v>40841186.221711814</v>
      </c>
      <c r="F320" s="151">
        <v>27892278.015197303</v>
      </c>
      <c r="G320" s="151">
        <v>15000000</v>
      </c>
      <c r="H320" s="151">
        <v>108862122.82184684</v>
      </c>
      <c r="I320" s="151">
        <v>111286805</v>
      </c>
      <c r="J320" s="151">
        <v>2424682.1781531572</v>
      </c>
      <c r="K320" s="151"/>
    </row>
    <row r="321" spans="1:11" ht="13.2">
      <c r="A321" s="152">
        <v>312</v>
      </c>
      <c r="B321" s="151">
        <v>56924691.5</v>
      </c>
      <c r="C321" s="151">
        <v>56924691.5</v>
      </c>
      <c r="D321" s="151">
        <v>26444902.781658597</v>
      </c>
      <c r="E321" s="151">
        <v>41820162.669486575</v>
      </c>
      <c r="F321" s="151">
        <v>26210964.463451136</v>
      </c>
      <c r="G321" s="151">
        <v>15000000</v>
      </c>
      <c r="H321" s="151">
        <v>109476029.9145963</v>
      </c>
      <c r="I321" s="151">
        <v>113849383</v>
      </c>
      <c r="J321" s="151">
        <v>4373353.0854036957</v>
      </c>
      <c r="K321" s="151"/>
    </row>
    <row r="322" spans="1:11" ht="13.2">
      <c r="A322" s="152">
        <v>313</v>
      </c>
      <c r="B322" s="151">
        <v>59429782</v>
      </c>
      <c r="C322" s="151">
        <v>59429782</v>
      </c>
      <c r="D322" s="151">
        <v>25261010.738351282</v>
      </c>
      <c r="E322" s="151">
        <v>42139536.424306951</v>
      </c>
      <c r="F322" s="151">
        <v>27430171.090489566</v>
      </c>
      <c r="G322" s="151">
        <v>15000000</v>
      </c>
      <c r="H322" s="151">
        <v>109830718.2531478</v>
      </c>
      <c r="I322" s="151">
        <v>118859564</v>
      </c>
      <c r="J322" s="151">
        <v>9028845.7468522042</v>
      </c>
      <c r="K322" s="151"/>
    </row>
    <row r="323" spans="1:11" ht="13.2">
      <c r="A323" s="152">
        <v>314</v>
      </c>
      <c r="B323" s="151">
        <v>57662352.5</v>
      </c>
      <c r="C323" s="151">
        <v>57662352.5</v>
      </c>
      <c r="D323" s="151">
        <v>24171244.381698307</v>
      </c>
      <c r="E323" s="151">
        <v>41946035.721768767</v>
      </c>
      <c r="F323" s="151">
        <v>25508664.163686365</v>
      </c>
      <c r="G323" s="151">
        <v>15000000</v>
      </c>
      <c r="H323" s="151">
        <v>106625944.26715344</v>
      </c>
      <c r="I323" s="151">
        <v>115324705</v>
      </c>
      <c r="J323" s="151">
        <v>8698760.7328465581</v>
      </c>
      <c r="K323" s="151"/>
    </row>
    <row r="324" spans="1:11" ht="13.2">
      <c r="A324" s="152">
        <v>315</v>
      </c>
      <c r="B324" s="151">
        <v>57621866.5</v>
      </c>
      <c r="C324" s="151">
        <v>57621866.5</v>
      </c>
      <c r="D324" s="151">
        <v>24036705.268241547</v>
      </c>
      <c r="E324" s="151">
        <v>42374258.57168071</v>
      </c>
      <c r="F324" s="151">
        <v>29124827.320568934</v>
      </c>
      <c r="G324" s="151">
        <v>15000000</v>
      </c>
      <c r="H324" s="151">
        <v>110535791.1604912</v>
      </c>
      <c r="I324" s="151">
        <v>115243733</v>
      </c>
      <c r="J324" s="151">
        <v>4707941.8395088017</v>
      </c>
      <c r="K324" s="151"/>
    </row>
    <row r="325" spans="1:11" ht="13.2">
      <c r="A325" s="152">
        <v>316</v>
      </c>
      <c r="B325" s="151">
        <v>57837491</v>
      </c>
      <c r="C325" s="151">
        <v>57837491</v>
      </c>
      <c r="D325" s="151">
        <v>24183355.584120851</v>
      </c>
      <c r="E325" s="151">
        <v>42829123.479037628</v>
      </c>
      <c r="F325" s="151">
        <v>27063999.760090087</v>
      </c>
      <c r="G325" s="151">
        <v>15000000</v>
      </c>
      <c r="H325" s="151">
        <v>109076478.82324857</v>
      </c>
      <c r="I325" s="151">
        <v>115674982</v>
      </c>
      <c r="J325" s="151">
        <v>6598503.1767514348</v>
      </c>
      <c r="K325" s="151"/>
    </row>
    <row r="326" spans="1:11" ht="13.2">
      <c r="A326" s="152">
        <v>317</v>
      </c>
      <c r="B326" s="151">
        <v>58743418</v>
      </c>
      <c r="C326" s="151">
        <v>58743418</v>
      </c>
      <c r="D326" s="151">
        <v>24569183.143593859</v>
      </c>
      <c r="E326" s="151">
        <v>43213455.622727156</v>
      </c>
      <c r="F326" s="151">
        <v>24555717.628653683</v>
      </c>
      <c r="G326" s="151">
        <v>15000000</v>
      </c>
      <c r="H326" s="151">
        <v>107338356.39497471</v>
      </c>
      <c r="I326" s="151">
        <v>117486836</v>
      </c>
      <c r="J326" s="151">
        <v>10148479.605025291</v>
      </c>
      <c r="K326" s="151"/>
    </row>
    <row r="327" spans="1:11" ht="13.2">
      <c r="A327" s="152">
        <v>318</v>
      </c>
      <c r="B327" s="151">
        <v>55096025.5</v>
      </c>
      <c r="C327" s="151">
        <v>55096025.5</v>
      </c>
      <c r="D327" s="151">
        <v>23364137.957139548</v>
      </c>
      <c r="E327" s="151">
        <v>43076921.265282817</v>
      </c>
      <c r="F327" s="151">
        <v>26300387.505911972</v>
      </c>
      <c r="G327" s="151">
        <v>15000000</v>
      </c>
      <c r="H327" s="151">
        <v>107741446.72833434</v>
      </c>
      <c r="I327" s="151">
        <v>110192051</v>
      </c>
      <c r="J327" s="151">
        <v>2450604.2716656625</v>
      </c>
      <c r="K327" s="151"/>
    </row>
    <row r="328" spans="1:11" ht="13.2">
      <c r="A328" s="152">
        <v>319</v>
      </c>
      <c r="B328" s="151">
        <v>58569077.5</v>
      </c>
      <c r="C328" s="151">
        <v>58569077.5</v>
      </c>
      <c r="D328" s="151">
        <v>25782259.712935939</v>
      </c>
      <c r="E328" s="151">
        <v>43346451.124812663</v>
      </c>
      <c r="F328" s="151">
        <v>26577350.358128473</v>
      </c>
      <c r="G328" s="151">
        <v>15000000</v>
      </c>
      <c r="H328" s="151">
        <v>110706061.19587708</v>
      </c>
      <c r="I328" s="151">
        <v>117138155</v>
      </c>
      <c r="J328" s="151">
        <v>6432093.8041229248</v>
      </c>
      <c r="K328" s="151"/>
    </row>
    <row r="329" spans="1:11" ht="13.2">
      <c r="A329" s="152">
        <v>320</v>
      </c>
      <c r="B329" s="151">
        <v>54172902.5</v>
      </c>
      <c r="C329" s="151">
        <v>54172902.5</v>
      </c>
      <c r="D329" s="151">
        <v>25516967.205005571</v>
      </c>
      <c r="E329" s="151">
        <v>42718429.025471784</v>
      </c>
      <c r="F329" s="151">
        <v>24199242.616928514</v>
      </c>
      <c r="G329" s="151">
        <v>15000000</v>
      </c>
      <c r="H329" s="151">
        <v>107434638.84740588</v>
      </c>
      <c r="I329" s="151">
        <v>108345805</v>
      </c>
      <c r="J329" s="151">
        <v>911166.15259411931</v>
      </c>
      <c r="K329" s="151"/>
    </row>
    <row r="330" spans="1:11" ht="13.2">
      <c r="A330" s="152">
        <v>321</v>
      </c>
      <c r="B330" s="151">
        <v>54657848.5</v>
      </c>
      <c r="C330" s="151">
        <v>54657848.5</v>
      </c>
      <c r="D330" s="151">
        <v>24448353.991499584</v>
      </c>
      <c r="E330" s="151">
        <v>42211561.774447359</v>
      </c>
      <c r="F330" s="151">
        <v>27831179.219979923</v>
      </c>
      <c r="G330" s="151">
        <v>15000000</v>
      </c>
      <c r="H330" s="151">
        <v>109491094.98592687</v>
      </c>
      <c r="I330" s="151">
        <v>109315697</v>
      </c>
      <c r="J330" s="151">
        <v>-175397.98592686653</v>
      </c>
      <c r="K330" s="151"/>
    </row>
    <row r="331" spans="1:11" ht="13.2">
      <c r="A331" s="152">
        <v>322</v>
      </c>
      <c r="B331" s="151">
        <v>52181818.5</v>
      </c>
      <c r="C331" s="151">
        <v>52181818.5</v>
      </c>
      <c r="D331" s="151">
        <v>22850332.164339401</v>
      </c>
      <c r="E331" s="151">
        <v>42329972.44469516</v>
      </c>
      <c r="F331" s="151">
        <v>25293795.539188974</v>
      </c>
      <c r="G331" s="151">
        <v>15000000</v>
      </c>
      <c r="H331" s="151">
        <v>105474100.14822353</v>
      </c>
      <c r="I331" s="151">
        <v>104363637</v>
      </c>
      <c r="J331" s="151">
        <v>-1110463.1482235342</v>
      </c>
      <c r="K331" s="151"/>
    </row>
    <row r="332" spans="1:11" ht="13.2">
      <c r="A332" s="152">
        <v>323</v>
      </c>
      <c r="B332" s="151">
        <v>56732057.5</v>
      </c>
      <c r="C332" s="151">
        <v>56732057.5</v>
      </c>
      <c r="D332" s="151">
        <v>23508307.212424017</v>
      </c>
      <c r="E332" s="151">
        <v>41295192.94135952</v>
      </c>
      <c r="F332" s="151">
        <v>26180970.553062074</v>
      </c>
      <c r="G332" s="151">
        <v>15000000</v>
      </c>
      <c r="H332" s="151">
        <v>105984470.70684561</v>
      </c>
      <c r="I332" s="151">
        <v>113464115</v>
      </c>
      <c r="J332" s="151">
        <v>7479644.2931543887</v>
      </c>
      <c r="K332" s="151"/>
    </row>
    <row r="333" spans="1:11" ht="13.2">
      <c r="A333" s="152">
        <v>324</v>
      </c>
      <c r="B333" s="151">
        <v>60930133.5</v>
      </c>
      <c r="C333" s="151">
        <v>60930133.5</v>
      </c>
      <c r="D333" s="151">
        <v>25917092.926944327</v>
      </c>
      <c r="E333" s="151">
        <v>43158644.52912157</v>
      </c>
      <c r="F333" s="151">
        <v>26862063.842821803</v>
      </c>
      <c r="G333" s="151">
        <v>15000000</v>
      </c>
      <c r="H333" s="151">
        <v>110937801.2988877</v>
      </c>
      <c r="I333" s="151">
        <v>121860267</v>
      </c>
      <c r="J333" s="151">
        <v>10922465.7011123</v>
      </c>
      <c r="K333" s="151"/>
    </row>
    <row r="334" spans="1:11" ht="13.2">
      <c r="A334" s="152">
        <v>325</v>
      </c>
      <c r="B334" s="151">
        <v>59695492.5</v>
      </c>
      <c r="C334" s="151">
        <v>59695492.5</v>
      </c>
      <c r="D334" s="151">
        <v>24038598.127733123</v>
      </c>
      <c r="E334" s="151">
        <v>41877667.691209212</v>
      </c>
      <c r="F334" s="151">
        <v>27343205.43617221</v>
      </c>
      <c r="G334" s="151">
        <v>15000000</v>
      </c>
      <c r="H334" s="151">
        <v>108259471.25511456</v>
      </c>
      <c r="I334" s="151">
        <v>119390985</v>
      </c>
      <c r="J334" s="151">
        <v>11131513.744885445</v>
      </c>
      <c r="K334" s="151"/>
    </row>
    <row r="335" spans="1:11" ht="13.2">
      <c r="A335" s="152">
        <v>326</v>
      </c>
      <c r="B335" s="151">
        <v>55311295</v>
      </c>
      <c r="C335" s="151">
        <v>55311295</v>
      </c>
      <c r="D335" s="151">
        <v>25511710.983264267</v>
      </c>
      <c r="E335" s="151">
        <v>44165803.421677515</v>
      </c>
      <c r="F335" s="151">
        <v>29023462.989896599</v>
      </c>
      <c r="G335" s="151">
        <v>15000000</v>
      </c>
      <c r="H335" s="151">
        <v>113700977.39483838</v>
      </c>
      <c r="I335" s="151">
        <v>110622590</v>
      </c>
      <c r="J335" s="151">
        <v>-3078387.3948383778</v>
      </c>
      <c r="K335" s="151"/>
    </row>
    <row r="336" spans="1:11" ht="13.2">
      <c r="A336" s="152">
        <v>327</v>
      </c>
      <c r="B336" s="151">
        <v>58446099.5</v>
      </c>
      <c r="C336" s="151">
        <v>58446099.5</v>
      </c>
      <c r="D336" s="151">
        <v>22030232.2357032</v>
      </c>
      <c r="E336" s="151">
        <v>42270998.624937743</v>
      </c>
      <c r="F336" s="151">
        <v>27120752.727240928</v>
      </c>
      <c r="G336" s="151">
        <v>15000000</v>
      </c>
      <c r="H336" s="151">
        <v>106421983.58788186</v>
      </c>
      <c r="I336" s="151">
        <v>116892199</v>
      </c>
      <c r="J336" s="151">
        <v>10470215.412118137</v>
      </c>
      <c r="K336" s="151"/>
    </row>
    <row r="337" spans="1:11" ht="13.2">
      <c r="A337" s="152">
        <v>328</v>
      </c>
      <c r="B337" s="151">
        <v>57430239</v>
      </c>
      <c r="C337" s="151">
        <v>57430239</v>
      </c>
      <c r="D337" s="151">
        <v>26314737.588288248</v>
      </c>
      <c r="E337" s="151">
        <v>43220027.195841953</v>
      </c>
      <c r="F337" s="151">
        <v>25724365.716921765</v>
      </c>
      <c r="G337" s="151">
        <v>15000000</v>
      </c>
      <c r="H337" s="151">
        <v>110259130.50105196</v>
      </c>
      <c r="I337" s="151">
        <v>114860478</v>
      </c>
      <c r="J337" s="151">
        <v>4601347.4989480376</v>
      </c>
      <c r="K337" s="151"/>
    </row>
    <row r="338" spans="1:11" ht="13.2">
      <c r="A338" s="152">
        <v>329</v>
      </c>
      <c r="B338" s="151">
        <v>54397785.5</v>
      </c>
      <c r="C338" s="151">
        <v>54397785.5</v>
      </c>
      <c r="D338" s="151">
        <v>23506414.352932449</v>
      </c>
      <c r="E338" s="151">
        <v>42080321.396811232</v>
      </c>
      <c r="F338" s="151">
        <v>27320127.771443456</v>
      </c>
      <c r="G338" s="151">
        <v>15000000</v>
      </c>
      <c r="H338" s="151">
        <v>107906863.52118714</v>
      </c>
      <c r="I338" s="151">
        <v>108795571</v>
      </c>
      <c r="J338" s="151">
        <v>888707.47881285846</v>
      </c>
      <c r="K338" s="151"/>
    </row>
    <row r="339" spans="1:11" ht="13.2">
      <c r="A339" s="152">
        <v>330</v>
      </c>
      <c r="B339" s="151">
        <v>55843500</v>
      </c>
      <c r="C339" s="151">
        <v>55843500</v>
      </c>
      <c r="D339" s="151">
        <v>23626655.303923454</v>
      </c>
      <c r="E339" s="151">
        <v>41324713.563789979</v>
      </c>
      <c r="F339" s="151">
        <v>26050114.198500201</v>
      </c>
      <c r="G339" s="151">
        <v>15000000</v>
      </c>
      <c r="H339" s="151">
        <v>106001483.06621364</v>
      </c>
      <c r="I339" s="151">
        <v>111687000</v>
      </c>
      <c r="J339" s="151">
        <v>5685516.9337863624</v>
      </c>
      <c r="K339" s="151"/>
    </row>
    <row r="340" spans="1:11" ht="13.2">
      <c r="A340" s="152">
        <v>331</v>
      </c>
      <c r="B340" s="151">
        <v>55000313.5</v>
      </c>
      <c r="C340" s="151">
        <v>55000313.5</v>
      </c>
      <c r="D340" s="151">
        <v>24041079.188327957</v>
      </c>
      <c r="E340" s="151">
        <v>41345864.429815635</v>
      </c>
      <c r="F340" s="151">
        <v>25708494.610891864</v>
      </c>
      <c r="G340" s="151">
        <v>15000000</v>
      </c>
      <c r="H340" s="151">
        <v>106095438.22903545</v>
      </c>
      <c r="I340" s="151">
        <v>110000627</v>
      </c>
      <c r="J340" s="151">
        <v>3905188.770964548</v>
      </c>
      <c r="K340" s="151"/>
    </row>
    <row r="341" spans="1:11" ht="13.2">
      <c r="A341" s="152">
        <v>332</v>
      </c>
      <c r="B341" s="151">
        <v>62053814</v>
      </c>
      <c r="C341" s="151">
        <v>62053814</v>
      </c>
      <c r="D341" s="151">
        <v>23245789.865640119</v>
      </c>
      <c r="E341" s="151">
        <v>42769041.217643753</v>
      </c>
      <c r="F341" s="151">
        <v>29121973.490685083</v>
      </c>
      <c r="G341" s="151">
        <v>15000000</v>
      </c>
      <c r="H341" s="151">
        <v>110136804.57396895</v>
      </c>
      <c r="I341" s="151">
        <v>124107628</v>
      </c>
      <c r="J341" s="151">
        <v>13970823.426031053</v>
      </c>
      <c r="K341" s="151"/>
    </row>
    <row r="342" spans="1:11" ht="13.2">
      <c r="A342" s="152">
        <v>333</v>
      </c>
      <c r="B342" s="151">
        <v>56513866.5</v>
      </c>
      <c r="C342" s="151">
        <v>56513866.5</v>
      </c>
      <c r="D342" s="151">
        <v>22840407.921960056</v>
      </c>
      <c r="E342" s="151">
        <v>42740383.97373724</v>
      </c>
      <c r="F342" s="151">
        <v>28898759.325789463</v>
      </c>
      <c r="G342" s="151">
        <v>15000000</v>
      </c>
      <c r="H342" s="151">
        <v>109479551.22148676</v>
      </c>
      <c r="I342" s="151">
        <v>113027733</v>
      </c>
      <c r="J342" s="151">
        <v>3548181.7785132378</v>
      </c>
      <c r="K342" s="151"/>
    </row>
    <row r="343" spans="1:11" ht="13.2">
      <c r="A343" s="152">
        <v>334</v>
      </c>
      <c r="B343" s="151">
        <v>54395726</v>
      </c>
      <c r="C343" s="151">
        <v>54395726</v>
      </c>
      <c r="D343" s="151">
        <v>25116253.281963546</v>
      </c>
      <c r="E343" s="151">
        <v>41931382.924381614</v>
      </c>
      <c r="F343" s="151">
        <v>27873393.649323139</v>
      </c>
      <c r="G343" s="151">
        <v>15000000</v>
      </c>
      <c r="H343" s="151">
        <v>109921029.85566829</v>
      </c>
      <c r="I343" s="151">
        <v>108791452</v>
      </c>
      <c r="J343" s="151">
        <v>-1129577.8556682914</v>
      </c>
      <c r="K343" s="151"/>
    </row>
    <row r="344" spans="1:11" ht="13.2">
      <c r="A344" s="152">
        <v>335</v>
      </c>
      <c r="B344" s="151">
        <v>57657119.5</v>
      </c>
      <c r="C344" s="151">
        <v>57657119.5</v>
      </c>
      <c r="D344" s="151">
        <v>23380917.180200137</v>
      </c>
      <c r="E344" s="151">
        <v>43052711.325964041</v>
      </c>
      <c r="F344" s="151">
        <v>26676059.275512386</v>
      </c>
      <c r="G344" s="151">
        <v>15000000</v>
      </c>
      <c r="H344" s="151">
        <v>108109687.78167656</v>
      </c>
      <c r="I344" s="151">
        <v>115314239</v>
      </c>
      <c r="J344" s="151">
        <v>7204551.2183234394</v>
      </c>
      <c r="K344" s="151"/>
    </row>
    <row r="345" spans="1:11" ht="13.2">
      <c r="A345" s="152">
        <v>336</v>
      </c>
      <c r="B345" s="151">
        <v>54991675</v>
      </c>
      <c r="C345" s="151">
        <v>54991675</v>
      </c>
      <c r="D345" s="151">
        <v>24576626.325378366</v>
      </c>
      <c r="E345" s="151">
        <v>42594116.534860462</v>
      </c>
      <c r="F345" s="151">
        <v>24711727.308952071</v>
      </c>
      <c r="G345" s="151">
        <v>15000000</v>
      </c>
      <c r="H345" s="151">
        <v>106882470.16919088</v>
      </c>
      <c r="I345" s="151">
        <v>109983350</v>
      </c>
      <c r="J345" s="151">
        <v>3100879.8308091164</v>
      </c>
      <c r="K345" s="151"/>
    </row>
    <row r="346" spans="1:11" ht="13.2">
      <c r="A346" s="152">
        <v>337</v>
      </c>
      <c r="B346" s="151">
        <v>56578769</v>
      </c>
      <c r="C346" s="151">
        <v>56578769</v>
      </c>
      <c r="D346" s="151">
        <v>24578813.285421573</v>
      </c>
      <c r="E346" s="151">
        <v>42079436.537319727</v>
      </c>
      <c r="F346" s="151">
        <v>24913751.683857575</v>
      </c>
      <c r="G346" s="151">
        <v>15000000</v>
      </c>
      <c r="H346" s="151">
        <v>106572001.50659887</v>
      </c>
      <c r="I346" s="151">
        <v>113157538</v>
      </c>
      <c r="J346" s="151">
        <v>6585536.4934011251</v>
      </c>
      <c r="K346" s="151"/>
    </row>
    <row r="347" spans="1:11" ht="13.2">
      <c r="A347" s="152">
        <v>338</v>
      </c>
      <c r="B347" s="151">
        <v>55535955.5</v>
      </c>
      <c r="C347" s="151">
        <v>55535955.5</v>
      </c>
      <c r="D347" s="151">
        <v>24174313.643396407</v>
      </c>
      <c r="E347" s="151">
        <v>42633312.766545393</v>
      </c>
      <c r="F347" s="151">
        <v>28219713.158613563</v>
      </c>
      <c r="G347" s="151">
        <v>15000000</v>
      </c>
      <c r="H347" s="151">
        <v>110027339.56855536</v>
      </c>
      <c r="I347" s="151">
        <v>111071911</v>
      </c>
      <c r="J347" s="151">
        <v>1044571.4314446449</v>
      </c>
      <c r="K347" s="151"/>
    </row>
    <row r="348" spans="1:11" ht="13.2">
      <c r="A348" s="152">
        <v>339</v>
      </c>
      <c r="B348" s="151">
        <v>56211120.5</v>
      </c>
      <c r="C348" s="151">
        <v>56211120.5</v>
      </c>
      <c r="D348" s="151">
        <v>24841624.732757099</v>
      </c>
      <c r="E348" s="151">
        <v>43748051.86501871</v>
      </c>
      <c r="F348" s="151">
        <v>30961847.357025366</v>
      </c>
      <c r="G348" s="151">
        <v>15000000</v>
      </c>
      <c r="H348" s="151">
        <v>114551523.95480119</v>
      </c>
      <c r="I348" s="151">
        <v>112422241</v>
      </c>
      <c r="J348" s="151">
        <v>-2129282.9548011869</v>
      </c>
      <c r="K348" s="151"/>
    </row>
    <row r="349" spans="1:11" ht="13.2">
      <c r="A349" s="152">
        <v>340</v>
      </c>
      <c r="B349" s="151">
        <v>54547616</v>
      </c>
      <c r="C349" s="151">
        <v>54547616</v>
      </c>
      <c r="D349" s="151">
        <v>25929204.129366878</v>
      </c>
      <c r="E349" s="151">
        <v>42662927.534752287</v>
      </c>
      <c r="F349" s="151">
        <v>26827093.353801146</v>
      </c>
      <c r="G349" s="151">
        <v>15000000</v>
      </c>
      <c r="H349" s="151">
        <v>110419225.01792032</v>
      </c>
      <c r="I349" s="151">
        <v>109095232</v>
      </c>
      <c r="J349" s="151">
        <v>-1323993.0179203153</v>
      </c>
      <c r="K349" s="151"/>
    </row>
    <row r="350" spans="1:11" ht="13.2">
      <c r="A350" s="152">
        <v>341</v>
      </c>
      <c r="B350" s="151">
        <v>55537705.5</v>
      </c>
      <c r="C350" s="151">
        <v>55537705.5</v>
      </c>
      <c r="D350" s="151">
        <v>24983607.027998362</v>
      </c>
      <c r="E350" s="151">
        <v>41882744.25268054</v>
      </c>
      <c r="F350" s="151">
        <v>29469861.505191896</v>
      </c>
      <c r="G350" s="151">
        <v>15000000</v>
      </c>
      <c r="H350" s="151">
        <v>111336212.78587079</v>
      </c>
      <c r="I350" s="151">
        <v>111075411</v>
      </c>
      <c r="J350" s="151">
        <v>-260801.78587079048</v>
      </c>
      <c r="K350" s="151"/>
    </row>
    <row r="351" spans="1:11" ht="13.2">
      <c r="A351" s="152">
        <v>342</v>
      </c>
      <c r="B351" s="151">
        <v>58070296.5</v>
      </c>
      <c r="C351" s="151">
        <v>58070296.5</v>
      </c>
      <c r="D351" s="151">
        <v>22435614.179383259</v>
      </c>
      <c r="E351" s="151">
        <v>42753232.680618331</v>
      </c>
      <c r="F351" s="151">
        <v>28181263.842877261</v>
      </c>
      <c r="G351" s="151">
        <v>15000000</v>
      </c>
      <c r="H351" s="151">
        <v>108370110.70287886</v>
      </c>
      <c r="I351" s="151">
        <v>116140593</v>
      </c>
      <c r="J351" s="151">
        <v>7770482.2971211374</v>
      </c>
      <c r="K351" s="151"/>
    </row>
    <row r="352" spans="1:11" ht="13.2">
      <c r="A352" s="152">
        <v>343</v>
      </c>
      <c r="B352" s="151">
        <v>55151333</v>
      </c>
      <c r="C352" s="151">
        <v>55151333</v>
      </c>
      <c r="D352" s="151">
        <v>24038598.127733123</v>
      </c>
      <c r="E352" s="151">
        <v>42291576.315231398</v>
      </c>
      <c r="F352" s="151">
        <v>26823398.229344364</v>
      </c>
      <c r="G352" s="151">
        <v>15000000</v>
      </c>
      <c r="H352" s="151">
        <v>108153572.67230889</v>
      </c>
      <c r="I352" s="151">
        <v>110302666</v>
      </c>
      <c r="J352" s="151">
        <v>2149093.327691108</v>
      </c>
      <c r="K352" s="151"/>
    </row>
    <row r="353" spans="1:11" ht="13.2">
      <c r="A353" s="152">
        <v>344</v>
      </c>
      <c r="B353" s="151">
        <v>54780251.5</v>
      </c>
      <c r="C353" s="151">
        <v>54780251.5</v>
      </c>
      <c r="D353" s="151">
        <v>24053484.49130214</v>
      </c>
      <c r="E353" s="151">
        <v>40805278.027710855</v>
      </c>
      <c r="F353" s="151">
        <v>25520133.185231682</v>
      </c>
      <c r="G353" s="151">
        <v>15000000</v>
      </c>
      <c r="H353" s="151">
        <v>105378895.70424467</v>
      </c>
      <c r="I353" s="151">
        <v>109560503</v>
      </c>
      <c r="J353" s="151">
        <v>4181607.2957553267</v>
      </c>
      <c r="K353" s="151"/>
    </row>
    <row r="354" spans="1:11" ht="13.2">
      <c r="A354" s="152">
        <v>345</v>
      </c>
      <c r="B354" s="151">
        <v>60447913.5</v>
      </c>
      <c r="C354" s="151">
        <v>60447913.5</v>
      </c>
      <c r="D354" s="151">
        <v>24711165.438835118</v>
      </c>
      <c r="E354" s="151">
        <v>42600600.385386467</v>
      </c>
      <c r="F354" s="151">
        <v>26621419.333453882</v>
      </c>
      <c r="G354" s="151">
        <v>15000000</v>
      </c>
      <c r="H354" s="151">
        <v>108933185.15767546</v>
      </c>
      <c r="I354" s="151">
        <v>120895827</v>
      </c>
      <c r="J354" s="151">
        <v>11962641.84232454</v>
      </c>
      <c r="K354" s="151"/>
    </row>
    <row r="355" spans="1:11" ht="13.2">
      <c r="A355" s="152">
        <v>346</v>
      </c>
      <c r="B355" s="151">
        <v>53129715.5</v>
      </c>
      <c r="C355" s="151">
        <v>53129715.5</v>
      </c>
      <c r="D355" s="151">
        <v>23788191.983371772</v>
      </c>
      <c r="E355" s="151">
        <v>42904144.550121792</v>
      </c>
      <c r="F355" s="151">
        <v>28245602.522447769</v>
      </c>
      <c r="G355" s="151">
        <v>15000000</v>
      </c>
      <c r="H355" s="151">
        <v>109937939.05594133</v>
      </c>
      <c r="I355" s="151">
        <v>106259431</v>
      </c>
      <c r="J355" s="151">
        <v>-3678508.0559413284</v>
      </c>
      <c r="K355" s="151"/>
    </row>
    <row r="356" spans="1:11" ht="13.2">
      <c r="A356" s="152">
        <v>347</v>
      </c>
      <c r="B356" s="151">
        <v>57425137</v>
      </c>
      <c r="C356" s="151">
        <v>57425137</v>
      </c>
      <c r="D356" s="151">
        <v>24033930.107095081</v>
      </c>
      <c r="E356" s="151">
        <v>42792390.538900338</v>
      </c>
      <c r="F356" s="151">
        <v>29929438.010098614</v>
      </c>
      <c r="G356" s="151">
        <v>15000000</v>
      </c>
      <c r="H356" s="151">
        <v>111755758.65609404</v>
      </c>
      <c r="I356" s="151">
        <v>114850274</v>
      </c>
      <c r="J356" s="151">
        <v>3094515.3439059556</v>
      </c>
      <c r="K356" s="151"/>
    </row>
    <row r="357" spans="1:11" ht="13.2">
      <c r="A357" s="152">
        <v>348</v>
      </c>
      <c r="B357" s="151">
        <v>56582368.5</v>
      </c>
      <c r="C357" s="151">
        <v>56582368.5</v>
      </c>
      <c r="D357" s="151">
        <v>24038892.228284754</v>
      </c>
      <c r="E357" s="151">
        <v>41479087.659163475</v>
      </c>
      <c r="F357" s="151">
        <v>28569058.070944317</v>
      </c>
      <c r="G357" s="151">
        <v>15000000</v>
      </c>
      <c r="H357" s="151">
        <v>109087037.95839255</v>
      </c>
      <c r="I357" s="151">
        <v>113164737</v>
      </c>
      <c r="J357" s="151">
        <v>4077699.0416074544</v>
      </c>
      <c r="K357" s="151"/>
    </row>
    <row r="358" spans="1:11" ht="13.2">
      <c r="A358" s="152">
        <v>349</v>
      </c>
      <c r="B358" s="151">
        <v>57749601</v>
      </c>
      <c r="C358" s="151">
        <v>57749601</v>
      </c>
      <c r="D358" s="151">
        <v>22035194.356892873</v>
      </c>
      <c r="E358" s="151">
        <v>43383936.887455612</v>
      </c>
      <c r="F358" s="151">
        <v>24220654.505629249</v>
      </c>
      <c r="G358" s="151">
        <v>15000000</v>
      </c>
      <c r="H358" s="151">
        <v>104639785.74997774</v>
      </c>
      <c r="I358" s="151">
        <v>115499202</v>
      </c>
      <c r="J358" s="151">
        <v>10859416.250022262</v>
      </c>
      <c r="K358" s="151"/>
    </row>
    <row r="359" spans="1:11" ht="13.2">
      <c r="A359" s="152">
        <v>350</v>
      </c>
      <c r="B359" s="151">
        <v>56129513</v>
      </c>
      <c r="C359" s="151">
        <v>56129513</v>
      </c>
      <c r="D359" s="151">
        <v>26444902.781658597</v>
      </c>
      <c r="E359" s="151">
        <v>42171128.415741839</v>
      </c>
      <c r="F359" s="151">
        <v>25282075.510965396</v>
      </c>
      <c r="G359" s="151">
        <v>15000000</v>
      </c>
      <c r="H359" s="151">
        <v>108898106.70836583</v>
      </c>
      <c r="I359" s="151">
        <v>112259026</v>
      </c>
      <c r="J359" s="151">
        <v>3360919.2916341722</v>
      </c>
      <c r="K359" s="151"/>
    </row>
    <row r="360" spans="1:11" ht="13.2">
      <c r="A360" s="152">
        <v>351</v>
      </c>
      <c r="B360" s="151">
        <v>56513278.5</v>
      </c>
      <c r="C360" s="151">
        <v>56513278.5</v>
      </c>
      <c r="D360" s="151">
        <v>24453316.112689257</v>
      </c>
      <c r="E360" s="151">
        <v>42190710.90837539</v>
      </c>
      <c r="F360" s="151">
        <v>26579148.769296207</v>
      </c>
      <c r="G360" s="151">
        <v>15000000</v>
      </c>
      <c r="H360" s="151">
        <v>108223175.79036085</v>
      </c>
      <c r="I360" s="151">
        <v>113026557</v>
      </c>
      <c r="J360" s="151">
        <v>4803381.2096391469</v>
      </c>
      <c r="K360" s="151"/>
    </row>
    <row r="361" spans="1:11" ht="13.2">
      <c r="A361" s="152">
        <v>352</v>
      </c>
      <c r="B361" s="151">
        <v>59682822</v>
      </c>
      <c r="C361" s="151">
        <v>59682822</v>
      </c>
      <c r="D361" s="151">
        <v>22573222.554538123</v>
      </c>
      <c r="E361" s="151">
        <v>43293310.739722602</v>
      </c>
      <c r="F361" s="151">
        <v>28098795.108928513</v>
      </c>
      <c r="G361" s="151">
        <v>15000000</v>
      </c>
      <c r="H361" s="151">
        <v>108965328.40318924</v>
      </c>
      <c r="I361" s="151">
        <v>119365644</v>
      </c>
      <c r="J361" s="151">
        <v>10400315.596810758</v>
      </c>
      <c r="K361" s="151"/>
    </row>
    <row r="362" spans="1:11" ht="13.2">
      <c r="A362" s="152">
        <v>353</v>
      </c>
      <c r="B362" s="151">
        <v>54332540</v>
      </c>
      <c r="C362" s="151">
        <v>54332540</v>
      </c>
      <c r="D362" s="151">
        <v>22973054.17592524</v>
      </c>
      <c r="E362" s="151">
        <v>43099997.445472807</v>
      </c>
      <c r="F362" s="151">
        <v>24801284.721375924</v>
      </c>
      <c r="G362" s="151">
        <v>15000000</v>
      </c>
      <c r="H362" s="151">
        <v>105874336.34277397</v>
      </c>
      <c r="I362" s="151">
        <v>108665080</v>
      </c>
      <c r="J362" s="151">
        <v>2790743.6572260261</v>
      </c>
      <c r="K362" s="151"/>
    </row>
    <row r="363" spans="1:11" ht="13.2">
      <c r="A363" s="152">
        <v>354</v>
      </c>
      <c r="B363" s="151">
        <v>55455648</v>
      </c>
      <c r="C363" s="151">
        <v>55455648</v>
      </c>
      <c r="D363" s="151">
        <v>22035194.356892873</v>
      </c>
      <c r="E363" s="151">
        <v>41366413.717546627</v>
      </c>
      <c r="F363" s="151">
        <v>27418245.665910039</v>
      </c>
      <c r="G363" s="151">
        <v>15000000</v>
      </c>
      <c r="H363" s="151">
        <v>105819853.74034953</v>
      </c>
      <c r="I363" s="151">
        <v>110911296</v>
      </c>
      <c r="J363" s="151">
        <v>5091442.2596504688</v>
      </c>
      <c r="K363" s="151"/>
    </row>
    <row r="364" spans="1:11" ht="13.2">
      <c r="A364" s="152">
        <v>355</v>
      </c>
      <c r="B364" s="151">
        <v>54316294</v>
      </c>
      <c r="C364" s="151">
        <v>54316294</v>
      </c>
      <c r="D364" s="151">
        <v>24178687.563482814</v>
      </c>
      <c r="E364" s="151">
        <v>42461665.706316441</v>
      </c>
      <c r="F364" s="151">
        <v>26990244.63715516</v>
      </c>
      <c r="G364" s="151">
        <v>15000000</v>
      </c>
      <c r="H364" s="151">
        <v>108630597.90695441</v>
      </c>
      <c r="I364" s="151">
        <v>108632588</v>
      </c>
      <c r="J364" s="151">
        <v>1990.093045592308</v>
      </c>
      <c r="K364" s="151"/>
    </row>
    <row r="365" spans="1:11" ht="13.2">
      <c r="A365" s="152">
        <v>356</v>
      </c>
      <c r="B365" s="151">
        <v>62024660.5</v>
      </c>
      <c r="C365" s="151">
        <v>62024660.5</v>
      </c>
      <c r="D365" s="151">
        <v>25914317.765797861</v>
      </c>
      <c r="E365" s="151">
        <v>41815319.630693145</v>
      </c>
      <c r="F365" s="151">
        <v>27385798.64648382</v>
      </c>
      <c r="G365" s="151">
        <v>15000000</v>
      </c>
      <c r="H365" s="151">
        <v>110115436.04297483</v>
      </c>
      <c r="I365" s="151">
        <v>124049321</v>
      </c>
      <c r="J365" s="151">
        <v>13933884.95702517</v>
      </c>
      <c r="K365" s="151"/>
    </row>
    <row r="366" spans="1:11" ht="13.2">
      <c r="A366" s="152">
        <v>357</v>
      </c>
      <c r="B366" s="151">
        <v>58040168.5</v>
      </c>
      <c r="C366" s="151">
        <v>58040168.5</v>
      </c>
      <c r="D366" s="151">
        <v>25256636.818264872</v>
      </c>
      <c r="E366" s="151">
        <v>42881853.334660448</v>
      </c>
      <c r="F366" s="151">
        <v>26197848.398137365</v>
      </c>
      <c r="G366" s="151">
        <v>15000000</v>
      </c>
      <c r="H366" s="151">
        <v>109336338.55106267</v>
      </c>
      <c r="I366" s="151">
        <v>116080337</v>
      </c>
      <c r="J366" s="151">
        <v>6743998.4489373267</v>
      </c>
      <c r="K366" s="151"/>
    </row>
    <row r="367" spans="1:11" ht="13.2">
      <c r="A367" s="152">
        <v>358</v>
      </c>
      <c r="B367" s="151">
        <v>58476748.5</v>
      </c>
      <c r="C367" s="151">
        <v>58476748.5</v>
      </c>
      <c r="D367" s="151">
        <v>23252938.946872994</v>
      </c>
      <c r="E367" s="151">
        <v>43645722.300389633</v>
      </c>
      <c r="F367" s="151">
        <v>29646128.630948052</v>
      </c>
      <c r="G367" s="151">
        <v>15000000</v>
      </c>
      <c r="H367" s="151">
        <v>111544789.87821068</v>
      </c>
      <c r="I367" s="151">
        <v>116953497</v>
      </c>
      <c r="J367" s="151">
        <v>5408707.1217893213</v>
      </c>
      <c r="K367" s="151"/>
    </row>
    <row r="368" spans="1:11" ht="13.2">
      <c r="A368" s="152">
        <v>359</v>
      </c>
      <c r="B368" s="151">
        <v>57280928</v>
      </c>
      <c r="C368" s="151">
        <v>57280928</v>
      </c>
      <c r="D368" s="151">
        <v>25386507.91108359</v>
      </c>
      <c r="E368" s="151">
        <v>42537611.590506621</v>
      </c>
      <c r="F368" s="151">
        <v>26404189.683865204</v>
      </c>
      <c r="G368" s="151">
        <v>15000000</v>
      </c>
      <c r="H368" s="151">
        <v>109328309.18545541</v>
      </c>
      <c r="I368" s="151">
        <v>114561856</v>
      </c>
      <c r="J368" s="151">
        <v>5233546.8145445883</v>
      </c>
      <c r="K368" s="151"/>
    </row>
    <row r="369" spans="1:11" ht="13.2">
      <c r="A369" s="152">
        <v>360</v>
      </c>
      <c r="B369" s="151">
        <v>56502610.5</v>
      </c>
      <c r="C369" s="151">
        <v>56502610.5</v>
      </c>
      <c r="D369" s="151">
        <v>24448942.192602858</v>
      </c>
      <c r="E369" s="151">
        <v>42118223.955012783</v>
      </c>
      <c r="F369" s="151">
        <v>27420178.789770436</v>
      </c>
      <c r="G369" s="151">
        <v>15000000</v>
      </c>
      <c r="H369" s="151">
        <v>108987344.93738608</v>
      </c>
      <c r="I369" s="151">
        <v>113005221</v>
      </c>
      <c r="J369" s="151">
        <v>4017876.0626139194</v>
      </c>
      <c r="K369" s="151"/>
    </row>
    <row r="370" spans="1:11" ht="13.2">
      <c r="A370" s="152">
        <v>361</v>
      </c>
      <c r="B370" s="151">
        <v>52569323.5</v>
      </c>
      <c r="C370" s="151">
        <v>52569323.5</v>
      </c>
      <c r="D370" s="151">
        <v>24311627.917999633</v>
      </c>
      <c r="E370" s="151">
        <v>42361895.083119072</v>
      </c>
      <c r="F370" s="151">
        <v>28221631.301071778</v>
      </c>
      <c r="G370" s="151">
        <v>15000000</v>
      </c>
      <c r="H370" s="151">
        <v>109895154.30219048</v>
      </c>
      <c r="I370" s="151">
        <v>105138647</v>
      </c>
      <c r="J370" s="151">
        <v>-4756507.3021904826</v>
      </c>
      <c r="K370" s="151"/>
    </row>
    <row r="371" spans="1:11" ht="13.2">
      <c r="A371" s="152">
        <v>362</v>
      </c>
      <c r="B371" s="151">
        <v>57783393</v>
      </c>
      <c r="C371" s="151">
        <v>57783393</v>
      </c>
      <c r="D371" s="151">
        <v>22828590.820089139</v>
      </c>
      <c r="E371" s="151">
        <v>42261062.689822406</v>
      </c>
      <c r="F371" s="151">
        <v>29039961.014439862</v>
      </c>
      <c r="G371" s="151">
        <v>15000000</v>
      </c>
      <c r="H371" s="151">
        <v>109129614.5243514</v>
      </c>
      <c r="I371" s="151">
        <v>115566786</v>
      </c>
      <c r="J371" s="151">
        <v>6437171.4756485969</v>
      </c>
      <c r="K371" s="151"/>
    </row>
    <row r="372" spans="1:11" ht="13.2">
      <c r="A372" s="152">
        <v>363</v>
      </c>
      <c r="B372" s="151">
        <v>52087264</v>
      </c>
      <c r="C372" s="151">
        <v>52087264</v>
      </c>
      <c r="D372" s="151">
        <v>24434349.929585468</v>
      </c>
      <c r="E372" s="151">
        <v>42783815.740529492</v>
      </c>
      <c r="F372" s="151">
        <v>28007465.200545911</v>
      </c>
      <c r="G372" s="151">
        <v>15000000</v>
      </c>
      <c r="H372" s="151">
        <v>110225630.87066087</v>
      </c>
      <c r="I372" s="151">
        <v>104174528</v>
      </c>
      <c r="J372" s="151">
        <v>-6051102.8706608713</v>
      </c>
      <c r="K372" s="151"/>
    </row>
    <row r="373" spans="1:11" ht="13.2">
      <c r="A373" s="152">
        <v>364</v>
      </c>
      <c r="B373" s="151">
        <v>56275941.5</v>
      </c>
      <c r="C373" s="151">
        <v>56275941.5</v>
      </c>
      <c r="D373" s="151">
        <v>22045118.599272218</v>
      </c>
      <c r="E373" s="151">
        <v>41962564.361693412</v>
      </c>
      <c r="F373" s="151">
        <v>30300742.170194618</v>
      </c>
      <c r="G373" s="151">
        <v>15000000</v>
      </c>
      <c r="H373" s="151">
        <v>109308425.13116026</v>
      </c>
      <c r="I373" s="151">
        <v>112551883</v>
      </c>
      <c r="J373" s="151">
        <v>3243457.8688397408</v>
      </c>
      <c r="K373" s="151"/>
    </row>
    <row r="374" spans="1:11" ht="13.2">
      <c r="A374" s="152">
        <v>365</v>
      </c>
      <c r="B374" s="151">
        <v>59967145.5</v>
      </c>
      <c r="C374" s="151">
        <v>59967145.5</v>
      </c>
      <c r="D374" s="151">
        <v>24190798.765905362</v>
      </c>
      <c r="E374" s="151">
        <v>43098926.488450691</v>
      </c>
      <c r="F374" s="151">
        <v>26076919.114350274</v>
      </c>
      <c r="G374" s="151">
        <v>15000000</v>
      </c>
      <c r="H374" s="151">
        <v>108366644.36870633</v>
      </c>
      <c r="I374" s="151">
        <v>119934291</v>
      </c>
      <c r="J374" s="151">
        <v>11567646.631293669</v>
      </c>
      <c r="K374" s="151"/>
    </row>
    <row r="375" spans="1:11" ht="13.2">
      <c r="A375" s="152">
        <v>366</v>
      </c>
      <c r="B375" s="151">
        <v>51583983</v>
      </c>
      <c r="C375" s="151">
        <v>51583983</v>
      </c>
      <c r="D375" s="151">
        <v>24576626.325378366</v>
      </c>
      <c r="E375" s="151">
        <v>42156006.284154795</v>
      </c>
      <c r="F375" s="151">
        <v>24929808.301665295</v>
      </c>
      <c r="G375" s="151">
        <v>15000000</v>
      </c>
      <c r="H375" s="151">
        <v>106662440.91119845</v>
      </c>
      <c r="I375" s="151">
        <v>103167966</v>
      </c>
      <c r="J375" s="151">
        <v>-3494474.9111984521</v>
      </c>
      <c r="K375" s="151"/>
    </row>
    <row r="376" spans="1:11" ht="13.2">
      <c r="A376" s="152">
        <v>367</v>
      </c>
      <c r="B376" s="151">
        <v>58592576.5</v>
      </c>
      <c r="C376" s="151">
        <v>58592576.5</v>
      </c>
      <c r="D376" s="151">
        <v>22970867.215882041</v>
      </c>
      <c r="E376" s="151">
        <v>43451227.821172029</v>
      </c>
      <c r="F376" s="151">
        <v>26433960.356134403</v>
      </c>
      <c r="G376" s="151">
        <v>15000000</v>
      </c>
      <c r="H376" s="151">
        <v>107856055.39318848</v>
      </c>
      <c r="I376" s="151">
        <v>117185153</v>
      </c>
      <c r="J376" s="151">
        <v>9329097.6068115234</v>
      </c>
      <c r="K376" s="151"/>
    </row>
    <row r="377" spans="1:11" ht="13.2">
      <c r="A377" s="152">
        <v>368</v>
      </c>
      <c r="B377" s="151">
        <v>58253430.5</v>
      </c>
      <c r="C377" s="151">
        <v>58253430.5</v>
      </c>
      <c r="D377" s="151">
        <v>24566996.183550652</v>
      </c>
      <c r="E377" s="151">
        <v>42813276.334702656</v>
      </c>
      <c r="F377" s="151">
        <v>27319756.296131767</v>
      </c>
      <c r="G377" s="151">
        <v>15000000</v>
      </c>
      <c r="H377" s="151">
        <v>109700028.81438509</v>
      </c>
      <c r="I377" s="151">
        <v>116506861</v>
      </c>
      <c r="J377" s="151">
        <v>6806832.1856149137</v>
      </c>
      <c r="K377" s="151"/>
    </row>
    <row r="378" spans="1:11" ht="13.2">
      <c r="A378" s="152">
        <v>369</v>
      </c>
      <c r="B378" s="151">
        <v>58715606</v>
      </c>
      <c r="C378" s="151">
        <v>58715606</v>
      </c>
      <c r="D378" s="151">
        <v>26454827.024037942</v>
      </c>
      <c r="E378" s="151">
        <v>41760289.1191388</v>
      </c>
      <c r="F378" s="151">
        <v>24958341.264923569</v>
      </c>
      <c r="G378" s="151">
        <v>15000000</v>
      </c>
      <c r="H378" s="151">
        <v>108173457.40810031</v>
      </c>
      <c r="I378" s="151">
        <v>117431212</v>
      </c>
      <c r="J378" s="151">
        <v>9257754.591899693</v>
      </c>
      <c r="K378" s="151"/>
    </row>
    <row r="379" spans="1:11" ht="13.2">
      <c r="A379" s="152">
        <v>370</v>
      </c>
      <c r="B379" s="151">
        <v>57399895.5</v>
      </c>
      <c r="C379" s="151">
        <v>57399895.5</v>
      </c>
      <c r="D379" s="151">
        <v>23776080.78094922</v>
      </c>
      <c r="E379" s="151">
        <v>42327354.020522863</v>
      </c>
      <c r="F379" s="151">
        <v>26256746.11433107</v>
      </c>
      <c r="G379" s="151">
        <v>15000000</v>
      </c>
      <c r="H379" s="151">
        <v>107360180.91580315</v>
      </c>
      <c r="I379" s="151">
        <v>114799791</v>
      </c>
      <c r="J379" s="151">
        <v>7439610.0841968507</v>
      </c>
      <c r="K379" s="151"/>
    </row>
    <row r="380" spans="1:11" ht="13.2">
      <c r="A380" s="152">
        <v>371</v>
      </c>
      <c r="B380" s="151">
        <v>57196197</v>
      </c>
      <c r="C380" s="151">
        <v>57196197</v>
      </c>
      <c r="D380" s="151">
        <v>24723570.741809301</v>
      </c>
      <c r="E380" s="151">
        <v>43194054.408564568</v>
      </c>
      <c r="F380" s="151">
        <v>30162243.5219444</v>
      </c>
      <c r="G380" s="151">
        <v>15000000</v>
      </c>
      <c r="H380" s="151">
        <v>113079868.67231828</v>
      </c>
      <c r="I380" s="151">
        <v>114392394</v>
      </c>
      <c r="J380" s="151">
        <v>1312525.3276817203</v>
      </c>
      <c r="K380" s="151"/>
    </row>
    <row r="381" spans="1:11" ht="13.2">
      <c r="A381" s="152">
        <v>372</v>
      </c>
      <c r="B381" s="151">
        <v>55839818</v>
      </c>
      <c r="C381" s="151">
        <v>55839818</v>
      </c>
      <c r="D381" s="151">
        <v>24043560.248922795</v>
      </c>
      <c r="E381" s="151">
        <v>43003734.990887299</v>
      </c>
      <c r="F381" s="151">
        <v>28201509.166264378</v>
      </c>
      <c r="G381" s="151">
        <v>15000000</v>
      </c>
      <c r="H381" s="151">
        <v>110248804.40607446</v>
      </c>
      <c r="I381" s="151">
        <v>111679636</v>
      </c>
      <c r="J381" s="151">
        <v>1430831.5939255357</v>
      </c>
      <c r="K381" s="151"/>
    </row>
    <row r="382" spans="1:11" ht="13.2">
      <c r="A382" s="152">
        <v>373</v>
      </c>
      <c r="B382" s="151">
        <v>54642504</v>
      </c>
      <c r="C382" s="151">
        <v>54642504</v>
      </c>
      <c r="D382" s="151">
        <v>22980497.357709751</v>
      </c>
      <c r="E382" s="151">
        <v>42546503.115593202</v>
      </c>
      <c r="F382" s="151">
        <v>26629019.200850278</v>
      </c>
      <c r="G382" s="151">
        <v>15000000</v>
      </c>
      <c r="H382" s="151">
        <v>107156019.67415324</v>
      </c>
      <c r="I382" s="151">
        <v>109285008</v>
      </c>
      <c r="J382" s="151">
        <v>2128988.3258467615</v>
      </c>
      <c r="K382" s="151"/>
    </row>
    <row r="383" spans="1:11" ht="13.2">
      <c r="A383" s="152">
        <v>374</v>
      </c>
      <c r="B383" s="151">
        <v>54764689</v>
      </c>
      <c r="C383" s="151">
        <v>54764689</v>
      </c>
      <c r="D383" s="151">
        <v>24976752.047317121</v>
      </c>
      <c r="E383" s="151">
        <v>43225022.109592915</v>
      </c>
      <c r="F383" s="151">
        <v>29521177.546866909</v>
      </c>
      <c r="G383" s="151">
        <v>15000000</v>
      </c>
      <c r="H383" s="151">
        <v>112722951.70377694</v>
      </c>
      <c r="I383" s="151">
        <v>109529378</v>
      </c>
      <c r="J383" s="151">
        <v>-3193573.7037769407</v>
      </c>
      <c r="K383" s="151"/>
    </row>
    <row r="384" spans="1:11" ht="13.2">
      <c r="A384" s="152">
        <v>375</v>
      </c>
      <c r="B384" s="151">
        <v>61039419.5</v>
      </c>
      <c r="C384" s="151">
        <v>61039419.5</v>
      </c>
      <c r="D384" s="151">
        <v>24431868.868990634</v>
      </c>
      <c r="E384" s="151">
        <v>42491657.401611492</v>
      </c>
      <c r="F384" s="151">
        <v>24160031.410504695</v>
      </c>
      <c r="G384" s="151">
        <v>15000000</v>
      </c>
      <c r="H384" s="151">
        <v>106083557.68110682</v>
      </c>
      <c r="I384" s="151">
        <v>122078839</v>
      </c>
      <c r="J384" s="151">
        <v>15995281.318893179</v>
      </c>
      <c r="K384" s="151"/>
    </row>
    <row r="385" spans="1:11" ht="13.2">
      <c r="A385" s="152">
        <v>376</v>
      </c>
      <c r="B385" s="151">
        <v>58835224.5</v>
      </c>
      <c r="C385" s="151">
        <v>58835224.5</v>
      </c>
      <c r="D385" s="151">
        <v>24043266.14837116</v>
      </c>
      <c r="E385" s="151">
        <v>42000312.887244642</v>
      </c>
      <c r="F385" s="151">
        <v>25921368.408896107</v>
      </c>
      <c r="G385" s="151">
        <v>15000000</v>
      </c>
      <c r="H385" s="151">
        <v>106964947.44451191</v>
      </c>
      <c r="I385" s="151">
        <v>117670449</v>
      </c>
      <c r="J385" s="151">
        <v>10705501.555488095</v>
      </c>
      <c r="K385" s="151"/>
    </row>
    <row r="386" spans="1:11" ht="13.2">
      <c r="A386" s="152">
        <v>377</v>
      </c>
      <c r="B386" s="151">
        <v>58645139</v>
      </c>
      <c r="C386" s="151">
        <v>58645139</v>
      </c>
      <c r="D386" s="151">
        <v>22958756.013459489</v>
      </c>
      <c r="E386" s="151">
        <v>41461236.564328119</v>
      </c>
      <c r="F386" s="151">
        <v>31121934.175834607</v>
      </c>
      <c r="G386" s="151">
        <v>15000000</v>
      </c>
      <c r="H386" s="151">
        <v>110541926.75362222</v>
      </c>
      <c r="I386" s="151">
        <v>117290278</v>
      </c>
      <c r="J386" s="151">
        <v>6748351.246377781</v>
      </c>
      <c r="K386" s="151"/>
    </row>
    <row r="387" spans="1:11" ht="13.2">
      <c r="A387" s="152">
        <v>378</v>
      </c>
      <c r="B387" s="151">
        <v>62571478.5</v>
      </c>
      <c r="C387" s="151">
        <v>62571478.5</v>
      </c>
      <c r="D387" s="151">
        <v>23369100.078329224</v>
      </c>
      <c r="E387" s="151">
        <v>41719337.009895481</v>
      </c>
      <c r="F387" s="151">
        <v>24882116.856978618</v>
      </c>
      <c r="G387" s="151">
        <v>15000000</v>
      </c>
      <c r="H387" s="151">
        <v>104970553.94520333</v>
      </c>
      <c r="I387" s="151">
        <v>125142957</v>
      </c>
      <c r="J387" s="151">
        <v>20172403.054796666</v>
      </c>
      <c r="K387" s="151"/>
    </row>
    <row r="388" spans="1:11" ht="13.2">
      <c r="A388" s="152">
        <v>379</v>
      </c>
      <c r="B388" s="151">
        <v>57987324</v>
      </c>
      <c r="C388" s="151">
        <v>57987324</v>
      </c>
      <c r="D388" s="151">
        <v>24849362.015093245</v>
      </c>
      <c r="E388" s="151">
        <v>42575269.01744891</v>
      </c>
      <c r="F388" s="151">
        <v>25707082.11738484</v>
      </c>
      <c r="G388" s="151">
        <v>15000000</v>
      </c>
      <c r="H388" s="151">
        <v>108131713.14992699</v>
      </c>
      <c r="I388" s="151">
        <v>115974648</v>
      </c>
      <c r="J388" s="151">
        <v>7842934.8500730097</v>
      </c>
      <c r="K388" s="151"/>
    </row>
    <row r="389" spans="1:11" ht="13.2">
      <c r="A389" s="152">
        <v>380</v>
      </c>
      <c r="B389" s="151">
        <v>59564756.5</v>
      </c>
      <c r="C389" s="151">
        <v>59564756.5</v>
      </c>
      <c r="D389" s="151">
        <v>25116841.483066816</v>
      </c>
      <c r="E389" s="151">
        <v>42304326.591874495</v>
      </c>
      <c r="F389" s="151">
        <v>28484427.466709632</v>
      </c>
      <c r="G389" s="151">
        <v>15000000</v>
      </c>
      <c r="H389" s="151">
        <v>110905595.54165094</v>
      </c>
      <c r="I389" s="151">
        <v>119129513</v>
      </c>
      <c r="J389" s="151">
        <v>8223917.458349064</v>
      </c>
      <c r="K389" s="151"/>
    </row>
    <row r="390" spans="1:11" ht="13.2">
      <c r="A390" s="152">
        <v>381</v>
      </c>
      <c r="B390" s="151">
        <v>52619233</v>
      </c>
      <c r="C390" s="151">
        <v>52619233</v>
      </c>
      <c r="D390" s="151">
        <v>25386802.011635225</v>
      </c>
      <c r="E390" s="151">
        <v>42692646.04889065</v>
      </c>
      <c r="F390" s="151">
        <v>28978264.181746993</v>
      </c>
      <c r="G390" s="151">
        <v>15000000</v>
      </c>
      <c r="H390" s="151">
        <v>112057712.24227287</v>
      </c>
      <c r="I390" s="151">
        <v>105238466</v>
      </c>
      <c r="J390" s="151">
        <v>-6819246.2422728688</v>
      </c>
      <c r="K390" s="151"/>
    </row>
    <row r="391" spans="1:11" ht="13.2">
      <c r="A391" s="152">
        <v>382</v>
      </c>
      <c r="B391" s="151">
        <v>54416765</v>
      </c>
      <c r="C391" s="151">
        <v>54416765</v>
      </c>
      <c r="D391" s="151">
        <v>25521635.225643612</v>
      </c>
      <c r="E391" s="151">
        <v>42509929.151694298</v>
      </c>
      <c r="F391" s="151">
        <v>25232297.216298938</v>
      </c>
      <c r="G391" s="151">
        <v>15000000</v>
      </c>
      <c r="H391" s="151">
        <v>108263861.59363684</v>
      </c>
      <c r="I391" s="151">
        <v>108833530</v>
      </c>
      <c r="J391" s="151">
        <v>569668.40636315942</v>
      </c>
      <c r="K391" s="151"/>
    </row>
    <row r="392" spans="1:11" ht="13.2">
      <c r="A392" s="152">
        <v>383</v>
      </c>
      <c r="B392" s="151">
        <v>59947093</v>
      </c>
      <c r="C392" s="151">
        <v>59947093</v>
      </c>
      <c r="D392" s="151">
        <v>24299222.61502545</v>
      </c>
      <c r="E392" s="151">
        <v>43990149.007650264</v>
      </c>
      <c r="F392" s="151">
        <v>29812973.493584622</v>
      </c>
      <c r="G392" s="151">
        <v>15000000</v>
      </c>
      <c r="H392" s="151">
        <v>113102345.11626033</v>
      </c>
      <c r="I392" s="151">
        <v>119894186</v>
      </c>
      <c r="J392" s="151">
        <v>6791840.8837396652</v>
      </c>
      <c r="K392" s="151"/>
    </row>
    <row r="393" spans="1:11" ht="13.2">
      <c r="A393" s="152">
        <v>384</v>
      </c>
      <c r="B393" s="151">
        <v>55639873.5</v>
      </c>
      <c r="C393" s="151">
        <v>55639873.5</v>
      </c>
      <c r="D393" s="151">
        <v>25651506.318462327</v>
      </c>
      <c r="E393" s="151">
        <v>43664140.475935258</v>
      </c>
      <c r="F393" s="151">
        <v>27294491.467708241</v>
      </c>
      <c r="G393" s="151">
        <v>15000000</v>
      </c>
      <c r="H393" s="151">
        <v>111610138.26210584</v>
      </c>
      <c r="I393" s="151">
        <v>111279747</v>
      </c>
      <c r="J393" s="151">
        <v>-330391.26210583746</v>
      </c>
      <c r="K393" s="151"/>
    </row>
    <row r="394" spans="1:11" ht="13.2">
      <c r="A394" s="152">
        <v>385</v>
      </c>
      <c r="B394" s="151">
        <v>58533975</v>
      </c>
      <c r="C394" s="151">
        <v>58533975</v>
      </c>
      <c r="D394" s="151">
        <v>26587473.278003126</v>
      </c>
      <c r="E394" s="151">
        <v>43608066.874246009</v>
      </c>
      <c r="F394" s="151">
        <v>25868366.045601618</v>
      </c>
      <c r="G394" s="151">
        <v>15000000</v>
      </c>
      <c r="H394" s="151">
        <v>111063906.19785075</v>
      </c>
      <c r="I394" s="151">
        <v>117067950</v>
      </c>
      <c r="J394" s="151">
        <v>6004043.8021492511</v>
      </c>
      <c r="K394" s="151"/>
    </row>
    <row r="395" spans="1:11" ht="13.2">
      <c r="A395" s="152">
        <v>386</v>
      </c>
      <c r="B395" s="151">
        <v>59120163.5</v>
      </c>
      <c r="C395" s="151">
        <v>59120163.5</v>
      </c>
      <c r="D395" s="151">
        <v>22442763.260616139</v>
      </c>
      <c r="E395" s="151">
        <v>43036230.814697251</v>
      </c>
      <c r="F395" s="151">
        <v>25885766.807496179</v>
      </c>
      <c r="G395" s="151">
        <v>15000000</v>
      </c>
      <c r="H395" s="151">
        <v>106364760.88280956</v>
      </c>
      <c r="I395" s="151">
        <v>118240327</v>
      </c>
      <c r="J395" s="151">
        <v>11875566.117190436</v>
      </c>
      <c r="K395" s="151"/>
    </row>
    <row r="396" spans="1:11" ht="13.2">
      <c r="A396" s="152">
        <v>387</v>
      </c>
      <c r="B396" s="151">
        <v>53840039</v>
      </c>
      <c r="C396" s="151">
        <v>53840039</v>
      </c>
      <c r="D396" s="151">
        <v>24844105.793351937</v>
      </c>
      <c r="E396" s="151">
        <v>44211575.612701438</v>
      </c>
      <c r="F396" s="151">
        <v>28632958.931677368</v>
      </c>
      <c r="G396" s="151">
        <v>15000000</v>
      </c>
      <c r="H396" s="151">
        <v>112688640.33773075</v>
      </c>
      <c r="I396" s="151">
        <v>107680078</v>
      </c>
      <c r="J396" s="151">
        <v>-5008562.3377307504</v>
      </c>
      <c r="K396" s="151"/>
    </row>
    <row r="397" spans="1:11" ht="13.2">
      <c r="A397" s="152">
        <v>388</v>
      </c>
      <c r="B397" s="151">
        <v>54760516.5</v>
      </c>
      <c r="C397" s="151">
        <v>54760516.5</v>
      </c>
      <c r="D397" s="151">
        <v>26314737.588288248</v>
      </c>
      <c r="E397" s="151">
        <v>41543617.954837836</v>
      </c>
      <c r="F397" s="151">
        <v>26759643.518030163</v>
      </c>
      <c r="G397" s="151">
        <v>15000000</v>
      </c>
      <c r="H397" s="151">
        <v>109617999.06115624</v>
      </c>
      <c r="I397" s="151">
        <v>109521033</v>
      </c>
      <c r="J397" s="151">
        <v>-96966.061156243086</v>
      </c>
      <c r="K397" s="151"/>
    </row>
    <row r="398" spans="1:11" ht="13.2">
      <c r="A398" s="152">
        <v>389</v>
      </c>
      <c r="B398" s="151">
        <v>58098063.5</v>
      </c>
      <c r="C398" s="151">
        <v>58098063.5</v>
      </c>
      <c r="D398" s="151">
        <v>24588443.427249279</v>
      </c>
      <c r="E398" s="151">
        <v>42342559.067403041</v>
      </c>
      <c r="F398" s="151">
        <v>27849380.353069574</v>
      </c>
      <c r="G398" s="151">
        <v>15000000</v>
      </c>
      <c r="H398" s="151">
        <v>109780382.84772189</v>
      </c>
      <c r="I398" s="151">
        <v>116196127</v>
      </c>
      <c r="J398" s="151">
        <v>6415744.1522781104</v>
      </c>
      <c r="K398" s="151"/>
    </row>
    <row r="399" spans="1:11" ht="13.2">
      <c r="A399" s="152">
        <v>390</v>
      </c>
      <c r="B399" s="151">
        <v>53934247</v>
      </c>
      <c r="C399" s="151">
        <v>53934247</v>
      </c>
      <c r="D399" s="151">
        <v>24048228.269560833</v>
      </c>
      <c r="E399" s="151">
        <v>42833909.914114401</v>
      </c>
      <c r="F399" s="151">
        <v>28410712.458161224</v>
      </c>
      <c r="G399" s="151">
        <v>15000000</v>
      </c>
      <c r="H399" s="151">
        <v>110292850.64183645</v>
      </c>
      <c r="I399" s="151">
        <v>107868494</v>
      </c>
      <c r="J399" s="151">
        <v>-2424356.6418364495</v>
      </c>
      <c r="K399" s="151"/>
    </row>
    <row r="400" spans="1:11" ht="13.2">
      <c r="A400" s="152">
        <v>391</v>
      </c>
      <c r="B400" s="151">
        <v>59914180.5</v>
      </c>
      <c r="C400" s="151">
        <v>59914180.5</v>
      </c>
      <c r="D400" s="151">
        <v>25111585.261325508</v>
      </c>
      <c r="E400" s="151">
        <v>42250995.840491496</v>
      </c>
      <c r="F400" s="151">
        <v>27826839.117783263</v>
      </c>
      <c r="G400" s="151">
        <v>15000000</v>
      </c>
      <c r="H400" s="151">
        <v>110189420.21960028</v>
      </c>
      <c r="I400" s="151">
        <v>119828361</v>
      </c>
      <c r="J400" s="151">
        <v>9638940.7803997248</v>
      </c>
      <c r="K400" s="151"/>
    </row>
    <row r="401" spans="1:11" ht="13.2">
      <c r="A401" s="152">
        <v>392</v>
      </c>
      <c r="B401" s="151">
        <v>51036927</v>
      </c>
      <c r="C401" s="151">
        <v>51036927</v>
      </c>
      <c r="D401" s="151">
        <v>23364137.957139548</v>
      </c>
      <c r="E401" s="151">
        <v>42738602.948169842</v>
      </c>
      <c r="F401" s="151">
        <v>28417214.685582947</v>
      </c>
      <c r="G401" s="151">
        <v>15000000</v>
      </c>
      <c r="H401" s="151">
        <v>109519955.59089234</v>
      </c>
      <c r="I401" s="151">
        <v>102073854</v>
      </c>
      <c r="J401" s="151">
        <v>-7446101.5908923447</v>
      </c>
      <c r="K401" s="151"/>
    </row>
    <row r="402" spans="1:11" ht="13.2">
      <c r="A402" s="152">
        <v>393</v>
      </c>
      <c r="B402" s="151">
        <v>58707451</v>
      </c>
      <c r="C402" s="151">
        <v>58707451</v>
      </c>
      <c r="D402" s="151">
        <v>22170321.671452891</v>
      </c>
      <c r="E402" s="151">
        <v>42178367.574579164</v>
      </c>
      <c r="F402" s="151">
        <v>26247451.01695326</v>
      </c>
      <c r="G402" s="151">
        <v>15000000</v>
      </c>
      <c r="H402" s="151">
        <v>105596140.26298532</v>
      </c>
      <c r="I402" s="151">
        <v>117414902</v>
      </c>
      <c r="J402" s="151">
        <v>11818761.737014681</v>
      </c>
      <c r="K402" s="151"/>
    </row>
    <row r="403" spans="1:11" ht="13.2">
      <c r="A403" s="152">
        <v>394</v>
      </c>
      <c r="B403" s="151">
        <v>50177286</v>
      </c>
      <c r="C403" s="151">
        <v>50177286</v>
      </c>
      <c r="D403" s="151">
        <v>24718608.620619625</v>
      </c>
      <c r="E403" s="151">
        <v>42772190.400392964</v>
      </c>
      <c r="F403" s="151">
        <v>28594874.980966344</v>
      </c>
      <c r="G403" s="151">
        <v>15000000</v>
      </c>
      <c r="H403" s="151">
        <v>111085674.00197893</v>
      </c>
      <c r="I403" s="151">
        <v>100354572</v>
      </c>
      <c r="J403" s="151">
        <v>-10731102.001978934</v>
      </c>
      <c r="K403" s="151"/>
    </row>
    <row r="404" spans="1:11" ht="13.2">
      <c r="A404" s="152">
        <v>395</v>
      </c>
      <c r="B404" s="151">
        <v>54558400</v>
      </c>
      <c r="C404" s="151">
        <v>54558400</v>
      </c>
      <c r="D404" s="151">
        <v>24166870.461611897</v>
      </c>
      <c r="E404" s="151">
        <v>42460499.956311852</v>
      </c>
      <c r="F404" s="151">
        <v>24711097.551011603</v>
      </c>
      <c r="G404" s="151">
        <v>15000000</v>
      </c>
      <c r="H404" s="151">
        <v>106338467.96893536</v>
      </c>
      <c r="I404" s="151">
        <v>109116800</v>
      </c>
      <c r="J404" s="151">
        <v>2778332.0310646445</v>
      </c>
      <c r="K404" s="151"/>
    </row>
    <row r="405" spans="1:11" ht="13.2">
      <c r="A405" s="152">
        <v>396</v>
      </c>
      <c r="B405" s="151">
        <v>53118699</v>
      </c>
      <c r="C405" s="151">
        <v>53118699</v>
      </c>
      <c r="D405" s="151">
        <v>23364137.957139548</v>
      </c>
      <c r="E405" s="151">
        <v>43644918.346845299</v>
      </c>
      <c r="F405" s="151">
        <v>27540370.649009775</v>
      </c>
      <c r="G405" s="151">
        <v>15000000</v>
      </c>
      <c r="H405" s="151">
        <v>109549426.95299463</v>
      </c>
      <c r="I405" s="151">
        <v>106237398</v>
      </c>
      <c r="J405" s="151">
        <v>-3312028.9529946297</v>
      </c>
      <c r="K405" s="151"/>
    </row>
    <row r="406" spans="1:11" ht="13.2">
      <c r="A406" s="152">
        <v>397</v>
      </c>
      <c r="B406" s="151">
        <v>60097784.5</v>
      </c>
      <c r="C406" s="151">
        <v>60097784.5</v>
      </c>
      <c r="D406" s="151">
        <v>23366324.917182755</v>
      </c>
      <c r="E406" s="151">
        <v>43672273.136302263</v>
      </c>
      <c r="F406" s="151">
        <v>26229047.553143192</v>
      </c>
      <c r="G406" s="151">
        <v>15000000</v>
      </c>
      <c r="H406" s="151">
        <v>108267645.60662821</v>
      </c>
      <c r="I406" s="151">
        <v>120195569</v>
      </c>
      <c r="J406" s="151">
        <v>11927923.393371791</v>
      </c>
      <c r="K406" s="151"/>
    </row>
    <row r="407" spans="1:11" ht="13.2">
      <c r="A407" s="152">
        <v>398</v>
      </c>
      <c r="B407" s="151">
        <v>54881667.5</v>
      </c>
      <c r="C407" s="151">
        <v>54881667.5</v>
      </c>
      <c r="D407" s="151">
        <v>26061850.383332059</v>
      </c>
      <c r="E407" s="151">
        <v>43270738.272626281</v>
      </c>
      <c r="F407" s="151">
        <v>28379241.087054662</v>
      </c>
      <c r="G407" s="151">
        <v>15000000</v>
      </c>
      <c r="H407" s="151">
        <v>112711829.74301299</v>
      </c>
      <c r="I407" s="151">
        <v>109763335</v>
      </c>
      <c r="J407" s="151">
        <v>-2948494.7430129945</v>
      </c>
      <c r="K407" s="151"/>
    </row>
    <row r="408" spans="1:11" ht="13.2">
      <c r="A408" s="152">
        <v>399</v>
      </c>
      <c r="B408" s="151">
        <v>57183647.5</v>
      </c>
      <c r="C408" s="151">
        <v>57183647.5</v>
      </c>
      <c r="D408" s="151">
        <v>22565779.372753613</v>
      </c>
      <c r="E408" s="151">
        <v>41226124.709519744</v>
      </c>
      <c r="F408" s="151">
        <v>27645070.604995072</v>
      </c>
      <c r="G408" s="151">
        <v>15000000</v>
      </c>
      <c r="H408" s="151">
        <v>106436974.68726844</v>
      </c>
      <c r="I408" s="151">
        <v>114367295</v>
      </c>
      <c r="J408" s="151">
        <v>7930320.312731564</v>
      </c>
      <c r="K408" s="151"/>
    </row>
    <row r="409" spans="1:11" ht="13.2">
      <c r="A409" s="152">
        <v>400</v>
      </c>
      <c r="B409" s="151">
        <v>57310186.5</v>
      </c>
      <c r="C409" s="151">
        <v>57310186.5</v>
      </c>
      <c r="D409" s="151">
        <v>23646209.688130505</v>
      </c>
      <c r="E409" s="151">
        <v>42786248.030597404</v>
      </c>
      <c r="F409" s="151">
        <v>24979573.730572537</v>
      </c>
      <c r="G409" s="151">
        <v>15000000</v>
      </c>
      <c r="H409" s="151">
        <v>106412031.44930044</v>
      </c>
      <c r="I409" s="151">
        <v>114620373</v>
      </c>
      <c r="J409" s="151">
        <v>8208341.5506995618</v>
      </c>
      <c r="K409" s="151"/>
    </row>
    <row r="410" spans="1:11" ht="13.2">
      <c r="A410" s="152">
        <v>401</v>
      </c>
      <c r="B410" s="151">
        <v>53327569</v>
      </c>
      <c r="C410" s="151">
        <v>53327569</v>
      </c>
      <c r="D410" s="151">
        <v>25656762.540203631</v>
      </c>
      <c r="E410" s="151">
        <v>43379792.415176354</v>
      </c>
      <c r="F410" s="151">
        <v>26481583.465525046</v>
      </c>
      <c r="G410" s="151">
        <v>15000000</v>
      </c>
      <c r="H410" s="151">
        <v>110518138.42090504</v>
      </c>
      <c r="I410" s="151">
        <v>106655138</v>
      </c>
      <c r="J410" s="151">
        <v>-3863000.4209050387</v>
      </c>
      <c r="K410" s="151"/>
    </row>
    <row r="411" spans="1:11" ht="13.2">
      <c r="A411" s="152">
        <v>402</v>
      </c>
      <c r="B411" s="151">
        <v>58508263</v>
      </c>
      <c r="C411" s="151">
        <v>58508263</v>
      </c>
      <c r="D411" s="151">
        <v>25254155.757670037</v>
      </c>
      <c r="E411" s="151">
        <v>43195454.337489881</v>
      </c>
      <c r="F411" s="151">
        <v>27359222.524757165</v>
      </c>
      <c r="G411" s="151">
        <v>15000000</v>
      </c>
      <c r="H411" s="151">
        <v>110808832.61991708</v>
      </c>
      <c r="I411" s="151">
        <v>117016526</v>
      </c>
      <c r="J411" s="151">
        <v>6207693.3800829202</v>
      </c>
      <c r="K411" s="151"/>
    </row>
    <row r="412" spans="1:11" ht="13.2">
      <c r="A412" s="152">
        <v>403</v>
      </c>
      <c r="B412" s="151">
        <v>53915006</v>
      </c>
      <c r="C412" s="151">
        <v>53915006</v>
      </c>
      <c r="D412" s="151">
        <v>23243602.905596916</v>
      </c>
      <c r="E412" s="151">
        <v>43381137.484472811</v>
      </c>
      <c r="F412" s="151">
        <v>26517684.18388129</v>
      </c>
      <c r="G412" s="151">
        <v>15000000</v>
      </c>
      <c r="H412" s="151">
        <v>108142424.57395101</v>
      </c>
      <c r="I412" s="151">
        <v>107830012</v>
      </c>
      <c r="J412" s="151">
        <v>-312412.57395100594</v>
      </c>
      <c r="K412" s="151"/>
    </row>
    <row r="413" spans="1:11" ht="13.2">
      <c r="A413" s="152">
        <v>404</v>
      </c>
      <c r="B413" s="151">
        <v>58386260</v>
      </c>
      <c r="C413" s="151">
        <v>58386260</v>
      </c>
      <c r="D413" s="151">
        <v>23508895.413527284</v>
      </c>
      <c r="E413" s="151">
        <v>42584970.531031251</v>
      </c>
      <c r="F413" s="151">
        <v>28661034.566494055</v>
      </c>
      <c r="G413" s="151">
        <v>15000000</v>
      </c>
      <c r="H413" s="151">
        <v>109754900.51105258</v>
      </c>
      <c r="I413" s="151">
        <v>116772520</v>
      </c>
      <c r="J413" s="151">
        <v>7017619.4889474213</v>
      </c>
      <c r="K413" s="151"/>
    </row>
    <row r="414" spans="1:11" ht="13.2">
      <c r="A414" s="152">
        <v>405</v>
      </c>
      <c r="B414" s="151">
        <v>54950279.5</v>
      </c>
      <c r="C414" s="151">
        <v>54950279.5</v>
      </c>
      <c r="D414" s="151">
        <v>25244231.515290689</v>
      </c>
      <c r="E414" s="151">
        <v>42901528.620284885</v>
      </c>
      <c r="F414" s="151">
        <v>28252909.191776115</v>
      </c>
      <c r="G414" s="151">
        <v>15000000</v>
      </c>
      <c r="H414" s="151">
        <v>111398669.32735169</v>
      </c>
      <c r="I414" s="151">
        <v>109900559</v>
      </c>
      <c r="J414" s="151">
        <v>-1498110.3273516893</v>
      </c>
      <c r="K414" s="151"/>
    </row>
    <row r="415" spans="1:11" ht="13.2">
      <c r="A415" s="152">
        <v>406</v>
      </c>
      <c r="B415" s="151">
        <v>55181125</v>
      </c>
      <c r="C415" s="151">
        <v>55181125</v>
      </c>
      <c r="D415" s="151">
        <v>23243014.704493649</v>
      </c>
      <c r="E415" s="151">
        <v>42727948.54101482</v>
      </c>
      <c r="F415" s="151">
        <v>26197059.643066011</v>
      </c>
      <c r="G415" s="151">
        <v>15000000</v>
      </c>
      <c r="H415" s="151">
        <v>107168022.88857448</v>
      </c>
      <c r="I415" s="151">
        <v>110362250</v>
      </c>
      <c r="J415" s="151">
        <v>3194227.111425519</v>
      </c>
      <c r="K415" s="151"/>
    </row>
    <row r="416" spans="1:11" ht="13.2">
      <c r="A416" s="152">
        <v>407</v>
      </c>
      <c r="B416" s="151">
        <v>59019456.5</v>
      </c>
      <c r="C416" s="151">
        <v>59019456.5</v>
      </c>
      <c r="D416" s="151">
        <v>23100738.308700752</v>
      </c>
      <c r="E416" s="151">
        <v>43415772.531835765</v>
      </c>
      <c r="F416" s="151">
        <v>28987408.286110971</v>
      </c>
      <c r="G416" s="151">
        <v>15000000</v>
      </c>
      <c r="H416" s="151">
        <v>110503919.12664749</v>
      </c>
      <c r="I416" s="151">
        <v>118038913</v>
      </c>
      <c r="J416" s="151">
        <v>7534993.8733525127</v>
      </c>
      <c r="K416" s="151"/>
    </row>
    <row r="417" spans="1:11" ht="13.2">
      <c r="A417" s="152">
        <v>408</v>
      </c>
      <c r="B417" s="151">
        <v>56924169</v>
      </c>
      <c r="C417" s="151">
        <v>56924169</v>
      </c>
      <c r="D417" s="151">
        <v>26194496.637297247</v>
      </c>
      <c r="E417" s="151">
        <v>42104850.925966412</v>
      </c>
      <c r="F417" s="151">
        <v>29115098.934741318</v>
      </c>
      <c r="G417" s="151">
        <v>15000000</v>
      </c>
      <c r="H417" s="151">
        <v>112414446.49800497</v>
      </c>
      <c r="I417" s="151">
        <v>113848338</v>
      </c>
      <c r="J417" s="151">
        <v>1433891.5019950271</v>
      </c>
      <c r="K417" s="151"/>
    </row>
    <row r="418" spans="1:11" ht="13.2">
      <c r="A418" s="152">
        <v>409</v>
      </c>
      <c r="B418" s="151">
        <v>54082752</v>
      </c>
      <c r="C418" s="151">
        <v>54082752</v>
      </c>
      <c r="D418" s="151">
        <v>24176206.502887979</v>
      </c>
      <c r="E418" s="151">
        <v>43375520.506642513</v>
      </c>
      <c r="F418" s="151">
        <v>24927370.386183064</v>
      </c>
      <c r="G418" s="151">
        <v>15000000</v>
      </c>
      <c r="H418" s="151">
        <v>107479097.39571355</v>
      </c>
      <c r="I418" s="151">
        <v>108165504</v>
      </c>
      <c r="J418" s="151">
        <v>686406.60428644717</v>
      </c>
      <c r="K418" s="151"/>
    </row>
    <row r="419" spans="1:11" ht="13.2">
      <c r="A419" s="152">
        <v>410</v>
      </c>
      <c r="B419" s="151">
        <v>58065464</v>
      </c>
      <c r="C419" s="151">
        <v>58065464</v>
      </c>
      <c r="D419" s="151">
        <v>22695944.566123955</v>
      </c>
      <c r="E419" s="151">
        <v>42778823.94169452</v>
      </c>
      <c r="F419" s="151">
        <v>27263308.221248738</v>
      </c>
      <c r="G419" s="151">
        <v>15000000</v>
      </c>
      <c r="H419" s="151">
        <v>107738076.72906721</v>
      </c>
      <c r="I419" s="151">
        <v>116130928</v>
      </c>
      <c r="J419" s="151">
        <v>8392851.2709327936</v>
      </c>
      <c r="K419" s="151"/>
    </row>
    <row r="420" spans="1:11" ht="13.2">
      <c r="A420" s="152">
        <v>411</v>
      </c>
      <c r="B420" s="151">
        <v>53434350</v>
      </c>
      <c r="C420" s="151">
        <v>53434350</v>
      </c>
      <c r="D420" s="151">
        <v>23229010.642579533</v>
      </c>
      <c r="E420" s="151">
        <v>42950137.816071227</v>
      </c>
      <c r="F420" s="151">
        <v>28851961.361338146</v>
      </c>
      <c r="G420" s="151">
        <v>15000000</v>
      </c>
      <c r="H420" s="151">
        <v>110031109.81998891</v>
      </c>
      <c r="I420" s="151">
        <v>106868700</v>
      </c>
      <c r="J420" s="151">
        <v>-3162409.8199889064</v>
      </c>
      <c r="K420" s="151"/>
    </row>
    <row r="421" spans="1:11" ht="13.2">
      <c r="A421" s="152">
        <v>412</v>
      </c>
      <c r="B421" s="151">
        <v>52629593.5</v>
      </c>
      <c r="C421" s="151">
        <v>52629593.5</v>
      </c>
      <c r="D421" s="151">
        <v>25659243.600798465</v>
      </c>
      <c r="E421" s="151">
        <v>42116494.752071537</v>
      </c>
      <c r="F421" s="151">
        <v>29105265.222137742</v>
      </c>
      <c r="G421" s="151">
        <v>15000000</v>
      </c>
      <c r="H421" s="151">
        <v>111881003.57500774</v>
      </c>
      <c r="I421" s="151">
        <v>105259187</v>
      </c>
      <c r="J421" s="151">
        <v>-6621816.5750077367</v>
      </c>
      <c r="K421" s="151"/>
    </row>
    <row r="422" spans="1:11" ht="13.2">
      <c r="A422" s="152">
        <v>413</v>
      </c>
      <c r="B422" s="151">
        <v>52603973.5</v>
      </c>
      <c r="C422" s="151">
        <v>52603973.5</v>
      </c>
      <c r="D422" s="151">
        <v>24574145.264783531</v>
      </c>
      <c r="E422" s="151">
        <v>42012367.988262624</v>
      </c>
      <c r="F422" s="151">
        <v>25654267.509810034</v>
      </c>
      <c r="G422" s="151">
        <v>15000000</v>
      </c>
      <c r="H422" s="151">
        <v>107240780.76285619</v>
      </c>
      <c r="I422" s="151">
        <v>105207947</v>
      </c>
      <c r="J422" s="151">
        <v>-2032833.7628561854</v>
      </c>
      <c r="K422" s="151"/>
    </row>
    <row r="423" spans="1:11" ht="13.2">
      <c r="A423" s="152">
        <v>414</v>
      </c>
      <c r="B423" s="151">
        <v>50447545</v>
      </c>
      <c r="C423" s="151">
        <v>50447545</v>
      </c>
      <c r="D423" s="151">
        <v>24983901.128549997</v>
      </c>
      <c r="E423" s="151">
        <v>42834561.993697338</v>
      </c>
      <c r="F423" s="151">
        <v>26319918.665803611</v>
      </c>
      <c r="G423" s="151">
        <v>15000000</v>
      </c>
      <c r="H423" s="151">
        <v>109138381.78805095</v>
      </c>
      <c r="I423" s="151">
        <v>100895090</v>
      </c>
      <c r="J423" s="151">
        <v>-8243291.7880509496</v>
      </c>
      <c r="K423" s="151"/>
    </row>
    <row r="424" spans="1:11" ht="13.2">
      <c r="A424" s="152">
        <v>415</v>
      </c>
      <c r="B424" s="151">
        <v>58136716.5</v>
      </c>
      <c r="C424" s="151">
        <v>58136716.5</v>
      </c>
      <c r="D424" s="151">
        <v>24446461.13200802</v>
      </c>
      <c r="E424" s="151">
        <v>42013887.026008345</v>
      </c>
      <c r="F424" s="151">
        <v>28114909.924699754</v>
      </c>
      <c r="G424" s="151">
        <v>15000000</v>
      </c>
      <c r="H424" s="151">
        <v>109575258.08271612</v>
      </c>
      <c r="I424" s="151">
        <v>116273433</v>
      </c>
      <c r="J424" s="151">
        <v>6698174.9172838777</v>
      </c>
      <c r="K424" s="151"/>
    </row>
    <row r="425" spans="1:11" ht="13.2">
      <c r="A425" s="152">
        <v>416</v>
      </c>
      <c r="B425" s="151">
        <v>54940104</v>
      </c>
      <c r="C425" s="151">
        <v>54940104</v>
      </c>
      <c r="D425" s="151">
        <v>24983901.128549997</v>
      </c>
      <c r="E425" s="151">
        <v>42813985.873263597</v>
      </c>
      <c r="F425" s="151">
        <v>25776580.403419632</v>
      </c>
      <c r="G425" s="151">
        <v>15000000</v>
      </c>
      <c r="H425" s="151">
        <v>108574467.40523322</v>
      </c>
      <c r="I425" s="151">
        <v>109880208</v>
      </c>
      <c r="J425" s="151">
        <v>1305740.5947667807</v>
      </c>
      <c r="K425" s="151"/>
    </row>
    <row r="426" spans="1:11" ht="13.2">
      <c r="A426" s="152">
        <v>417</v>
      </c>
      <c r="B426" s="151">
        <v>53905843</v>
      </c>
      <c r="C426" s="151">
        <v>53905843</v>
      </c>
      <c r="D426" s="151">
        <v>24578813.285421573</v>
      </c>
      <c r="E426" s="151">
        <v>43270075.324773274</v>
      </c>
      <c r="F426" s="151">
        <v>27872004.75080936</v>
      </c>
      <c r="G426" s="151">
        <v>15000000</v>
      </c>
      <c r="H426" s="151">
        <v>110720893.3610042</v>
      </c>
      <c r="I426" s="151">
        <v>107811686</v>
      </c>
      <c r="J426" s="151">
        <v>-2909207.3610042036</v>
      </c>
      <c r="K426" s="151"/>
    </row>
    <row r="427" spans="1:11" ht="13.2">
      <c r="A427" s="152">
        <v>418</v>
      </c>
      <c r="B427" s="151">
        <v>56481924</v>
      </c>
      <c r="C427" s="151">
        <v>56481924</v>
      </c>
      <c r="D427" s="151">
        <v>24443980.071413182</v>
      </c>
      <c r="E427" s="151">
        <v>43919378.759903893</v>
      </c>
      <c r="F427" s="151">
        <v>27491284.50062127</v>
      </c>
      <c r="G427" s="151">
        <v>15000000</v>
      </c>
      <c r="H427" s="151">
        <v>110854643.33193834</v>
      </c>
      <c r="I427" s="151">
        <v>112963848</v>
      </c>
      <c r="J427" s="151">
        <v>2109204.6680616587</v>
      </c>
      <c r="K427" s="151"/>
    </row>
    <row r="428" spans="1:11" ht="13.2">
      <c r="A428" s="152">
        <v>419</v>
      </c>
      <c r="B428" s="151">
        <v>59231835.5</v>
      </c>
      <c r="C428" s="151">
        <v>59231835.5</v>
      </c>
      <c r="D428" s="151">
        <v>25791595.754212022</v>
      </c>
      <c r="E428" s="151">
        <v>43458605.241547287</v>
      </c>
      <c r="F428" s="151">
        <v>26522575.270747002</v>
      </c>
      <c r="G428" s="151">
        <v>15000000</v>
      </c>
      <c r="H428" s="151">
        <v>110772776.26650631</v>
      </c>
      <c r="I428" s="151">
        <v>118463671</v>
      </c>
      <c r="J428" s="151">
        <v>7690894.7334936857</v>
      </c>
      <c r="K428" s="151"/>
    </row>
    <row r="429" spans="1:11" ht="13.2">
      <c r="A429" s="152">
        <v>420</v>
      </c>
      <c r="B429" s="151">
        <v>59631773</v>
      </c>
      <c r="C429" s="151">
        <v>59631773</v>
      </c>
      <c r="D429" s="151">
        <v>22845664.143701363</v>
      </c>
      <c r="E429" s="151">
        <v>43157089.097296864</v>
      </c>
      <c r="F429" s="151">
        <v>24766823.79648418</v>
      </c>
      <c r="G429" s="151">
        <v>15000000</v>
      </c>
      <c r="H429" s="151">
        <v>105769577.03748241</v>
      </c>
      <c r="I429" s="151">
        <v>119263546</v>
      </c>
      <c r="J429" s="151">
        <v>13493968.962517589</v>
      </c>
      <c r="K429" s="151"/>
    </row>
    <row r="430" spans="1:11" ht="13.2">
      <c r="A430" s="152">
        <v>421</v>
      </c>
      <c r="B430" s="151">
        <v>57405371</v>
      </c>
      <c r="C430" s="151">
        <v>57405371</v>
      </c>
      <c r="D430" s="151">
        <v>24569183.143593859</v>
      </c>
      <c r="E430" s="151">
        <v>41935240.013267547</v>
      </c>
      <c r="F430" s="151">
        <v>27551580.599401321</v>
      </c>
      <c r="G430" s="151">
        <v>15000000</v>
      </c>
      <c r="H430" s="151">
        <v>109056003.75626273</v>
      </c>
      <c r="I430" s="151">
        <v>114810742</v>
      </c>
      <c r="J430" s="151">
        <v>5754738.2437372655</v>
      </c>
      <c r="K430" s="151"/>
    </row>
    <row r="431" spans="1:11" ht="13.2">
      <c r="A431" s="152">
        <v>422</v>
      </c>
      <c r="B431" s="151">
        <v>57331548</v>
      </c>
      <c r="C431" s="151">
        <v>57331548</v>
      </c>
      <c r="D431" s="151">
        <v>24969602.966084246</v>
      </c>
      <c r="E431" s="151">
        <v>43806013.535922915</v>
      </c>
      <c r="F431" s="151">
        <v>29387089.695694339</v>
      </c>
      <c r="G431" s="151">
        <v>15000000</v>
      </c>
      <c r="H431" s="151">
        <v>113162706.1977015</v>
      </c>
      <c r="I431" s="151">
        <v>114663096</v>
      </c>
      <c r="J431" s="151">
        <v>1500389.8022985011</v>
      </c>
      <c r="K431" s="151"/>
    </row>
    <row r="432" spans="1:11" ht="13.2">
      <c r="A432" s="152">
        <v>423</v>
      </c>
      <c r="B432" s="151">
        <v>58114397.5</v>
      </c>
      <c r="C432" s="151">
        <v>58114397.5</v>
      </c>
      <c r="D432" s="151">
        <v>24588737.527800918</v>
      </c>
      <c r="E432" s="151">
        <v>41942464.557931267</v>
      </c>
      <c r="F432" s="151">
        <v>29413745.633741014</v>
      </c>
      <c r="G432" s="151">
        <v>15000000</v>
      </c>
      <c r="H432" s="151">
        <v>110944947.7194732</v>
      </c>
      <c r="I432" s="151">
        <v>116228795</v>
      </c>
      <c r="J432" s="151">
        <v>5283847.2805268019</v>
      </c>
      <c r="K432" s="151"/>
    </row>
    <row r="433" spans="1:11" ht="13.2">
      <c r="A433" s="152">
        <v>424</v>
      </c>
      <c r="B433" s="151">
        <v>55264144.5</v>
      </c>
      <c r="C433" s="151">
        <v>55264144.5</v>
      </c>
      <c r="D433" s="151">
        <v>25391470.032273266</v>
      </c>
      <c r="E433" s="151">
        <v>44060627.229210265</v>
      </c>
      <c r="F433" s="151">
        <v>30761643.241539493</v>
      </c>
      <c r="G433" s="151">
        <v>15000000</v>
      </c>
      <c r="H433" s="151">
        <v>115213740.50302303</v>
      </c>
      <c r="I433" s="151">
        <v>110528289</v>
      </c>
      <c r="J433" s="151">
        <v>-4685451.5030230284</v>
      </c>
      <c r="K433" s="151"/>
    </row>
    <row r="434" spans="1:11" ht="13.2">
      <c r="A434" s="152">
        <v>425</v>
      </c>
      <c r="B434" s="151">
        <v>58598412</v>
      </c>
      <c r="C434" s="151">
        <v>58598412</v>
      </c>
      <c r="D434" s="151">
        <v>24986382.189144835</v>
      </c>
      <c r="E434" s="151">
        <v>42360225.019551136</v>
      </c>
      <c r="F434" s="151">
        <v>27654038.410938501</v>
      </c>
      <c r="G434" s="151">
        <v>15000000</v>
      </c>
      <c r="H434" s="151">
        <v>110000645.61963448</v>
      </c>
      <c r="I434" s="151">
        <v>117196824</v>
      </c>
      <c r="J434" s="151">
        <v>7196178.3803655207</v>
      </c>
      <c r="K434" s="151"/>
    </row>
    <row r="435" spans="1:11" ht="13.2">
      <c r="A435" s="152">
        <v>426</v>
      </c>
      <c r="B435" s="151">
        <v>53821572.5</v>
      </c>
      <c r="C435" s="151">
        <v>53821572.5</v>
      </c>
      <c r="D435" s="151">
        <v>23631323.324561488</v>
      </c>
      <c r="E435" s="151">
        <v>42980640.366937846</v>
      </c>
      <c r="F435" s="151">
        <v>29311373.476814352</v>
      </c>
      <c r="G435" s="151">
        <v>15000000</v>
      </c>
      <c r="H435" s="151">
        <v>110923337.16831368</v>
      </c>
      <c r="I435" s="151">
        <v>107643145</v>
      </c>
      <c r="J435" s="151">
        <v>-3280192.1683136821</v>
      </c>
      <c r="K435" s="151"/>
    </row>
    <row r="436" spans="1:11" ht="13.2">
      <c r="A436" s="152">
        <v>427</v>
      </c>
      <c r="B436" s="151">
        <v>58188774</v>
      </c>
      <c r="C436" s="151">
        <v>58188774</v>
      </c>
      <c r="D436" s="151">
        <v>23366619.017734386</v>
      </c>
      <c r="E436" s="151">
        <v>43180800.894773647</v>
      </c>
      <c r="F436" s="151">
        <v>24886265.42349289</v>
      </c>
      <c r="G436" s="151">
        <v>15000000</v>
      </c>
      <c r="H436" s="151">
        <v>106433685.33600092</v>
      </c>
      <c r="I436" s="151">
        <v>116377548</v>
      </c>
      <c r="J436" s="151">
        <v>9943862.6639990807</v>
      </c>
      <c r="K436" s="151"/>
    </row>
    <row r="437" spans="1:11" ht="13.2">
      <c r="A437" s="152">
        <v>428</v>
      </c>
      <c r="B437" s="151">
        <v>52197414</v>
      </c>
      <c r="C437" s="151">
        <v>52197414</v>
      </c>
      <c r="D437" s="151">
        <v>25514192.043859102</v>
      </c>
      <c r="E437" s="151">
        <v>42115066.018785879</v>
      </c>
      <c r="F437" s="151">
        <v>28230951.105836574</v>
      </c>
      <c r="G437" s="151">
        <v>15000000</v>
      </c>
      <c r="H437" s="151">
        <v>110860209.16848156</v>
      </c>
      <c r="I437" s="151">
        <v>104394828</v>
      </c>
      <c r="J437" s="151">
        <v>-6465381.1684815586</v>
      </c>
      <c r="K437" s="151"/>
    </row>
    <row r="438" spans="1:11" ht="13.2">
      <c r="A438" s="152">
        <v>429</v>
      </c>
      <c r="B438" s="151">
        <v>60115394</v>
      </c>
      <c r="C438" s="151">
        <v>60115394</v>
      </c>
      <c r="D438" s="151">
        <v>24303890.635663491</v>
      </c>
      <c r="E438" s="151">
        <v>43087132.098831967</v>
      </c>
      <c r="F438" s="151">
        <v>29113056.286290083</v>
      </c>
      <c r="G438" s="151">
        <v>15000000</v>
      </c>
      <c r="H438" s="151">
        <v>111504079.02078554</v>
      </c>
      <c r="I438" s="151">
        <v>120230788</v>
      </c>
      <c r="J438" s="151">
        <v>8726708.9792144597</v>
      </c>
      <c r="K438" s="151"/>
    </row>
    <row r="439" spans="1:11" ht="13.2">
      <c r="A439" s="152">
        <v>430</v>
      </c>
      <c r="B439" s="151">
        <v>60096940</v>
      </c>
      <c r="C439" s="151">
        <v>60096940</v>
      </c>
      <c r="D439" s="151">
        <v>24584069.507162876</v>
      </c>
      <c r="E439" s="151">
        <v>42995285.551500082</v>
      </c>
      <c r="F439" s="151">
        <v>28847284.726153087</v>
      </c>
      <c r="G439" s="151">
        <v>15000000</v>
      </c>
      <c r="H439" s="151">
        <v>111426639.78481604</v>
      </c>
      <c r="I439" s="151">
        <v>120193880</v>
      </c>
      <c r="J439" s="151">
        <v>8767240.2151839584</v>
      </c>
      <c r="K439" s="151"/>
    </row>
    <row r="440" spans="1:11" ht="13.2">
      <c r="A440" s="152">
        <v>431</v>
      </c>
      <c r="B440" s="151">
        <v>61327317</v>
      </c>
      <c r="C440" s="151">
        <v>61327317</v>
      </c>
      <c r="D440" s="151">
        <v>23766744.739673141</v>
      </c>
      <c r="E440" s="151">
        <v>42522434.251882911</v>
      </c>
      <c r="F440" s="151">
        <v>25089414.118192222</v>
      </c>
      <c r="G440" s="151">
        <v>15000000</v>
      </c>
      <c r="H440" s="151">
        <v>106378593.10974827</v>
      </c>
      <c r="I440" s="151">
        <v>122654634</v>
      </c>
      <c r="J440" s="151">
        <v>16276040.890251726</v>
      </c>
      <c r="K440" s="151"/>
    </row>
    <row r="441" spans="1:11" ht="13.2">
      <c r="A441" s="152">
        <v>432</v>
      </c>
      <c r="B441" s="151">
        <v>60386921</v>
      </c>
      <c r="C441" s="151">
        <v>60386921</v>
      </c>
      <c r="D441" s="151">
        <v>25512005.083815899</v>
      </c>
      <c r="E441" s="151">
        <v>43535468.138032332</v>
      </c>
      <c r="F441" s="151">
        <v>27110791.20491555</v>
      </c>
      <c r="G441" s="151">
        <v>15000000</v>
      </c>
      <c r="H441" s="151">
        <v>111158264.42676379</v>
      </c>
      <c r="I441" s="151">
        <v>120773842</v>
      </c>
      <c r="J441" s="151">
        <v>9615577.5732362121</v>
      </c>
      <c r="K441" s="151"/>
    </row>
    <row r="442" spans="1:11" ht="13.2">
      <c r="A442" s="152">
        <v>433</v>
      </c>
      <c r="B442" s="151">
        <v>59367979</v>
      </c>
      <c r="C442" s="151">
        <v>59367979</v>
      </c>
      <c r="D442" s="151">
        <v>24974270.986722283</v>
      </c>
      <c r="E442" s="151">
        <v>43661645.557770088</v>
      </c>
      <c r="F442" s="151">
        <v>27616260.144174386</v>
      </c>
      <c r="G442" s="151">
        <v>15000000</v>
      </c>
      <c r="H442" s="151">
        <v>111252176.68866675</v>
      </c>
      <c r="I442" s="151">
        <v>118735958</v>
      </c>
      <c r="J442" s="151">
        <v>7483781.311333254</v>
      </c>
      <c r="K442" s="151"/>
    </row>
    <row r="443" spans="1:11" ht="13.2">
      <c r="A443" s="152">
        <v>434</v>
      </c>
      <c r="B443" s="151">
        <v>56540628.5</v>
      </c>
      <c r="C443" s="151">
        <v>56540628.5</v>
      </c>
      <c r="D443" s="151">
        <v>24048228.269560833</v>
      </c>
      <c r="E443" s="151">
        <v>42745627.778984897</v>
      </c>
      <c r="F443" s="151">
        <v>29132913.229051664</v>
      </c>
      <c r="G443" s="151">
        <v>15000000</v>
      </c>
      <c r="H443" s="151">
        <v>110926769.2775974</v>
      </c>
      <c r="I443" s="151">
        <v>113081257</v>
      </c>
      <c r="J443" s="151">
        <v>2154487.7224026024</v>
      </c>
      <c r="K443" s="151"/>
    </row>
    <row r="444" spans="1:11" ht="13.2">
      <c r="A444" s="152">
        <v>435</v>
      </c>
      <c r="B444" s="151">
        <v>61302077.5</v>
      </c>
      <c r="C444" s="151">
        <v>61302077.5</v>
      </c>
      <c r="D444" s="151">
        <v>25659243.600798465</v>
      </c>
      <c r="E444" s="151">
        <v>43660597.853600703</v>
      </c>
      <c r="F444" s="151">
        <v>29883805.878743041</v>
      </c>
      <c r="G444" s="151">
        <v>15000000</v>
      </c>
      <c r="H444" s="151">
        <v>114203647.33314221</v>
      </c>
      <c r="I444" s="151">
        <v>122604155</v>
      </c>
      <c r="J444" s="151">
        <v>8400507.6668577939</v>
      </c>
      <c r="K444" s="151"/>
    </row>
    <row r="445" spans="1:11" ht="13.2">
      <c r="A445" s="152">
        <v>436</v>
      </c>
      <c r="B445" s="151">
        <v>51919974</v>
      </c>
      <c r="C445" s="151">
        <v>51919974</v>
      </c>
      <c r="D445" s="151">
        <v>22836034.00187365</v>
      </c>
      <c r="E445" s="151">
        <v>41757277.921178237</v>
      </c>
      <c r="F445" s="151">
        <v>25198871.161243271</v>
      </c>
      <c r="G445" s="151">
        <v>15000000</v>
      </c>
      <c r="H445" s="151">
        <v>104792183.08429515</v>
      </c>
      <c r="I445" s="151">
        <v>103839948</v>
      </c>
      <c r="J445" s="151">
        <v>-952235.08429515362</v>
      </c>
      <c r="K445" s="151"/>
    </row>
    <row r="446" spans="1:11" ht="13.2">
      <c r="A446" s="152">
        <v>437</v>
      </c>
      <c r="B446" s="151">
        <v>58209174.5</v>
      </c>
      <c r="C446" s="151">
        <v>58209174.5</v>
      </c>
      <c r="D446" s="151">
        <v>26049739.180909511</v>
      </c>
      <c r="E446" s="151">
        <v>42459901.041023105</v>
      </c>
      <c r="F446" s="151">
        <v>28925718.215458404</v>
      </c>
      <c r="G446" s="151">
        <v>15000000</v>
      </c>
      <c r="H446" s="151">
        <v>112435358.43739103</v>
      </c>
      <c r="I446" s="151">
        <v>116418349</v>
      </c>
      <c r="J446" s="151">
        <v>3982990.5626089722</v>
      </c>
      <c r="K446" s="151"/>
    </row>
    <row r="447" spans="1:11" ht="13.2">
      <c r="A447" s="152">
        <v>438</v>
      </c>
      <c r="B447" s="151">
        <v>55510684</v>
      </c>
      <c r="C447" s="151">
        <v>55510684</v>
      </c>
      <c r="D447" s="151">
        <v>23238640.784407243</v>
      </c>
      <c r="E447" s="151">
        <v>44378917.604295433</v>
      </c>
      <c r="F447" s="151">
        <v>28568726.708892763</v>
      </c>
      <c r="G447" s="151">
        <v>15000000</v>
      </c>
      <c r="H447" s="151">
        <v>111186285.09759544</v>
      </c>
      <c r="I447" s="151">
        <v>111021368</v>
      </c>
      <c r="J447" s="151">
        <v>-164917.09759543836</v>
      </c>
      <c r="K447" s="151"/>
    </row>
    <row r="448" spans="1:11" ht="13.2">
      <c r="A448" s="152">
        <v>439</v>
      </c>
      <c r="B448" s="151">
        <v>58645044</v>
      </c>
      <c r="C448" s="151">
        <v>58645044</v>
      </c>
      <c r="D448" s="151">
        <v>25239563.494652655</v>
      </c>
      <c r="E448" s="151">
        <v>42577176.339182958</v>
      </c>
      <c r="F448" s="151">
        <v>27083287.176465359</v>
      </c>
      <c r="G448" s="151">
        <v>15000000</v>
      </c>
      <c r="H448" s="151">
        <v>109900027.01030098</v>
      </c>
      <c r="I448" s="151">
        <v>117290088</v>
      </c>
      <c r="J448" s="151">
        <v>7390060.989699021</v>
      </c>
      <c r="K448" s="151"/>
    </row>
    <row r="449" spans="1:11" ht="13.2">
      <c r="A449" s="152">
        <v>440</v>
      </c>
      <c r="B449" s="151">
        <v>55670250.5</v>
      </c>
      <c r="C449" s="151">
        <v>55670250.5</v>
      </c>
      <c r="D449" s="151">
        <v>24984195.229101632</v>
      </c>
      <c r="E449" s="151">
        <v>42515175.251284197</v>
      </c>
      <c r="F449" s="151">
        <v>29323263.961304225</v>
      </c>
      <c r="G449" s="151">
        <v>15000000</v>
      </c>
      <c r="H449" s="151">
        <v>111822634.44169006</v>
      </c>
      <c r="I449" s="151">
        <v>111340501</v>
      </c>
      <c r="J449" s="151">
        <v>-482133.44169005752</v>
      </c>
      <c r="K449" s="151"/>
    </row>
    <row r="450" spans="1:11" ht="13.2">
      <c r="A450" s="152">
        <v>441</v>
      </c>
      <c r="B450" s="151">
        <v>56786045.5</v>
      </c>
      <c r="C450" s="151">
        <v>56786045.5</v>
      </c>
      <c r="D450" s="151">
        <v>22968680.255838834</v>
      </c>
      <c r="E450" s="151">
        <v>41646561.41395019</v>
      </c>
      <c r="F450" s="151">
        <v>25871110.004808187</v>
      </c>
      <c r="G450" s="151">
        <v>15000000</v>
      </c>
      <c r="H450" s="151">
        <v>105486351.6745972</v>
      </c>
      <c r="I450" s="151">
        <v>113572091</v>
      </c>
      <c r="J450" s="151">
        <v>8085739.3254027963</v>
      </c>
      <c r="K450" s="151"/>
    </row>
    <row r="451" spans="1:11" ht="13.2">
      <c r="A451" s="152">
        <v>442</v>
      </c>
      <c r="B451" s="151">
        <v>54295622.5</v>
      </c>
      <c r="C451" s="151">
        <v>54295622.5</v>
      </c>
      <c r="D451" s="151">
        <v>22973054.17592524</v>
      </c>
      <c r="E451" s="151">
        <v>43008472.668403283</v>
      </c>
      <c r="F451" s="151">
        <v>27591978.158019617</v>
      </c>
      <c r="G451" s="151">
        <v>15000000</v>
      </c>
      <c r="H451" s="151">
        <v>108573505.00234814</v>
      </c>
      <c r="I451" s="151">
        <v>108591245</v>
      </c>
      <c r="J451" s="151">
        <v>17739.997651860118</v>
      </c>
      <c r="K451" s="151"/>
    </row>
    <row r="452" spans="1:11" ht="13.2">
      <c r="A452" s="152">
        <v>443</v>
      </c>
      <c r="B452" s="151">
        <v>54626242.5</v>
      </c>
      <c r="C452" s="151">
        <v>54626242.5</v>
      </c>
      <c r="D452" s="151">
        <v>24311333.817447998</v>
      </c>
      <c r="E452" s="151">
        <v>42977716.408752754</v>
      </c>
      <c r="F452" s="151">
        <v>27097459.458409779</v>
      </c>
      <c r="G452" s="151">
        <v>15000000</v>
      </c>
      <c r="H452" s="151">
        <v>109386509.68461055</v>
      </c>
      <c r="I452" s="151">
        <v>109252485</v>
      </c>
      <c r="J452" s="151">
        <v>-134024.68461054564</v>
      </c>
      <c r="K452" s="151"/>
    </row>
    <row r="453" spans="1:11" ht="13.2">
      <c r="A453" s="152">
        <v>444</v>
      </c>
      <c r="B453" s="151">
        <v>57614490.5</v>
      </c>
      <c r="C453" s="151">
        <v>57614490.5</v>
      </c>
      <c r="D453" s="151">
        <v>25121509.503704857</v>
      </c>
      <c r="E453" s="151">
        <v>42780786.130471855</v>
      </c>
      <c r="F453" s="151">
        <v>26498826.173913799</v>
      </c>
      <c r="G453" s="151">
        <v>15000000</v>
      </c>
      <c r="H453" s="151">
        <v>109401121.80809051</v>
      </c>
      <c r="I453" s="151">
        <v>115228981</v>
      </c>
      <c r="J453" s="151">
        <v>5827859.191909492</v>
      </c>
      <c r="K453" s="151"/>
    </row>
    <row r="454" spans="1:11" ht="13.2">
      <c r="A454" s="152">
        <v>445</v>
      </c>
      <c r="B454" s="151">
        <v>55411935.5</v>
      </c>
      <c r="C454" s="151">
        <v>55411935.5</v>
      </c>
      <c r="D454" s="151">
        <v>23640953.466389202</v>
      </c>
      <c r="E454" s="151">
        <v>42707697.599369064</v>
      </c>
      <c r="F454" s="151">
        <v>26856790.020697583</v>
      </c>
      <c r="G454" s="151">
        <v>15000000</v>
      </c>
      <c r="H454" s="151">
        <v>108205441.08645585</v>
      </c>
      <c r="I454" s="151">
        <v>110823871</v>
      </c>
      <c r="J454" s="151">
        <v>2618429.9135441482</v>
      </c>
      <c r="K454" s="151"/>
    </row>
    <row r="455" spans="1:11" ht="13.2">
      <c r="A455" s="152">
        <v>446</v>
      </c>
      <c r="B455" s="151">
        <v>59231531.5</v>
      </c>
      <c r="C455" s="151">
        <v>59231531.5</v>
      </c>
      <c r="D455" s="151">
        <v>25916798.826392695</v>
      </c>
      <c r="E455" s="151">
        <v>42341278.107089579</v>
      </c>
      <c r="F455" s="151">
        <v>26086140.615884494</v>
      </c>
      <c r="G455" s="151">
        <v>15000000</v>
      </c>
      <c r="H455" s="151">
        <v>109344217.54936677</v>
      </c>
      <c r="I455" s="151">
        <v>118463063</v>
      </c>
      <c r="J455" s="151">
        <v>9118845.4506332278</v>
      </c>
      <c r="K455" s="151"/>
    </row>
    <row r="456" spans="1:11" ht="13.2">
      <c r="A456" s="152">
        <v>447</v>
      </c>
      <c r="B456" s="151">
        <v>56315311.5</v>
      </c>
      <c r="C456" s="151">
        <v>56315311.5</v>
      </c>
      <c r="D456" s="151">
        <v>24972084.026679084</v>
      </c>
      <c r="E456" s="151">
        <v>42345336.755285904</v>
      </c>
      <c r="F456" s="151">
        <v>27238785.056687079</v>
      </c>
      <c r="G456" s="151">
        <v>15000000</v>
      </c>
      <c r="H456" s="151">
        <v>109556205.83865207</v>
      </c>
      <c r="I456" s="151">
        <v>112630623</v>
      </c>
      <c r="J456" s="151">
        <v>3074417.1613479257</v>
      </c>
      <c r="K456" s="151"/>
    </row>
    <row r="457" spans="1:11" ht="13.2">
      <c r="A457" s="152">
        <v>448</v>
      </c>
      <c r="B457" s="151">
        <v>52507062</v>
      </c>
      <c r="C457" s="151">
        <v>52507062</v>
      </c>
      <c r="D457" s="151">
        <v>24171832.582801569</v>
      </c>
      <c r="E457" s="151">
        <v>42279734.166587897</v>
      </c>
      <c r="F457" s="151">
        <v>28903804.769142993</v>
      </c>
      <c r="G457" s="151">
        <v>15000000</v>
      </c>
      <c r="H457" s="151">
        <v>110355371.51853245</v>
      </c>
      <c r="I457" s="151">
        <v>105014124</v>
      </c>
      <c r="J457" s="151">
        <v>-5341247.518532455</v>
      </c>
      <c r="K457" s="151"/>
    </row>
    <row r="458" spans="1:11" ht="13.2">
      <c r="A458" s="152">
        <v>449</v>
      </c>
      <c r="B458" s="151">
        <v>57163700.5</v>
      </c>
      <c r="C458" s="151">
        <v>57163700.5</v>
      </c>
      <c r="D458" s="151">
        <v>23511082.373570487</v>
      </c>
      <c r="E458" s="151">
        <v>42116916.853355415</v>
      </c>
      <c r="F458" s="151">
        <v>25277082.279218175</v>
      </c>
      <c r="G458" s="151">
        <v>15000000</v>
      </c>
      <c r="H458" s="151">
        <v>105905081.50614408</v>
      </c>
      <c r="I458" s="151">
        <v>114327401</v>
      </c>
      <c r="J458" s="151">
        <v>8422319.4938559234</v>
      </c>
      <c r="K458" s="151"/>
    </row>
    <row r="459" spans="1:11" ht="13.2">
      <c r="A459" s="152">
        <v>450</v>
      </c>
      <c r="B459" s="151">
        <v>56940818.5</v>
      </c>
      <c r="C459" s="151">
        <v>56940818.5</v>
      </c>
      <c r="D459" s="151">
        <v>24576626.325378366</v>
      </c>
      <c r="E459" s="151">
        <v>43516149.559628375</v>
      </c>
      <c r="F459" s="151">
        <v>29486226.316730689</v>
      </c>
      <c r="G459" s="151">
        <v>15000000</v>
      </c>
      <c r="H459" s="151">
        <v>112579002.20173743</v>
      </c>
      <c r="I459" s="151">
        <v>113881637</v>
      </c>
      <c r="J459" s="151">
        <v>1302634.7982625663</v>
      </c>
      <c r="K459" s="151"/>
    </row>
    <row r="460" spans="1:11" ht="13.2">
      <c r="A460" s="152">
        <v>451</v>
      </c>
      <c r="B460" s="151">
        <v>55189497.5</v>
      </c>
      <c r="C460" s="151">
        <v>55189497.5</v>
      </c>
      <c r="D460" s="151">
        <v>23369100.078329224</v>
      </c>
      <c r="E460" s="151">
        <v>40854511.773683988</v>
      </c>
      <c r="F460" s="151">
        <v>27300357.786402065</v>
      </c>
      <c r="G460" s="151">
        <v>15000000</v>
      </c>
      <c r="H460" s="151">
        <v>106523969.63841528</v>
      </c>
      <c r="I460" s="151">
        <v>110378995</v>
      </c>
      <c r="J460" s="151">
        <v>3855025.361584723</v>
      </c>
      <c r="K460" s="151"/>
    </row>
    <row r="461" spans="1:11" ht="13.2">
      <c r="A461" s="152">
        <v>452</v>
      </c>
      <c r="B461" s="151">
        <v>53164251</v>
      </c>
      <c r="C461" s="151">
        <v>53164251</v>
      </c>
      <c r="D461" s="151">
        <v>25116253.281963546</v>
      </c>
      <c r="E461" s="151">
        <v>43303613.571782716</v>
      </c>
      <c r="F461" s="151">
        <v>28409108.58590604</v>
      </c>
      <c r="G461" s="151">
        <v>15000000</v>
      </c>
      <c r="H461" s="151">
        <v>111828975.43965231</v>
      </c>
      <c r="I461" s="151">
        <v>106328502</v>
      </c>
      <c r="J461" s="151">
        <v>-5500473.4396523088</v>
      </c>
      <c r="K461" s="151"/>
    </row>
    <row r="462" spans="1:11" ht="13.2">
      <c r="A462" s="152">
        <v>453</v>
      </c>
      <c r="B462" s="151">
        <v>58825472.5</v>
      </c>
      <c r="C462" s="151">
        <v>58825472.5</v>
      </c>
      <c r="D462" s="151">
        <v>23110662.551080097</v>
      </c>
      <c r="E462" s="151">
        <v>43696856.521064214</v>
      </c>
      <c r="F462" s="151">
        <v>27751650.027336042</v>
      </c>
      <c r="G462" s="151">
        <v>15000000</v>
      </c>
      <c r="H462" s="151">
        <v>109559169.09948036</v>
      </c>
      <c r="I462" s="151">
        <v>117650945</v>
      </c>
      <c r="J462" s="151">
        <v>8091775.9005196393</v>
      </c>
      <c r="K462" s="151"/>
    </row>
    <row r="463" spans="1:11" ht="13.2">
      <c r="A463" s="152">
        <v>454</v>
      </c>
      <c r="B463" s="151">
        <v>51657344.5</v>
      </c>
      <c r="C463" s="151">
        <v>51657344.5</v>
      </c>
      <c r="D463" s="151">
        <v>24858698.056369323</v>
      </c>
      <c r="E463" s="151">
        <v>42805988.521237135</v>
      </c>
      <c r="F463" s="151">
        <v>24810143.762950778</v>
      </c>
      <c r="G463" s="151">
        <v>15000000</v>
      </c>
      <c r="H463" s="151">
        <v>107474830.34055723</v>
      </c>
      <c r="I463" s="151">
        <v>103314689</v>
      </c>
      <c r="J463" s="151">
        <v>-4160141.3405572325</v>
      </c>
      <c r="K463" s="151"/>
    </row>
    <row r="464" spans="1:11" ht="13.2">
      <c r="A464" s="152">
        <v>455</v>
      </c>
      <c r="B464" s="151">
        <v>57344552</v>
      </c>
      <c r="C464" s="151">
        <v>57344552</v>
      </c>
      <c r="D464" s="151">
        <v>23243014.704493649</v>
      </c>
      <c r="E464" s="151">
        <v>42080873.220714085</v>
      </c>
      <c r="F464" s="151">
        <v>26269409.441879373</v>
      </c>
      <c r="G464" s="151">
        <v>15000000</v>
      </c>
      <c r="H464" s="151">
        <v>106593297.36708711</v>
      </c>
      <c r="I464" s="151">
        <v>114689104</v>
      </c>
      <c r="J464" s="151">
        <v>8095806.6329128891</v>
      </c>
      <c r="K464" s="151"/>
    </row>
    <row r="465" spans="1:11" ht="13.2">
      <c r="A465" s="152">
        <v>456</v>
      </c>
      <c r="B465" s="151">
        <v>56187944.5</v>
      </c>
      <c r="C465" s="151">
        <v>56187944.5</v>
      </c>
      <c r="D465" s="151">
        <v>26452345.963443104</v>
      </c>
      <c r="E465" s="151">
        <v>43617383.147844478</v>
      </c>
      <c r="F465" s="151">
        <v>29097908.589601796</v>
      </c>
      <c r="G465" s="151">
        <v>15000000</v>
      </c>
      <c r="H465" s="151">
        <v>114167637.70088938</v>
      </c>
      <c r="I465" s="151">
        <v>112375889</v>
      </c>
      <c r="J465" s="151">
        <v>-1791748.7008893788</v>
      </c>
      <c r="K465" s="151"/>
    </row>
    <row r="466" spans="1:11" ht="13.2">
      <c r="A466" s="152">
        <v>457</v>
      </c>
      <c r="B466" s="151">
        <v>56106515.5</v>
      </c>
      <c r="C466" s="151">
        <v>56106515.5</v>
      </c>
      <c r="D466" s="151">
        <v>22162878.489668384</v>
      </c>
      <c r="E466" s="151">
        <v>42414814.034482822</v>
      </c>
      <c r="F466" s="151">
        <v>29113664.457852438</v>
      </c>
      <c r="G466" s="151">
        <v>15000000</v>
      </c>
      <c r="H466" s="151">
        <v>108691356.98200364</v>
      </c>
      <c r="I466" s="151">
        <v>112213031</v>
      </c>
      <c r="J466" s="151">
        <v>3521674.0179963559</v>
      </c>
      <c r="K466" s="151"/>
    </row>
    <row r="467" spans="1:11" ht="13.2">
      <c r="A467" s="152">
        <v>458</v>
      </c>
      <c r="B467" s="151">
        <v>58609689</v>
      </c>
      <c r="C467" s="151">
        <v>58609689</v>
      </c>
      <c r="D467" s="151">
        <v>25237082.434057821</v>
      </c>
      <c r="E467" s="151">
        <v>42311200.602799311</v>
      </c>
      <c r="F467" s="151">
        <v>26527348.037996575</v>
      </c>
      <c r="G467" s="151">
        <v>15000000</v>
      </c>
      <c r="H467" s="151">
        <v>109075631.0748537</v>
      </c>
      <c r="I467" s="151">
        <v>117219378</v>
      </c>
      <c r="J467" s="151">
        <v>8143746.9251462966</v>
      </c>
      <c r="K467" s="151"/>
    </row>
    <row r="468" spans="1:11" ht="13.2">
      <c r="A468" s="152">
        <v>459</v>
      </c>
      <c r="B468" s="151">
        <v>52407472</v>
      </c>
      <c r="C468" s="151">
        <v>52407472</v>
      </c>
      <c r="D468" s="151">
        <v>22570741.493943285</v>
      </c>
      <c r="E468" s="151">
        <v>41605626.389485493</v>
      </c>
      <c r="F468" s="151">
        <v>24777366.722974889</v>
      </c>
      <c r="G468" s="151">
        <v>15000000</v>
      </c>
      <c r="H468" s="151">
        <v>103953734.60640368</v>
      </c>
      <c r="I468" s="151">
        <v>104814944</v>
      </c>
      <c r="J468" s="151">
        <v>861209.39359632134</v>
      </c>
      <c r="K468" s="151"/>
    </row>
    <row r="469" spans="1:11" ht="13.2">
      <c r="A469" s="152">
        <v>460</v>
      </c>
      <c r="B469" s="151">
        <v>56017760.5</v>
      </c>
      <c r="C469" s="151">
        <v>56017760.5</v>
      </c>
      <c r="D469" s="151">
        <v>25261304.838902917</v>
      </c>
      <c r="E469" s="151">
        <v>42550620.165131539</v>
      </c>
      <c r="F469" s="151">
        <v>27268016.157588769</v>
      </c>
      <c r="G469" s="151">
        <v>15000000</v>
      </c>
      <c r="H469" s="151">
        <v>110079941.16162322</v>
      </c>
      <c r="I469" s="151">
        <v>112035521</v>
      </c>
      <c r="J469" s="151">
        <v>1955579.8383767754</v>
      </c>
      <c r="K469" s="151"/>
    </row>
    <row r="470" spans="1:11" ht="13.2">
      <c r="A470" s="152">
        <v>461</v>
      </c>
      <c r="B470" s="151">
        <v>56655768.5</v>
      </c>
      <c r="C470" s="151">
        <v>56655768.5</v>
      </c>
      <c r="D470" s="151">
        <v>25114360.422471978</v>
      </c>
      <c r="E470" s="151">
        <v>43428185.835358717</v>
      </c>
      <c r="F470" s="151">
        <v>27323504.007079642</v>
      </c>
      <c r="G470" s="151">
        <v>15000000</v>
      </c>
      <c r="H470" s="151">
        <v>110866050.26491034</v>
      </c>
      <c r="I470" s="151">
        <v>113311537</v>
      </c>
      <c r="J470" s="151">
        <v>2445486.7350896597</v>
      </c>
      <c r="K470" s="151"/>
    </row>
    <row r="471" spans="1:11" ht="13.2">
      <c r="A471" s="152">
        <v>462</v>
      </c>
      <c r="B471" s="151">
        <v>57805734</v>
      </c>
      <c r="C471" s="151">
        <v>57805734</v>
      </c>
      <c r="D471" s="151">
        <v>25914317.765797861</v>
      </c>
      <c r="E471" s="151">
        <v>42250815.687751383</v>
      </c>
      <c r="F471" s="151">
        <v>27785835.149314187</v>
      </c>
      <c r="G471" s="151">
        <v>15000000</v>
      </c>
      <c r="H471" s="151">
        <v>110950968.60286343</v>
      </c>
      <c r="I471" s="151">
        <v>115611468</v>
      </c>
      <c r="J471" s="151">
        <v>4660499.397136569</v>
      </c>
      <c r="K471" s="151"/>
    </row>
    <row r="472" spans="1:11" ht="13.2">
      <c r="A472" s="152">
        <v>463</v>
      </c>
      <c r="B472" s="151">
        <v>52895458</v>
      </c>
      <c r="C472" s="151">
        <v>52895458</v>
      </c>
      <c r="D472" s="151">
        <v>25912130.805754654</v>
      </c>
      <c r="E472" s="151">
        <v>41949836.374150738</v>
      </c>
      <c r="F472" s="151">
        <v>29282628.097004429</v>
      </c>
      <c r="G472" s="151">
        <v>15000000</v>
      </c>
      <c r="H472" s="151">
        <v>112144595.27690981</v>
      </c>
      <c r="I472" s="151">
        <v>105790916</v>
      </c>
      <c r="J472" s="151">
        <v>-6353679.2769098133</v>
      </c>
      <c r="K472" s="151"/>
    </row>
    <row r="473" spans="1:11" ht="13.2">
      <c r="A473" s="152">
        <v>464</v>
      </c>
      <c r="B473" s="151">
        <v>59910226</v>
      </c>
      <c r="C473" s="151">
        <v>59910226</v>
      </c>
      <c r="D473" s="151">
        <v>25256342.717713244</v>
      </c>
      <c r="E473" s="151">
        <v>42256550.587985449</v>
      </c>
      <c r="F473" s="151">
        <v>24461301.366273317</v>
      </c>
      <c r="G473" s="151">
        <v>15000000</v>
      </c>
      <c r="H473" s="151">
        <v>106974194.67197201</v>
      </c>
      <c r="I473" s="151">
        <v>119820452</v>
      </c>
      <c r="J473" s="151">
        <v>12846257.328027993</v>
      </c>
      <c r="K473" s="151"/>
    </row>
    <row r="474" spans="1:11" ht="13.2">
      <c r="A474" s="152">
        <v>465</v>
      </c>
      <c r="B474" s="151">
        <v>57001719</v>
      </c>
      <c r="C474" s="151">
        <v>57001719</v>
      </c>
      <c r="D474" s="151">
        <v>25514486.144410733</v>
      </c>
      <c r="E474" s="151">
        <v>42103253.039682828</v>
      </c>
      <c r="F474" s="151">
        <v>28071752.81642231</v>
      </c>
      <c r="G474" s="151">
        <v>15000000</v>
      </c>
      <c r="H474" s="151">
        <v>110689492.00051588</v>
      </c>
      <c r="I474" s="151">
        <v>114003438</v>
      </c>
      <c r="J474" s="151">
        <v>3313945.9994841218</v>
      </c>
      <c r="K474" s="151"/>
    </row>
    <row r="475" spans="1:11" ht="13.2">
      <c r="A475" s="152">
        <v>466</v>
      </c>
      <c r="B475" s="151">
        <v>58516755</v>
      </c>
      <c r="C475" s="151">
        <v>58516755</v>
      </c>
      <c r="D475" s="151">
        <v>24041667.389431223</v>
      </c>
      <c r="E475" s="151">
        <v>43636156.227535993</v>
      </c>
      <c r="F475" s="151">
        <v>30357435.332409833</v>
      </c>
      <c r="G475" s="151">
        <v>15000000</v>
      </c>
      <c r="H475" s="151">
        <v>113035258.94937705</v>
      </c>
      <c r="I475" s="151">
        <v>117033510</v>
      </c>
      <c r="J475" s="151">
        <v>3998251.050622955</v>
      </c>
      <c r="K475" s="151"/>
    </row>
    <row r="476" spans="1:11" ht="13.2">
      <c r="A476" s="152">
        <v>467</v>
      </c>
      <c r="B476" s="151">
        <v>54413397.5</v>
      </c>
      <c r="C476" s="151">
        <v>54413397.5</v>
      </c>
      <c r="D476" s="151">
        <v>26312256.527693413</v>
      </c>
      <c r="E476" s="151">
        <v>41620159.046988338</v>
      </c>
      <c r="F476" s="151">
        <v>25162540.679999549</v>
      </c>
      <c r="G476" s="151">
        <v>15000000</v>
      </c>
      <c r="H476" s="151">
        <v>108094956.2546813</v>
      </c>
      <c r="I476" s="151">
        <v>108826795</v>
      </c>
      <c r="J476" s="151">
        <v>731838.7453186959</v>
      </c>
      <c r="K476" s="151"/>
    </row>
    <row r="477" spans="1:11" ht="13.2">
      <c r="A477" s="152">
        <v>468</v>
      </c>
      <c r="B477" s="151">
        <v>59736219</v>
      </c>
      <c r="C477" s="151">
        <v>59736219</v>
      </c>
      <c r="D477" s="151">
        <v>25524116.286238451</v>
      </c>
      <c r="E477" s="151">
        <v>42694095.704122677</v>
      </c>
      <c r="F477" s="151">
        <v>26261020.938961659</v>
      </c>
      <c r="G477" s="151">
        <v>15000000</v>
      </c>
      <c r="H477" s="151">
        <v>109479232.92932278</v>
      </c>
      <c r="I477" s="151">
        <v>119472438</v>
      </c>
      <c r="J477" s="151">
        <v>9993205.0706772208</v>
      </c>
      <c r="K477" s="151"/>
    </row>
    <row r="478" spans="1:11" ht="13.2">
      <c r="A478" s="152">
        <v>469</v>
      </c>
      <c r="B478" s="151">
        <v>58085587</v>
      </c>
      <c r="C478" s="151">
        <v>58085587</v>
      </c>
      <c r="D478" s="151">
        <v>24190798.765905362</v>
      </c>
      <c r="E478" s="151">
        <v>43117681.982243419</v>
      </c>
      <c r="F478" s="151">
        <v>24007832.511008367</v>
      </c>
      <c r="G478" s="151">
        <v>15000000</v>
      </c>
      <c r="H478" s="151">
        <v>106316313.25915715</v>
      </c>
      <c r="I478" s="151">
        <v>116171174</v>
      </c>
      <c r="J478" s="151">
        <v>9854860.740842849</v>
      </c>
      <c r="K478" s="151"/>
    </row>
    <row r="479" spans="1:11" ht="13.2">
      <c r="A479" s="152">
        <v>470</v>
      </c>
      <c r="B479" s="151">
        <v>54340373.5</v>
      </c>
      <c r="C479" s="151">
        <v>54340373.5</v>
      </c>
      <c r="D479" s="151">
        <v>22435614.179383259</v>
      </c>
      <c r="E479" s="151">
        <v>44212765.036306232</v>
      </c>
      <c r="F479" s="151">
        <v>28259557.373785928</v>
      </c>
      <c r="G479" s="151">
        <v>15000000</v>
      </c>
      <c r="H479" s="151">
        <v>109907936.58947542</v>
      </c>
      <c r="I479" s="151">
        <v>108680747</v>
      </c>
      <c r="J479" s="151">
        <v>-1227189.5894754231</v>
      </c>
      <c r="K479" s="151"/>
    </row>
    <row r="480" spans="1:11" ht="13.2">
      <c r="A480" s="152">
        <v>471</v>
      </c>
      <c r="B480" s="151">
        <v>54004396.5</v>
      </c>
      <c r="C480" s="151">
        <v>54004396.5</v>
      </c>
      <c r="D480" s="151">
        <v>24706497.41819708</v>
      </c>
      <c r="E480" s="151">
        <v>41903205.338807851</v>
      </c>
      <c r="F480" s="151">
        <v>26862058.005861193</v>
      </c>
      <c r="G480" s="151">
        <v>15000000</v>
      </c>
      <c r="H480" s="151">
        <v>108471760.76286612</v>
      </c>
      <c r="I480" s="151">
        <v>108008793</v>
      </c>
      <c r="J480" s="151">
        <v>-462967.76286612451</v>
      </c>
      <c r="K480" s="151"/>
    </row>
    <row r="481" spans="1:11" ht="13.2">
      <c r="A481" s="152">
        <v>472</v>
      </c>
      <c r="B481" s="151">
        <v>55088057</v>
      </c>
      <c r="C481" s="151">
        <v>55088057</v>
      </c>
      <c r="D481" s="151">
        <v>26047258.120314676</v>
      </c>
      <c r="E481" s="151">
        <v>42045666.725704752</v>
      </c>
      <c r="F481" s="151">
        <v>26161674.091279414</v>
      </c>
      <c r="G481" s="151">
        <v>15000000</v>
      </c>
      <c r="H481" s="151">
        <v>109254598.93729885</v>
      </c>
      <c r="I481" s="151">
        <v>110176114</v>
      </c>
      <c r="J481" s="151">
        <v>921515.06270115077</v>
      </c>
      <c r="K481" s="151"/>
    </row>
    <row r="482" spans="1:11" ht="13.2">
      <c r="A482" s="152">
        <v>473</v>
      </c>
      <c r="B482" s="151">
        <v>56392061</v>
      </c>
      <c r="C482" s="151">
        <v>56392061</v>
      </c>
      <c r="D482" s="151">
        <v>24031743.147051875</v>
      </c>
      <c r="E482" s="151">
        <v>44347323.46020779</v>
      </c>
      <c r="F482" s="151">
        <v>28181830.178817794</v>
      </c>
      <c r="G482" s="151">
        <v>15000000</v>
      </c>
      <c r="H482" s="151">
        <v>111560896.78607745</v>
      </c>
      <c r="I482" s="151">
        <v>112784122</v>
      </c>
      <c r="J482" s="151">
        <v>1223225.2139225453</v>
      </c>
      <c r="K482" s="151"/>
    </row>
    <row r="483" spans="1:11" ht="13.2">
      <c r="A483" s="152">
        <v>474</v>
      </c>
      <c r="B483" s="151">
        <v>52717801.5</v>
      </c>
      <c r="C483" s="151">
        <v>52717801.5</v>
      </c>
      <c r="D483" s="151">
        <v>24569183.143593859</v>
      </c>
      <c r="E483" s="151">
        <v>43678477.832357384</v>
      </c>
      <c r="F483" s="151">
        <v>29826038.295294732</v>
      </c>
      <c r="G483" s="151">
        <v>15000000</v>
      </c>
      <c r="H483" s="151">
        <v>113073699.27124597</v>
      </c>
      <c r="I483" s="151">
        <v>105435603</v>
      </c>
      <c r="J483" s="151">
        <v>-7638096.2712459713</v>
      </c>
      <c r="K483" s="151"/>
    </row>
    <row r="484" spans="1:11" ht="13.2">
      <c r="A484" s="152">
        <v>475</v>
      </c>
      <c r="B484" s="151">
        <v>55241270</v>
      </c>
      <c r="C484" s="151">
        <v>55241270</v>
      </c>
      <c r="D484" s="151">
        <v>26182385.434874695</v>
      </c>
      <c r="E484" s="151">
        <v>41966850.672286958</v>
      </c>
      <c r="F484" s="151">
        <v>27084119.909328941</v>
      </c>
      <c r="G484" s="151">
        <v>15000000</v>
      </c>
      <c r="H484" s="151">
        <v>110233356.01649059</v>
      </c>
      <c r="I484" s="151">
        <v>110482540</v>
      </c>
      <c r="J484" s="151">
        <v>249183.98350940645</v>
      </c>
      <c r="K484" s="151"/>
    </row>
    <row r="485" spans="1:11" ht="13.2">
      <c r="A485" s="152">
        <v>476</v>
      </c>
      <c r="B485" s="151">
        <v>56072055</v>
      </c>
      <c r="C485" s="151">
        <v>56072055</v>
      </c>
      <c r="D485" s="151">
        <v>24166870.461611897</v>
      </c>
      <c r="E485" s="151">
        <v>44035140.749999419</v>
      </c>
      <c r="F485" s="151">
        <v>28835756.619104959</v>
      </c>
      <c r="G485" s="151">
        <v>15000000</v>
      </c>
      <c r="H485" s="151">
        <v>112037767.83071628</v>
      </c>
      <c r="I485" s="151">
        <v>112144110</v>
      </c>
      <c r="J485" s="151">
        <v>106342.16928371787</v>
      </c>
      <c r="K485" s="151"/>
    </row>
    <row r="486" spans="1:11" ht="13.2">
      <c r="A486" s="152">
        <v>477</v>
      </c>
      <c r="B486" s="151">
        <v>55654931</v>
      </c>
      <c r="C486" s="151">
        <v>55654931</v>
      </c>
      <c r="D486" s="151">
        <v>24713940.599981587</v>
      </c>
      <c r="E486" s="151">
        <v>43634936.560997933</v>
      </c>
      <c r="F486" s="151">
        <v>30556573.967357241</v>
      </c>
      <c r="G486" s="151">
        <v>15000000</v>
      </c>
      <c r="H486" s="151">
        <v>113905451.12833676</v>
      </c>
      <c r="I486" s="151">
        <v>111309862</v>
      </c>
      <c r="J486" s="151">
        <v>-2595589.1283367574</v>
      </c>
      <c r="K486" s="151"/>
    </row>
    <row r="487" spans="1:11" ht="13.2">
      <c r="A487" s="152">
        <v>478</v>
      </c>
      <c r="B487" s="151">
        <v>57799059.5</v>
      </c>
      <c r="C487" s="151">
        <v>57799059.5</v>
      </c>
      <c r="D487" s="151">
        <v>23645621.487027243</v>
      </c>
      <c r="E487" s="151">
        <v>42216811.157081515</v>
      </c>
      <c r="F487" s="151">
        <v>26810231.873081956</v>
      </c>
      <c r="G487" s="151">
        <v>15000000</v>
      </c>
      <c r="H487" s="151">
        <v>107672664.51719071</v>
      </c>
      <c r="I487" s="151">
        <v>115598119</v>
      </c>
      <c r="J487" s="151">
        <v>7925454.4828092903</v>
      </c>
      <c r="K487" s="151"/>
    </row>
    <row r="488" spans="1:11" ht="13.2">
      <c r="A488" s="152">
        <v>479</v>
      </c>
      <c r="B488" s="151">
        <v>56339789.5</v>
      </c>
      <c r="C488" s="151">
        <v>56339789.5</v>
      </c>
      <c r="D488" s="151">
        <v>24176794.703991242</v>
      </c>
      <c r="E488" s="151">
        <v>42529118.747374624</v>
      </c>
      <c r="F488" s="151">
        <v>27842922.11253842</v>
      </c>
      <c r="G488" s="151">
        <v>15000000</v>
      </c>
      <c r="H488" s="151">
        <v>109548835.56390429</v>
      </c>
      <c r="I488" s="151">
        <v>112679579</v>
      </c>
      <c r="J488" s="151">
        <v>3130743.4360957146</v>
      </c>
      <c r="K488" s="151"/>
    </row>
    <row r="489" spans="1:11" ht="13.2">
      <c r="A489" s="152">
        <v>480</v>
      </c>
      <c r="B489" s="151">
        <v>57729770.5</v>
      </c>
      <c r="C489" s="151">
        <v>57729770.5</v>
      </c>
      <c r="D489" s="151">
        <v>23245495.765088484</v>
      </c>
      <c r="E489" s="151">
        <v>41926056.794494227</v>
      </c>
      <c r="F489" s="151">
        <v>28722225.923494145</v>
      </c>
      <c r="G489" s="151">
        <v>15000000</v>
      </c>
      <c r="H489" s="151">
        <v>108893778.48307686</v>
      </c>
      <c r="I489" s="151">
        <v>115459541</v>
      </c>
      <c r="J489" s="151">
        <v>6565762.5169231445</v>
      </c>
      <c r="K489" s="151"/>
    </row>
    <row r="490" spans="1:11" ht="13.2">
      <c r="A490" s="152">
        <v>481</v>
      </c>
      <c r="B490" s="151">
        <v>58817110.5</v>
      </c>
      <c r="C490" s="151">
        <v>58817110.5</v>
      </c>
      <c r="D490" s="151">
        <v>25516379.003902305</v>
      </c>
      <c r="E490" s="151">
        <v>43680329.239477903</v>
      </c>
      <c r="F490" s="151">
        <v>26079457.776297923</v>
      </c>
      <c r="G490" s="151">
        <v>15000000</v>
      </c>
      <c r="H490" s="151">
        <v>110276166.01967813</v>
      </c>
      <c r="I490" s="151">
        <v>117634221</v>
      </c>
      <c r="J490" s="151">
        <v>7358054.9803218693</v>
      </c>
      <c r="K490" s="151"/>
    </row>
    <row r="491" spans="1:11" ht="13.2">
      <c r="A491" s="152">
        <v>482</v>
      </c>
      <c r="B491" s="151">
        <v>55606248.5</v>
      </c>
      <c r="C491" s="151">
        <v>55606248.5</v>
      </c>
      <c r="D491" s="151">
        <v>24841918.833308734</v>
      </c>
      <c r="E491" s="151">
        <v>42568625.724561252</v>
      </c>
      <c r="F491" s="151">
        <v>26548349.448558237</v>
      </c>
      <c r="G491" s="151">
        <v>15000000</v>
      </c>
      <c r="H491" s="151">
        <v>108958894.00642823</v>
      </c>
      <c r="I491" s="151">
        <v>111212497</v>
      </c>
      <c r="J491" s="151">
        <v>2253602.9935717732</v>
      </c>
      <c r="K491" s="151"/>
    </row>
    <row r="492" spans="1:11" ht="13.2">
      <c r="A492" s="152">
        <v>483</v>
      </c>
      <c r="B492" s="151">
        <v>57647568</v>
      </c>
      <c r="C492" s="151">
        <v>57647568</v>
      </c>
      <c r="D492" s="151">
        <v>23638766.506345995</v>
      </c>
      <c r="E492" s="151">
        <v>42144322.558432885</v>
      </c>
      <c r="F492" s="151">
        <v>28540876.635920983</v>
      </c>
      <c r="G492" s="151">
        <v>15000000</v>
      </c>
      <c r="H492" s="151">
        <v>109323965.70069987</v>
      </c>
      <c r="I492" s="151">
        <v>115295136</v>
      </c>
      <c r="J492" s="151">
        <v>5971170.2993001342</v>
      </c>
      <c r="K492" s="151"/>
    </row>
    <row r="493" spans="1:11" ht="13.2">
      <c r="A493" s="152">
        <v>484</v>
      </c>
      <c r="B493" s="151">
        <v>60971540.5</v>
      </c>
      <c r="C493" s="151">
        <v>60971540.5</v>
      </c>
      <c r="D493" s="151">
        <v>22710536.829141345</v>
      </c>
      <c r="E493" s="151">
        <v>44019726.373216227</v>
      </c>
      <c r="F493" s="151">
        <v>25414188.286654424</v>
      </c>
      <c r="G493" s="151">
        <v>15000000</v>
      </c>
      <c r="H493" s="151">
        <v>107144451.489012</v>
      </c>
      <c r="I493" s="151">
        <v>121943081</v>
      </c>
      <c r="J493" s="151">
        <v>14798629.510987997</v>
      </c>
      <c r="K493" s="151"/>
    </row>
    <row r="494" spans="1:11" ht="13.2">
      <c r="A494" s="152">
        <v>485</v>
      </c>
      <c r="B494" s="151">
        <v>55657858.5</v>
      </c>
      <c r="C494" s="151">
        <v>55657858.5</v>
      </c>
      <c r="D494" s="151">
        <v>24434349.929585468</v>
      </c>
      <c r="E494" s="151">
        <v>42574617.909029335</v>
      </c>
      <c r="F494" s="151">
        <v>29214099.205956109</v>
      </c>
      <c r="G494" s="151">
        <v>15000000</v>
      </c>
      <c r="H494" s="151">
        <v>111223067.04457092</v>
      </c>
      <c r="I494" s="151">
        <v>111315717</v>
      </c>
      <c r="J494" s="151">
        <v>92649.955429077148</v>
      </c>
      <c r="K494" s="151"/>
    </row>
    <row r="495" spans="1:11" ht="13.2">
      <c r="A495" s="152">
        <v>486</v>
      </c>
      <c r="B495" s="151">
        <v>58238451</v>
      </c>
      <c r="C495" s="151">
        <v>58238451</v>
      </c>
      <c r="D495" s="151">
        <v>25393656.992316466</v>
      </c>
      <c r="E495" s="151">
        <v>43304656.243735835</v>
      </c>
      <c r="F495" s="151">
        <v>30380409.306975357</v>
      </c>
      <c r="G495" s="151">
        <v>15000000</v>
      </c>
      <c r="H495" s="151">
        <v>114078722.54302767</v>
      </c>
      <c r="I495" s="151">
        <v>116476902</v>
      </c>
      <c r="J495" s="151">
        <v>2398179.4569723308</v>
      </c>
      <c r="K495" s="151"/>
    </row>
    <row r="496" spans="1:11" ht="13.2">
      <c r="A496" s="152">
        <v>487</v>
      </c>
      <c r="B496" s="151">
        <v>59723413</v>
      </c>
      <c r="C496" s="151">
        <v>59723413</v>
      </c>
      <c r="D496" s="151">
        <v>23228716.542027898</v>
      </c>
      <c r="E496" s="151">
        <v>42219366.047270641</v>
      </c>
      <c r="F496" s="151">
        <v>26991944.531642009</v>
      </c>
      <c r="G496" s="151">
        <v>15000000</v>
      </c>
      <c r="H496" s="151">
        <v>107440027.12094055</v>
      </c>
      <c r="I496" s="151">
        <v>119446826</v>
      </c>
      <c r="J496" s="151">
        <v>12006798.879059449</v>
      </c>
      <c r="K496" s="151"/>
    </row>
    <row r="497" spans="1:11" ht="13.2">
      <c r="A497" s="152">
        <v>488</v>
      </c>
      <c r="B497" s="151">
        <v>60189651</v>
      </c>
      <c r="C497" s="151">
        <v>60189651</v>
      </c>
      <c r="D497" s="151">
        <v>24318776.999232508</v>
      </c>
      <c r="E497" s="151">
        <v>42173794.002250433</v>
      </c>
      <c r="F497" s="151">
        <v>28847961.36376173</v>
      </c>
      <c r="G497" s="151">
        <v>15000000</v>
      </c>
      <c r="H497" s="151">
        <v>110340532.36524467</v>
      </c>
      <c r="I497" s="151">
        <v>120379302</v>
      </c>
      <c r="J497" s="151">
        <v>10038769.634755328</v>
      </c>
      <c r="K497" s="151"/>
    </row>
    <row r="498" spans="1:11" ht="13.2">
      <c r="A498" s="152">
        <v>489</v>
      </c>
      <c r="B498" s="151">
        <v>57737681</v>
      </c>
      <c r="C498" s="151">
        <v>57737681</v>
      </c>
      <c r="D498" s="151">
        <v>24453316.112689257</v>
      </c>
      <c r="E498" s="151">
        <v>42693039.104146942</v>
      </c>
      <c r="F498" s="151">
        <v>28171606.417193305</v>
      </c>
      <c r="G498" s="151">
        <v>15000000</v>
      </c>
      <c r="H498" s="151">
        <v>110317961.63402951</v>
      </c>
      <c r="I498" s="151">
        <v>115475362</v>
      </c>
      <c r="J498" s="151">
        <v>5157400.3659704924</v>
      </c>
      <c r="K498" s="151"/>
    </row>
    <row r="499" spans="1:11" ht="13.2">
      <c r="A499" s="152">
        <v>490</v>
      </c>
      <c r="B499" s="151">
        <v>54884802.5</v>
      </c>
      <c r="C499" s="151">
        <v>54884802.5</v>
      </c>
      <c r="D499" s="151">
        <v>23498677.070596304</v>
      </c>
      <c r="E499" s="151">
        <v>43580792.02185531</v>
      </c>
      <c r="F499" s="151">
        <v>27419546.370481648</v>
      </c>
      <c r="G499" s="151">
        <v>15000000</v>
      </c>
      <c r="H499" s="151">
        <v>109499015.46293327</v>
      </c>
      <c r="I499" s="151">
        <v>109769605</v>
      </c>
      <c r="J499" s="151">
        <v>270589.53706672788</v>
      </c>
      <c r="K499" s="151"/>
    </row>
    <row r="500" spans="1:11" ht="13.2">
      <c r="A500" s="152">
        <v>491</v>
      </c>
      <c r="B500" s="151">
        <v>54899723</v>
      </c>
      <c r="C500" s="151">
        <v>54899723</v>
      </c>
      <c r="D500" s="151">
        <v>22447725.381805811</v>
      </c>
      <c r="E500" s="151">
        <v>42798392.200808749</v>
      </c>
      <c r="F500" s="151">
        <v>26371341.359802146</v>
      </c>
      <c r="G500" s="151">
        <v>15000000</v>
      </c>
      <c r="H500" s="151">
        <v>106617458.9424167</v>
      </c>
      <c r="I500" s="151">
        <v>109799446</v>
      </c>
      <c r="J500" s="151">
        <v>3181987.0575833023</v>
      </c>
      <c r="K500" s="151"/>
    </row>
    <row r="501" spans="1:11" ht="13.2">
      <c r="A501" s="152">
        <v>492</v>
      </c>
      <c r="B501" s="151">
        <v>53757157.5</v>
      </c>
      <c r="C501" s="151">
        <v>53757157.5</v>
      </c>
      <c r="D501" s="151">
        <v>23629136.364518289</v>
      </c>
      <c r="E501" s="151">
        <v>41689330.763569415</v>
      </c>
      <c r="F501" s="151">
        <v>29023594.910816051</v>
      </c>
      <c r="G501" s="151">
        <v>15000000</v>
      </c>
      <c r="H501" s="151">
        <v>109342062.03890374</v>
      </c>
      <c r="I501" s="151">
        <v>107514315</v>
      </c>
      <c r="J501" s="151">
        <v>-1827747.038903743</v>
      </c>
      <c r="K501" s="151"/>
    </row>
    <row r="502" spans="1:11" ht="13.2">
      <c r="A502" s="152">
        <v>493</v>
      </c>
      <c r="B502" s="151">
        <v>60056995.5</v>
      </c>
      <c r="C502" s="151">
        <v>60056995.5</v>
      </c>
      <c r="D502" s="151">
        <v>23100738.308700752</v>
      </c>
      <c r="E502" s="151">
        <v>42036292.238338679</v>
      </c>
      <c r="F502" s="151">
        <v>25377211.48509207</v>
      </c>
      <c r="G502" s="151">
        <v>15000000</v>
      </c>
      <c r="H502" s="151">
        <v>105514242.03213151</v>
      </c>
      <c r="I502" s="151">
        <v>120113991</v>
      </c>
      <c r="J502" s="151">
        <v>14599748.967868492</v>
      </c>
      <c r="K502" s="151"/>
    </row>
    <row r="503" spans="1:11" ht="13.2">
      <c r="A503" s="152">
        <v>494</v>
      </c>
      <c r="B503" s="151">
        <v>55348489.5</v>
      </c>
      <c r="C503" s="151">
        <v>55348489.5</v>
      </c>
      <c r="D503" s="151">
        <v>23247976.825683322</v>
      </c>
      <c r="E503" s="151">
        <v>42047440.993875176</v>
      </c>
      <c r="F503" s="151">
        <v>28216967.278385308</v>
      </c>
      <c r="G503" s="151">
        <v>15000000</v>
      </c>
      <c r="H503" s="151">
        <v>108512385.09794381</v>
      </c>
      <c r="I503" s="151">
        <v>110696979</v>
      </c>
      <c r="J503" s="151">
        <v>2184593.9020561874</v>
      </c>
      <c r="K503" s="151"/>
    </row>
    <row r="504" spans="1:11" ht="13.2">
      <c r="A504" s="152">
        <v>495</v>
      </c>
      <c r="B504" s="151">
        <v>56838102</v>
      </c>
      <c r="C504" s="151">
        <v>56838102</v>
      </c>
      <c r="D504" s="151">
        <v>25386802.011635225</v>
      </c>
      <c r="E504" s="151">
        <v>42805761.207517631</v>
      </c>
      <c r="F504" s="151">
        <v>26011590.14898999</v>
      </c>
      <c r="G504" s="151">
        <v>15000000</v>
      </c>
      <c r="H504" s="151">
        <v>109204153.36814284</v>
      </c>
      <c r="I504" s="151">
        <v>113676204</v>
      </c>
      <c r="J504" s="151">
        <v>4472050.6318571568</v>
      </c>
      <c r="K504" s="151"/>
    </row>
    <row r="505" spans="1:11" ht="13.2">
      <c r="A505" s="152">
        <v>496</v>
      </c>
      <c r="B505" s="151">
        <v>57963410</v>
      </c>
      <c r="C505" s="151">
        <v>57963410</v>
      </c>
      <c r="D505" s="151">
        <v>24053484.49130214</v>
      </c>
      <c r="E505" s="151">
        <v>41833959.812659539</v>
      </c>
      <c r="F505" s="151">
        <v>28127327.94803524</v>
      </c>
      <c r="G505" s="151">
        <v>15000000</v>
      </c>
      <c r="H505" s="151">
        <v>109014772.25199692</v>
      </c>
      <c r="I505" s="151">
        <v>115926820</v>
      </c>
      <c r="J505" s="151">
        <v>6912047.7480030805</v>
      </c>
      <c r="K505" s="151"/>
    </row>
    <row r="506" spans="1:11" ht="13.2">
      <c r="A506" s="152">
        <v>497</v>
      </c>
      <c r="B506" s="151">
        <v>59664756.5</v>
      </c>
      <c r="C506" s="151">
        <v>59664756.5</v>
      </c>
      <c r="D506" s="151">
        <v>25396138.052911304</v>
      </c>
      <c r="E506" s="151">
        <v>42120036.142892636</v>
      </c>
      <c r="F506" s="151">
        <v>26161884.095002864</v>
      </c>
      <c r="G506" s="151">
        <v>15000000</v>
      </c>
      <c r="H506" s="151">
        <v>108678058.2908068</v>
      </c>
      <c r="I506" s="151">
        <v>119329513</v>
      </c>
      <c r="J506" s="151">
        <v>10651454.7091932</v>
      </c>
      <c r="K506" s="151"/>
    </row>
    <row r="507" spans="1:11" ht="13.2">
      <c r="A507" s="152">
        <v>498</v>
      </c>
      <c r="B507" s="151">
        <v>53365440.5</v>
      </c>
      <c r="C507" s="151">
        <v>53365440.5</v>
      </c>
      <c r="D507" s="151">
        <v>24180874.523526017</v>
      </c>
      <c r="E507" s="151">
        <v>43326544.558023743</v>
      </c>
      <c r="F507" s="151">
        <v>25203668.53833542</v>
      </c>
      <c r="G507" s="151">
        <v>15000000</v>
      </c>
      <c r="H507" s="151">
        <v>107711087.61988518</v>
      </c>
      <c r="I507" s="151">
        <v>106730881</v>
      </c>
      <c r="J507" s="151">
        <v>-980206.61988517642</v>
      </c>
      <c r="K507" s="151"/>
    </row>
    <row r="508" spans="1:11" ht="13.2">
      <c r="A508" s="152">
        <v>499</v>
      </c>
      <c r="B508" s="151">
        <v>55347351</v>
      </c>
      <c r="C508" s="151">
        <v>55347351</v>
      </c>
      <c r="D508" s="151">
        <v>22973348.276476879</v>
      </c>
      <c r="E508" s="151">
        <v>42954951.77767127</v>
      </c>
      <c r="F508" s="151">
        <v>27557705.139161285</v>
      </c>
      <c r="G508" s="151">
        <v>15000000</v>
      </c>
      <c r="H508" s="151">
        <v>108486005.19330944</v>
      </c>
      <c r="I508" s="151">
        <v>110694702</v>
      </c>
      <c r="J508" s="151">
        <v>2208696.8066905588</v>
      </c>
      <c r="K508" s="151"/>
    </row>
    <row r="509" spans="1:11" ht="15.75" customHeight="1">
      <c r="A509" s="152">
        <v>500</v>
      </c>
      <c r="B509" s="151">
        <v>56227616</v>
      </c>
      <c r="C509" s="151">
        <v>56227616</v>
      </c>
      <c r="D509" s="151">
        <v>24441204.910266712</v>
      </c>
      <c r="E509" s="151">
        <v>43717513.665859871</v>
      </c>
      <c r="F509" s="151">
        <v>27430670.528907444</v>
      </c>
      <c r="G509" s="151">
        <v>15000000</v>
      </c>
      <c r="H509" s="151">
        <v>110589389.10503402</v>
      </c>
      <c r="I509" s="151">
        <v>112455232</v>
      </c>
      <c r="J509" s="151">
        <v>1865842.8949659765</v>
      </c>
      <c r="K509" s="151"/>
    </row>
  </sheetData>
  <mergeCells count="1">
    <mergeCell ref="O22:U2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B6364-8870-9A41-9A0A-792C5F143923}">
  <sheetPr codeName="Arkusz23">
    <tabColor theme="0" tint="-0.499984740745262"/>
  </sheetPr>
  <dimension ref="B3:J15"/>
  <sheetViews>
    <sheetView workbookViewId="0">
      <selection activeCell="J34" sqref="J34"/>
    </sheetView>
  </sheetViews>
  <sheetFormatPr defaultColWidth="10.77734375" defaultRowHeight="13.2"/>
  <cols>
    <col min="1" max="1" width="10.77734375" style="70"/>
    <col min="2" max="2" width="15.6640625" style="70" customWidth="1"/>
    <col min="3" max="3" width="8.109375" style="70" customWidth="1"/>
    <col min="4" max="10" width="14" style="70" customWidth="1"/>
    <col min="11" max="16384" width="10.77734375" style="70"/>
  </cols>
  <sheetData>
    <row r="3" spans="2:10" ht="15.6">
      <c r="D3" s="211" t="s">
        <v>134</v>
      </c>
      <c r="E3" s="211"/>
      <c r="F3" s="211"/>
      <c r="G3" s="211"/>
      <c r="H3" s="211"/>
      <c r="I3" s="211"/>
      <c r="J3" s="211"/>
    </row>
    <row r="4" spans="2:10" s="117" customFormat="1" ht="25.95" customHeight="1" thickBot="1">
      <c r="C4" s="118"/>
      <c r="D4" s="119">
        <v>-0.15</v>
      </c>
      <c r="E4" s="119">
        <v>-0.1</v>
      </c>
      <c r="F4" s="119">
        <v>-0.05</v>
      </c>
      <c r="G4" s="119">
        <v>0</v>
      </c>
      <c r="H4" s="119">
        <v>0.05</v>
      </c>
      <c r="I4" s="119">
        <v>0.1</v>
      </c>
      <c r="J4" s="119">
        <v>0.15</v>
      </c>
    </row>
    <row r="5" spans="2:10" ht="13.05" customHeight="1">
      <c r="B5" s="212" t="s">
        <v>136</v>
      </c>
      <c r="C5" s="120">
        <f>-30%</f>
        <v>-0.3</v>
      </c>
      <c r="D5" s="116">
        <v>-9288682.5688003693</v>
      </c>
      <c r="E5" s="116">
        <v>-11580353.340095954</v>
      </c>
      <c r="F5" s="116">
        <v>-13068324.251849122</v>
      </c>
      <c r="G5" s="158">
        <v>-15496539.00732789</v>
      </c>
      <c r="H5" s="116">
        <v>-17705383.53754364</v>
      </c>
      <c r="I5" s="116">
        <v>-19962427.533461895</v>
      </c>
      <c r="J5" s="116">
        <v>-22628625.753107503</v>
      </c>
    </row>
    <row r="6" spans="2:10">
      <c r="B6" s="212"/>
      <c r="C6" s="120">
        <v>-0.2</v>
      </c>
      <c r="D6" s="116">
        <v>-1005307.1283997057</v>
      </c>
      <c r="E6" s="116">
        <v>-2827857.1773256869</v>
      </c>
      <c r="F6" s="116">
        <v>-4966934.0072631799</v>
      </c>
      <c r="G6" s="159">
        <v>-7061225.7993543604</v>
      </c>
      <c r="H6" s="116">
        <v>-9754249.492827706</v>
      </c>
      <c r="I6" s="116">
        <v>-11836034.200961377</v>
      </c>
      <c r="J6" s="116">
        <v>-14377861.880898759</v>
      </c>
    </row>
    <row r="7" spans="2:10" ht="13.8" thickBot="1">
      <c r="B7" s="212"/>
      <c r="C7" s="120">
        <v>-0.1</v>
      </c>
      <c r="D7" s="116">
        <v>5357002.7293606158</v>
      </c>
      <c r="E7" s="116">
        <v>3515624.3899903516</v>
      </c>
      <c r="F7" s="116">
        <v>1352191.1770123385</v>
      </c>
      <c r="G7" s="159">
        <v>-1177276.2979717252</v>
      </c>
      <c r="H7" s="116">
        <v>-2598178.8699924694</v>
      </c>
      <c r="I7" s="116">
        <v>-5247436.7304428546</v>
      </c>
      <c r="J7" s="116">
        <v>-7044778.5969415847</v>
      </c>
    </row>
    <row r="8" spans="2:10" ht="13.8" thickBot="1">
      <c r="B8" s="212"/>
      <c r="C8" s="121">
        <v>0</v>
      </c>
      <c r="D8" s="155">
        <v>10845728.580447052</v>
      </c>
      <c r="E8" s="156">
        <v>8079364.9312934391</v>
      </c>
      <c r="F8" s="156">
        <v>6146881.5209989138</v>
      </c>
      <c r="G8" s="161">
        <v>3984837.4207949131</v>
      </c>
      <c r="H8" s="156">
        <v>2003816.0172679168</v>
      </c>
      <c r="I8" s="156">
        <v>-578252.36446826172</v>
      </c>
      <c r="J8" s="157">
        <v>-1829872.9311187861</v>
      </c>
    </row>
    <row r="9" spans="2:10">
      <c r="B9" s="212"/>
      <c r="C9" s="120">
        <v>0.1</v>
      </c>
      <c r="D9" s="116">
        <v>14522219.079126157</v>
      </c>
      <c r="E9" s="116">
        <v>12791789.677299462</v>
      </c>
      <c r="F9" s="116">
        <v>10177989.281899953</v>
      </c>
      <c r="G9" s="159">
        <v>8096889.4339127084</v>
      </c>
      <c r="H9" s="116">
        <v>5952910.3519712128</v>
      </c>
      <c r="I9" s="116">
        <v>3892116.5502775009</v>
      </c>
      <c r="J9" s="116">
        <v>1720083.2223550866</v>
      </c>
    </row>
    <row r="10" spans="2:10">
      <c r="B10" s="212"/>
      <c r="C10" s="120">
        <v>0.2</v>
      </c>
      <c r="D10" s="116">
        <v>16005554.486395247</v>
      </c>
      <c r="E10" s="116">
        <v>14531514.761308823</v>
      </c>
      <c r="F10" s="116">
        <v>13301025.644199599</v>
      </c>
      <c r="G10" s="159">
        <v>10838028.745430751</v>
      </c>
      <c r="H10" s="116">
        <v>8534197.8426616061</v>
      </c>
      <c r="I10" s="116">
        <v>6435914.3458638303</v>
      </c>
      <c r="J10" s="116">
        <v>4554742.2882225923</v>
      </c>
    </row>
    <row r="11" spans="2:10">
      <c r="B11" s="212"/>
      <c r="C11" s="120">
        <v>0.3</v>
      </c>
      <c r="D11" s="116">
        <v>18162928.620534997</v>
      </c>
      <c r="E11" s="116">
        <v>15678174.482811002</v>
      </c>
      <c r="F11" s="116">
        <v>14078946.533902993</v>
      </c>
      <c r="G11" s="159">
        <v>11195634.619155502</v>
      </c>
      <c r="H11" s="116">
        <v>8853726.8948394973</v>
      </c>
      <c r="I11" s="116">
        <v>7239100.4648416974</v>
      </c>
      <c r="J11" s="116">
        <v>5589876.4381939163</v>
      </c>
    </row>
    <row r="12" spans="2:10">
      <c r="B12" s="212"/>
      <c r="C12" s="120">
        <v>0.4</v>
      </c>
      <c r="D12" s="116">
        <v>18510822.054508783</v>
      </c>
      <c r="E12" s="116">
        <v>15193819.531227419</v>
      </c>
      <c r="F12" s="116">
        <v>13204574.93339036</v>
      </c>
      <c r="G12" s="159">
        <v>11668814.019053221</v>
      </c>
      <c r="H12" s="116">
        <v>9166191.116360696</v>
      </c>
      <c r="I12" s="116">
        <v>6564603.671820377</v>
      </c>
      <c r="J12" s="116">
        <v>5130383.5575279538</v>
      </c>
    </row>
    <row r="13" spans="2:10" ht="13.8" thickBot="1">
      <c r="B13" s="212"/>
      <c r="C13" s="120">
        <v>0.5</v>
      </c>
      <c r="D13" s="116">
        <v>16247562.531931479</v>
      </c>
      <c r="E13" s="116">
        <v>14151346.706121173</v>
      </c>
      <c r="F13" s="116">
        <v>12382564.71347273</v>
      </c>
      <c r="G13" s="160">
        <v>9791121.7754379157</v>
      </c>
      <c r="H13" s="116">
        <v>7807711.4586714581</v>
      </c>
      <c r="I13" s="116">
        <v>5361011.3497066675</v>
      </c>
      <c r="J13" s="116">
        <v>3572140.4466395336</v>
      </c>
    </row>
    <row r="14" spans="2:10">
      <c r="C14" s="115"/>
    </row>
    <row r="15" spans="2:10">
      <c r="C15" s="115"/>
    </row>
  </sheetData>
  <mergeCells count="2">
    <mergeCell ref="D3:J3"/>
    <mergeCell ref="B5:B13"/>
  </mergeCells>
  <conditionalFormatting sqref="D5:J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D3A4-105B-3444-9B7D-0551DB69A18D}">
  <sheetPr codeName="Arkusz24">
    <tabColor theme="0" tint="-0.499984740745262"/>
  </sheetPr>
  <dimension ref="A3:I208"/>
  <sheetViews>
    <sheetView workbookViewId="0">
      <selection activeCell="F4" sqref="F4"/>
    </sheetView>
  </sheetViews>
  <sheetFormatPr defaultColWidth="10.77734375" defaultRowHeight="13.2"/>
  <cols>
    <col min="1" max="1" width="10.77734375" style="36"/>
    <col min="2" max="9" width="16.6640625" style="36" customWidth="1"/>
    <col min="10" max="16384" width="10.77734375" style="36"/>
  </cols>
  <sheetData>
    <row r="3" spans="1:9">
      <c r="C3" s="97"/>
      <c r="D3" s="97"/>
      <c r="E3" s="97"/>
      <c r="F3" s="97"/>
      <c r="G3" s="97"/>
      <c r="H3" s="97"/>
      <c r="I3" s="97"/>
    </row>
    <row r="4" spans="1:9">
      <c r="B4" s="73" t="s">
        <v>122</v>
      </c>
      <c r="C4" s="97">
        <f>AVERAGE(C9:C208)</f>
        <v>16247562.531931479</v>
      </c>
      <c r="D4" s="97">
        <f t="shared" ref="D4:I4" si="0">AVERAGE(D9:D208)</f>
        <v>14151346.706121173</v>
      </c>
      <c r="E4" s="97">
        <f t="shared" si="0"/>
        <v>12382564.71347273</v>
      </c>
      <c r="F4" s="97">
        <f t="shared" si="0"/>
        <v>9791121.7754379157</v>
      </c>
      <c r="G4" s="97">
        <f t="shared" si="0"/>
        <v>7807711.4586714581</v>
      </c>
      <c r="H4" s="97">
        <f t="shared" si="0"/>
        <v>5361011.3497066675</v>
      </c>
      <c r="I4" s="97">
        <f t="shared" si="0"/>
        <v>3572140.4466395336</v>
      </c>
    </row>
    <row r="6" spans="1:9" ht="15.6">
      <c r="C6" s="211" t="s">
        <v>134</v>
      </c>
      <c r="D6" s="211"/>
      <c r="E6" s="211"/>
      <c r="F6" s="211"/>
      <c r="G6" s="211"/>
      <c r="H6" s="211"/>
      <c r="I6" s="211"/>
    </row>
    <row r="7" spans="1:9">
      <c r="B7" s="104" t="s">
        <v>10</v>
      </c>
      <c r="C7" s="106">
        <v>-0.15</v>
      </c>
      <c r="D7" s="106">
        <v>-0.1</v>
      </c>
      <c r="E7" s="106">
        <v>-0.05</v>
      </c>
      <c r="F7" s="106">
        <v>0</v>
      </c>
      <c r="G7" s="106">
        <v>0.05</v>
      </c>
      <c r="H7" s="106">
        <v>0.1</v>
      </c>
      <c r="I7" s="106">
        <v>0.15</v>
      </c>
    </row>
    <row r="8" spans="1:9">
      <c r="A8" s="73" t="s">
        <v>135</v>
      </c>
      <c r="B8" s="108">
        <v>10473818.034860253</v>
      </c>
      <c r="C8" s="109">
        <v>36341606.868500002</v>
      </c>
      <c r="D8" s="109">
        <v>38479348.449000001</v>
      </c>
      <c r="E8" s="109">
        <v>40617090.0295</v>
      </c>
      <c r="F8" s="109">
        <v>42754831.609999999</v>
      </c>
      <c r="G8" s="109">
        <v>44892573.190499999</v>
      </c>
      <c r="H8" s="109">
        <v>47030314.771000005</v>
      </c>
      <c r="I8" s="109">
        <v>49168056.351499997</v>
      </c>
    </row>
    <row r="9" spans="1:9">
      <c r="B9" s="105">
        <v>1</v>
      </c>
      <c r="C9" s="107">
        <v>16176291.990160197</v>
      </c>
      <c r="D9" s="107">
        <v>15360244.373740315</v>
      </c>
      <c r="E9" s="107">
        <v>11930177.219979048</v>
      </c>
      <c r="F9" s="107">
        <v>11802788.953856796</v>
      </c>
      <c r="G9" s="107">
        <v>9976108.9668504298</v>
      </c>
      <c r="H9" s="107">
        <v>7441233.0064554363</v>
      </c>
      <c r="I9" s="107">
        <v>7537837.2441102862</v>
      </c>
    </row>
    <row r="10" spans="1:9">
      <c r="B10" s="105">
        <v>2</v>
      </c>
      <c r="C10" s="107">
        <v>11789434.853293195</v>
      </c>
      <c r="D10" s="107">
        <v>18089127.533706442</v>
      </c>
      <c r="E10" s="107">
        <v>5640163.7818343639</v>
      </c>
      <c r="F10" s="107">
        <v>9709057.1795121878</v>
      </c>
      <c r="G10" s="107">
        <v>3248794.046815604</v>
      </c>
      <c r="H10" s="107">
        <v>4984564.4366002828</v>
      </c>
      <c r="I10" s="107">
        <v>-4280068.3004130274</v>
      </c>
    </row>
    <row r="11" spans="1:9">
      <c r="B11" s="105">
        <v>3</v>
      </c>
      <c r="C11" s="107">
        <v>23911851.694941536</v>
      </c>
      <c r="D11" s="107">
        <v>11831002.053511828</v>
      </c>
      <c r="E11" s="107">
        <v>10374226.194104105</v>
      </c>
      <c r="F11" s="107">
        <v>10010226.542693526</v>
      </c>
      <c r="G11" s="107">
        <v>9972032.0322516859</v>
      </c>
      <c r="H11" s="107">
        <v>1792858.97094962</v>
      </c>
      <c r="I11" s="107">
        <v>3104565.1359958351</v>
      </c>
    </row>
    <row r="12" spans="1:9">
      <c r="B12" s="105">
        <v>4</v>
      </c>
      <c r="C12" s="107">
        <v>28890584.784238264</v>
      </c>
      <c r="D12" s="107">
        <v>19116699.633608535</v>
      </c>
      <c r="E12" s="107">
        <v>19185031.338544264</v>
      </c>
      <c r="F12" s="107">
        <v>10970700.685689509</v>
      </c>
      <c r="G12" s="107">
        <v>11763854.69754003</v>
      </c>
      <c r="H12" s="107">
        <v>17548879.599733382</v>
      </c>
      <c r="I12" s="107">
        <v>6743770.3025953323</v>
      </c>
    </row>
    <row r="13" spans="1:9">
      <c r="B13" s="105">
        <v>5</v>
      </c>
      <c r="C13" s="107">
        <v>21421326.785822451</v>
      </c>
      <c r="D13" s="107">
        <v>5412681.6026812792</v>
      </c>
      <c r="E13" s="107">
        <v>13440362.571815521</v>
      </c>
      <c r="F13" s="107">
        <v>16945941.956798658</v>
      </c>
      <c r="G13" s="107">
        <v>-2373335.4172182679</v>
      </c>
      <c r="H13" s="107">
        <v>5061776.7570712864</v>
      </c>
      <c r="I13" s="107">
        <v>14517510.032080472</v>
      </c>
    </row>
    <row r="14" spans="1:9">
      <c r="B14" s="105">
        <v>6</v>
      </c>
      <c r="C14" s="107">
        <v>14939957.347084954</v>
      </c>
      <c r="D14" s="107">
        <v>7066107.2306088507</v>
      </c>
      <c r="E14" s="107">
        <v>14824772.342410192</v>
      </c>
      <c r="F14" s="107">
        <v>13750286.102481902</v>
      </c>
      <c r="G14" s="107">
        <v>-38041.757896482944</v>
      </c>
      <c r="H14" s="107">
        <v>16630429.204426393</v>
      </c>
      <c r="I14" s="107">
        <v>-3225675.8941913396</v>
      </c>
    </row>
    <row r="15" spans="1:9">
      <c r="B15" s="105">
        <v>7</v>
      </c>
      <c r="C15" s="107">
        <v>18563229.273001179</v>
      </c>
      <c r="D15" s="107">
        <v>11918477.929701567</v>
      </c>
      <c r="E15" s="107">
        <v>17976523.754023701</v>
      </c>
      <c r="F15" s="107">
        <v>5160163.4937668741</v>
      </c>
      <c r="G15" s="107">
        <v>7105933.1571639776</v>
      </c>
      <c r="H15" s="107">
        <v>5644650.8136398494</v>
      </c>
      <c r="I15" s="107">
        <v>-3994117.1037035435</v>
      </c>
    </row>
    <row r="16" spans="1:9">
      <c r="B16" s="105">
        <v>8</v>
      </c>
      <c r="C16" s="107">
        <v>20464602.067101926</v>
      </c>
      <c r="D16" s="107">
        <v>13660711.150903702</v>
      </c>
      <c r="E16" s="107">
        <v>9032281.611334458</v>
      </c>
      <c r="F16" s="107">
        <v>-2351810.9014120549</v>
      </c>
      <c r="G16" s="107">
        <v>-241429.07809272408</v>
      </c>
      <c r="H16" s="107">
        <v>12232896.845144778</v>
      </c>
      <c r="I16" s="107">
        <v>-1311133.7102380842</v>
      </c>
    </row>
    <row r="17" spans="2:9">
      <c r="B17" s="105">
        <v>9</v>
      </c>
      <c r="C17" s="107">
        <v>17230643.090138391</v>
      </c>
      <c r="D17" s="107">
        <v>847434.28335696459</v>
      </c>
      <c r="E17" s="107">
        <v>10218578.274926618</v>
      </c>
      <c r="F17" s="107">
        <v>20299263.586821437</v>
      </c>
      <c r="G17" s="107">
        <v>11087219.00399062</v>
      </c>
      <c r="H17" s="107">
        <v>-628462.48465672135</v>
      </c>
      <c r="I17" s="107">
        <v>-961140.45849302411</v>
      </c>
    </row>
    <row r="18" spans="2:9">
      <c r="B18" s="105">
        <v>10</v>
      </c>
      <c r="C18" s="107">
        <v>24772016.20979774</v>
      </c>
      <c r="D18" s="107">
        <v>20754546.718515426</v>
      </c>
      <c r="E18" s="107">
        <v>17902937.658771321</v>
      </c>
      <c r="F18" s="107">
        <v>7919976.7811911404</v>
      </c>
      <c r="G18" s="107">
        <v>1170131.263953492</v>
      </c>
      <c r="H18" s="107">
        <v>5122055.0398433954</v>
      </c>
      <c r="I18" s="107">
        <v>-2142012.5851243138</v>
      </c>
    </row>
    <row r="19" spans="2:9">
      <c r="B19" s="105">
        <v>11</v>
      </c>
      <c r="C19" s="107">
        <v>18564086.314775169</v>
      </c>
      <c r="D19" s="107">
        <v>19190521.794161975</v>
      </c>
      <c r="E19" s="107">
        <v>18899707.627853379</v>
      </c>
      <c r="F19" s="107">
        <v>17241202.242745012</v>
      </c>
      <c r="G19" s="107">
        <v>9931334.8395304829</v>
      </c>
      <c r="H19" s="107">
        <v>6018763.463685438</v>
      </c>
      <c r="I19" s="107">
        <v>11488840.587024152</v>
      </c>
    </row>
    <row r="20" spans="2:9">
      <c r="B20" s="105">
        <v>12</v>
      </c>
      <c r="C20" s="107">
        <v>17899221.167025924</v>
      </c>
      <c r="D20" s="107">
        <v>18197979.463017613</v>
      </c>
      <c r="E20" s="107">
        <v>13543735.460385278</v>
      </c>
      <c r="F20" s="107">
        <v>8478288.4948433936</v>
      </c>
      <c r="G20" s="107">
        <v>9068260.1103385389</v>
      </c>
      <c r="H20" s="107">
        <v>12307951.769181311</v>
      </c>
      <c r="I20" s="107">
        <v>6758263.7160251588</v>
      </c>
    </row>
    <row r="21" spans="2:9">
      <c r="B21" s="105">
        <v>13</v>
      </c>
      <c r="C21" s="107">
        <v>10997081.690376371</v>
      </c>
      <c r="D21" s="107">
        <v>6464809.219062984</v>
      </c>
      <c r="E21" s="107">
        <v>20692495.026003271</v>
      </c>
      <c r="F21" s="107">
        <v>10022638.890824944</v>
      </c>
      <c r="G21" s="107">
        <v>8416589.3123632073</v>
      </c>
      <c r="H21" s="107">
        <v>2873405.7261837274</v>
      </c>
      <c r="I21" s="107">
        <v>3137159.5535522103</v>
      </c>
    </row>
    <row r="22" spans="2:9">
      <c r="B22" s="105">
        <v>14</v>
      </c>
      <c r="C22" s="107">
        <v>18829326.177925661</v>
      </c>
      <c r="D22" s="107">
        <v>6590922.8478825986</v>
      </c>
      <c r="E22" s="107">
        <v>13885455.274869829</v>
      </c>
      <c r="F22" s="107">
        <v>16153015.145707339</v>
      </c>
      <c r="G22" s="107">
        <v>10040941.587365091</v>
      </c>
      <c r="H22" s="107">
        <v>17025042.922087848</v>
      </c>
      <c r="I22" s="107">
        <v>7850198.4049609005</v>
      </c>
    </row>
    <row r="23" spans="2:9">
      <c r="B23" s="105">
        <v>15</v>
      </c>
      <c r="C23" s="107">
        <v>19477962.699743286</v>
      </c>
      <c r="D23" s="107">
        <v>3330602.3648173213</v>
      </c>
      <c r="E23" s="107">
        <v>13577301.907245249</v>
      </c>
      <c r="F23" s="107">
        <v>331747.39659026265</v>
      </c>
      <c r="G23" s="107">
        <v>-2930102.8292206824</v>
      </c>
      <c r="H23" s="107">
        <v>1107160.5812112689</v>
      </c>
      <c r="I23" s="107">
        <v>-2546002.9591262043</v>
      </c>
    </row>
    <row r="24" spans="2:9">
      <c r="B24" s="105">
        <v>16</v>
      </c>
      <c r="C24" s="107">
        <v>13484723.477686673</v>
      </c>
      <c r="D24" s="107">
        <v>24452397.488955081</v>
      </c>
      <c r="E24" s="107">
        <v>21050471.443837047</v>
      </c>
      <c r="F24" s="107">
        <v>14499082.486435577</v>
      </c>
      <c r="G24" s="107">
        <v>19428694.195163235</v>
      </c>
      <c r="H24" s="107">
        <v>5228698.4089984596</v>
      </c>
      <c r="I24" s="107">
        <v>1392742.9018598795</v>
      </c>
    </row>
    <row r="25" spans="2:9">
      <c r="B25" s="105">
        <v>17</v>
      </c>
      <c r="C25" s="107">
        <v>13448967.77253297</v>
      </c>
      <c r="D25" s="107">
        <v>11321042.753368512</v>
      </c>
      <c r="E25" s="107">
        <v>8421865.9767518789</v>
      </c>
      <c r="F25" s="107">
        <v>20862604.8096423</v>
      </c>
      <c r="G25" s="107">
        <v>4011754.5848424286</v>
      </c>
      <c r="H25" s="107">
        <v>9262020.1404476464</v>
      </c>
      <c r="I25" s="107">
        <v>7454114.3154831082</v>
      </c>
    </row>
    <row r="26" spans="2:9">
      <c r="B26" s="105">
        <v>18</v>
      </c>
      <c r="C26" s="107">
        <v>21453591.673280776</v>
      </c>
      <c r="D26" s="107">
        <v>14966082.915913939</v>
      </c>
      <c r="E26" s="107">
        <v>19849974.110428393</v>
      </c>
      <c r="F26" s="107">
        <v>12355264.064082623</v>
      </c>
      <c r="G26" s="107">
        <v>8237611.4814342707</v>
      </c>
      <c r="H26" s="107">
        <v>-3574225.6863697767</v>
      </c>
      <c r="I26" s="107">
        <v>8163191.3268796206</v>
      </c>
    </row>
    <row r="27" spans="2:9">
      <c r="B27" s="105">
        <v>19</v>
      </c>
      <c r="C27" s="107">
        <v>12631009.647991985</v>
      </c>
      <c r="D27" s="107">
        <v>13106848.117654234</v>
      </c>
      <c r="E27" s="107">
        <v>6339631.045211032</v>
      </c>
      <c r="F27" s="107">
        <v>9602608.6220960915</v>
      </c>
      <c r="G27" s="107">
        <v>12402362.674239337</v>
      </c>
      <c r="H27" s="107">
        <v>1134872.6514038891</v>
      </c>
      <c r="I27" s="107">
        <v>10646421.071041137</v>
      </c>
    </row>
    <row r="28" spans="2:9">
      <c r="B28" s="105">
        <v>20</v>
      </c>
      <c r="C28" s="107">
        <v>31335316.880239859</v>
      </c>
      <c r="D28" s="107">
        <v>21366769.732550323</v>
      </c>
      <c r="E28" s="107">
        <v>11619192.631119892</v>
      </c>
      <c r="F28" s="107">
        <v>6814271.6122098565</v>
      </c>
      <c r="G28" s="107">
        <v>2884470.0884046406</v>
      </c>
      <c r="H28" s="107">
        <v>6417302.7865272313</v>
      </c>
      <c r="I28" s="107">
        <v>12848966.447418749</v>
      </c>
    </row>
    <row r="29" spans="2:9">
      <c r="B29" s="105">
        <v>21</v>
      </c>
      <c r="C29" s="107">
        <v>15192938.916861311</v>
      </c>
      <c r="D29" s="107">
        <v>7061151.5495240837</v>
      </c>
      <c r="E29" s="107">
        <v>26061455.856094599</v>
      </c>
      <c r="F29" s="107">
        <v>13997819.896939337</v>
      </c>
      <c r="G29" s="107">
        <v>11205154.385221198</v>
      </c>
      <c r="H29" s="107">
        <v>2257322.37375772</v>
      </c>
      <c r="I29" s="107">
        <v>5572280.5636486113</v>
      </c>
    </row>
    <row r="30" spans="2:9">
      <c r="B30" s="105">
        <v>22</v>
      </c>
      <c r="C30" s="107">
        <v>12406857.666539177</v>
      </c>
      <c r="D30" s="107">
        <v>18754058.425982103</v>
      </c>
      <c r="E30" s="107">
        <v>17457077.05000791</v>
      </c>
      <c r="F30" s="107">
        <v>5841388.8525439054</v>
      </c>
      <c r="G30" s="107">
        <v>13198347.422059461</v>
      </c>
      <c r="H30" s="107">
        <v>15122108.052025571</v>
      </c>
      <c r="I30" s="107">
        <v>-1190423.7695541978</v>
      </c>
    </row>
    <row r="31" spans="2:9">
      <c r="B31" s="105">
        <v>23</v>
      </c>
      <c r="C31" s="107">
        <v>2993738.4086716324</v>
      </c>
      <c r="D31" s="107">
        <v>14510402.446103841</v>
      </c>
      <c r="E31" s="107">
        <v>7122786.8346341997</v>
      </c>
      <c r="F31" s="107">
        <v>15244446.9953565</v>
      </c>
      <c r="G31" s="107">
        <v>-1875822.5187873244</v>
      </c>
      <c r="H31" s="107">
        <v>-4023027.9658783674</v>
      </c>
      <c r="I31" s="107">
        <v>3233869.0820423067</v>
      </c>
    </row>
    <row r="32" spans="2:9">
      <c r="B32" s="105">
        <v>24</v>
      </c>
      <c r="C32" s="107">
        <v>16145697.111620069</v>
      </c>
      <c r="D32" s="107">
        <v>1518350.46017766</v>
      </c>
      <c r="E32" s="107">
        <v>14718058.529023066</v>
      </c>
      <c r="F32" s="107">
        <v>11050431.292776495</v>
      </c>
      <c r="G32" s="107">
        <v>4550584.1719311476</v>
      </c>
      <c r="H32" s="107">
        <v>-2308553.7049853504</v>
      </c>
      <c r="I32" s="107">
        <v>3320651.1840675473</v>
      </c>
    </row>
    <row r="33" spans="2:9">
      <c r="B33" s="105">
        <v>25</v>
      </c>
      <c r="C33" s="107">
        <v>31200528.966976479</v>
      </c>
      <c r="D33" s="107">
        <v>24250574.789759234</v>
      </c>
      <c r="E33" s="107">
        <v>6229558.4466089308</v>
      </c>
      <c r="F33" s="107">
        <v>7966947.7827685177</v>
      </c>
      <c r="G33" s="107">
        <v>9245205.0727942288</v>
      </c>
      <c r="H33" s="107">
        <v>22198705.626362234</v>
      </c>
      <c r="I33" s="107">
        <v>-320599.21315737069</v>
      </c>
    </row>
    <row r="34" spans="2:9">
      <c r="B34" s="105">
        <v>26</v>
      </c>
      <c r="C34" s="107">
        <v>26877997.570975363</v>
      </c>
      <c r="D34" s="107">
        <v>4520038.5712084025</v>
      </c>
      <c r="E34" s="107">
        <v>13775632.846732929</v>
      </c>
      <c r="F34" s="107">
        <v>1732021.6101455092</v>
      </c>
      <c r="G34" s="107">
        <v>6303395.1694622338</v>
      </c>
      <c r="H34" s="107">
        <v>14042260.102314353</v>
      </c>
      <c r="I34" s="107">
        <v>12754762.424459532</v>
      </c>
    </row>
    <row r="35" spans="2:9">
      <c r="B35" s="105">
        <v>27</v>
      </c>
      <c r="C35" s="107">
        <v>23398197.340782344</v>
      </c>
      <c r="D35" s="107">
        <v>22291448.160609111</v>
      </c>
      <c r="E35" s="107">
        <v>15489032.970855832</v>
      </c>
      <c r="F35" s="107">
        <v>23981230.393446147</v>
      </c>
      <c r="G35" s="107">
        <v>5530540.33729285</v>
      </c>
      <c r="H35" s="107">
        <v>7842851.0541109145</v>
      </c>
      <c r="I35" s="107">
        <v>2575629.5021888316</v>
      </c>
    </row>
    <row r="36" spans="2:9">
      <c r="B36" s="105">
        <v>28</v>
      </c>
      <c r="C36" s="107">
        <v>18267942.362929612</v>
      </c>
      <c r="D36" s="107">
        <v>6139621.0572781712</v>
      </c>
      <c r="E36" s="107">
        <v>13309172.582634211</v>
      </c>
      <c r="F36" s="107">
        <v>7601255.9613867849</v>
      </c>
      <c r="G36" s="107">
        <v>13316322.570259333</v>
      </c>
      <c r="H36" s="107">
        <v>7789713.069277361</v>
      </c>
      <c r="I36" s="107">
        <v>3057545.8926967084</v>
      </c>
    </row>
    <row r="37" spans="2:9">
      <c r="B37" s="105">
        <v>29</v>
      </c>
      <c r="C37" s="107">
        <v>26061096.178973794</v>
      </c>
      <c r="D37" s="107">
        <v>12437728.584040835</v>
      </c>
      <c r="E37" s="107">
        <v>16378498.397294879</v>
      </c>
      <c r="F37" s="107">
        <v>10872910.070606619</v>
      </c>
      <c r="G37" s="107">
        <v>7294756.0260579139</v>
      </c>
      <c r="H37" s="107">
        <v>5827772.1722992659</v>
      </c>
      <c r="I37" s="107">
        <v>-3686407.5192941129</v>
      </c>
    </row>
    <row r="38" spans="2:9">
      <c r="B38" s="105">
        <v>30</v>
      </c>
      <c r="C38" s="107">
        <v>19573090.137752086</v>
      </c>
      <c r="D38" s="107">
        <v>6472202.6987015009</v>
      </c>
      <c r="E38" s="107">
        <v>23039461.279959232</v>
      </c>
      <c r="F38" s="107">
        <v>9057185.5885041952</v>
      </c>
      <c r="G38" s="107">
        <v>9526951.1587642282</v>
      </c>
      <c r="H38" s="107">
        <v>1637539.7786476761</v>
      </c>
      <c r="I38" s="107">
        <v>11646495.907065094</v>
      </c>
    </row>
    <row r="39" spans="2:9">
      <c r="B39" s="105">
        <v>31</v>
      </c>
      <c r="C39" s="107">
        <v>23129920.033501789</v>
      </c>
      <c r="D39" s="107">
        <v>3347970.0039706528</v>
      </c>
      <c r="E39" s="107">
        <v>1744353.414219752</v>
      </c>
      <c r="F39" s="107">
        <v>10987072.119592309</v>
      </c>
      <c r="G39" s="107">
        <v>11144998.77365458</v>
      </c>
      <c r="H39" s="107">
        <v>-1455974.8572215438</v>
      </c>
      <c r="I39" s="107">
        <v>6171589.0470619351</v>
      </c>
    </row>
    <row r="40" spans="2:9">
      <c r="B40" s="105">
        <v>32</v>
      </c>
      <c r="C40" s="107">
        <v>21262726.59440586</v>
      </c>
      <c r="D40" s="107">
        <v>17512094.220691025</v>
      </c>
      <c r="E40" s="107">
        <v>6443823.3873889744</v>
      </c>
      <c r="F40" s="107">
        <v>6771109.1623720974</v>
      </c>
      <c r="G40" s="107">
        <v>8887232.3630903959</v>
      </c>
      <c r="H40" s="107">
        <v>12255335.69019559</v>
      </c>
      <c r="I40" s="107">
        <v>-8495050.8120634258</v>
      </c>
    </row>
    <row r="41" spans="2:9">
      <c r="B41" s="105">
        <v>33</v>
      </c>
      <c r="C41" s="107">
        <v>22289468.194570929</v>
      </c>
      <c r="D41" s="107">
        <v>9805099.728113994</v>
      </c>
      <c r="E41" s="107">
        <v>21207017.498479247</v>
      </c>
      <c r="F41" s="107">
        <v>15401879.571580157</v>
      </c>
      <c r="G41" s="107">
        <v>12350162.616674885</v>
      </c>
      <c r="H41" s="107">
        <v>1843972.7190037072</v>
      </c>
      <c r="I41" s="107">
        <v>2287615.8264162838</v>
      </c>
    </row>
    <row r="42" spans="2:9">
      <c r="B42" s="105">
        <v>34</v>
      </c>
      <c r="C42" s="107">
        <v>32417255.072894931</v>
      </c>
      <c r="D42" s="107">
        <v>20135354.530283153</v>
      </c>
      <c r="E42" s="107">
        <v>14966059.817072272</v>
      </c>
      <c r="F42" s="107">
        <v>8739269.0674127042</v>
      </c>
      <c r="G42" s="107">
        <v>10397476.475060806</v>
      </c>
      <c r="H42" s="107">
        <v>11075737.507436022</v>
      </c>
      <c r="I42" s="107">
        <v>7788003.4726013839</v>
      </c>
    </row>
    <row r="43" spans="2:9">
      <c r="B43" s="105">
        <v>35</v>
      </c>
      <c r="C43" s="107">
        <v>22344490.324390024</v>
      </c>
      <c r="D43" s="107">
        <v>13340253.630155161</v>
      </c>
      <c r="E43" s="107">
        <v>13840770.030014217</v>
      </c>
      <c r="F43" s="107">
        <v>5663956.6916849017</v>
      </c>
      <c r="G43" s="107">
        <v>4269571.8964390755</v>
      </c>
      <c r="H43" s="107">
        <v>10442510.326743558</v>
      </c>
      <c r="I43" s="107">
        <v>8903890.5545569658</v>
      </c>
    </row>
    <row r="44" spans="2:9">
      <c r="B44" s="105">
        <v>36</v>
      </c>
      <c r="C44" s="107">
        <v>14811737.130763188</v>
      </c>
      <c r="D44" s="107">
        <v>5349047.0761763453</v>
      </c>
      <c r="E44" s="107">
        <v>5570953.9066127092</v>
      </c>
      <c r="F44" s="107">
        <v>5984488.0138902664</v>
      </c>
      <c r="G44" s="107">
        <v>9994520.5976161063</v>
      </c>
      <c r="H44" s="107">
        <v>-2716378.8678321838</v>
      </c>
      <c r="I44" s="107">
        <v>728006.08151808381</v>
      </c>
    </row>
    <row r="45" spans="2:9">
      <c r="B45" s="105">
        <v>37</v>
      </c>
      <c r="C45" s="107">
        <v>18316401.739969224</v>
      </c>
      <c r="D45" s="107">
        <v>12247178.912602231</v>
      </c>
      <c r="E45" s="107">
        <v>7090171.8353463262</v>
      </c>
      <c r="F45" s="107">
        <v>13055555.266447723</v>
      </c>
      <c r="G45" s="107">
        <v>7425153.7864913642</v>
      </c>
      <c r="H45" s="107">
        <v>9647018.3707879186</v>
      </c>
      <c r="I45" s="107">
        <v>-2493947.8960000277</v>
      </c>
    </row>
    <row r="46" spans="2:9">
      <c r="B46" s="105">
        <v>38</v>
      </c>
      <c r="C46" s="107">
        <v>30191596.290355816</v>
      </c>
      <c r="D46" s="107">
        <v>22454044.539337978</v>
      </c>
      <c r="E46" s="107">
        <v>9578311.5665764064</v>
      </c>
      <c r="F46" s="107">
        <v>2108228.1443062574</v>
      </c>
      <c r="G46" s="107">
        <v>-2055616.5553348064</v>
      </c>
      <c r="H46" s="107">
        <v>-4610007.0239434242</v>
      </c>
      <c r="I46" s="107">
        <v>5163796.4606415629</v>
      </c>
    </row>
    <row r="47" spans="2:9">
      <c r="B47" s="105">
        <v>39</v>
      </c>
      <c r="C47" s="107">
        <v>18233818.639081165</v>
      </c>
      <c r="D47" s="107">
        <v>14444582.135631859</v>
      </c>
      <c r="E47" s="107">
        <v>11600500.283466846</v>
      </c>
      <c r="F47" s="107">
        <v>14655712.877656251</v>
      </c>
      <c r="G47" s="107">
        <v>1999177.8005159646</v>
      </c>
      <c r="H47" s="107">
        <v>16178497.336089537</v>
      </c>
      <c r="I47" s="107">
        <v>-141818.27117574215</v>
      </c>
    </row>
    <row r="48" spans="2:9">
      <c r="B48" s="105">
        <v>40</v>
      </c>
      <c r="C48" s="107">
        <v>24389423.572139114</v>
      </c>
      <c r="D48" s="107">
        <v>11763984.003771231</v>
      </c>
      <c r="E48" s="107">
        <v>8062178.5860767066</v>
      </c>
      <c r="F48" s="107">
        <v>7523864.3801608086</v>
      </c>
      <c r="G48" s="107">
        <v>7575529.340890944</v>
      </c>
      <c r="H48" s="107">
        <v>5069026.4310510457</v>
      </c>
      <c r="I48" s="107">
        <v>1979816.7083137929</v>
      </c>
    </row>
    <row r="49" spans="2:9">
      <c r="B49" s="105">
        <v>41</v>
      </c>
      <c r="C49" s="107">
        <v>14796232.155417547</v>
      </c>
      <c r="D49" s="107">
        <v>23664482.630581796</v>
      </c>
      <c r="E49" s="107">
        <v>-691560.44357419014</v>
      </c>
      <c r="F49" s="107">
        <v>10198283.506725505</v>
      </c>
      <c r="G49" s="107">
        <v>1929308.384677574</v>
      </c>
      <c r="H49" s="107">
        <v>6363579.1195361912</v>
      </c>
      <c r="I49" s="107">
        <v>442783.50718764961</v>
      </c>
    </row>
    <row r="50" spans="2:9">
      <c r="B50" s="105">
        <v>42</v>
      </c>
      <c r="C50" s="107">
        <v>9868019.3688786179</v>
      </c>
      <c r="D50" s="107">
        <v>14797415.944433689</v>
      </c>
      <c r="E50" s="107">
        <v>13575766.941335499</v>
      </c>
      <c r="F50" s="107">
        <v>22436397.22339277</v>
      </c>
      <c r="G50" s="107">
        <v>7836512.3121216595</v>
      </c>
      <c r="H50" s="107">
        <v>4031707.278234303</v>
      </c>
      <c r="I50" s="107">
        <v>-3342712.197411567</v>
      </c>
    </row>
    <row r="51" spans="2:9">
      <c r="B51" s="105">
        <v>43</v>
      </c>
      <c r="C51" s="107">
        <v>8280852.3314702809</v>
      </c>
      <c r="D51" s="107">
        <v>9583773.004560709</v>
      </c>
      <c r="E51" s="107">
        <v>10102882.798605606</v>
      </c>
      <c r="F51" s="107">
        <v>13787354.427902088</v>
      </c>
      <c r="G51" s="107">
        <v>-3642409.3956790566</v>
      </c>
      <c r="H51" s="107">
        <v>6944638.4254516214</v>
      </c>
      <c r="I51" s="107">
        <v>-2992453.1723135412</v>
      </c>
    </row>
    <row r="52" spans="2:9">
      <c r="B52" s="105">
        <v>44</v>
      </c>
      <c r="C52" s="107">
        <v>21551042.993293479</v>
      </c>
      <c r="D52" s="107">
        <v>16244834.632781386</v>
      </c>
      <c r="E52" s="107">
        <v>14686873.514396057</v>
      </c>
      <c r="F52" s="107">
        <v>14164736.629542649</v>
      </c>
      <c r="G52" s="107">
        <v>13793534.464525819</v>
      </c>
      <c r="H52" s="107">
        <v>2446798.4730831683</v>
      </c>
      <c r="I52" s="107">
        <v>246379.54719185829</v>
      </c>
    </row>
    <row r="53" spans="2:9">
      <c r="B53" s="105">
        <v>45</v>
      </c>
      <c r="C53" s="107">
        <v>22858729.364096731</v>
      </c>
      <c r="D53" s="107">
        <v>18326054.686785311</v>
      </c>
      <c r="E53" s="107">
        <v>14082465.535295203</v>
      </c>
      <c r="F53" s="107">
        <v>17567965.353938788</v>
      </c>
      <c r="G53" s="107">
        <v>9146913.00095433</v>
      </c>
      <c r="H53" s="107">
        <v>5148667.2627307773</v>
      </c>
      <c r="I53" s="107">
        <v>-18678357.441321224</v>
      </c>
    </row>
    <row r="54" spans="2:9">
      <c r="B54" s="105">
        <v>46</v>
      </c>
      <c r="C54" s="107">
        <v>26082433.346062094</v>
      </c>
      <c r="D54" s="107">
        <v>21703242.6609862</v>
      </c>
      <c r="E54" s="107">
        <v>4538419.5275335163</v>
      </c>
      <c r="F54" s="107">
        <v>15534837.546903595</v>
      </c>
      <c r="G54" s="107">
        <v>8800908.46652475</v>
      </c>
      <c r="H54" s="107">
        <v>14137739.243731424</v>
      </c>
      <c r="I54" s="107">
        <v>4934244.7189563662</v>
      </c>
    </row>
    <row r="55" spans="2:9">
      <c r="B55" s="105">
        <v>47</v>
      </c>
      <c r="C55" s="107">
        <v>10404146.837100625</v>
      </c>
      <c r="D55" s="107">
        <v>28289288.047608674</v>
      </c>
      <c r="E55" s="107">
        <v>20366055.82333374</v>
      </c>
      <c r="F55" s="107">
        <v>-1421348.9310197085</v>
      </c>
      <c r="G55" s="107">
        <v>12328866.51153639</v>
      </c>
      <c r="H55" s="107">
        <v>14982168.550144345</v>
      </c>
      <c r="I55" s="107">
        <v>9262188.0452369004</v>
      </c>
    </row>
    <row r="56" spans="2:9">
      <c r="B56" s="105">
        <v>48</v>
      </c>
      <c r="C56" s="107">
        <v>9122154.5465392917</v>
      </c>
      <c r="D56" s="107">
        <v>12324384.707900703</v>
      </c>
      <c r="E56" s="107">
        <v>14470174.058502421</v>
      </c>
      <c r="F56" s="107">
        <v>8437411.7365759611</v>
      </c>
      <c r="G56" s="107">
        <v>7147433.8967253566</v>
      </c>
      <c r="H56" s="107">
        <v>5044917.3651334792</v>
      </c>
      <c r="I56" s="107">
        <v>7307675.998693645</v>
      </c>
    </row>
    <row r="57" spans="2:9">
      <c r="B57" s="105">
        <v>49</v>
      </c>
      <c r="C57" s="107">
        <v>12783439.52072306</v>
      </c>
      <c r="D57" s="107">
        <v>3121714.2263679057</v>
      </c>
      <c r="E57" s="107">
        <v>14043078.498370066</v>
      </c>
      <c r="F57" s="107">
        <v>4733000.9974841774</v>
      </c>
      <c r="G57" s="107">
        <v>5984820.1941473186</v>
      </c>
      <c r="H57" s="107">
        <v>-12098870.055112332</v>
      </c>
      <c r="I57" s="107">
        <v>185987.91209468246</v>
      </c>
    </row>
    <row r="58" spans="2:9">
      <c r="B58" s="105">
        <v>50</v>
      </c>
      <c r="C58" s="107">
        <v>19377576.674159065</v>
      </c>
      <c r="D58" s="107">
        <v>20315800.547400698</v>
      </c>
      <c r="E58" s="107">
        <v>25983015.789797038</v>
      </c>
      <c r="F58" s="107">
        <v>12171595.157360092</v>
      </c>
      <c r="G58" s="107">
        <v>2501999.8790064454</v>
      </c>
      <c r="H58" s="107">
        <v>6982971.0043870211</v>
      </c>
      <c r="I58" s="107">
        <v>3284254.935512498</v>
      </c>
    </row>
    <row r="59" spans="2:9">
      <c r="B59" s="105">
        <v>51</v>
      </c>
      <c r="C59" s="107">
        <v>9634842.2663532197</v>
      </c>
      <c r="D59" s="107">
        <v>11334163.904462546</v>
      </c>
      <c r="E59" s="107">
        <v>12217701.334026262</v>
      </c>
      <c r="F59" s="107">
        <v>-1641586.1625235975</v>
      </c>
      <c r="G59" s="107">
        <v>5133103.5664516836</v>
      </c>
      <c r="H59" s="107">
        <v>9070500.950864464</v>
      </c>
      <c r="I59" s="107">
        <v>7551767.1609888822</v>
      </c>
    </row>
    <row r="60" spans="2:9">
      <c r="B60" s="105">
        <v>52</v>
      </c>
      <c r="C60" s="107">
        <v>20878877.548794836</v>
      </c>
      <c r="D60" s="107">
        <v>17206646.88515389</v>
      </c>
      <c r="E60" s="107">
        <v>14617711.476200297</v>
      </c>
      <c r="F60" s="107">
        <v>12466540.866614938</v>
      </c>
      <c r="G60" s="107">
        <v>7324943.0964703411</v>
      </c>
      <c r="H60" s="107">
        <v>9750005.688619718</v>
      </c>
      <c r="I60" s="107">
        <v>784405.72352918983</v>
      </c>
    </row>
    <row r="61" spans="2:9">
      <c r="B61" s="105">
        <v>53</v>
      </c>
      <c r="C61" s="107">
        <v>17619578.313256472</v>
      </c>
      <c r="D61" s="107">
        <v>21430232.132630631</v>
      </c>
      <c r="E61" s="107">
        <v>18489375.192484736</v>
      </c>
      <c r="F61" s="107">
        <v>10972865.333058745</v>
      </c>
      <c r="G61" s="107">
        <v>3967463.557594344</v>
      </c>
      <c r="H61" s="107">
        <v>21450308.509713516</v>
      </c>
      <c r="I61" s="107">
        <v>2915769.7004238665</v>
      </c>
    </row>
    <row r="62" spans="2:9">
      <c r="B62" s="105">
        <v>54</v>
      </c>
      <c r="C62" s="107">
        <v>22011080.106093824</v>
      </c>
      <c r="D62" s="107">
        <v>21247870.594747007</v>
      </c>
      <c r="E62" s="107">
        <v>15493453.237393379</v>
      </c>
      <c r="F62" s="107">
        <v>20401366.535667896</v>
      </c>
      <c r="G62" s="107">
        <v>14482526.937742263</v>
      </c>
      <c r="H62" s="107">
        <v>4500788.7188680172</v>
      </c>
      <c r="I62" s="107">
        <v>3793405.7585904598</v>
      </c>
    </row>
    <row r="63" spans="2:9">
      <c r="B63" s="105">
        <v>55</v>
      </c>
      <c r="C63" s="107">
        <v>15851202.850922137</v>
      </c>
      <c r="D63" s="107">
        <v>16546797.958669707</v>
      </c>
      <c r="E63" s="107">
        <v>6473758.3712348491</v>
      </c>
      <c r="F63" s="107">
        <v>15613468.761825949</v>
      </c>
      <c r="G63" s="107">
        <v>9656733.4344696105</v>
      </c>
      <c r="H63" s="107">
        <v>3123436.0632671416</v>
      </c>
      <c r="I63" s="107">
        <v>5275167.8943185657</v>
      </c>
    </row>
    <row r="64" spans="2:9">
      <c r="B64" s="105">
        <v>56</v>
      </c>
      <c r="C64" s="107">
        <v>16433538.881801754</v>
      </c>
      <c r="D64" s="107">
        <v>2814385.0615867078</v>
      </c>
      <c r="E64" s="107">
        <v>13313563.276105195</v>
      </c>
      <c r="F64" s="107">
        <v>4964708.5422724038</v>
      </c>
      <c r="G64" s="107">
        <v>5362422.4105359316</v>
      </c>
      <c r="H64" s="107">
        <v>4478742.7155902982</v>
      </c>
      <c r="I64" s="107">
        <v>4473620.8972055763</v>
      </c>
    </row>
    <row r="65" spans="2:9">
      <c r="B65" s="105">
        <v>57</v>
      </c>
      <c r="C65" s="107">
        <v>15003981.682351485</v>
      </c>
      <c r="D65" s="107">
        <v>11655312.134692192</v>
      </c>
      <c r="E65" s="107">
        <v>5964801.1099270284</v>
      </c>
      <c r="F65" s="107">
        <v>8130024.3784945309</v>
      </c>
      <c r="G65" s="107">
        <v>8184535.3997502476</v>
      </c>
      <c r="H65" s="107">
        <v>6570837.2572426945</v>
      </c>
      <c r="I65" s="107">
        <v>5711622.8962000459</v>
      </c>
    </row>
    <row r="66" spans="2:9">
      <c r="B66" s="105">
        <v>58</v>
      </c>
      <c r="C66" s="107">
        <v>8750240.53652291</v>
      </c>
      <c r="D66" s="107">
        <v>6826476.946986258</v>
      </c>
      <c r="E66" s="107">
        <v>12053814.900215477</v>
      </c>
      <c r="F66" s="107">
        <v>5978990.0162032396</v>
      </c>
      <c r="G66" s="107">
        <v>1502558.0894978046</v>
      </c>
      <c r="H66" s="107">
        <v>5338988.8962541521</v>
      </c>
      <c r="I66" s="107">
        <v>9020047.79733558</v>
      </c>
    </row>
    <row r="67" spans="2:9">
      <c r="B67" s="105">
        <v>59</v>
      </c>
      <c r="C67" s="107">
        <v>12671764.908426508</v>
      </c>
      <c r="D67" s="107">
        <v>13598494.701803163</v>
      </c>
      <c r="E67" s="107">
        <v>8358453.9601551145</v>
      </c>
      <c r="F67" s="107">
        <v>14995065.696752295</v>
      </c>
      <c r="G67" s="107">
        <v>3899565.5055597723</v>
      </c>
      <c r="H67" s="107">
        <v>-1357790.878363952</v>
      </c>
      <c r="I67" s="107">
        <v>2204620.2399505675</v>
      </c>
    </row>
    <row r="68" spans="2:9">
      <c r="B68" s="105">
        <v>60</v>
      </c>
      <c r="C68" s="107">
        <v>24484628.950887591</v>
      </c>
      <c r="D68" s="107">
        <v>6344878.3712140024</v>
      </c>
      <c r="E68" s="107">
        <v>21956377.710114032</v>
      </c>
      <c r="F68" s="107">
        <v>8393224.2657596171</v>
      </c>
      <c r="G68" s="107">
        <v>10183205.589506537</v>
      </c>
      <c r="H68" s="107">
        <v>2530804.0401752293</v>
      </c>
      <c r="I68" s="107">
        <v>6198555.5732572824</v>
      </c>
    </row>
    <row r="69" spans="2:9">
      <c r="B69" s="105">
        <v>61</v>
      </c>
      <c r="C69" s="107">
        <v>12812756.470286414</v>
      </c>
      <c r="D69" s="107">
        <v>24019196.778600544</v>
      </c>
      <c r="E69" s="107">
        <v>677876.61711417139</v>
      </c>
      <c r="F69" s="107">
        <v>7656516.1861217916</v>
      </c>
      <c r="G69" s="107">
        <v>10430068.279203013</v>
      </c>
      <c r="H69" s="107">
        <v>22037268.977653667</v>
      </c>
      <c r="I69" s="107">
        <v>2792469.3854559958</v>
      </c>
    </row>
    <row r="70" spans="2:9">
      <c r="B70" s="105">
        <v>62</v>
      </c>
      <c r="C70" s="107">
        <v>21788109.204224989</v>
      </c>
      <c r="D70" s="107">
        <v>14475240.468581215</v>
      </c>
      <c r="E70" s="107">
        <v>7760798.963625297</v>
      </c>
      <c r="F70" s="107">
        <v>-833196.74556040764</v>
      </c>
      <c r="G70" s="107">
        <v>16949808.082480729</v>
      </c>
      <c r="H70" s="107">
        <v>16384695.534864709</v>
      </c>
      <c r="I70" s="107">
        <v>3135730.7979909927</v>
      </c>
    </row>
    <row r="71" spans="2:9">
      <c r="B71" s="105">
        <v>63</v>
      </c>
      <c r="C71" s="107">
        <v>23392660.913615122</v>
      </c>
      <c r="D71" s="107">
        <v>19670996.981443882</v>
      </c>
      <c r="E71" s="107">
        <v>27836978.819789648</v>
      </c>
      <c r="F71" s="107">
        <v>6437709.4597636461</v>
      </c>
      <c r="G71" s="107">
        <v>12205224.667557105</v>
      </c>
      <c r="H71" s="107">
        <v>-6963000.9048357904</v>
      </c>
      <c r="I71" s="107">
        <v>6948696.0977673978</v>
      </c>
    </row>
    <row r="72" spans="2:9">
      <c r="B72" s="105">
        <v>64</v>
      </c>
      <c r="C72" s="107">
        <v>9177087.6730355918</v>
      </c>
      <c r="D72" s="107">
        <v>11043476.611835644</v>
      </c>
      <c r="E72" s="107">
        <v>17951686.769385234</v>
      </c>
      <c r="F72" s="107">
        <v>8776233.1449172199</v>
      </c>
      <c r="G72" s="107">
        <v>2013890.2531121373</v>
      </c>
      <c r="H72" s="107">
        <v>3711686.2421129793</v>
      </c>
      <c r="I72" s="107">
        <v>2666892.1207649708</v>
      </c>
    </row>
    <row r="73" spans="2:9">
      <c r="B73" s="105">
        <v>65</v>
      </c>
      <c r="C73" s="107">
        <v>25221448.673804611</v>
      </c>
      <c r="D73" s="107">
        <v>19062545.487318873</v>
      </c>
      <c r="E73" s="107">
        <v>1402357.6326163113</v>
      </c>
      <c r="F73" s="107">
        <v>10066874.652724117</v>
      </c>
      <c r="G73" s="107">
        <v>14003203.2219311</v>
      </c>
      <c r="H73" s="107">
        <v>17377440.025303364</v>
      </c>
      <c r="I73" s="107">
        <v>4437394.56267865</v>
      </c>
    </row>
    <row r="74" spans="2:9">
      <c r="B74" s="105">
        <v>66</v>
      </c>
      <c r="C74" s="107">
        <v>15491931.440087438</v>
      </c>
      <c r="D74" s="107">
        <v>16040580.804413378</v>
      </c>
      <c r="E74" s="107">
        <v>20300255.609664917</v>
      </c>
      <c r="F74" s="107">
        <v>4307914.9253751487</v>
      </c>
      <c r="G74" s="107">
        <v>8235099.2563795</v>
      </c>
      <c r="H74" s="107">
        <v>6052378.3899364024</v>
      </c>
      <c r="I74" s="107">
        <v>9853901.1265047491</v>
      </c>
    </row>
    <row r="75" spans="2:9">
      <c r="B75" s="105">
        <v>67</v>
      </c>
      <c r="C75" s="107">
        <v>6305719.1364026517</v>
      </c>
      <c r="D75" s="107">
        <v>18387708.042479426</v>
      </c>
      <c r="E75" s="107">
        <v>7254504.9342008829</v>
      </c>
      <c r="F75" s="107">
        <v>13947338.444170475</v>
      </c>
      <c r="G75" s="107">
        <v>12507900.328320682</v>
      </c>
      <c r="H75" s="107">
        <v>-8236443.1352359056</v>
      </c>
      <c r="I75" s="107">
        <v>-4343682.2675080299</v>
      </c>
    </row>
    <row r="76" spans="2:9">
      <c r="B76" s="105">
        <v>68</v>
      </c>
      <c r="C76" s="107">
        <v>8301121.4920011014</v>
      </c>
      <c r="D76" s="107">
        <v>18625210.52560468</v>
      </c>
      <c r="E76" s="107">
        <v>18012309.680020243</v>
      </c>
      <c r="F76" s="107">
        <v>13994348.497261345</v>
      </c>
      <c r="G76" s="107">
        <v>17159526.229481697</v>
      </c>
      <c r="H76" s="107">
        <v>3877678.5110257268</v>
      </c>
      <c r="I76" s="107">
        <v>10639839.104507461</v>
      </c>
    </row>
    <row r="77" spans="2:9">
      <c r="B77" s="105">
        <v>69</v>
      </c>
      <c r="C77" s="107">
        <v>23260789.940141305</v>
      </c>
      <c r="D77" s="107">
        <v>21981067.103987008</v>
      </c>
      <c r="E77" s="107">
        <v>18721069.200404316</v>
      </c>
      <c r="F77" s="107">
        <v>20716162.72605148</v>
      </c>
      <c r="G77" s="107">
        <v>4523541.4367659986</v>
      </c>
      <c r="H77" s="107">
        <v>6812747.6117652804</v>
      </c>
      <c r="I77" s="107">
        <v>9843258.4811004102</v>
      </c>
    </row>
    <row r="78" spans="2:9">
      <c r="B78" s="105">
        <v>70</v>
      </c>
      <c r="C78" s="107">
        <v>6862838.6619773209</v>
      </c>
      <c r="D78" s="107">
        <v>7098222.5093057454</v>
      </c>
      <c r="E78" s="107">
        <v>7398424.2176173031</v>
      </c>
      <c r="F78" s="107">
        <v>1013498.3321271092</v>
      </c>
      <c r="G78" s="107">
        <v>9635274.7141122967</v>
      </c>
      <c r="H78" s="107">
        <v>9763717.4925242662</v>
      </c>
      <c r="I78" s="107">
        <v>12104299.031919241</v>
      </c>
    </row>
    <row r="79" spans="2:9">
      <c r="B79" s="105">
        <v>71</v>
      </c>
      <c r="C79" s="107">
        <v>8505156.4376631081</v>
      </c>
      <c r="D79" s="107">
        <v>14998419.181465</v>
      </c>
      <c r="E79" s="107">
        <v>10466148.579856485</v>
      </c>
      <c r="F79" s="107">
        <v>10894707.872100681</v>
      </c>
      <c r="G79" s="107">
        <v>5812328.6163573265</v>
      </c>
      <c r="H79" s="107">
        <v>3168726.0465564877</v>
      </c>
      <c r="I79" s="107">
        <v>-807213.44826498628</v>
      </c>
    </row>
    <row r="80" spans="2:9">
      <c r="B80" s="105">
        <v>72</v>
      </c>
      <c r="C80" s="107">
        <v>13368099.212424323</v>
      </c>
      <c r="D80" s="107">
        <v>17909820.46516718</v>
      </c>
      <c r="E80" s="107">
        <v>8793173.9830461591</v>
      </c>
      <c r="F80" s="107">
        <v>4298284.6914218664</v>
      </c>
      <c r="G80" s="107">
        <v>11175029.853892073</v>
      </c>
      <c r="H80" s="107">
        <v>1333098.8731403649</v>
      </c>
      <c r="I80" s="107">
        <v>-3089480.2075191438</v>
      </c>
    </row>
    <row r="81" spans="2:9">
      <c r="B81" s="105">
        <v>73</v>
      </c>
      <c r="C81" s="107">
        <v>9339965.1432548761</v>
      </c>
      <c r="D81" s="107">
        <v>9090566.1072616726</v>
      </c>
      <c r="E81" s="107">
        <v>112521.27338279784</v>
      </c>
      <c r="F81" s="107">
        <v>6142220.9006675482</v>
      </c>
      <c r="G81" s="107">
        <v>18112504.495488957</v>
      </c>
      <c r="H81" s="107">
        <v>-312246.31827625632</v>
      </c>
      <c r="I81" s="107">
        <v>-8236278.3179388642</v>
      </c>
    </row>
    <row r="82" spans="2:9">
      <c r="B82" s="105">
        <v>74</v>
      </c>
      <c r="C82" s="107">
        <v>18438689.500674516</v>
      </c>
      <c r="D82" s="107">
        <v>11529314.075289428</v>
      </c>
      <c r="E82" s="107">
        <v>8670869.6602927744</v>
      </c>
      <c r="F82" s="107">
        <v>25306006.035150722</v>
      </c>
      <c r="G82" s="107">
        <v>4724807.4510284662</v>
      </c>
      <c r="H82" s="107">
        <v>1820437.6166953444</v>
      </c>
      <c r="I82" s="107">
        <v>5708065.4209066629</v>
      </c>
    </row>
    <row r="83" spans="2:9">
      <c r="B83" s="105">
        <v>75</v>
      </c>
      <c r="C83" s="107">
        <v>2464096.1808817238</v>
      </c>
      <c r="D83" s="107">
        <v>18831536.685005322</v>
      </c>
      <c r="E83" s="107">
        <v>21035158.143947244</v>
      </c>
      <c r="F83" s="107">
        <v>8257483.5697428286</v>
      </c>
      <c r="G83" s="107">
        <v>9359637.6888394654</v>
      </c>
      <c r="H83" s="107">
        <v>12679372.131096229</v>
      </c>
      <c r="I83" s="107">
        <v>1965792.4668302983</v>
      </c>
    </row>
    <row r="84" spans="2:9">
      <c r="B84" s="105">
        <v>76</v>
      </c>
      <c r="C84" s="107">
        <v>24209227.32125631</v>
      </c>
      <c r="D84" s="107">
        <v>13635623.719284639</v>
      </c>
      <c r="E84" s="107">
        <v>2172222.3642923832</v>
      </c>
      <c r="F84" s="107">
        <v>8381944.9150563627</v>
      </c>
      <c r="G84" s="107">
        <v>9836978.1404639781</v>
      </c>
      <c r="H84" s="107">
        <v>-5563289.3446021676</v>
      </c>
      <c r="I84" s="107">
        <v>10155990.991993248</v>
      </c>
    </row>
    <row r="85" spans="2:9">
      <c r="B85" s="105">
        <v>77</v>
      </c>
      <c r="C85" s="107">
        <v>16238915.706126899</v>
      </c>
      <c r="D85" s="107">
        <v>16115549.671462193</v>
      </c>
      <c r="E85" s="107">
        <v>12338950.846780255</v>
      </c>
      <c r="F85" s="107">
        <v>17846681.762151539</v>
      </c>
      <c r="G85" s="107">
        <v>1533039.4483516216</v>
      </c>
      <c r="H85" s="107">
        <v>2535752.2773789912</v>
      </c>
      <c r="I85" s="107">
        <v>-1952811.1855361164</v>
      </c>
    </row>
    <row r="86" spans="2:9">
      <c r="B86" s="105">
        <v>78</v>
      </c>
      <c r="C86" s="107">
        <v>22534967.788757414</v>
      </c>
      <c r="D86" s="107">
        <v>15120928.15617618</v>
      </c>
      <c r="E86" s="107">
        <v>7095399.953202337</v>
      </c>
      <c r="F86" s="107">
        <v>7384533.6970324814</v>
      </c>
      <c r="G86" s="107">
        <v>10801816.207723722</v>
      </c>
      <c r="H86" s="107">
        <v>10707006.695596457</v>
      </c>
      <c r="I86" s="107">
        <v>-7715538.7531860173</v>
      </c>
    </row>
    <row r="87" spans="2:9">
      <c r="B87" s="105">
        <v>79</v>
      </c>
      <c r="C87" s="107">
        <v>6330164.6651583463</v>
      </c>
      <c r="D87" s="107">
        <v>25397429.986659378</v>
      </c>
      <c r="E87" s="107">
        <v>1253189.506886512</v>
      </c>
      <c r="F87" s="107">
        <v>1025908.444963932</v>
      </c>
      <c r="G87" s="107">
        <v>4595507.3442587256</v>
      </c>
      <c r="H87" s="107">
        <v>1276086.2299923748</v>
      </c>
      <c r="I87" s="107">
        <v>8471039.0129194856</v>
      </c>
    </row>
    <row r="88" spans="2:9">
      <c r="B88" s="105">
        <v>80</v>
      </c>
      <c r="C88" s="107">
        <v>5118989.8324401826</v>
      </c>
      <c r="D88" s="107">
        <v>16030565.812940583</v>
      </c>
      <c r="E88" s="107">
        <v>15398791.045470685</v>
      </c>
      <c r="F88" s="107">
        <v>14847394.882897258</v>
      </c>
      <c r="G88" s="107">
        <v>10609660.142279878</v>
      </c>
      <c r="H88" s="107">
        <v>5533971.5253340006</v>
      </c>
      <c r="I88" s="107">
        <v>-7436901.8273218572</v>
      </c>
    </row>
    <row r="89" spans="2:9">
      <c r="B89" s="105">
        <v>81</v>
      </c>
      <c r="C89" s="107">
        <v>17592342.026110113</v>
      </c>
      <c r="D89" s="107">
        <v>15902276.540122971</v>
      </c>
      <c r="E89" s="107">
        <v>7362367.0016500652</v>
      </c>
      <c r="F89" s="107">
        <v>3055966.1435766816</v>
      </c>
      <c r="G89" s="107">
        <v>7333628.0225337893</v>
      </c>
      <c r="H89" s="107">
        <v>1596908.3077425212</v>
      </c>
      <c r="I89" s="107">
        <v>-2393089.0931983143</v>
      </c>
    </row>
    <row r="90" spans="2:9">
      <c r="B90" s="105">
        <v>82</v>
      </c>
      <c r="C90" s="107">
        <v>11212993.436946362</v>
      </c>
      <c r="D90" s="107">
        <v>1558771.3138022423</v>
      </c>
      <c r="E90" s="107">
        <v>9540978.7589221299</v>
      </c>
      <c r="F90" s="107">
        <v>4465086.7954143137</v>
      </c>
      <c r="G90" s="107">
        <v>13967088.706733853</v>
      </c>
      <c r="H90" s="107">
        <v>18909511.976013929</v>
      </c>
      <c r="I90" s="107">
        <v>10344871.392011747</v>
      </c>
    </row>
    <row r="91" spans="2:9">
      <c r="B91" s="105">
        <v>83</v>
      </c>
      <c r="C91" s="107">
        <v>18413160.951538682</v>
      </c>
      <c r="D91" s="107">
        <v>8858338.0387999713</v>
      </c>
      <c r="E91" s="107">
        <v>16047286.676339984</v>
      </c>
      <c r="F91" s="107">
        <v>4255258.6699351817</v>
      </c>
      <c r="G91" s="107">
        <v>3647677.909460783</v>
      </c>
      <c r="H91" s="107">
        <v>11161753.732233822</v>
      </c>
      <c r="I91" s="107">
        <v>7516303.1648658216</v>
      </c>
    </row>
    <row r="92" spans="2:9">
      <c r="B92" s="105">
        <v>84</v>
      </c>
      <c r="C92" s="107">
        <v>9574460.6022809446</v>
      </c>
      <c r="D92" s="107">
        <v>18371406.735077277</v>
      </c>
      <c r="E92" s="107">
        <v>9549972.3668859303</v>
      </c>
      <c r="F92" s="107">
        <v>10493349.929612249</v>
      </c>
      <c r="G92" s="107">
        <v>12789483.21627149</v>
      </c>
      <c r="H92" s="107">
        <v>-49276.52491030097</v>
      </c>
      <c r="I92" s="107">
        <v>7292197.021955356</v>
      </c>
    </row>
    <row r="93" spans="2:9">
      <c r="B93" s="105">
        <v>85</v>
      </c>
      <c r="C93" s="107">
        <v>17704545.554766834</v>
      </c>
      <c r="D93" s="107">
        <v>15052184.049057528</v>
      </c>
      <c r="E93" s="107">
        <v>14004141.814504057</v>
      </c>
      <c r="F93" s="107">
        <v>14726421.559141427</v>
      </c>
      <c r="G93" s="107">
        <v>3710530.3717697114</v>
      </c>
      <c r="H93" s="107">
        <v>946678.72974470258</v>
      </c>
      <c r="I93" s="107">
        <v>1196289.0834851563</v>
      </c>
    </row>
    <row r="94" spans="2:9">
      <c r="B94" s="105">
        <v>86</v>
      </c>
      <c r="C94" s="107">
        <v>12762793.57703279</v>
      </c>
      <c r="D94" s="107">
        <v>19044017.257902041</v>
      </c>
      <c r="E94" s="107">
        <v>16004214.161116675</v>
      </c>
      <c r="F94" s="107">
        <v>7299131.5244715661</v>
      </c>
      <c r="G94" s="107">
        <v>2996085.042973876</v>
      </c>
      <c r="H94" s="107">
        <v>11624502.199642405</v>
      </c>
      <c r="I94" s="107">
        <v>2901988.5289285928</v>
      </c>
    </row>
    <row r="95" spans="2:9">
      <c r="B95" s="105">
        <v>87</v>
      </c>
      <c r="C95" s="107">
        <v>15027987.072307184</v>
      </c>
      <c r="D95" s="107">
        <v>23843378.78669174</v>
      </c>
      <c r="E95" s="107">
        <v>17001426.169351876</v>
      </c>
      <c r="F95" s="107">
        <v>16138751.994841233</v>
      </c>
      <c r="G95" s="107">
        <v>5676502.3859721869</v>
      </c>
      <c r="H95" s="107">
        <v>7005884.602961272</v>
      </c>
      <c r="I95" s="107">
        <v>8197915.6217074096</v>
      </c>
    </row>
    <row r="96" spans="2:9">
      <c r="B96" s="105">
        <v>88</v>
      </c>
      <c r="C96" s="107">
        <v>12536047.312601209</v>
      </c>
      <c r="D96" s="107">
        <v>6320868.4185017794</v>
      </c>
      <c r="E96" s="107">
        <v>2831751.8188040257</v>
      </c>
      <c r="F96" s="107">
        <v>7232078.0414030254</v>
      </c>
      <c r="G96" s="107">
        <v>1910747.5741655529</v>
      </c>
      <c r="H96" s="107">
        <v>10578714.451093227</v>
      </c>
      <c r="I96" s="107">
        <v>425585.49414485693</v>
      </c>
    </row>
    <row r="97" spans="2:9">
      <c r="B97" s="105">
        <v>89</v>
      </c>
      <c r="C97" s="107">
        <v>17024703.493811995</v>
      </c>
      <c r="D97" s="107">
        <v>21809823.155386612</v>
      </c>
      <c r="E97" s="107">
        <v>15984669.432125479</v>
      </c>
      <c r="F97" s="107">
        <v>6415001.7214207202</v>
      </c>
      <c r="G97" s="107">
        <v>6228133.3170151263</v>
      </c>
      <c r="H97" s="107">
        <v>2657554.3453270495</v>
      </c>
      <c r="I97" s="107">
        <v>4139005.461980015</v>
      </c>
    </row>
    <row r="98" spans="2:9">
      <c r="B98" s="105">
        <v>90</v>
      </c>
      <c r="C98" s="107">
        <v>19506376.653224826</v>
      </c>
      <c r="D98" s="107">
        <v>9439511.267122671</v>
      </c>
      <c r="E98" s="107">
        <v>25086385.294260189</v>
      </c>
      <c r="F98" s="107">
        <v>13617029.04783088</v>
      </c>
      <c r="G98" s="107">
        <v>10262433.986213833</v>
      </c>
      <c r="H98" s="107">
        <v>2173869.4574836195</v>
      </c>
      <c r="I98" s="107">
        <v>11610531.734804377</v>
      </c>
    </row>
    <row r="99" spans="2:9">
      <c r="B99" s="105">
        <v>91</v>
      </c>
      <c r="C99" s="107">
        <v>24107362.373154029</v>
      </c>
      <c r="D99" s="107">
        <v>6907113.2780707777</v>
      </c>
      <c r="E99" s="107">
        <v>15646232.855355754</v>
      </c>
      <c r="F99" s="107">
        <v>16730892.188443214</v>
      </c>
      <c r="G99" s="107">
        <v>14132426.11435318</v>
      </c>
      <c r="H99" s="107">
        <v>9610650.9770446122</v>
      </c>
      <c r="I99" s="107">
        <v>4665006.7249468565</v>
      </c>
    </row>
    <row r="100" spans="2:9">
      <c r="B100" s="105">
        <v>92</v>
      </c>
      <c r="C100" s="107">
        <v>25074679.191569403</v>
      </c>
      <c r="D100" s="107">
        <v>13728507.050388277</v>
      </c>
      <c r="E100" s="107">
        <v>13745582.007807836</v>
      </c>
      <c r="F100" s="107">
        <v>16160452.326839715</v>
      </c>
      <c r="G100" s="107">
        <v>9709684.9959774017</v>
      </c>
      <c r="H100" s="107">
        <v>15979637.28613466</v>
      </c>
      <c r="I100" s="107">
        <v>7855670.5046761334</v>
      </c>
    </row>
    <row r="101" spans="2:9">
      <c r="B101" s="105">
        <v>93</v>
      </c>
      <c r="C101" s="107">
        <v>9978541.0056241155</v>
      </c>
      <c r="D101" s="107">
        <v>16859183.030968055</v>
      </c>
      <c r="E101" s="107">
        <v>12846850.682925254</v>
      </c>
      <c r="F101" s="107">
        <v>-3752065.6360718757</v>
      </c>
      <c r="G101" s="107">
        <v>5064555.5792987198</v>
      </c>
      <c r="H101" s="107">
        <v>-4470443.3301392496</v>
      </c>
      <c r="I101" s="107">
        <v>4266633.0945228338</v>
      </c>
    </row>
    <row r="102" spans="2:9">
      <c r="B102" s="105">
        <v>94</v>
      </c>
      <c r="C102" s="107">
        <v>15198672.914338991</v>
      </c>
      <c r="D102" s="107">
        <v>22410867.950450897</v>
      </c>
      <c r="E102" s="107">
        <v>6419180.1540262252</v>
      </c>
      <c r="F102" s="107">
        <v>17547603.471787781</v>
      </c>
      <c r="G102" s="107">
        <v>5569400.778727293</v>
      </c>
      <c r="H102" s="107">
        <v>5902336.6718451232</v>
      </c>
      <c r="I102" s="107">
        <v>-12158622.999289781</v>
      </c>
    </row>
    <row r="103" spans="2:9">
      <c r="B103" s="105">
        <v>95</v>
      </c>
      <c r="C103" s="107">
        <v>10064811.632639393</v>
      </c>
      <c r="D103" s="107">
        <v>24434057.543882668</v>
      </c>
      <c r="E103" s="107">
        <v>14842518.578863904</v>
      </c>
      <c r="F103" s="107">
        <v>9718142.9819205552</v>
      </c>
      <c r="G103" s="107">
        <v>5461092.1431993097</v>
      </c>
      <c r="H103" s="107">
        <v>8378181.3373058736</v>
      </c>
      <c r="I103" s="107">
        <v>-318501.13746833801</v>
      </c>
    </row>
    <row r="104" spans="2:9">
      <c r="B104" s="105">
        <v>96</v>
      </c>
      <c r="C104" s="107">
        <v>25402117.297016412</v>
      </c>
      <c r="D104" s="107">
        <v>12825942.294091552</v>
      </c>
      <c r="E104" s="107">
        <v>12643654.469038114</v>
      </c>
      <c r="F104" s="107">
        <v>7330594.1369949877</v>
      </c>
      <c r="G104" s="107">
        <v>1894178.5011061877</v>
      </c>
      <c r="H104" s="107">
        <v>5398681.0107100308</v>
      </c>
      <c r="I104" s="107">
        <v>11712667.023127466</v>
      </c>
    </row>
    <row r="105" spans="2:9">
      <c r="B105" s="105">
        <v>97</v>
      </c>
      <c r="C105" s="107">
        <v>19408909.094443232</v>
      </c>
      <c r="D105" s="107">
        <v>10231475.69256258</v>
      </c>
      <c r="E105" s="107">
        <v>14109906.779300168</v>
      </c>
      <c r="F105" s="107">
        <v>18840725.138195276</v>
      </c>
      <c r="G105" s="107">
        <v>2541109.4183376133</v>
      </c>
      <c r="H105" s="107">
        <v>5424226.8656944931</v>
      </c>
      <c r="I105" s="107">
        <v>7158685.877841711</v>
      </c>
    </row>
    <row r="106" spans="2:9">
      <c r="B106" s="105">
        <v>98</v>
      </c>
      <c r="C106" s="107">
        <v>14213908.20468016</v>
      </c>
      <c r="D106" s="107">
        <v>11830376.910043538</v>
      </c>
      <c r="E106" s="107">
        <v>5172601.5480397046</v>
      </c>
      <c r="F106" s="107">
        <v>13894575.616662502</v>
      </c>
      <c r="G106" s="107">
        <v>11015019.104044959</v>
      </c>
      <c r="H106" s="107">
        <v>-4323784.9447413534</v>
      </c>
      <c r="I106" s="107">
        <v>1287846.0762071759</v>
      </c>
    </row>
    <row r="107" spans="2:9">
      <c r="B107" s="105">
        <v>99</v>
      </c>
      <c r="C107" s="107">
        <v>13210340.796226725</v>
      </c>
      <c r="D107" s="107">
        <v>5768730.1850527227</v>
      </c>
      <c r="E107" s="107">
        <v>15457832.811836243</v>
      </c>
      <c r="F107" s="107">
        <v>16906016.937064946</v>
      </c>
      <c r="G107" s="107">
        <v>13362559.648049325</v>
      </c>
      <c r="H107" s="107">
        <v>4840215.3264136016</v>
      </c>
      <c r="I107" s="107">
        <v>467985.7293895781</v>
      </c>
    </row>
    <row r="108" spans="2:9">
      <c r="B108" s="105">
        <v>100</v>
      </c>
      <c r="C108" s="107">
        <v>25521935.117788434</v>
      </c>
      <c r="D108" s="107">
        <v>13851974.756124511</v>
      </c>
      <c r="E108" s="107">
        <v>12927876.361303091</v>
      </c>
      <c r="F108" s="107">
        <v>-4922927.5510256588</v>
      </c>
      <c r="G108" s="107">
        <v>9155596.6404326856</v>
      </c>
      <c r="H108" s="107">
        <v>3644083.1700165421</v>
      </c>
      <c r="I108" s="107">
        <v>-3284721.6889631152</v>
      </c>
    </row>
    <row r="109" spans="2:9">
      <c r="B109" s="105">
        <v>101</v>
      </c>
      <c r="C109" s="107">
        <v>16159199.840165347</v>
      </c>
      <c r="D109" s="107">
        <v>7271662.544764176</v>
      </c>
      <c r="E109" s="107">
        <v>23720482.251257271</v>
      </c>
      <c r="F109" s="107">
        <v>11937151.035563424</v>
      </c>
      <c r="G109" s="107">
        <v>5933938.306209445</v>
      </c>
      <c r="H109" s="107">
        <v>2792787.6175701916</v>
      </c>
      <c r="I109" s="107">
        <v>5223880.5318887532</v>
      </c>
    </row>
    <row r="110" spans="2:9">
      <c r="B110" s="105">
        <v>102</v>
      </c>
      <c r="C110" s="107">
        <v>16837764.754744858</v>
      </c>
      <c r="D110" s="107">
        <v>7913008.2560600936</v>
      </c>
      <c r="E110" s="107">
        <v>17693242.690273196</v>
      </c>
      <c r="F110" s="107">
        <v>11173062.307246804</v>
      </c>
      <c r="G110" s="107">
        <v>8393118.2736046314</v>
      </c>
      <c r="H110" s="107">
        <v>6565350.9660415053</v>
      </c>
      <c r="I110" s="107">
        <v>9113326.3424671739</v>
      </c>
    </row>
    <row r="111" spans="2:9">
      <c r="B111" s="105">
        <v>103</v>
      </c>
      <c r="C111" s="107">
        <v>17228975.317549452</v>
      </c>
      <c r="D111" s="107">
        <v>14880586.384002104</v>
      </c>
      <c r="E111" s="107">
        <v>16927404.382793158</v>
      </c>
      <c r="F111" s="107">
        <v>6941554.6651138961</v>
      </c>
      <c r="G111" s="107">
        <v>13879161.88979201</v>
      </c>
      <c r="H111" s="107">
        <v>611452.02179561555</v>
      </c>
      <c r="I111" s="107">
        <v>88908.325865522027</v>
      </c>
    </row>
    <row r="112" spans="2:9">
      <c r="B112" s="105">
        <v>104</v>
      </c>
      <c r="C112" s="107">
        <v>23487494.354814202</v>
      </c>
      <c r="D112" s="107">
        <v>4477599.2159052789</v>
      </c>
      <c r="E112" s="107">
        <v>9538122.5518358052</v>
      </c>
      <c r="F112" s="107">
        <v>6086973.2458225936</v>
      </c>
      <c r="G112" s="107">
        <v>12069219.304319322</v>
      </c>
      <c r="H112" s="107">
        <v>-2849441.3087451756</v>
      </c>
      <c r="I112" s="107">
        <v>-533767.26516181231</v>
      </c>
    </row>
    <row r="113" spans="2:9">
      <c r="B113" s="105">
        <v>105</v>
      </c>
      <c r="C113" s="107">
        <v>19995429.772118613</v>
      </c>
      <c r="D113" s="107">
        <v>15016894.297376454</v>
      </c>
      <c r="E113" s="107">
        <v>21137514.306923732</v>
      </c>
      <c r="F113" s="107">
        <v>16698736.596038908</v>
      </c>
      <c r="G113" s="107">
        <v>6289290.0226352215</v>
      </c>
      <c r="H113" s="107">
        <v>5195818.0076016933</v>
      </c>
      <c r="I113" s="107">
        <v>3896238.8424339145</v>
      </c>
    </row>
    <row r="114" spans="2:9">
      <c r="B114" s="105">
        <v>106</v>
      </c>
      <c r="C114" s="107">
        <v>16043270.774812013</v>
      </c>
      <c r="D114" s="107">
        <v>20432441.300029844</v>
      </c>
      <c r="E114" s="107">
        <v>21013658.488100842</v>
      </c>
      <c r="F114" s="107">
        <v>19167406.497304022</v>
      </c>
      <c r="G114" s="107">
        <v>-8742994.7359713614</v>
      </c>
      <c r="H114" s="107">
        <v>7728218.7208471894</v>
      </c>
      <c r="I114" s="107">
        <v>-4723365.1372304559</v>
      </c>
    </row>
    <row r="115" spans="2:9">
      <c r="B115" s="105">
        <v>107</v>
      </c>
      <c r="C115" s="107">
        <v>12686820.74153392</v>
      </c>
      <c r="D115" s="107">
        <v>11670939.5779614</v>
      </c>
      <c r="E115" s="107">
        <v>16242423.442249715</v>
      </c>
      <c r="F115" s="107">
        <v>5898209.6589040309</v>
      </c>
      <c r="G115" s="107">
        <v>2869627.344347477</v>
      </c>
      <c r="H115" s="107">
        <v>2944944.0929715484</v>
      </c>
      <c r="I115" s="107">
        <v>6747294.5656957477</v>
      </c>
    </row>
    <row r="116" spans="2:9">
      <c r="B116" s="105">
        <v>108</v>
      </c>
      <c r="C116" s="107">
        <v>14984195.999823183</v>
      </c>
      <c r="D116" s="107">
        <v>19945282.752808452</v>
      </c>
      <c r="E116" s="107">
        <v>18255451.310797289</v>
      </c>
      <c r="F116" s="107">
        <v>14899918.065479159</v>
      </c>
      <c r="G116" s="107">
        <v>-2135092.60402973</v>
      </c>
      <c r="H116" s="107">
        <v>-6403259.6082722545</v>
      </c>
      <c r="I116" s="107">
        <v>7192287.7509360164</v>
      </c>
    </row>
    <row r="117" spans="2:9">
      <c r="B117" s="105">
        <v>109</v>
      </c>
      <c r="C117" s="107">
        <v>22836436.729415968</v>
      </c>
      <c r="D117" s="107">
        <v>18072572.365674362</v>
      </c>
      <c r="E117" s="107">
        <v>24118326.507569864</v>
      </c>
      <c r="F117" s="107">
        <v>-1381936.1560976505</v>
      </c>
      <c r="G117" s="107">
        <v>1830620.750010848</v>
      </c>
      <c r="H117" s="107">
        <v>5503822.2241519094</v>
      </c>
      <c r="I117" s="107">
        <v>11015664.02091141</v>
      </c>
    </row>
    <row r="118" spans="2:9">
      <c r="B118" s="105">
        <v>110</v>
      </c>
      <c r="C118" s="107">
        <v>8739093.8585340381</v>
      </c>
      <c r="D118" s="107">
        <v>16014498.175396532</v>
      </c>
      <c r="E118" s="107">
        <v>5784831.0208277404</v>
      </c>
      <c r="F118" s="107">
        <v>10829515.790295213</v>
      </c>
      <c r="G118" s="107">
        <v>10540395.980437487</v>
      </c>
      <c r="H118" s="107">
        <v>4339654.4011947513</v>
      </c>
      <c r="I118" s="107">
        <v>7249076.1728613675</v>
      </c>
    </row>
    <row r="119" spans="2:9">
      <c r="B119" s="105">
        <v>111</v>
      </c>
      <c r="C119" s="107">
        <v>20186580.974568754</v>
      </c>
      <c r="D119" s="107">
        <v>8348916.4720072448</v>
      </c>
      <c r="E119" s="107">
        <v>8868781.7040685564</v>
      </c>
      <c r="F119" s="107">
        <v>6330071.8480038345</v>
      </c>
      <c r="G119" s="107">
        <v>10591392.351927623</v>
      </c>
      <c r="H119" s="107">
        <v>3410538.0966284871</v>
      </c>
      <c r="I119" s="107">
        <v>22794415.632448837</v>
      </c>
    </row>
    <row r="120" spans="2:9">
      <c r="B120" s="105">
        <v>112</v>
      </c>
      <c r="C120" s="107">
        <v>14777818.724735111</v>
      </c>
      <c r="D120" s="107">
        <v>13177617.594535902</v>
      </c>
      <c r="E120" s="107">
        <v>7985737.8050989211</v>
      </c>
      <c r="F120" s="107">
        <v>12693044.122377068</v>
      </c>
      <c r="G120" s="107">
        <v>8014927.0541159213</v>
      </c>
      <c r="H120" s="107">
        <v>3192992.7162400335</v>
      </c>
      <c r="I120" s="107">
        <v>8488215.7509350032</v>
      </c>
    </row>
    <row r="121" spans="2:9">
      <c r="B121" s="105">
        <v>113</v>
      </c>
      <c r="C121" s="107">
        <v>14829553.515780956</v>
      </c>
      <c r="D121" s="107">
        <v>15105745.827609137</v>
      </c>
      <c r="E121" s="107">
        <v>13406002.840607524</v>
      </c>
      <c r="F121" s="107">
        <v>5487956.9692764133</v>
      </c>
      <c r="G121" s="107">
        <v>5702556.440220952</v>
      </c>
      <c r="H121" s="107">
        <v>8663957.3445699215</v>
      </c>
      <c r="I121" s="107">
        <v>8338820.5908169001</v>
      </c>
    </row>
    <row r="122" spans="2:9">
      <c r="B122" s="105">
        <v>114</v>
      </c>
      <c r="C122" s="107">
        <v>13191071.287578613</v>
      </c>
      <c r="D122" s="107">
        <v>19207160.299069881</v>
      </c>
      <c r="E122" s="107">
        <v>14366306.492955118</v>
      </c>
      <c r="F122" s="107">
        <v>17404344.938024327</v>
      </c>
      <c r="G122" s="107">
        <v>-6448502.1746379733</v>
      </c>
      <c r="H122" s="107">
        <v>1156063.1280730069</v>
      </c>
      <c r="I122" s="107">
        <v>-3414961.2161041945</v>
      </c>
    </row>
    <row r="123" spans="2:9">
      <c r="B123" s="105">
        <v>115</v>
      </c>
      <c r="C123" s="107">
        <v>20222409.049089119</v>
      </c>
      <c r="D123" s="107">
        <v>15420598.62202251</v>
      </c>
      <c r="E123" s="107">
        <v>15463346.642478898</v>
      </c>
      <c r="F123" s="107">
        <v>9156255.0442392528</v>
      </c>
      <c r="G123" s="107">
        <v>7405730.413549304</v>
      </c>
      <c r="H123" s="107">
        <v>-334516.5323241055</v>
      </c>
      <c r="I123" s="107">
        <v>5226849.9225789011</v>
      </c>
    </row>
    <row r="124" spans="2:9">
      <c r="B124" s="105">
        <v>116</v>
      </c>
      <c r="C124" s="107">
        <v>14254372.283104822</v>
      </c>
      <c r="D124" s="107">
        <v>8951396.5484814495</v>
      </c>
      <c r="E124" s="107">
        <v>14691940.545582443</v>
      </c>
      <c r="F124" s="107">
        <v>7515770.9139735997</v>
      </c>
      <c r="G124" s="107">
        <v>20622611.42361407</v>
      </c>
      <c r="H124" s="107">
        <v>-9358360.5473954976</v>
      </c>
      <c r="I124" s="107">
        <v>7815383.143827647</v>
      </c>
    </row>
    <row r="125" spans="2:9">
      <c r="B125" s="105">
        <v>117</v>
      </c>
      <c r="C125" s="107">
        <v>8348891.2098352015</v>
      </c>
      <c r="D125" s="107">
        <v>14955122.093230516</v>
      </c>
      <c r="E125" s="107">
        <v>15435905.744385913</v>
      </c>
      <c r="F125" s="107">
        <v>2568251.5851147473</v>
      </c>
      <c r="G125" s="107">
        <v>8877935.3605981171</v>
      </c>
      <c r="H125" s="107">
        <v>11933612.943054736</v>
      </c>
      <c r="I125" s="107">
        <v>3035494.3679981083</v>
      </c>
    </row>
    <row r="126" spans="2:9">
      <c r="B126" s="105">
        <v>118</v>
      </c>
      <c r="C126" s="107">
        <v>22322841.481818587</v>
      </c>
      <c r="D126" s="107">
        <v>17804482.178562656</v>
      </c>
      <c r="E126" s="107">
        <v>11582652.696807459</v>
      </c>
      <c r="F126" s="107">
        <v>14444692.19749859</v>
      </c>
      <c r="G126" s="107">
        <v>7178934.3043218702</v>
      </c>
      <c r="H126" s="107">
        <v>14118483.001179174</v>
      </c>
      <c r="I126" s="107">
        <v>-9172831.6994211674</v>
      </c>
    </row>
    <row r="127" spans="2:9">
      <c r="B127" s="105">
        <v>119</v>
      </c>
      <c r="C127" s="107">
        <v>16332680.583387524</v>
      </c>
      <c r="D127" s="107">
        <v>15048904.842412084</v>
      </c>
      <c r="E127" s="107">
        <v>7033206.9788316935</v>
      </c>
      <c r="F127" s="107">
        <v>-844396.4816672802</v>
      </c>
      <c r="G127" s="107">
        <v>-988105.77639785409</v>
      </c>
      <c r="H127" s="107">
        <v>6560909.6707950532</v>
      </c>
      <c r="I127" s="107">
        <v>12077680.821658462</v>
      </c>
    </row>
    <row r="128" spans="2:9">
      <c r="B128" s="105">
        <v>120</v>
      </c>
      <c r="C128" s="107">
        <v>16379437.730248645</v>
      </c>
      <c r="D128" s="107">
        <v>3023441.8295179009</v>
      </c>
      <c r="E128" s="107">
        <v>14386817.190686673</v>
      </c>
      <c r="F128" s="107">
        <v>12863154.858129367</v>
      </c>
      <c r="G128" s="107">
        <v>-1967126.1887681186</v>
      </c>
      <c r="H128" s="107">
        <v>1888799.8488652259</v>
      </c>
      <c r="I128" s="107">
        <v>-3857241.5137794316</v>
      </c>
    </row>
    <row r="129" spans="2:9">
      <c r="B129" s="105">
        <v>121</v>
      </c>
      <c r="C129" s="107">
        <v>16379359.754003942</v>
      </c>
      <c r="D129" s="107">
        <v>19052801.308721215</v>
      </c>
      <c r="E129" s="107">
        <v>4833474.2845976502</v>
      </c>
      <c r="F129" s="107">
        <v>9754718.089834407</v>
      </c>
      <c r="G129" s="107">
        <v>21350.887400373816</v>
      </c>
      <c r="H129" s="107">
        <v>3727631.5229614973</v>
      </c>
      <c r="I129" s="107">
        <v>-5079891.8691775501</v>
      </c>
    </row>
    <row r="130" spans="2:9">
      <c r="B130" s="105">
        <v>122</v>
      </c>
      <c r="C130" s="107">
        <v>13216225.892350927</v>
      </c>
      <c r="D130" s="107">
        <v>17015456.299447566</v>
      </c>
      <c r="E130" s="107">
        <v>3643870.5458438396</v>
      </c>
      <c r="F130" s="107">
        <v>21475133.713600278</v>
      </c>
      <c r="G130" s="107">
        <v>3884977.642367959</v>
      </c>
      <c r="H130" s="107">
        <v>-1310633.8396166414</v>
      </c>
      <c r="I130" s="107">
        <v>2376147.6244513392</v>
      </c>
    </row>
    <row r="131" spans="2:9">
      <c r="B131" s="105">
        <v>123</v>
      </c>
      <c r="C131" s="107">
        <v>15387339.363841265</v>
      </c>
      <c r="D131" s="107">
        <v>25048342.690672085</v>
      </c>
      <c r="E131" s="107">
        <v>9895634.9055666625</v>
      </c>
      <c r="F131" s="107">
        <v>-182610.87508200109</v>
      </c>
      <c r="G131" s="107">
        <v>5222725.2924039364</v>
      </c>
      <c r="H131" s="107">
        <v>-4537818.7016406655</v>
      </c>
      <c r="I131" s="107">
        <v>-3345236.8121924698</v>
      </c>
    </row>
    <row r="132" spans="2:9">
      <c r="B132" s="105">
        <v>124</v>
      </c>
      <c r="C132" s="107">
        <v>14402022.17262657</v>
      </c>
      <c r="D132" s="107">
        <v>9550607.7785384804</v>
      </c>
      <c r="E132" s="107">
        <v>11751963.222486213</v>
      </c>
      <c r="F132" s="107">
        <v>9340863.8780439794</v>
      </c>
      <c r="G132" s="107">
        <v>6135471.4218299389</v>
      </c>
      <c r="H132" s="107">
        <v>-4366282.3721364886</v>
      </c>
      <c r="I132" s="107">
        <v>4085994.8912942261</v>
      </c>
    </row>
    <row r="133" spans="2:9">
      <c r="B133" s="105">
        <v>125</v>
      </c>
      <c r="C133" s="107">
        <v>19094938.154756919</v>
      </c>
      <c r="D133" s="107">
        <v>4848337.9194795489</v>
      </c>
      <c r="E133" s="107">
        <v>8503470.7717476934</v>
      </c>
      <c r="F133" s="107">
        <v>-8275589.0923829079</v>
      </c>
      <c r="G133" s="107">
        <v>10819079.208221272</v>
      </c>
      <c r="H133" s="107">
        <v>7467155.667211771</v>
      </c>
      <c r="I133" s="107">
        <v>4474529.248201251</v>
      </c>
    </row>
    <row r="134" spans="2:9">
      <c r="B134" s="105">
        <v>126</v>
      </c>
      <c r="C134" s="107">
        <v>12281357.344381154</v>
      </c>
      <c r="D134" s="107">
        <v>7101844.3961033225</v>
      </c>
      <c r="E134" s="107">
        <v>14202247.927893803</v>
      </c>
      <c r="F134" s="107">
        <v>2775816.0133952945</v>
      </c>
      <c r="G134" s="107">
        <v>664557.27194967866</v>
      </c>
      <c r="H134" s="107">
        <v>8097161.3951188177</v>
      </c>
      <c r="I134" s="107">
        <v>-5073579.7846082151</v>
      </c>
    </row>
    <row r="135" spans="2:9">
      <c r="B135" s="105">
        <v>127</v>
      </c>
      <c r="C135" s="107">
        <v>11863991.585688874</v>
      </c>
      <c r="D135" s="107">
        <v>2803615.7774816751</v>
      </c>
      <c r="E135" s="107">
        <v>11769383.628112286</v>
      </c>
      <c r="F135" s="107">
        <v>14072427.871571541</v>
      </c>
      <c r="G135" s="107">
        <v>8502257.0317861587</v>
      </c>
      <c r="H135" s="107">
        <v>2946527.9452438354</v>
      </c>
      <c r="I135" s="107">
        <v>5866907.9465203881</v>
      </c>
    </row>
    <row r="136" spans="2:9">
      <c r="B136" s="105">
        <v>128</v>
      </c>
      <c r="C136" s="107">
        <v>14915416.160214007</v>
      </c>
      <c r="D136" s="107">
        <v>13840815.344401151</v>
      </c>
      <c r="E136" s="107">
        <v>20558751.516253889</v>
      </c>
      <c r="F136" s="107">
        <v>18564431.770171106</v>
      </c>
      <c r="G136" s="107">
        <v>6321255.8783698082</v>
      </c>
      <c r="H136" s="107">
        <v>17957602.916888297</v>
      </c>
      <c r="I136" s="107">
        <v>15286892.598738626</v>
      </c>
    </row>
    <row r="137" spans="2:9">
      <c r="B137" s="105">
        <v>129</v>
      </c>
      <c r="C137" s="107">
        <v>19361469.561131001</v>
      </c>
      <c r="D137" s="107">
        <v>13851220.739018112</v>
      </c>
      <c r="E137" s="107">
        <v>18223192.315347612</v>
      </c>
      <c r="F137" s="107">
        <v>5669628.3530142307</v>
      </c>
      <c r="G137" s="107">
        <v>7337767.5384711474</v>
      </c>
      <c r="H137" s="107">
        <v>8594626.4813499153</v>
      </c>
      <c r="I137" s="107">
        <v>3783551.1555461586</v>
      </c>
    </row>
    <row r="138" spans="2:9">
      <c r="B138" s="105">
        <v>130</v>
      </c>
      <c r="C138" s="107">
        <v>11384329.898516148</v>
      </c>
      <c r="D138" s="107">
        <v>20333291.707244352</v>
      </c>
      <c r="E138" s="107">
        <v>19287745.776469067</v>
      </c>
      <c r="F138" s="107">
        <v>11931842.808403164</v>
      </c>
      <c r="G138" s="107">
        <v>10398572.730888426</v>
      </c>
      <c r="H138" s="107">
        <v>1152018.294403553</v>
      </c>
      <c r="I138" s="107">
        <v>3235199.7720886469</v>
      </c>
    </row>
    <row r="139" spans="2:9">
      <c r="B139" s="105">
        <v>131</v>
      </c>
      <c r="C139" s="107">
        <v>6787119.3540353328</v>
      </c>
      <c r="D139" s="107">
        <v>15131858.679732144</v>
      </c>
      <c r="E139" s="107">
        <v>11282988.886907041</v>
      </c>
      <c r="F139" s="107">
        <v>5104878.9386053979</v>
      </c>
      <c r="G139" s="107">
        <v>10798276.103067219</v>
      </c>
      <c r="H139" s="107">
        <v>8657302.1740582287</v>
      </c>
      <c r="I139" s="107">
        <v>6843697.9824645519</v>
      </c>
    </row>
    <row r="140" spans="2:9">
      <c r="B140" s="105">
        <v>132</v>
      </c>
      <c r="C140" s="107">
        <v>16640731.585735649</v>
      </c>
      <c r="D140" s="107">
        <v>17179588.785949409</v>
      </c>
      <c r="E140" s="107">
        <v>3523552.1400594264</v>
      </c>
      <c r="F140" s="107">
        <v>5836205.0053054541</v>
      </c>
      <c r="G140" s="107">
        <v>9893887.0809171498</v>
      </c>
      <c r="H140" s="107">
        <v>2521073.0519732386</v>
      </c>
      <c r="I140" s="107">
        <v>-3175572.7198514938</v>
      </c>
    </row>
    <row r="141" spans="2:9">
      <c r="B141" s="105">
        <v>133</v>
      </c>
      <c r="C141" s="107">
        <v>6889719.4275619537</v>
      </c>
      <c r="D141" s="107">
        <v>12346038.727492347</v>
      </c>
      <c r="E141" s="107">
        <v>9548069.0539185703</v>
      </c>
      <c r="F141" s="107">
        <v>8591245.4649345279</v>
      </c>
      <c r="G141" s="107">
        <v>13258744.259374022</v>
      </c>
      <c r="H141" s="107">
        <v>2239961.250499934</v>
      </c>
      <c r="I141" s="107">
        <v>9635854.2203110158</v>
      </c>
    </row>
    <row r="142" spans="2:9">
      <c r="B142" s="105">
        <v>134</v>
      </c>
      <c r="C142" s="107">
        <v>21455182.648992106</v>
      </c>
      <c r="D142" s="107">
        <v>8413496.0463644862</v>
      </c>
      <c r="E142" s="107">
        <v>9565717.3740459383</v>
      </c>
      <c r="F142" s="107">
        <v>3960505.0081230998</v>
      </c>
      <c r="G142" s="107">
        <v>8322539.080082804</v>
      </c>
      <c r="H142" s="107">
        <v>8259991.6599536091</v>
      </c>
      <c r="I142" s="107">
        <v>10185698.330787018</v>
      </c>
    </row>
    <row r="143" spans="2:9">
      <c r="B143" s="105">
        <v>135</v>
      </c>
      <c r="C143" s="107">
        <v>37264128.041191518</v>
      </c>
      <c r="D143" s="107">
        <v>19441218.021824092</v>
      </c>
      <c r="E143" s="107">
        <v>17789481.423181772</v>
      </c>
      <c r="F143" s="107">
        <v>10483457.424052149</v>
      </c>
      <c r="G143" s="107">
        <v>13067637.640306637</v>
      </c>
      <c r="H143" s="107">
        <v>3334374.2604402304</v>
      </c>
      <c r="I143" s="107">
        <v>6154726.9129931033</v>
      </c>
    </row>
    <row r="144" spans="2:9">
      <c r="B144" s="105">
        <v>136</v>
      </c>
      <c r="C144" s="107">
        <v>22830542.836123228</v>
      </c>
      <c r="D144" s="107">
        <v>20457104.432433441</v>
      </c>
      <c r="E144" s="107">
        <v>20456777.463912249</v>
      </c>
      <c r="F144" s="107">
        <v>2721687.8962282091</v>
      </c>
      <c r="G144" s="107">
        <v>9779546.4422910064</v>
      </c>
      <c r="H144" s="107">
        <v>-3046620.2553817034</v>
      </c>
      <c r="I144" s="107">
        <v>-2881052.8161949515</v>
      </c>
    </row>
    <row r="145" spans="2:9">
      <c r="B145" s="105">
        <v>137</v>
      </c>
      <c r="C145" s="107">
        <v>7602655.2902680337</v>
      </c>
      <c r="D145" s="107">
        <v>9945775.2092483491</v>
      </c>
      <c r="E145" s="107">
        <v>22107877.149625301</v>
      </c>
      <c r="F145" s="107">
        <v>10009077.772126943</v>
      </c>
      <c r="G145" s="107">
        <v>11702606.941540197</v>
      </c>
      <c r="H145" s="107">
        <v>2460717.6767048389</v>
      </c>
      <c r="I145" s="107">
        <v>19996421.16316089</v>
      </c>
    </row>
    <row r="146" spans="2:9">
      <c r="B146" s="105">
        <v>138</v>
      </c>
      <c r="C146" s="107">
        <v>18249810.462224379</v>
      </c>
      <c r="D146" s="107">
        <v>4515497.508374691</v>
      </c>
      <c r="E146" s="107">
        <v>7812384.6341492087</v>
      </c>
      <c r="F146" s="107">
        <v>3566704.0717132539</v>
      </c>
      <c r="G146" s="107">
        <v>15281880.837878585</v>
      </c>
      <c r="H146" s="107">
        <v>184072.82438421249</v>
      </c>
      <c r="I146" s="107">
        <v>5990888.6084850729</v>
      </c>
    </row>
    <row r="147" spans="2:9">
      <c r="B147" s="105">
        <v>139</v>
      </c>
      <c r="C147" s="107">
        <v>9551504.359605208</v>
      </c>
      <c r="D147" s="107">
        <v>18057139.938021749</v>
      </c>
      <c r="E147" s="107">
        <v>23584169.531508341</v>
      </c>
      <c r="F147" s="107">
        <v>10817011.834767669</v>
      </c>
      <c r="G147" s="107">
        <v>19525431.425928637</v>
      </c>
      <c r="H147" s="107">
        <v>6949840.0609332025</v>
      </c>
      <c r="I147" s="107">
        <v>5441704.4934884608</v>
      </c>
    </row>
    <row r="148" spans="2:9">
      <c r="B148" s="105">
        <v>140</v>
      </c>
      <c r="C148" s="107">
        <v>9004952.0359557271</v>
      </c>
      <c r="D148" s="107">
        <v>7358526.5679028332</v>
      </c>
      <c r="E148" s="107">
        <v>17111317.598133743</v>
      </c>
      <c r="F148" s="107">
        <v>2802147.3272987902</v>
      </c>
      <c r="G148" s="107">
        <v>25825665.908784583</v>
      </c>
      <c r="H148" s="107">
        <v>-4457003.0908596516</v>
      </c>
      <c r="I148" s="107">
        <v>5522447.8470402509</v>
      </c>
    </row>
    <row r="149" spans="2:9">
      <c r="B149" s="105">
        <v>141</v>
      </c>
      <c r="C149" s="107">
        <v>4649843.3995999694</v>
      </c>
      <c r="D149" s="107">
        <v>15282484.655058801</v>
      </c>
      <c r="E149" s="107">
        <v>17799444.975320458</v>
      </c>
      <c r="F149" s="107">
        <v>11983084.575657457</v>
      </c>
      <c r="G149" s="107">
        <v>11321514.018002376</v>
      </c>
      <c r="H149" s="107">
        <v>12896713.638282746</v>
      </c>
      <c r="I149" s="107">
        <v>5803277.0684769601</v>
      </c>
    </row>
    <row r="150" spans="2:9">
      <c r="B150" s="105">
        <v>142</v>
      </c>
      <c r="C150" s="107">
        <v>11558871.322904006</v>
      </c>
      <c r="D150" s="107">
        <v>18861426.145179495</v>
      </c>
      <c r="E150" s="107">
        <v>19196100.721475601</v>
      </c>
      <c r="F150" s="107">
        <v>12598348.950772941</v>
      </c>
      <c r="G150" s="107">
        <v>10274817.0183689</v>
      </c>
      <c r="H150" s="107">
        <v>7143621.2637387514</v>
      </c>
      <c r="I150" s="107">
        <v>-7905306.4664632529</v>
      </c>
    </row>
    <row r="151" spans="2:9">
      <c r="B151" s="105">
        <v>143</v>
      </c>
      <c r="C151" s="107">
        <v>15338112.447220296</v>
      </c>
      <c r="D151" s="107">
        <v>18037116.000126332</v>
      </c>
      <c r="E151" s="107">
        <v>6304926.1463961452</v>
      </c>
      <c r="F151" s="107">
        <v>9795675.4368487895</v>
      </c>
      <c r="G151" s="107">
        <v>6380612.6809712946</v>
      </c>
      <c r="H151" s="107">
        <v>-5736302.8112930357</v>
      </c>
      <c r="I151" s="107">
        <v>-3748809.0688640773</v>
      </c>
    </row>
    <row r="152" spans="2:9">
      <c r="B152" s="105">
        <v>144</v>
      </c>
      <c r="C152" s="107">
        <v>8276036.2554589659</v>
      </c>
      <c r="D152" s="107">
        <v>28648296.609809488</v>
      </c>
      <c r="E152" s="107">
        <v>7351066.4553284943</v>
      </c>
      <c r="F152" s="107">
        <v>1196096.0569830239</v>
      </c>
      <c r="G152" s="107">
        <v>11527132.327149302</v>
      </c>
      <c r="H152" s="107">
        <v>3454958.8941264302</v>
      </c>
      <c r="I152" s="107">
        <v>-2142240.2087062746</v>
      </c>
    </row>
    <row r="153" spans="2:9">
      <c r="B153" s="105">
        <v>145</v>
      </c>
      <c r="C153" s="107">
        <v>5507354.7793375552</v>
      </c>
      <c r="D153" s="107">
        <v>20067603.689198986</v>
      </c>
      <c r="E153" s="107">
        <v>6977428.5633909553</v>
      </c>
      <c r="F153" s="107">
        <v>10585461.030973107</v>
      </c>
      <c r="G153" s="107">
        <v>10411251.072880477</v>
      </c>
      <c r="H153" s="107">
        <v>5157093.8633862436</v>
      </c>
      <c r="I153" s="107">
        <v>-5608553.7225445509</v>
      </c>
    </row>
    <row r="154" spans="2:9">
      <c r="B154" s="105">
        <v>146</v>
      </c>
      <c r="C154" s="107">
        <v>16218762.818343192</v>
      </c>
      <c r="D154" s="107">
        <v>9804907.3581312597</v>
      </c>
      <c r="E154" s="107">
        <v>8563109.7873210758</v>
      </c>
      <c r="F154" s="107">
        <v>14209607.997861475</v>
      </c>
      <c r="G154" s="107">
        <v>8372771.8052443713</v>
      </c>
      <c r="H154" s="107">
        <v>5116611.5166603178</v>
      </c>
      <c r="I154" s="107">
        <v>4618270.1051963568</v>
      </c>
    </row>
    <row r="155" spans="2:9">
      <c r="B155" s="105">
        <v>147</v>
      </c>
      <c r="C155" s="107">
        <v>9510171.0642829388</v>
      </c>
      <c r="D155" s="107">
        <v>17019934.960944697</v>
      </c>
      <c r="E155" s="107">
        <v>10324800.638763428</v>
      </c>
      <c r="F155" s="107">
        <v>10341752.654856518</v>
      </c>
      <c r="G155" s="107">
        <v>11997746.627112329</v>
      </c>
      <c r="H155" s="107">
        <v>450984.95457223058</v>
      </c>
      <c r="I155" s="107">
        <v>34731.62797665596</v>
      </c>
    </row>
    <row r="156" spans="2:9">
      <c r="B156" s="105">
        <v>148</v>
      </c>
      <c r="C156" s="107">
        <v>20904479.609010994</v>
      </c>
      <c r="D156" s="107">
        <v>3173087.9283796847</v>
      </c>
      <c r="E156" s="107">
        <v>4787971.5600714087</v>
      </c>
      <c r="F156" s="107">
        <v>11479012.198447376</v>
      </c>
      <c r="G156" s="107">
        <v>11583625.753316194</v>
      </c>
      <c r="H156" s="107">
        <v>10705322.111391336</v>
      </c>
      <c r="I156" s="107">
        <v>-2955281.0410933048</v>
      </c>
    </row>
    <row r="157" spans="2:9">
      <c r="B157" s="105">
        <v>149</v>
      </c>
      <c r="C157" s="107">
        <v>12526343.821589053</v>
      </c>
      <c r="D157" s="107">
        <v>23396219.422197685</v>
      </c>
      <c r="E157" s="107">
        <v>2466747.1001424789</v>
      </c>
      <c r="F157" s="107">
        <v>10649589.946067572</v>
      </c>
      <c r="G157" s="107">
        <v>2864566.2584258169</v>
      </c>
      <c r="H157" s="107">
        <v>21832384.663085312</v>
      </c>
      <c r="I157" s="107">
        <v>8019623.4030534923</v>
      </c>
    </row>
    <row r="158" spans="2:9">
      <c r="B158" s="105">
        <v>150</v>
      </c>
      <c r="C158" s="107">
        <v>21456577.866519824</v>
      </c>
      <c r="D158" s="107">
        <v>24192877.907339901</v>
      </c>
      <c r="E158" s="107">
        <v>10226684.874065593</v>
      </c>
      <c r="F158" s="107">
        <v>8509271.8588876277</v>
      </c>
      <c r="G158" s="107">
        <v>4042770.7933672816</v>
      </c>
      <c r="H158" s="107">
        <v>5305703.2467613816</v>
      </c>
      <c r="I158" s="107">
        <v>-386359.21806648374</v>
      </c>
    </row>
    <row r="159" spans="2:9">
      <c r="B159" s="105">
        <v>151</v>
      </c>
      <c r="C159" s="107">
        <v>22992821.729969785</v>
      </c>
      <c r="D159" s="107">
        <v>13754028.876510262</v>
      </c>
      <c r="E159" s="107">
        <v>14090525.230073586</v>
      </c>
      <c r="F159" s="107">
        <v>15748782.232421443</v>
      </c>
      <c r="G159" s="107">
        <v>13217536.33772248</v>
      </c>
      <c r="H159" s="107">
        <v>1957556.1793256402</v>
      </c>
      <c r="I159" s="107">
        <v>8920163.683056742</v>
      </c>
    </row>
    <row r="160" spans="2:9">
      <c r="B160" s="105">
        <v>152</v>
      </c>
      <c r="C160" s="107">
        <v>5406040.9403802752</v>
      </c>
      <c r="D160" s="107">
        <v>19340103.201218724</v>
      </c>
      <c r="E160" s="107">
        <v>10294518.843755096</v>
      </c>
      <c r="F160" s="107">
        <v>8130971.6112917811</v>
      </c>
      <c r="G160" s="107">
        <v>12585111.659011841</v>
      </c>
      <c r="H160" s="107">
        <v>-3304693.5716564506</v>
      </c>
      <c r="I160" s="107">
        <v>12148550.35397841</v>
      </c>
    </row>
    <row r="161" spans="2:9">
      <c r="B161" s="105">
        <v>153</v>
      </c>
      <c r="C161" s="107">
        <v>26400904.270707726</v>
      </c>
      <c r="D161" s="107">
        <v>5697444.4030115306</v>
      </c>
      <c r="E161" s="107">
        <v>15923433.044068724</v>
      </c>
      <c r="F161" s="107">
        <v>11281763.283590019</v>
      </c>
      <c r="G161" s="107">
        <v>-1110830.055987224</v>
      </c>
      <c r="H161" s="107">
        <v>5563539.785590142</v>
      </c>
      <c r="I161" s="107">
        <v>6284235.7888276875</v>
      </c>
    </row>
    <row r="162" spans="2:9">
      <c r="B162" s="105">
        <v>154</v>
      </c>
      <c r="C162" s="107">
        <v>10971199.581821337</v>
      </c>
      <c r="D162" s="107">
        <v>10764272.278431326</v>
      </c>
      <c r="E162" s="107">
        <v>17660945.782373831</v>
      </c>
      <c r="F162" s="107">
        <v>2504742.3352651447</v>
      </c>
      <c r="G162" s="107">
        <v>2035145.0033850968</v>
      </c>
      <c r="H162" s="107">
        <v>3068262.459223032</v>
      </c>
      <c r="I162" s="107">
        <v>2288591.9531705827</v>
      </c>
    </row>
    <row r="163" spans="2:9">
      <c r="B163" s="105">
        <v>155</v>
      </c>
      <c r="C163" s="107">
        <v>13452545.554190651</v>
      </c>
      <c r="D163" s="107">
        <v>21855931.408687502</v>
      </c>
      <c r="E163" s="107">
        <v>10436651.700514138</v>
      </c>
      <c r="F163" s="107">
        <v>15561684.319905937</v>
      </c>
      <c r="G163" s="107">
        <v>13972855.575157255</v>
      </c>
      <c r="H163" s="107">
        <v>6350463.8682650626</v>
      </c>
      <c r="I163" s="107">
        <v>4892439.8617935479</v>
      </c>
    </row>
    <row r="164" spans="2:9">
      <c r="B164" s="105">
        <v>156</v>
      </c>
      <c r="C164" s="107">
        <v>15319957.813642159</v>
      </c>
      <c r="D164" s="107">
        <v>9251883.1353024989</v>
      </c>
      <c r="E164" s="107">
        <v>-3728542.8100887984</v>
      </c>
      <c r="F164" s="107">
        <v>17717076.96987097</v>
      </c>
      <c r="G164" s="107">
        <v>5479509.6379335821</v>
      </c>
      <c r="H164" s="107">
        <v>1310874.1254220605</v>
      </c>
      <c r="I164" s="107">
        <v>3455782.2571758777</v>
      </c>
    </row>
    <row r="165" spans="2:9">
      <c r="B165" s="105">
        <v>157</v>
      </c>
      <c r="C165" s="107">
        <v>-3457898.5908578336</v>
      </c>
      <c r="D165" s="107">
        <v>17649845.245618373</v>
      </c>
      <c r="E165" s="107">
        <v>7679644.3775686771</v>
      </c>
      <c r="F165" s="107">
        <v>15453501.414150655</v>
      </c>
      <c r="G165" s="107">
        <v>3938107.8362366855</v>
      </c>
      <c r="H165" s="107">
        <v>1653193.8088401109</v>
      </c>
      <c r="I165" s="107">
        <v>9839499.0310787559</v>
      </c>
    </row>
    <row r="166" spans="2:9">
      <c r="B166" s="105">
        <v>158</v>
      </c>
      <c r="C166" s="107">
        <v>9548836.1603921652</v>
      </c>
      <c r="D166" s="107">
        <v>8184400.9535012245</v>
      </c>
      <c r="E166" s="107">
        <v>9989296.9127419591</v>
      </c>
      <c r="F166" s="107">
        <v>5856465.4284147918</v>
      </c>
      <c r="G166" s="107">
        <v>-3102451.9161267728</v>
      </c>
      <c r="H166" s="107">
        <v>2497833.7510791719</v>
      </c>
      <c r="I166" s="107">
        <v>13390066.500506341</v>
      </c>
    </row>
    <row r="167" spans="2:9">
      <c r="B167" s="105">
        <v>159</v>
      </c>
      <c r="C167" s="107">
        <v>6079267.9787295014</v>
      </c>
      <c r="D167" s="107">
        <v>11574284.699252233</v>
      </c>
      <c r="E167" s="107">
        <v>9768261.3068684638</v>
      </c>
      <c r="F167" s="107">
        <v>19357691.512943998</v>
      </c>
      <c r="G167" s="107">
        <v>12928206.130300745</v>
      </c>
      <c r="H167" s="107">
        <v>10258090.143486023</v>
      </c>
      <c r="I167" s="107">
        <v>6650809.4207860529</v>
      </c>
    </row>
    <row r="168" spans="2:9">
      <c r="B168" s="105">
        <v>160</v>
      </c>
      <c r="C168" s="107">
        <v>23420045.531005979</v>
      </c>
      <c r="D168" s="107">
        <v>19844769.910183102</v>
      </c>
      <c r="E168" s="107">
        <v>12616790.339505404</v>
      </c>
      <c r="F168" s="107">
        <v>7883665.2032280117</v>
      </c>
      <c r="G168" s="107">
        <v>6174435.0702625513</v>
      </c>
      <c r="H168" s="107">
        <v>1128160.9518777132</v>
      </c>
      <c r="I168" s="107">
        <v>-1273992.6571264863</v>
      </c>
    </row>
    <row r="169" spans="2:9">
      <c r="B169" s="105">
        <v>161</v>
      </c>
      <c r="C169" s="107">
        <v>13772867.419089794</v>
      </c>
      <c r="D169" s="107">
        <v>1462821.3607312143</v>
      </c>
      <c r="E169" s="107">
        <v>3544404.7179914862</v>
      </c>
      <c r="F169" s="107">
        <v>-5343276.5716840625</v>
      </c>
      <c r="G169" s="107">
        <v>9674497.1473551542</v>
      </c>
      <c r="H169" s="107">
        <v>11536647.895968676</v>
      </c>
      <c r="I169" s="107">
        <v>3947757.5525717735</v>
      </c>
    </row>
    <row r="170" spans="2:9">
      <c r="B170" s="105">
        <v>162</v>
      </c>
      <c r="C170" s="107">
        <v>25558925.12356475</v>
      </c>
      <c r="D170" s="107">
        <v>12337273.232799068</v>
      </c>
      <c r="E170" s="107">
        <v>12566180.565926448</v>
      </c>
      <c r="F170" s="107">
        <v>22473172.394831032</v>
      </c>
      <c r="G170" s="107">
        <v>585602.44346100092</v>
      </c>
      <c r="H170" s="107">
        <v>-1256508.0862295628</v>
      </c>
      <c r="I170" s="107">
        <v>5008819.941870153</v>
      </c>
    </row>
    <row r="171" spans="2:9">
      <c r="B171" s="105">
        <v>163</v>
      </c>
      <c r="C171" s="107">
        <v>13285013.363431275</v>
      </c>
      <c r="D171" s="107">
        <v>13779740.727840051</v>
      </c>
      <c r="E171" s="107">
        <v>19602002.916422993</v>
      </c>
      <c r="F171" s="107">
        <v>15316094.315277591</v>
      </c>
      <c r="G171" s="107">
        <v>7707754.1297182143</v>
      </c>
      <c r="H171" s="107">
        <v>8389125.2130424678</v>
      </c>
      <c r="I171" s="107">
        <v>3206151.5232367218</v>
      </c>
    </row>
    <row r="172" spans="2:9">
      <c r="B172" s="105">
        <v>164</v>
      </c>
      <c r="C172" s="107">
        <v>19047643.100464433</v>
      </c>
      <c r="D172" s="107">
        <v>19094800.918153539</v>
      </c>
      <c r="E172" s="107">
        <v>9598494.8951262683</v>
      </c>
      <c r="F172" s="107">
        <v>8735684.9035797566</v>
      </c>
      <c r="G172" s="107">
        <v>15643178.967959881</v>
      </c>
      <c r="H172" s="107">
        <v>7259512.0803911239</v>
      </c>
      <c r="I172" s="107">
        <v>-11617894.489090234</v>
      </c>
    </row>
    <row r="173" spans="2:9">
      <c r="B173" s="105">
        <v>165</v>
      </c>
      <c r="C173" s="107">
        <v>17753005.313468397</v>
      </c>
      <c r="D173" s="107">
        <v>14185348.30851528</v>
      </c>
      <c r="E173" s="107">
        <v>6582810.4831699729</v>
      </c>
      <c r="F173" s="107">
        <v>7884802.426910758</v>
      </c>
      <c r="G173" s="107">
        <v>3737387.7408142835</v>
      </c>
      <c r="H173" s="107">
        <v>11765171.517626792</v>
      </c>
      <c r="I173" s="107">
        <v>1873643.7138526589</v>
      </c>
    </row>
    <row r="174" spans="2:9">
      <c r="B174" s="105">
        <v>166</v>
      </c>
      <c r="C174" s="107">
        <v>8086591.437272042</v>
      </c>
      <c r="D174" s="107">
        <v>19400655.425833121</v>
      </c>
      <c r="E174" s="107">
        <v>7679344.5693284571</v>
      </c>
      <c r="F174" s="107">
        <v>13639974.636770561</v>
      </c>
      <c r="G174" s="107">
        <v>17335414.179185346</v>
      </c>
      <c r="H174" s="107">
        <v>-2776978.9661569893</v>
      </c>
      <c r="I174" s="107">
        <v>7745581.2862862051</v>
      </c>
    </row>
    <row r="175" spans="2:9">
      <c r="B175" s="105">
        <v>167</v>
      </c>
      <c r="C175" s="107">
        <v>27877714.779387638</v>
      </c>
      <c r="D175" s="107">
        <v>10900927.995281681</v>
      </c>
      <c r="E175" s="107">
        <v>10413040.940810055</v>
      </c>
      <c r="F175" s="107">
        <v>-8490373.3499437571</v>
      </c>
      <c r="G175" s="107">
        <v>19061301.884113654</v>
      </c>
      <c r="H175" s="107">
        <v>3911360.8541928828</v>
      </c>
      <c r="I175" s="107">
        <v>14164853.380313158</v>
      </c>
    </row>
    <row r="176" spans="2:9">
      <c r="B176" s="105">
        <v>168</v>
      </c>
      <c r="C176" s="107">
        <v>14664874.170716286</v>
      </c>
      <c r="D176" s="107">
        <v>10813549.443179667</v>
      </c>
      <c r="E176" s="107">
        <v>12286636.320608109</v>
      </c>
      <c r="F176" s="107">
        <v>17151320.86508733</v>
      </c>
      <c r="G176" s="107">
        <v>-3039650.1250823885</v>
      </c>
      <c r="H176" s="107">
        <v>1177505.509876281</v>
      </c>
      <c r="I176" s="107">
        <v>9795499.4902067333</v>
      </c>
    </row>
    <row r="177" spans="2:9">
      <c r="B177" s="105">
        <v>169</v>
      </c>
      <c r="C177" s="107">
        <v>14234663.217844084</v>
      </c>
      <c r="D177" s="107">
        <v>15446035.787964478</v>
      </c>
      <c r="E177" s="107">
        <v>16913499.152976632</v>
      </c>
      <c r="F177" s="107">
        <v>13629985.837236494</v>
      </c>
      <c r="G177" s="107">
        <v>-810512.2937194854</v>
      </c>
      <c r="H177" s="107">
        <v>3800425.0328932703</v>
      </c>
      <c r="I177" s="107">
        <v>12159038.907783046</v>
      </c>
    </row>
    <row r="178" spans="2:9">
      <c r="B178" s="105">
        <v>170</v>
      </c>
      <c r="C178" s="107">
        <v>8488549.8889830709</v>
      </c>
      <c r="D178" s="107">
        <v>13021395.318204701</v>
      </c>
      <c r="E178" s="107">
        <v>7546533.2414568961</v>
      </c>
      <c r="F178" s="107">
        <v>3064678.1986635327</v>
      </c>
      <c r="G178" s="107">
        <v>19179644.574703634</v>
      </c>
      <c r="H178" s="107">
        <v>9896718.2230289578</v>
      </c>
      <c r="I178" s="107">
        <v>-3095657.1399222016</v>
      </c>
    </row>
    <row r="179" spans="2:9">
      <c r="B179" s="105">
        <v>171</v>
      </c>
      <c r="C179" s="107">
        <v>6824908.4032011926</v>
      </c>
      <c r="D179" s="107">
        <v>11912025.204996213</v>
      </c>
      <c r="E179" s="107">
        <v>3408814.7182719707</v>
      </c>
      <c r="F179" s="107">
        <v>13614034.903822511</v>
      </c>
      <c r="G179" s="107">
        <v>20591100.72278899</v>
      </c>
      <c r="H179" s="107">
        <v>-2930554.0462849438</v>
      </c>
      <c r="I179" s="107">
        <v>1550922.8928153813</v>
      </c>
    </row>
    <row r="180" spans="2:9">
      <c r="B180" s="105">
        <v>172</v>
      </c>
      <c r="C180" s="107">
        <v>16888394.690305263</v>
      </c>
      <c r="D180" s="107">
        <v>18275613.13026467</v>
      </c>
      <c r="E180" s="107">
        <v>9169495.4440455884</v>
      </c>
      <c r="F180" s="107">
        <v>7098840.3956483155</v>
      </c>
      <c r="G180" s="107">
        <v>15676800.339463741</v>
      </c>
      <c r="H180" s="107">
        <v>3097843.9883524626</v>
      </c>
      <c r="I180" s="107">
        <v>2248555.0682151318</v>
      </c>
    </row>
    <row r="181" spans="2:9">
      <c r="B181" s="105">
        <v>173</v>
      </c>
      <c r="C181" s="107">
        <v>23277891.661771566</v>
      </c>
      <c r="D181" s="107">
        <v>18843831.445003301</v>
      </c>
      <c r="E181" s="107">
        <v>4359639.0132182091</v>
      </c>
      <c r="F181" s="107">
        <v>-5167459.5529849827</v>
      </c>
      <c r="G181" s="107">
        <v>6610833.5347509086</v>
      </c>
      <c r="H181" s="107">
        <v>16308139.847144216</v>
      </c>
      <c r="I181" s="107">
        <v>622934.93397264183</v>
      </c>
    </row>
    <row r="182" spans="2:9">
      <c r="B182" s="105">
        <v>174</v>
      </c>
      <c r="C182" s="107">
        <v>15756504.44624877</v>
      </c>
      <c r="D182" s="107">
        <v>14872143.259465635</v>
      </c>
      <c r="E182" s="107">
        <v>24010289.656324178</v>
      </c>
      <c r="F182" s="107">
        <v>14703408.293257639</v>
      </c>
      <c r="G182" s="107">
        <v>2407304.0900862068</v>
      </c>
      <c r="H182" s="107">
        <v>7520780.0678392947</v>
      </c>
      <c r="I182" s="107">
        <v>15126527.011108994</v>
      </c>
    </row>
    <row r="183" spans="2:9">
      <c r="B183" s="105">
        <v>175</v>
      </c>
      <c r="C183" s="107">
        <v>23692057.223975077</v>
      </c>
      <c r="D183" s="107">
        <v>14849143.509070873</v>
      </c>
      <c r="E183" s="107">
        <v>14557881.194920242</v>
      </c>
      <c r="F183" s="107">
        <v>12948679.456876546</v>
      </c>
      <c r="G183" s="107">
        <v>10563796.023111284</v>
      </c>
      <c r="H183" s="107">
        <v>-8237159.6317299008</v>
      </c>
      <c r="I183" s="107">
        <v>3191539.7030318081</v>
      </c>
    </row>
    <row r="184" spans="2:9">
      <c r="B184" s="105">
        <v>176</v>
      </c>
      <c r="C184" s="107">
        <v>17747875.877772585</v>
      </c>
      <c r="D184" s="107">
        <v>18444201.684747636</v>
      </c>
      <c r="E184" s="107">
        <v>9400632.5333853066</v>
      </c>
      <c r="F184" s="107">
        <v>6486069.301169157</v>
      </c>
      <c r="G184" s="107">
        <v>6346263.5028412044</v>
      </c>
      <c r="H184" s="107">
        <v>5921951.7953199446</v>
      </c>
      <c r="I184" s="107">
        <v>2440021.1552362144</v>
      </c>
    </row>
    <row r="185" spans="2:9">
      <c r="B185" s="105">
        <v>177</v>
      </c>
      <c r="C185" s="107">
        <v>20773812.13656795</v>
      </c>
      <c r="D185" s="107">
        <v>14594289.256836072</v>
      </c>
      <c r="E185" s="107">
        <v>14158123.433339357</v>
      </c>
      <c r="F185" s="107">
        <v>15886950.319127977</v>
      </c>
      <c r="G185" s="107">
        <v>7577545.0048140734</v>
      </c>
      <c r="H185" s="107">
        <v>696194.05982221663</v>
      </c>
      <c r="I185" s="107">
        <v>-7741990.7058773488</v>
      </c>
    </row>
    <row r="186" spans="2:9">
      <c r="B186" s="105">
        <v>178</v>
      </c>
      <c r="C186" s="107">
        <v>13455969.953407481</v>
      </c>
      <c r="D186" s="107">
        <v>24987414.423345327</v>
      </c>
      <c r="E186" s="107">
        <v>10014348.281682581</v>
      </c>
      <c r="F186" s="107">
        <v>14489339.831258595</v>
      </c>
      <c r="G186" s="107">
        <v>20883927.937685475</v>
      </c>
      <c r="H186" s="107">
        <v>-2319098.905628711</v>
      </c>
      <c r="I186" s="107">
        <v>-4294244.7729689926</v>
      </c>
    </row>
    <row r="187" spans="2:9">
      <c r="B187" s="105">
        <v>179</v>
      </c>
      <c r="C187" s="107">
        <v>21363715.024923295</v>
      </c>
      <c r="D187" s="107">
        <v>16515703.01172246</v>
      </c>
      <c r="E187" s="107">
        <v>3348972.2764700949</v>
      </c>
      <c r="F187" s="107">
        <v>6326913.4680616856</v>
      </c>
      <c r="G187" s="107">
        <v>2282280.3835068196</v>
      </c>
      <c r="H187" s="107">
        <v>-1489238.6372205764</v>
      </c>
      <c r="I187" s="107">
        <v>3384697.8719471991</v>
      </c>
    </row>
    <row r="188" spans="2:9">
      <c r="B188" s="105">
        <v>180</v>
      </c>
      <c r="C188" s="107">
        <v>12064584.876697555</v>
      </c>
      <c r="D188" s="107">
        <v>16992790.976178929</v>
      </c>
      <c r="E188" s="107">
        <v>20506384.721191138</v>
      </c>
      <c r="F188" s="107">
        <v>-1416025.814261198</v>
      </c>
      <c r="G188" s="107">
        <v>6048342.5204825997</v>
      </c>
      <c r="H188" s="107">
        <v>4476975.4872147441</v>
      </c>
      <c r="I188" s="107">
        <v>6262828.9200816154</v>
      </c>
    </row>
    <row r="189" spans="2:9">
      <c r="B189" s="105">
        <v>181</v>
      </c>
      <c r="C189" s="107">
        <v>28159574.739832804</v>
      </c>
      <c r="D189" s="107">
        <v>12210979.904668659</v>
      </c>
      <c r="E189" s="107">
        <v>19032784.088687733</v>
      </c>
      <c r="F189" s="107">
        <v>11986071.202725813</v>
      </c>
      <c r="G189" s="107">
        <v>417372.83840553463</v>
      </c>
      <c r="H189" s="107">
        <v>10469984.881758407</v>
      </c>
      <c r="I189" s="107">
        <v>4720257.6252423823</v>
      </c>
    </row>
    <row r="190" spans="2:9">
      <c r="B190" s="105">
        <v>182</v>
      </c>
      <c r="C190" s="107">
        <v>17796416.999746278</v>
      </c>
      <c r="D190" s="107">
        <v>14418582.895570949</v>
      </c>
      <c r="E190" s="107">
        <v>11132594.35740377</v>
      </c>
      <c r="F190" s="107">
        <v>7689185.8850137144</v>
      </c>
      <c r="G190" s="107">
        <v>13462112.077490926</v>
      </c>
      <c r="H190" s="107">
        <v>10993606.44835262</v>
      </c>
      <c r="I190" s="107">
        <v>6524615.7597381771</v>
      </c>
    </row>
    <row r="191" spans="2:9">
      <c r="B191" s="105">
        <v>183</v>
      </c>
      <c r="C191" s="107">
        <v>663934.9143537581</v>
      </c>
      <c r="D191" s="107">
        <v>13560407.523681507</v>
      </c>
      <c r="E191" s="107">
        <v>16895299.618982509</v>
      </c>
      <c r="F191" s="107">
        <v>4068921.1285998821</v>
      </c>
      <c r="G191" s="107">
        <v>20989351.657918394</v>
      </c>
      <c r="H191" s="107">
        <v>-544117.06577783823</v>
      </c>
      <c r="I191" s="107">
        <v>3747344.443074584</v>
      </c>
    </row>
    <row r="192" spans="2:9">
      <c r="B192" s="105">
        <v>184</v>
      </c>
      <c r="C192" s="107">
        <v>4791589.2332463562</v>
      </c>
      <c r="D192" s="107">
        <v>10934447.675837666</v>
      </c>
      <c r="E192" s="107">
        <v>17884732.318561837</v>
      </c>
      <c r="F192" s="107">
        <v>14474913.35608156</v>
      </c>
      <c r="G192" s="107">
        <v>5101003.8473284543</v>
      </c>
      <c r="H192" s="107">
        <v>8643665.1895976216</v>
      </c>
      <c r="I192" s="107">
        <v>11294216.17841509</v>
      </c>
    </row>
    <row r="193" spans="2:9">
      <c r="B193" s="105">
        <v>185</v>
      </c>
      <c r="C193" s="107">
        <v>25618246.493222564</v>
      </c>
      <c r="D193" s="107">
        <v>14186698.69933711</v>
      </c>
      <c r="E193" s="107">
        <v>13806467.748365536</v>
      </c>
      <c r="F193" s="107">
        <v>4645322.0791458935</v>
      </c>
      <c r="G193" s="107">
        <v>-4171877.5209536552</v>
      </c>
      <c r="H193" s="107">
        <v>1710424.0286418498</v>
      </c>
      <c r="I193" s="107">
        <v>7421064.6921622157</v>
      </c>
    </row>
    <row r="194" spans="2:9">
      <c r="B194" s="105">
        <v>186</v>
      </c>
      <c r="C194" s="107">
        <v>16805653.418216169</v>
      </c>
      <c r="D194" s="107">
        <v>10969866.789246738</v>
      </c>
      <c r="E194" s="107">
        <v>12305253.235485777</v>
      </c>
      <c r="F194" s="107">
        <v>18317260.473885387</v>
      </c>
      <c r="G194" s="107">
        <v>12481400.047965974</v>
      </c>
      <c r="H194" s="107">
        <v>13999299.814310938</v>
      </c>
      <c r="I194" s="107">
        <v>10108867.304149359</v>
      </c>
    </row>
    <row r="195" spans="2:9">
      <c r="B195" s="105">
        <v>187</v>
      </c>
      <c r="C195" s="107">
        <v>16091360.654085845</v>
      </c>
      <c r="D195" s="107">
        <v>14575081.065560102</v>
      </c>
      <c r="E195" s="107">
        <v>14018197.312183961</v>
      </c>
      <c r="F195" s="107">
        <v>3975229.5551006496</v>
      </c>
      <c r="G195" s="107">
        <v>2405456.612642169</v>
      </c>
      <c r="H195" s="107">
        <v>8067803.2866716683</v>
      </c>
      <c r="I195" s="107">
        <v>-1305848.5194143504</v>
      </c>
    </row>
    <row r="196" spans="2:9">
      <c r="B196" s="105">
        <v>188</v>
      </c>
      <c r="C196" s="107">
        <v>16950729.571823537</v>
      </c>
      <c r="D196" s="107">
        <v>12485052.818636835</v>
      </c>
      <c r="E196" s="107">
        <v>10115111.328255892</v>
      </c>
      <c r="F196" s="107">
        <v>19423000.750308365</v>
      </c>
      <c r="G196" s="107">
        <v>15113691.321934789</v>
      </c>
      <c r="H196" s="107">
        <v>13051237.408356398</v>
      </c>
      <c r="I196" s="107">
        <v>-798487.25503687561</v>
      </c>
    </row>
    <row r="197" spans="2:9">
      <c r="B197" s="105">
        <v>189</v>
      </c>
      <c r="C197" s="107">
        <v>8303476.2426740676</v>
      </c>
      <c r="D197" s="107">
        <v>14325456.038110003</v>
      </c>
      <c r="E197" s="107">
        <v>-2765511.7400153577</v>
      </c>
      <c r="F197" s="107">
        <v>-1969818.5605865568</v>
      </c>
      <c r="G197" s="107">
        <v>4083852.0529758036</v>
      </c>
      <c r="H197" s="107">
        <v>8902508.1453578621</v>
      </c>
      <c r="I197" s="107">
        <v>-1185930.0666901171</v>
      </c>
    </row>
    <row r="198" spans="2:9">
      <c r="B198" s="105">
        <v>190</v>
      </c>
      <c r="C198" s="107">
        <v>6601704.4156986624</v>
      </c>
      <c r="D198" s="107">
        <v>5206827.7790834606</v>
      </c>
      <c r="E198" s="107">
        <v>4926125.1045309305</v>
      </c>
      <c r="F198" s="107">
        <v>10420105.314962715</v>
      </c>
      <c r="G198" s="107">
        <v>12292560.406585157</v>
      </c>
      <c r="H198" s="107">
        <v>5286827.4876487851</v>
      </c>
      <c r="I198" s="107">
        <v>3753012.7371810377</v>
      </c>
    </row>
    <row r="199" spans="2:9">
      <c r="B199" s="105">
        <v>191</v>
      </c>
      <c r="C199" s="107">
        <v>22112751.018996328</v>
      </c>
      <c r="D199" s="107">
        <v>9768504.6779953092</v>
      </c>
      <c r="E199" s="107">
        <v>7300158.9529852569</v>
      </c>
      <c r="F199" s="107">
        <v>15298182.453406408</v>
      </c>
      <c r="G199" s="107">
        <v>11493167.249519199</v>
      </c>
      <c r="H199" s="107">
        <v>13454036.426783472</v>
      </c>
      <c r="I199" s="107">
        <v>2849694.8488683701</v>
      </c>
    </row>
    <row r="200" spans="2:9">
      <c r="B200" s="105">
        <v>192</v>
      </c>
      <c r="C200" s="107">
        <v>19505220.656772405</v>
      </c>
      <c r="D200" s="107">
        <v>21353209.812411144</v>
      </c>
      <c r="E200" s="107">
        <v>7702429.8008445352</v>
      </c>
      <c r="F200" s="107">
        <v>6140469.817230925</v>
      </c>
      <c r="G200" s="107">
        <v>-814097.62862558663</v>
      </c>
      <c r="H200" s="107">
        <v>1027583.9942235202</v>
      </c>
      <c r="I200" s="107">
        <v>8564353.9267424643</v>
      </c>
    </row>
    <row r="201" spans="2:9">
      <c r="B201" s="105">
        <v>193</v>
      </c>
      <c r="C201" s="107">
        <v>18654879.145411715</v>
      </c>
      <c r="D201" s="107">
        <v>9005977.1691284031</v>
      </c>
      <c r="E201" s="107">
        <v>16643004.14073877</v>
      </c>
      <c r="F201" s="107">
        <v>19809410.790016875</v>
      </c>
      <c r="G201" s="107">
        <v>-771465.83966182172</v>
      </c>
      <c r="H201" s="107">
        <v>9904536.7348686904</v>
      </c>
      <c r="I201" s="107">
        <v>3582916.8083076477</v>
      </c>
    </row>
    <row r="202" spans="2:9">
      <c r="B202" s="105">
        <v>194</v>
      </c>
      <c r="C202" s="107">
        <v>6178221.505865559</v>
      </c>
      <c r="D202" s="107">
        <v>17559588.958630145</v>
      </c>
      <c r="E202" s="107">
        <v>17184077.727363482</v>
      </c>
      <c r="F202" s="107">
        <v>22782963.012589186</v>
      </c>
      <c r="G202" s="107">
        <v>7968338.7158413529</v>
      </c>
      <c r="H202" s="107">
        <v>-1742655.6307888925</v>
      </c>
      <c r="I202" s="107">
        <v>4051530.8598280549</v>
      </c>
    </row>
    <row r="203" spans="2:9">
      <c r="B203" s="105">
        <v>195</v>
      </c>
      <c r="C203" s="107">
        <v>17176222.56333226</v>
      </c>
      <c r="D203" s="107">
        <v>12336744.298382252</v>
      </c>
      <c r="E203" s="107">
        <v>11684543.902162269</v>
      </c>
      <c r="F203" s="107">
        <v>9021381.6541649401</v>
      </c>
      <c r="G203" s="107">
        <v>5777031.2680435479</v>
      </c>
      <c r="H203" s="107">
        <v>-4049214.4564692378</v>
      </c>
      <c r="I203" s="107">
        <v>7287731.8575629592</v>
      </c>
    </row>
    <row r="204" spans="2:9">
      <c r="B204" s="105">
        <v>196</v>
      </c>
      <c r="C204" s="107">
        <v>16762627.699102253</v>
      </c>
      <c r="D204" s="107">
        <v>11980306.793050855</v>
      </c>
      <c r="E204" s="107">
        <v>13616798.614999816</v>
      </c>
      <c r="F204" s="107">
        <v>1842982.1413777173</v>
      </c>
      <c r="G204" s="107">
        <v>613579.42867536843</v>
      </c>
      <c r="H204" s="107">
        <v>13355180.741451025</v>
      </c>
      <c r="I204" s="107">
        <v>3699699.5306697488</v>
      </c>
    </row>
    <row r="205" spans="2:9">
      <c r="B205" s="105">
        <v>197</v>
      </c>
      <c r="C205" s="107">
        <v>19997817.740936324</v>
      </c>
      <c r="D205" s="107">
        <v>17499676.684935033</v>
      </c>
      <c r="E205" s="107">
        <v>12416983.016960979</v>
      </c>
      <c r="F205" s="107">
        <v>3107510.3515711874</v>
      </c>
      <c r="G205" s="107">
        <v>14085726.254629195</v>
      </c>
      <c r="H205" s="107">
        <v>20034297.206475228</v>
      </c>
      <c r="I205" s="107">
        <v>-3195164.1567901671</v>
      </c>
    </row>
    <row r="206" spans="2:9">
      <c r="B206" s="105">
        <v>198</v>
      </c>
      <c r="C206" s="107">
        <v>12688900.951122031</v>
      </c>
      <c r="D206" s="107">
        <v>15820543.249841169</v>
      </c>
      <c r="E206" s="107">
        <v>6953341.4307335019</v>
      </c>
      <c r="F206" s="107">
        <v>15692226.587901339</v>
      </c>
      <c r="G206" s="107">
        <v>13054807.253757477</v>
      </c>
      <c r="H206" s="107">
        <v>6395718.4611448348</v>
      </c>
      <c r="I206" s="107">
        <v>1556769.6716350913</v>
      </c>
    </row>
    <row r="207" spans="2:9">
      <c r="B207" s="105">
        <v>199</v>
      </c>
      <c r="C207" s="107">
        <v>7917101.3153572083</v>
      </c>
      <c r="D207" s="107">
        <v>18764521.448823661</v>
      </c>
      <c r="E207" s="107">
        <v>16868077.064894184</v>
      </c>
      <c r="F207" s="107">
        <v>7048396.5481120646</v>
      </c>
      <c r="G207" s="107">
        <v>8643204.9237475991</v>
      </c>
      <c r="H207" s="107">
        <v>12241365.345483005</v>
      </c>
      <c r="I207" s="107">
        <v>2942247.7196496725</v>
      </c>
    </row>
    <row r="208" spans="2:9">
      <c r="B208" s="105">
        <v>200</v>
      </c>
      <c r="C208" s="107">
        <v>14683170.993513942</v>
      </c>
      <c r="D208" s="107">
        <v>6255546.7356345654</v>
      </c>
      <c r="E208" s="107">
        <v>3226853.7741523981</v>
      </c>
      <c r="F208" s="107">
        <v>8364615.0927834511</v>
      </c>
      <c r="G208" s="107">
        <v>10053413.594779789</v>
      </c>
      <c r="H208" s="107">
        <v>10771257.72628291</v>
      </c>
      <c r="I208" s="107">
        <v>5933590.7414160073</v>
      </c>
    </row>
  </sheetData>
  <mergeCells count="1">
    <mergeCell ref="C6:I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93652-B5FC-8B4D-B25E-B1458CD080F7}">
  <sheetPr codeName="Arkusz26">
    <tabColor theme="0" tint="-0.499984740745262"/>
  </sheetPr>
  <dimension ref="A4:I208"/>
  <sheetViews>
    <sheetView workbookViewId="0"/>
  </sheetViews>
  <sheetFormatPr defaultColWidth="10.77734375" defaultRowHeight="13.2"/>
  <cols>
    <col min="1" max="1" width="10.77734375" style="36"/>
    <col min="2" max="5" width="17.44140625" style="36" customWidth="1"/>
    <col min="6" max="6" width="15.6640625" style="36" customWidth="1"/>
    <col min="7" max="9" width="17.44140625" style="36" customWidth="1"/>
    <col min="10" max="16384" width="10.77734375" style="36"/>
  </cols>
  <sheetData>
    <row r="4" spans="1:9">
      <c r="B4" s="73" t="s">
        <v>122</v>
      </c>
      <c r="C4" s="97">
        <f>AVERAGE(C9:C208)</f>
        <v>18510822.054508783</v>
      </c>
      <c r="D4" s="97">
        <f t="shared" ref="D4:I4" si="0">AVERAGE(D9:D208)</f>
        <v>15193819.531227419</v>
      </c>
      <c r="E4" s="97">
        <f t="shared" si="0"/>
        <v>13204574.93339036</v>
      </c>
      <c r="F4" s="97">
        <f t="shared" si="0"/>
        <v>11668814.019053221</v>
      </c>
      <c r="G4" s="97">
        <f t="shared" si="0"/>
        <v>9166191.116360696</v>
      </c>
      <c r="H4" s="97">
        <f t="shared" si="0"/>
        <v>6564603.671820377</v>
      </c>
      <c r="I4" s="97">
        <f t="shared" si="0"/>
        <v>5130383.5575279538</v>
      </c>
    </row>
    <row r="6" spans="1:9" ht="15.6">
      <c r="C6" s="211" t="s">
        <v>134</v>
      </c>
      <c r="D6" s="211"/>
      <c r="E6" s="211"/>
      <c r="F6" s="211"/>
      <c r="G6" s="211"/>
      <c r="H6" s="211"/>
      <c r="I6" s="211"/>
    </row>
    <row r="7" spans="1:9">
      <c r="B7" s="104" t="s">
        <v>10</v>
      </c>
      <c r="C7" s="106">
        <v>-0.15</v>
      </c>
      <c r="D7" s="106">
        <v>-0.1</v>
      </c>
      <c r="E7" s="106">
        <v>-0.05</v>
      </c>
      <c r="F7" s="106">
        <v>0</v>
      </c>
      <c r="G7" s="106">
        <v>0.05</v>
      </c>
      <c r="H7" s="106">
        <v>0.1</v>
      </c>
      <c r="I7" s="106">
        <v>0.15</v>
      </c>
    </row>
    <row r="8" spans="1:9">
      <c r="A8" s="73" t="s">
        <v>135</v>
      </c>
      <c r="B8" s="108">
        <v>3580272.1297307611</v>
      </c>
      <c r="C8" s="109">
        <v>36341606.868500002</v>
      </c>
      <c r="D8" s="109">
        <v>38479348.449000001</v>
      </c>
      <c r="E8" s="109">
        <v>40617090.0295</v>
      </c>
      <c r="F8" s="109">
        <v>42754831.609999999</v>
      </c>
      <c r="G8" s="109">
        <v>44892573.190499999</v>
      </c>
      <c r="H8" s="109">
        <v>47030314.771000005</v>
      </c>
      <c r="I8" s="109">
        <v>49168056.351499997</v>
      </c>
    </row>
    <row r="9" spans="1:9">
      <c r="B9" s="105">
        <v>1</v>
      </c>
      <c r="C9" s="107">
        <v>8616435.2812540531</v>
      </c>
      <c r="D9" s="107">
        <v>16539120.167006895</v>
      </c>
      <c r="E9" s="107">
        <v>29745435.46563825</v>
      </c>
      <c r="F9" s="107">
        <v>8693577.976608932</v>
      </c>
      <c r="G9" s="107">
        <v>9472416.1505265534</v>
      </c>
      <c r="H9" s="107">
        <v>-2079421.3586842567</v>
      </c>
      <c r="I9" s="107">
        <v>1718390.399125427</v>
      </c>
    </row>
    <row r="10" spans="1:9">
      <c r="B10" s="105">
        <v>2</v>
      </c>
      <c r="C10" s="107">
        <v>19850352.898325488</v>
      </c>
      <c r="D10" s="107">
        <v>29513771.422677115</v>
      </c>
      <c r="E10" s="107">
        <v>10244578.370802909</v>
      </c>
      <c r="F10" s="107">
        <v>22420800.666875899</v>
      </c>
      <c r="G10" s="107">
        <v>9461110.5663647056</v>
      </c>
      <c r="H10" s="107">
        <v>5073172.921410799</v>
      </c>
      <c r="I10" s="107">
        <v>-3452929.7039084733</v>
      </c>
    </row>
    <row r="11" spans="1:9">
      <c r="B11" s="105">
        <v>3</v>
      </c>
      <c r="C11" s="107">
        <v>12247414.890403643</v>
      </c>
      <c r="D11" s="107">
        <v>6605042.3927305639</v>
      </c>
      <c r="E11" s="107">
        <v>9692125.2400398254</v>
      </c>
      <c r="F11" s="107">
        <v>9580684.8776973635</v>
      </c>
      <c r="G11" s="107">
        <v>14732654.222990379</v>
      </c>
      <c r="H11" s="107">
        <v>5815862.9448228627</v>
      </c>
      <c r="I11" s="107">
        <v>5867663.6853613108</v>
      </c>
    </row>
    <row r="12" spans="1:9">
      <c r="B12" s="105">
        <v>4</v>
      </c>
      <c r="C12" s="107">
        <v>25916210.096313193</v>
      </c>
      <c r="D12" s="107">
        <v>17509344.503227636</v>
      </c>
      <c r="E12" s="107">
        <v>7836819.9454692453</v>
      </c>
      <c r="F12" s="107">
        <v>17261639.377215728</v>
      </c>
      <c r="G12" s="107">
        <v>9647189.8415860832</v>
      </c>
      <c r="H12" s="107">
        <v>4235245.7017024606</v>
      </c>
      <c r="I12" s="107">
        <v>5387778.8214704096</v>
      </c>
    </row>
    <row r="13" spans="1:9">
      <c r="B13" s="105">
        <v>5</v>
      </c>
      <c r="C13" s="107">
        <v>16910930.588702381</v>
      </c>
      <c r="D13" s="107">
        <v>16109555.327219814</v>
      </c>
      <c r="E13" s="107">
        <v>18139390.003371999</v>
      </c>
      <c r="F13" s="107">
        <v>-610439.41153021157</v>
      </c>
      <c r="G13" s="107">
        <v>9697159.3288243562</v>
      </c>
      <c r="H13" s="107">
        <v>1376643.3582618535</v>
      </c>
      <c r="I13" s="107">
        <v>7877843.3547955602</v>
      </c>
    </row>
    <row r="14" spans="1:9">
      <c r="B14" s="105">
        <v>6</v>
      </c>
      <c r="C14" s="107">
        <v>21573836.695519909</v>
      </c>
      <c r="D14" s="107">
        <v>19889543.682288766</v>
      </c>
      <c r="E14" s="107">
        <v>4961243.5608936548</v>
      </c>
      <c r="F14" s="107">
        <v>12625851.823141381</v>
      </c>
      <c r="G14" s="107">
        <v>8626407.3687212467</v>
      </c>
      <c r="H14" s="107">
        <v>12846682.421798334</v>
      </c>
      <c r="I14" s="107">
        <v>-3729167.1987711787</v>
      </c>
    </row>
    <row r="15" spans="1:9">
      <c r="B15" s="105">
        <v>7</v>
      </c>
      <c r="C15" s="107">
        <v>17015201.549678564</v>
      </c>
      <c r="D15" s="107">
        <v>14975403.646178901</v>
      </c>
      <c r="E15" s="107">
        <v>22156063.221504435</v>
      </c>
      <c r="F15" s="107">
        <v>10042052.134388909</v>
      </c>
      <c r="G15" s="107">
        <v>5411016.0262652785</v>
      </c>
      <c r="H15" s="107">
        <v>4720250.7169397026</v>
      </c>
      <c r="I15" s="107">
        <v>6558602.137475729</v>
      </c>
    </row>
    <row r="16" spans="1:9">
      <c r="B16" s="105">
        <v>8</v>
      </c>
      <c r="C16" s="107">
        <v>24339810.18816489</v>
      </c>
      <c r="D16" s="107">
        <v>10854793.551342636</v>
      </c>
      <c r="E16" s="107">
        <v>14339773.895470783</v>
      </c>
      <c r="F16" s="107">
        <v>14021922.931425393</v>
      </c>
      <c r="G16" s="107">
        <v>8961103.0046489686</v>
      </c>
      <c r="H16" s="107">
        <v>10179950.754323453</v>
      </c>
      <c r="I16" s="107">
        <v>6148572.2995663881</v>
      </c>
    </row>
    <row r="17" spans="2:9">
      <c r="B17" s="105">
        <v>9</v>
      </c>
      <c r="C17" s="107">
        <v>31461837.132417262</v>
      </c>
      <c r="D17" s="107">
        <v>8607292.1676304787</v>
      </c>
      <c r="E17" s="107">
        <v>6318616.43095164</v>
      </c>
      <c r="F17" s="107">
        <v>6318613.1976870447</v>
      </c>
      <c r="G17" s="107">
        <v>12964549.14492546</v>
      </c>
      <c r="H17" s="107">
        <v>2646555.9402095377</v>
      </c>
      <c r="I17" s="107">
        <v>1579622.8123675287</v>
      </c>
    </row>
    <row r="18" spans="2:9">
      <c r="B18" s="105">
        <v>10</v>
      </c>
      <c r="C18" s="107">
        <v>15900164.609332785</v>
      </c>
      <c r="D18" s="107">
        <v>23197784.776753411</v>
      </c>
      <c r="E18" s="107">
        <v>17161403.130727246</v>
      </c>
      <c r="F18" s="107">
        <v>10467831.746202126</v>
      </c>
      <c r="G18" s="107">
        <v>-1268456.6623652577</v>
      </c>
      <c r="H18" s="107">
        <v>9640045.8672321588</v>
      </c>
      <c r="I18" s="107">
        <v>9168340.0509482175</v>
      </c>
    </row>
    <row r="19" spans="2:9">
      <c r="B19" s="105">
        <v>11</v>
      </c>
      <c r="C19" s="107">
        <v>17596799.900894269</v>
      </c>
      <c r="D19" s="107">
        <v>21684688.276260152</v>
      </c>
      <c r="E19" s="107">
        <v>21879550.972639501</v>
      </c>
      <c r="F19" s="107">
        <v>-658140.51880173385</v>
      </c>
      <c r="G19" s="107">
        <v>24042288.507684812</v>
      </c>
      <c r="H19" s="107">
        <v>17462552.245045006</v>
      </c>
      <c r="I19" s="107">
        <v>4754518.6638240218</v>
      </c>
    </row>
    <row r="20" spans="2:9">
      <c r="B20" s="105">
        <v>12</v>
      </c>
      <c r="C20" s="107">
        <v>15623600.353674009</v>
      </c>
      <c r="D20" s="107">
        <v>13828735.440837935</v>
      </c>
      <c r="E20" s="107">
        <v>21693482.086591184</v>
      </c>
      <c r="F20" s="107">
        <v>5181376.8722328842</v>
      </c>
      <c r="G20" s="107">
        <v>13914745.764842033</v>
      </c>
      <c r="H20" s="107">
        <v>-2958132.5429239124</v>
      </c>
      <c r="I20" s="107">
        <v>6953498.6713747978</v>
      </c>
    </row>
    <row r="21" spans="2:9">
      <c r="B21" s="105">
        <v>13</v>
      </c>
      <c r="C21" s="107">
        <v>10828537.46227631</v>
      </c>
      <c r="D21" s="107">
        <v>12231343.320904121</v>
      </c>
      <c r="E21" s="107">
        <v>12897348.215651572</v>
      </c>
      <c r="F21" s="107">
        <v>11487077.478114575</v>
      </c>
      <c r="G21" s="107">
        <v>14792993.706817687</v>
      </c>
      <c r="H21" s="107">
        <v>9068418.6600616723</v>
      </c>
      <c r="I21" s="107">
        <v>112145.61141355336</v>
      </c>
    </row>
    <row r="22" spans="2:9">
      <c r="B22" s="105">
        <v>14</v>
      </c>
      <c r="C22" s="107">
        <v>24916134.224735022</v>
      </c>
      <c r="D22" s="107">
        <v>17563180.110300213</v>
      </c>
      <c r="E22" s="107">
        <v>13156485.396517262</v>
      </c>
      <c r="F22" s="107">
        <v>17791930.905203357</v>
      </c>
      <c r="G22" s="107">
        <v>9650146.1609675288</v>
      </c>
      <c r="H22" s="107">
        <v>4720620.6485895663</v>
      </c>
      <c r="I22" s="107">
        <v>5225328.4556003958</v>
      </c>
    </row>
    <row r="23" spans="2:9">
      <c r="B23" s="105">
        <v>15</v>
      </c>
      <c r="C23" s="107">
        <v>20357235.784198508</v>
      </c>
      <c r="D23" s="107">
        <v>7602611.9624411613</v>
      </c>
      <c r="E23" s="107">
        <v>18669141.211409286</v>
      </c>
      <c r="F23" s="107">
        <v>13835079.261480987</v>
      </c>
      <c r="G23" s="107">
        <v>13275175.74279809</v>
      </c>
      <c r="H23" s="107">
        <v>420545.5817964226</v>
      </c>
      <c r="I23" s="107">
        <v>6008925.0512994379</v>
      </c>
    </row>
    <row r="24" spans="2:9">
      <c r="B24" s="105">
        <v>16</v>
      </c>
      <c r="C24" s="107">
        <v>17761491.380296618</v>
      </c>
      <c r="D24" s="107">
        <v>16884157.823036909</v>
      </c>
      <c r="E24" s="107">
        <v>16671209.71514678</v>
      </c>
      <c r="F24" s="107">
        <v>7587332.4881385416</v>
      </c>
      <c r="G24" s="107">
        <v>12177502.14822115</v>
      </c>
      <c r="H24" s="107">
        <v>5491349.9839427024</v>
      </c>
      <c r="I24" s="107">
        <v>9451921.2857465744</v>
      </c>
    </row>
    <row r="25" spans="2:9">
      <c r="B25" s="105">
        <v>17</v>
      </c>
      <c r="C25" s="107">
        <v>8559305.8051245213</v>
      </c>
      <c r="D25" s="107">
        <v>8959144.377165705</v>
      </c>
      <c r="E25" s="107">
        <v>11105680.224415392</v>
      </c>
      <c r="F25" s="107">
        <v>3683578.3902428895</v>
      </c>
      <c r="G25" s="107">
        <v>1569941.4385391027</v>
      </c>
      <c r="H25" s="107">
        <v>10253579.205572113</v>
      </c>
      <c r="I25" s="107">
        <v>4707881.1042161435</v>
      </c>
    </row>
    <row r="26" spans="2:9">
      <c r="B26" s="105">
        <v>18</v>
      </c>
      <c r="C26" s="107">
        <v>25056203.308711544</v>
      </c>
      <c r="D26" s="107">
        <v>8880140.0858144909</v>
      </c>
      <c r="E26" s="107">
        <v>3684243.8915270567</v>
      </c>
      <c r="F26" s="107">
        <v>16725174.855189651</v>
      </c>
      <c r="G26" s="107">
        <v>9501809.1133664846</v>
      </c>
      <c r="H26" s="107">
        <v>5550118.9274128228</v>
      </c>
      <c r="I26" s="107">
        <v>-2901486.6290677935</v>
      </c>
    </row>
    <row r="27" spans="2:9">
      <c r="B27" s="105">
        <v>19</v>
      </c>
      <c r="C27" s="107">
        <v>14557753.430529892</v>
      </c>
      <c r="D27" s="107">
        <v>18610843.837437823</v>
      </c>
      <c r="E27" s="107">
        <v>11750707.146591648</v>
      </c>
      <c r="F27" s="107">
        <v>16178818.898004264</v>
      </c>
      <c r="G27" s="107">
        <v>6410119.0393324047</v>
      </c>
      <c r="H27" s="107">
        <v>3265537.8539482653</v>
      </c>
      <c r="I27" s="107">
        <v>1010465.9701096565</v>
      </c>
    </row>
    <row r="28" spans="2:9">
      <c r="B28" s="105">
        <v>20</v>
      </c>
      <c r="C28" s="107">
        <v>14550323.275917381</v>
      </c>
      <c r="D28" s="107">
        <v>9633335.0064901412</v>
      </c>
      <c r="E28" s="107">
        <v>6587343.4357714057</v>
      </c>
      <c r="F28" s="107">
        <v>12516987.449158952</v>
      </c>
      <c r="G28" s="107">
        <v>15027957.24583599</v>
      </c>
      <c r="H28" s="107">
        <v>9814731.0524127185</v>
      </c>
      <c r="I28" s="107">
        <v>2000598.6034415066</v>
      </c>
    </row>
    <row r="29" spans="2:9">
      <c r="B29" s="105">
        <v>21</v>
      </c>
      <c r="C29" s="107">
        <v>18808500.670734391</v>
      </c>
      <c r="D29" s="107">
        <v>15708527.113671526</v>
      </c>
      <c r="E29" s="107">
        <v>6767703.4846520275</v>
      </c>
      <c r="F29" s="107">
        <v>16594677.106569052</v>
      </c>
      <c r="G29" s="107">
        <v>10708023.382332176</v>
      </c>
      <c r="H29" s="107">
        <v>1855687.8421214521</v>
      </c>
      <c r="I29" s="107">
        <v>3852989.4498429</v>
      </c>
    </row>
    <row r="30" spans="2:9">
      <c r="B30" s="105">
        <v>22</v>
      </c>
      <c r="C30" s="107">
        <v>24876121.481264859</v>
      </c>
      <c r="D30" s="107">
        <v>13268231.343903556</v>
      </c>
      <c r="E30" s="107">
        <v>25404749.939268753</v>
      </c>
      <c r="F30" s="107">
        <v>6889298.4777729511</v>
      </c>
      <c r="G30" s="107">
        <v>5010094.0380455703</v>
      </c>
      <c r="H30" s="107">
        <v>6303236.4316336364</v>
      </c>
      <c r="I30" s="107">
        <v>17368474.116661489</v>
      </c>
    </row>
    <row r="31" spans="2:9">
      <c r="B31" s="105">
        <v>23</v>
      </c>
      <c r="C31" s="107">
        <v>14917816.988058761</v>
      </c>
      <c r="D31" s="107">
        <v>11854158.992385224</v>
      </c>
      <c r="E31" s="107">
        <v>13811322.133985117</v>
      </c>
      <c r="F31" s="107">
        <v>12046349.788923621</v>
      </c>
      <c r="G31" s="107">
        <v>-2990644.7116274238</v>
      </c>
      <c r="H31" s="107">
        <v>14667821.004705384</v>
      </c>
      <c r="I31" s="107">
        <v>2629007.2839468867</v>
      </c>
    </row>
    <row r="32" spans="2:9">
      <c r="B32" s="105">
        <v>24</v>
      </c>
      <c r="C32" s="107">
        <v>22582299.081393629</v>
      </c>
      <c r="D32" s="107">
        <v>14390537.505326107</v>
      </c>
      <c r="E32" s="107">
        <v>15372378.382615775</v>
      </c>
      <c r="F32" s="107">
        <v>-3645172.8556978256</v>
      </c>
      <c r="G32" s="107">
        <v>6433818.6256732941</v>
      </c>
      <c r="H32" s="107">
        <v>7816970.9022432119</v>
      </c>
      <c r="I32" s="107">
        <v>4515276.0048135966</v>
      </c>
    </row>
    <row r="33" spans="2:9">
      <c r="B33" s="105">
        <v>25</v>
      </c>
      <c r="C33" s="107">
        <v>32010985.904380843</v>
      </c>
      <c r="D33" s="107">
        <v>17548255.145243257</v>
      </c>
      <c r="E33" s="107">
        <v>16594114.266095296</v>
      </c>
      <c r="F33" s="107">
        <v>3015696.4932018816</v>
      </c>
      <c r="G33" s="107">
        <v>8674381.6761040092</v>
      </c>
      <c r="H33" s="107">
        <v>1002611.3894464076</v>
      </c>
      <c r="I33" s="107">
        <v>5876427.8217836171</v>
      </c>
    </row>
    <row r="34" spans="2:9">
      <c r="B34" s="105">
        <v>26</v>
      </c>
      <c r="C34" s="107">
        <v>25562295.945579454</v>
      </c>
      <c r="D34" s="107">
        <v>9503526.2678437978</v>
      </c>
      <c r="E34" s="107">
        <v>11420780.030871466</v>
      </c>
      <c r="F34" s="107">
        <v>12886243.601075545</v>
      </c>
      <c r="G34" s="107">
        <v>11594684.435176164</v>
      </c>
      <c r="H34" s="107">
        <v>8031169.098849088</v>
      </c>
      <c r="I34" s="107">
        <v>14864569.178888693</v>
      </c>
    </row>
    <row r="35" spans="2:9">
      <c r="B35" s="105">
        <v>27</v>
      </c>
      <c r="C35" s="107">
        <v>18215691.178267092</v>
      </c>
      <c r="D35" s="107">
        <v>17670307.232163027</v>
      </c>
      <c r="E35" s="107">
        <v>10011828.000785232</v>
      </c>
      <c r="F35" s="107">
        <v>11693446.32468003</v>
      </c>
      <c r="G35" s="107">
        <v>13227859.833623648</v>
      </c>
      <c r="H35" s="107">
        <v>12555920.638173938</v>
      </c>
      <c r="I35" s="107">
        <v>-217189.28088134527</v>
      </c>
    </row>
    <row r="36" spans="2:9">
      <c r="B36" s="105">
        <v>28</v>
      </c>
      <c r="C36" s="107">
        <v>17612822.963155955</v>
      </c>
      <c r="D36" s="107">
        <v>20964476.700797662</v>
      </c>
      <c r="E36" s="107">
        <v>14279814.518015131</v>
      </c>
      <c r="F36" s="107">
        <v>5090976.7622978985</v>
      </c>
      <c r="G36" s="107">
        <v>16768439.367886752</v>
      </c>
      <c r="H36" s="107">
        <v>-2350234.4970273226</v>
      </c>
      <c r="I36" s="107">
        <v>2752971.4274946451</v>
      </c>
    </row>
    <row r="37" spans="2:9">
      <c r="B37" s="105">
        <v>29</v>
      </c>
      <c r="C37" s="107">
        <v>16791270.40580754</v>
      </c>
      <c r="D37" s="107">
        <v>10605188.363644823</v>
      </c>
      <c r="E37" s="107">
        <v>8757806.9755736589</v>
      </c>
      <c r="F37" s="107">
        <v>9602516.3318353593</v>
      </c>
      <c r="G37" s="107">
        <v>11225485.771133825</v>
      </c>
      <c r="H37" s="107">
        <v>11143656.752838254</v>
      </c>
      <c r="I37" s="107">
        <v>11015997.793969095</v>
      </c>
    </row>
    <row r="38" spans="2:9">
      <c r="B38" s="105">
        <v>30</v>
      </c>
      <c r="C38" s="107">
        <v>13906936.042263374</v>
      </c>
      <c r="D38" s="107">
        <v>2890393.3528029174</v>
      </c>
      <c r="E38" s="107">
        <v>13217683.03090097</v>
      </c>
      <c r="F38" s="107">
        <v>13074049.949556008</v>
      </c>
      <c r="G38" s="107">
        <v>6509210.4358337075</v>
      </c>
      <c r="H38" s="107">
        <v>7858062.7265029401</v>
      </c>
      <c r="I38" s="107">
        <v>4869283.5673682094</v>
      </c>
    </row>
    <row r="39" spans="2:9">
      <c r="B39" s="105">
        <v>31</v>
      </c>
      <c r="C39" s="107">
        <v>27343607.133111596</v>
      </c>
      <c r="D39" s="107">
        <v>10349865.564960629</v>
      </c>
      <c r="E39" s="107">
        <v>11724259.036989525</v>
      </c>
      <c r="F39" s="107">
        <v>735045.30321872234</v>
      </c>
      <c r="G39" s="107">
        <v>22706459.83312127</v>
      </c>
      <c r="H39" s="107">
        <v>1822534.0900259465</v>
      </c>
      <c r="I39" s="107">
        <v>19429014.132579923</v>
      </c>
    </row>
    <row r="40" spans="2:9">
      <c r="B40" s="105">
        <v>32</v>
      </c>
      <c r="C40" s="107">
        <v>18784594.72000581</v>
      </c>
      <c r="D40" s="107">
        <v>6318072.8519013822</v>
      </c>
      <c r="E40" s="107">
        <v>21223566.542871967</v>
      </c>
      <c r="F40" s="107">
        <v>21754859.799378559</v>
      </c>
      <c r="G40" s="107">
        <v>9635718.9490603209</v>
      </c>
      <c r="H40" s="107">
        <v>6226240.4469927102</v>
      </c>
      <c r="I40" s="107">
        <v>-2713192.8979487866</v>
      </c>
    </row>
    <row r="41" spans="2:9">
      <c r="B41" s="105">
        <v>33</v>
      </c>
      <c r="C41" s="107">
        <v>3366828.9004108757</v>
      </c>
      <c r="D41" s="107">
        <v>9875032.6092216671</v>
      </c>
      <c r="E41" s="107">
        <v>19594966.21343872</v>
      </c>
      <c r="F41" s="107">
        <v>16766340.455799803</v>
      </c>
      <c r="G41" s="107">
        <v>9770966.4793002754</v>
      </c>
      <c r="H41" s="107">
        <v>7158748.7022737414</v>
      </c>
      <c r="I41" s="107">
        <v>-5496535.0418956727</v>
      </c>
    </row>
    <row r="42" spans="2:9">
      <c r="B42" s="105">
        <v>34</v>
      </c>
      <c r="C42" s="107">
        <v>11073988.45287627</v>
      </c>
      <c r="D42" s="107">
        <v>10530349.711059257</v>
      </c>
      <c r="E42" s="107">
        <v>9018576.2534796596</v>
      </c>
      <c r="F42" s="107">
        <v>11025520.193282858</v>
      </c>
      <c r="G42" s="107">
        <v>2074716.1521786004</v>
      </c>
      <c r="H42" s="107">
        <v>12710616.480063543</v>
      </c>
      <c r="I42" s="107">
        <v>4773460.0840598494</v>
      </c>
    </row>
    <row r="43" spans="2:9">
      <c r="B43" s="105">
        <v>35</v>
      </c>
      <c r="C43" s="107">
        <v>19845899.335361555</v>
      </c>
      <c r="D43" s="107">
        <v>14136559.567949146</v>
      </c>
      <c r="E43" s="107">
        <v>12871007.984473944</v>
      </c>
      <c r="F43" s="107">
        <v>1566267.1151121557</v>
      </c>
      <c r="G43" s="107">
        <v>11980356.536139488</v>
      </c>
      <c r="H43" s="107">
        <v>14613093.70486322</v>
      </c>
      <c r="I43" s="107">
        <v>5453617.9291456789</v>
      </c>
    </row>
    <row r="44" spans="2:9">
      <c r="B44" s="105">
        <v>36</v>
      </c>
      <c r="C44" s="107">
        <v>16300443.206810012</v>
      </c>
      <c r="D44" s="107">
        <v>18655264.002581581</v>
      </c>
      <c r="E44" s="107">
        <v>10474224.947478175</v>
      </c>
      <c r="F44" s="107">
        <v>15829050.011403114</v>
      </c>
      <c r="G44" s="107">
        <v>8912717.8296015859</v>
      </c>
      <c r="H44" s="107">
        <v>12811355.192306742</v>
      </c>
      <c r="I44" s="107">
        <v>2797839.5507374853</v>
      </c>
    </row>
    <row r="45" spans="2:9">
      <c r="B45" s="105">
        <v>37</v>
      </c>
      <c r="C45" s="107">
        <v>24277357.062833518</v>
      </c>
      <c r="D45" s="107">
        <v>17420748.388332039</v>
      </c>
      <c r="E45" s="107">
        <v>10245170.554479361</v>
      </c>
      <c r="F45" s="107">
        <v>12311603.39233619</v>
      </c>
      <c r="G45" s="107">
        <v>11519758.259161472</v>
      </c>
      <c r="H45" s="107">
        <v>-2272035.7886759639</v>
      </c>
      <c r="I45" s="107">
        <v>-2016561.1058486402</v>
      </c>
    </row>
    <row r="46" spans="2:9">
      <c r="B46" s="105">
        <v>38</v>
      </c>
      <c r="C46" s="107">
        <v>17006095.489444852</v>
      </c>
      <c r="D46" s="107">
        <v>12823366.218804508</v>
      </c>
      <c r="E46" s="107">
        <v>19399972.184246242</v>
      </c>
      <c r="F46" s="107">
        <v>6854098.8006515056</v>
      </c>
      <c r="G46" s="107">
        <v>5322228.9107331485</v>
      </c>
      <c r="H46" s="107">
        <v>3893553.4185057282</v>
      </c>
      <c r="I46" s="107">
        <v>205072.0772831589</v>
      </c>
    </row>
    <row r="47" spans="2:9">
      <c r="B47" s="105">
        <v>39</v>
      </c>
      <c r="C47" s="107">
        <v>14043239.804603949</v>
      </c>
      <c r="D47" s="107">
        <v>20885536.494332179</v>
      </c>
      <c r="E47" s="107">
        <v>19791600.996965602</v>
      </c>
      <c r="F47" s="107">
        <v>5653802.750950411</v>
      </c>
      <c r="G47" s="107">
        <v>5481148.4958117455</v>
      </c>
      <c r="H47" s="107">
        <v>3722490.6122830212</v>
      </c>
      <c r="I47" s="107">
        <v>-2260173.1877556741</v>
      </c>
    </row>
    <row r="48" spans="2:9">
      <c r="B48" s="105">
        <v>40</v>
      </c>
      <c r="C48" s="107">
        <v>7009277.7154399157</v>
      </c>
      <c r="D48" s="107">
        <v>15052589.664210841</v>
      </c>
      <c r="E48" s="107">
        <v>16108508.376887798</v>
      </c>
      <c r="F48" s="107">
        <v>9340616.7713309377</v>
      </c>
      <c r="G48" s="107">
        <v>-1809590.7956413627</v>
      </c>
      <c r="H48" s="107">
        <v>2964870.0311328173</v>
      </c>
      <c r="I48" s="107">
        <v>5238974.1645558029</v>
      </c>
    </row>
    <row r="49" spans="2:9">
      <c r="B49" s="105">
        <v>41</v>
      </c>
      <c r="C49" s="107">
        <v>16454591.916889906</v>
      </c>
      <c r="D49" s="107">
        <v>15051816.490599632</v>
      </c>
      <c r="E49" s="107">
        <v>17108810.601151854</v>
      </c>
      <c r="F49" s="107">
        <v>7392704.61172764</v>
      </c>
      <c r="G49" s="107">
        <v>14949809.187275141</v>
      </c>
      <c r="H49" s="107">
        <v>11560630.034471184</v>
      </c>
      <c r="I49" s="107">
        <v>20461413.850190595</v>
      </c>
    </row>
    <row r="50" spans="2:9">
      <c r="B50" s="105">
        <v>42</v>
      </c>
      <c r="C50" s="107">
        <v>29243350.743117571</v>
      </c>
      <c r="D50" s="107">
        <v>15251991.820060194</v>
      </c>
      <c r="E50" s="107">
        <v>6727260.3658154458</v>
      </c>
      <c r="F50" s="107">
        <v>17324575.950185061</v>
      </c>
      <c r="G50" s="107">
        <v>11003794.690027356</v>
      </c>
      <c r="H50" s="107">
        <v>8650993.7200820744</v>
      </c>
      <c r="I50" s="107">
        <v>7234493.3118326664</v>
      </c>
    </row>
    <row r="51" spans="2:9">
      <c r="B51" s="105">
        <v>43</v>
      </c>
      <c r="C51" s="107">
        <v>29493263.112115845</v>
      </c>
      <c r="D51" s="107">
        <v>17217447.129564703</v>
      </c>
      <c r="E51" s="107">
        <v>21042930.690763116</v>
      </c>
      <c r="F51" s="107">
        <v>17363848.68812418</v>
      </c>
      <c r="G51" s="107">
        <v>5519014.1228140593</v>
      </c>
      <c r="H51" s="107">
        <v>5426301.4229965508</v>
      </c>
      <c r="I51" s="107">
        <v>7244960.3844619542</v>
      </c>
    </row>
    <row r="52" spans="2:9">
      <c r="B52" s="105">
        <v>44</v>
      </c>
      <c r="C52" s="107">
        <v>10912730.494610727</v>
      </c>
      <c r="D52" s="107">
        <v>14162504.375684291</v>
      </c>
      <c r="E52" s="107">
        <v>18770712.429596677</v>
      </c>
      <c r="F52" s="107">
        <v>16812031.208849832</v>
      </c>
      <c r="G52" s="107">
        <v>13956742.218306705</v>
      </c>
      <c r="H52" s="107">
        <v>17106024.445383072</v>
      </c>
      <c r="I52" s="107">
        <v>5843028.338481158</v>
      </c>
    </row>
    <row r="53" spans="2:9">
      <c r="B53" s="105">
        <v>45</v>
      </c>
      <c r="C53" s="107">
        <v>23454219.85089004</v>
      </c>
      <c r="D53" s="107">
        <v>21273884.173653409</v>
      </c>
      <c r="E53" s="107">
        <v>20220789.474181533</v>
      </c>
      <c r="F53" s="107">
        <v>12267692.663808569</v>
      </c>
      <c r="G53" s="107">
        <v>2942822.3788210303</v>
      </c>
      <c r="H53" s="107">
        <v>8446494.9703246057</v>
      </c>
      <c r="I53" s="107">
        <v>5079743.2927004546</v>
      </c>
    </row>
    <row r="54" spans="2:9">
      <c r="B54" s="105">
        <v>46</v>
      </c>
      <c r="C54" s="107">
        <v>15981853.295868024</v>
      </c>
      <c r="D54" s="107">
        <v>17346120.942980245</v>
      </c>
      <c r="E54" s="107">
        <v>12812520.209146947</v>
      </c>
      <c r="F54" s="107">
        <v>7654332.2683288902</v>
      </c>
      <c r="G54" s="107">
        <v>11528790.152289718</v>
      </c>
      <c r="H54" s="107">
        <v>7731630.4846406579</v>
      </c>
      <c r="I54" s="107">
        <v>-381167.55917441845</v>
      </c>
    </row>
    <row r="55" spans="2:9">
      <c r="B55" s="105">
        <v>47</v>
      </c>
      <c r="C55" s="107">
        <v>22243368.419919834</v>
      </c>
      <c r="D55" s="107">
        <v>13033812.667247951</v>
      </c>
      <c r="E55" s="107">
        <v>20721152.952940583</v>
      </c>
      <c r="F55" s="107">
        <v>7607749.6833278537</v>
      </c>
      <c r="G55" s="107">
        <v>10273642.905489549</v>
      </c>
      <c r="H55" s="107">
        <v>12079641.231500804</v>
      </c>
      <c r="I55" s="107">
        <v>6898531.5328222066</v>
      </c>
    </row>
    <row r="56" spans="2:9">
      <c r="B56" s="105">
        <v>48</v>
      </c>
      <c r="C56" s="107">
        <v>4025651.9305850267</v>
      </c>
      <c r="D56" s="107">
        <v>11560268.388764977</v>
      </c>
      <c r="E56" s="107">
        <v>15828749.04653728</v>
      </c>
      <c r="F56" s="107">
        <v>19483321.157989874</v>
      </c>
      <c r="G56" s="107">
        <v>10489101.224665254</v>
      </c>
      <c r="H56" s="107">
        <v>-1540476.6384637356</v>
      </c>
      <c r="I56" s="107">
        <v>-5695338.7669106275</v>
      </c>
    </row>
    <row r="57" spans="2:9">
      <c r="B57" s="105">
        <v>49</v>
      </c>
      <c r="C57" s="107">
        <v>23809243.61654073</v>
      </c>
      <c r="D57" s="107">
        <v>22110091.434645221</v>
      </c>
      <c r="E57" s="107">
        <v>16847522.964598969</v>
      </c>
      <c r="F57" s="107">
        <v>11304589.547414169</v>
      </c>
      <c r="G57" s="107">
        <v>13762238.848787189</v>
      </c>
      <c r="H57" s="107">
        <v>1811742.4394078851</v>
      </c>
      <c r="I57" s="107">
        <v>11148396.417545646</v>
      </c>
    </row>
    <row r="58" spans="2:9">
      <c r="B58" s="105">
        <v>50</v>
      </c>
      <c r="C58" s="107">
        <v>20815895.309589818</v>
      </c>
      <c r="D58" s="107">
        <v>17835076.322325543</v>
      </c>
      <c r="E58" s="107">
        <v>7391909.9521679729</v>
      </c>
      <c r="F58" s="107">
        <v>15219462.10429275</v>
      </c>
      <c r="G58" s="107">
        <v>11943740.093312338</v>
      </c>
      <c r="H58" s="107">
        <v>13359212.675708309</v>
      </c>
      <c r="I58" s="107">
        <v>7033655.9158733934</v>
      </c>
    </row>
    <row r="59" spans="2:9">
      <c r="B59" s="105">
        <v>51</v>
      </c>
      <c r="C59" s="107">
        <v>13258304.229857653</v>
      </c>
      <c r="D59" s="107">
        <v>17701824.961825788</v>
      </c>
      <c r="E59" s="107">
        <v>9027243.5577544868</v>
      </c>
      <c r="F59" s="107">
        <v>13398479.065912738</v>
      </c>
      <c r="G59" s="107">
        <v>4731836.4192584455</v>
      </c>
      <c r="H59" s="107">
        <v>3988756.108335644</v>
      </c>
      <c r="I59" s="107">
        <v>10422816.106861904</v>
      </c>
    </row>
    <row r="60" spans="2:9">
      <c r="B60" s="105">
        <v>52</v>
      </c>
      <c r="C60" s="107">
        <v>21459688.904343411</v>
      </c>
      <c r="D60" s="107">
        <v>12546350.084038764</v>
      </c>
      <c r="E60" s="107">
        <v>14946668.842548802</v>
      </c>
      <c r="F60" s="107">
        <v>12197460.302207842</v>
      </c>
      <c r="G60" s="107">
        <v>9628612.578092441</v>
      </c>
      <c r="H60" s="107">
        <v>17830399.238839284</v>
      </c>
      <c r="I60" s="107">
        <v>8506260.0850244612</v>
      </c>
    </row>
    <row r="61" spans="2:9">
      <c r="B61" s="105">
        <v>53</v>
      </c>
      <c r="C61" s="107">
        <v>10753538.948482379</v>
      </c>
      <c r="D61" s="107">
        <v>6093832.3955414891</v>
      </c>
      <c r="E61" s="107">
        <v>8796764.6152683198</v>
      </c>
      <c r="F61" s="107">
        <v>10411639.404914364</v>
      </c>
      <c r="G61" s="107">
        <v>3321356.2561470866</v>
      </c>
      <c r="H61" s="107">
        <v>10589189.629775912</v>
      </c>
      <c r="I61" s="107">
        <v>5747619.1314058751</v>
      </c>
    </row>
    <row r="62" spans="2:9">
      <c r="B62" s="105">
        <v>54</v>
      </c>
      <c r="C62" s="107">
        <v>20172530.247284949</v>
      </c>
      <c r="D62" s="107">
        <v>21391089.683952436</v>
      </c>
      <c r="E62" s="107">
        <v>17457131.97618866</v>
      </c>
      <c r="F62" s="107">
        <v>5024633.8502227366</v>
      </c>
      <c r="G62" s="107">
        <v>2680047.6773150116</v>
      </c>
      <c r="H62" s="107">
        <v>6563648.8226688802</v>
      </c>
      <c r="I62" s="107">
        <v>5857323.2577942759</v>
      </c>
    </row>
    <row r="63" spans="2:9">
      <c r="B63" s="105">
        <v>55</v>
      </c>
      <c r="C63" s="107">
        <v>23052618.082179248</v>
      </c>
      <c r="D63" s="107">
        <v>23446203.593258649</v>
      </c>
      <c r="E63" s="107">
        <v>19298208.455022767</v>
      </c>
      <c r="F63" s="107">
        <v>20518325.004020959</v>
      </c>
      <c r="G63" s="107">
        <v>5365587.8264952749</v>
      </c>
      <c r="H63" s="107">
        <v>16112030.284226954</v>
      </c>
      <c r="I63" s="107">
        <v>7104298.6626270562</v>
      </c>
    </row>
    <row r="64" spans="2:9">
      <c r="B64" s="105">
        <v>56</v>
      </c>
      <c r="C64" s="107">
        <v>6018737.1806394607</v>
      </c>
      <c r="D64" s="107">
        <v>6020188.2218358517</v>
      </c>
      <c r="E64" s="107">
        <v>16990769.398184001</v>
      </c>
      <c r="F64" s="107">
        <v>18331066.251643255</v>
      </c>
      <c r="G64" s="107">
        <v>3304837.2716682702</v>
      </c>
      <c r="H64" s="107">
        <v>6279236.0443610847</v>
      </c>
      <c r="I64" s="107">
        <v>13358003.090650752</v>
      </c>
    </row>
    <row r="65" spans="2:9">
      <c r="B65" s="105">
        <v>57</v>
      </c>
      <c r="C65" s="107">
        <v>24812127.713282749</v>
      </c>
      <c r="D65" s="107">
        <v>25515574.995420799</v>
      </c>
      <c r="E65" s="107">
        <v>10080954.730022982</v>
      </c>
      <c r="F65" s="107">
        <v>9560000.9039262831</v>
      </c>
      <c r="G65" s="107">
        <v>12821525.129452169</v>
      </c>
      <c r="H65" s="107">
        <v>7189462.0654386729</v>
      </c>
      <c r="I65" s="107">
        <v>8410283.578661859</v>
      </c>
    </row>
    <row r="66" spans="2:9">
      <c r="B66" s="105">
        <v>58</v>
      </c>
      <c r="C66" s="107">
        <v>25389254.651123568</v>
      </c>
      <c r="D66" s="107">
        <v>13872911.640994012</v>
      </c>
      <c r="E66" s="107">
        <v>18401155.003864139</v>
      </c>
      <c r="F66" s="107">
        <v>15983598.179612592</v>
      </c>
      <c r="G66" s="107">
        <v>12540693.915799841</v>
      </c>
      <c r="H66" s="107">
        <v>6407561.8813034743</v>
      </c>
      <c r="I66" s="107">
        <v>4024483.7298062593</v>
      </c>
    </row>
    <row r="67" spans="2:9">
      <c r="B67" s="105">
        <v>59</v>
      </c>
      <c r="C67" s="107">
        <v>16470876.361712694</v>
      </c>
      <c r="D67" s="107">
        <v>23521107.366604716</v>
      </c>
      <c r="E67" s="107">
        <v>19558250.238101065</v>
      </c>
      <c r="F67" s="107">
        <v>15537278.288883612</v>
      </c>
      <c r="G67" s="107">
        <v>10295188.29422313</v>
      </c>
      <c r="H67" s="107">
        <v>5876366.3584233224</v>
      </c>
      <c r="I67" s="107">
        <v>5199682.7561804652</v>
      </c>
    </row>
    <row r="68" spans="2:9">
      <c r="B68" s="105">
        <v>60</v>
      </c>
      <c r="C68" s="107">
        <v>33239621.312403977</v>
      </c>
      <c r="D68" s="107">
        <v>17874900.533424601</v>
      </c>
      <c r="E68" s="107">
        <v>12016806.134533972</v>
      </c>
      <c r="F68" s="107">
        <v>9369909.4973083436</v>
      </c>
      <c r="G68" s="107">
        <v>-3896694.6886417568</v>
      </c>
      <c r="H68" s="107">
        <v>8391939.7357224822</v>
      </c>
      <c r="I68" s="107">
        <v>7758748.8897982389</v>
      </c>
    </row>
    <row r="69" spans="2:9">
      <c r="B69" s="105">
        <v>61</v>
      </c>
      <c r="C69" s="107">
        <v>24175898.761426404</v>
      </c>
      <c r="D69" s="107">
        <v>24000975.754524916</v>
      </c>
      <c r="E69" s="107">
        <v>6373327.9283854067</v>
      </c>
      <c r="F69" s="107">
        <v>10472289.793153495</v>
      </c>
      <c r="G69" s="107">
        <v>4989823.8053226024</v>
      </c>
      <c r="H69" s="107">
        <v>5823048.8233617842</v>
      </c>
      <c r="I69" s="107">
        <v>-3046891.8407011181</v>
      </c>
    </row>
    <row r="70" spans="2:9">
      <c r="B70" s="105">
        <v>62</v>
      </c>
      <c r="C70" s="107">
        <v>23431005.999928281</v>
      </c>
      <c r="D70" s="107">
        <v>18041747.032362968</v>
      </c>
      <c r="E70" s="107">
        <v>14821447.653831705</v>
      </c>
      <c r="F70" s="107">
        <v>21722269.377697006</v>
      </c>
      <c r="G70" s="107">
        <v>14147354.855264083</v>
      </c>
      <c r="H70" s="107">
        <v>9860627.5251191258</v>
      </c>
      <c r="I70" s="107">
        <v>8060997.3159768283</v>
      </c>
    </row>
    <row r="71" spans="2:9">
      <c r="B71" s="105">
        <v>63</v>
      </c>
      <c r="C71" s="107">
        <v>11148519.168456897</v>
      </c>
      <c r="D71" s="107">
        <v>8248794.3716100305</v>
      </c>
      <c r="E71" s="107">
        <v>10587652.184293121</v>
      </c>
      <c r="F71" s="107">
        <v>9617408.7525733411</v>
      </c>
      <c r="G71" s="107">
        <v>9486297.2574088424</v>
      </c>
      <c r="H71" s="107">
        <v>11581650.691396937</v>
      </c>
      <c r="I71" s="107">
        <v>-2526414.0082520247</v>
      </c>
    </row>
    <row r="72" spans="2:9">
      <c r="B72" s="105">
        <v>64</v>
      </c>
      <c r="C72" s="107">
        <v>12570195.504361823</v>
      </c>
      <c r="D72" s="107">
        <v>17049427.753127545</v>
      </c>
      <c r="E72" s="107">
        <v>6228220.4451766014</v>
      </c>
      <c r="F72" s="107">
        <v>20081937.182163179</v>
      </c>
      <c r="G72" s="107">
        <v>9432015.2035233825</v>
      </c>
      <c r="H72" s="107">
        <v>7554202.935882166</v>
      </c>
      <c r="I72" s="107">
        <v>9639983.332246542</v>
      </c>
    </row>
    <row r="73" spans="2:9">
      <c r="B73" s="105">
        <v>65</v>
      </c>
      <c r="C73" s="107">
        <v>24056310.768976241</v>
      </c>
      <c r="D73" s="107">
        <v>14898892.482698277</v>
      </c>
      <c r="E73" s="107">
        <v>15078267.089610234</v>
      </c>
      <c r="F73" s="107">
        <v>11556606.043103948</v>
      </c>
      <c r="G73" s="107">
        <v>11197138.498825431</v>
      </c>
      <c r="H73" s="107">
        <v>14120264.986374438</v>
      </c>
      <c r="I73" s="107">
        <v>7986460.6095161587</v>
      </c>
    </row>
    <row r="74" spans="2:9">
      <c r="B74" s="105">
        <v>66</v>
      </c>
      <c r="C74" s="107">
        <v>16622845.333208084</v>
      </c>
      <c r="D74" s="107">
        <v>14000779.54424943</v>
      </c>
      <c r="E74" s="107">
        <v>14522876.415840968</v>
      </c>
      <c r="F74" s="107">
        <v>11198368.805558279</v>
      </c>
      <c r="G74" s="107">
        <v>11968136.429364994</v>
      </c>
      <c r="H74" s="107">
        <v>-1452989.7660722733</v>
      </c>
      <c r="I74" s="107">
        <v>4610803.9871599823</v>
      </c>
    </row>
    <row r="75" spans="2:9">
      <c r="B75" s="105">
        <v>67</v>
      </c>
      <c r="C75" s="107">
        <v>18478069.444333136</v>
      </c>
      <c r="D75" s="107">
        <v>7798894.9278729856</v>
      </c>
      <c r="E75" s="107">
        <v>7144976.1659068465</v>
      </c>
      <c r="F75" s="107">
        <v>21005238.947627977</v>
      </c>
      <c r="G75" s="107">
        <v>10054543.061516091</v>
      </c>
      <c r="H75" s="107">
        <v>1842734.0990187824</v>
      </c>
      <c r="I75" s="107">
        <v>1121684.7805567086</v>
      </c>
    </row>
    <row r="76" spans="2:9">
      <c r="B76" s="105">
        <v>68</v>
      </c>
      <c r="C76" s="107">
        <v>10144407.66475001</v>
      </c>
      <c r="D76" s="107">
        <v>10110816.703676209</v>
      </c>
      <c r="E76" s="107">
        <v>10435450.464018732</v>
      </c>
      <c r="F76" s="107">
        <v>9545841.2324181646</v>
      </c>
      <c r="G76" s="107">
        <v>5157999.5659203827</v>
      </c>
      <c r="H76" s="107">
        <v>13580527.477188319</v>
      </c>
      <c r="I76" s="107">
        <v>-3684880.2053929418</v>
      </c>
    </row>
    <row r="77" spans="2:9">
      <c r="B77" s="105">
        <v>69</v>
      </c>
      <c r="C77" s="107">
        <v>25358205.862278566</v>
      </c>
      <c r="D77" s="107">
        <v>20159444.594432175</v>
      </c>
      <c r="E77" s="107">
        <v>9882829.7445943654</v>
      </c>
      <c r="F77" s="107">
        <v>12828314.57121174</v>
      </c>
      <c r="G77" s="107">
        <v>17908214.919742256</v>
      </c>
      <c r="H77" s="107">
        <v>1644819.8021939695</v>
      </c>
      <c r="I77" s="107">
        <v>5965243.4350306392</v>
      </c>
    </row>
    <row r="78" spans="2:9">
      <c r="B78" s="105">
        <v>70</v>
      </c>
      <c r="C78" s="107">
        <v>19822079.647477105</v>
      </c>
      <c r="D78" s="107">
        <v>14495175.75689131</v>
      </c>
      <c r="E78" s="107">
        <v>7857645.2831039429</v>
      </c>
      <c r="F78" s="107">
        <v>10580522.260462299</v>
      </c>
      <c r="G78" s="107">
        <v>7690868.1639954299</v>
      </c>
      <c r="H78" s="107">
        <v>15321207.312233403</v>
      </c>
      <c r="I78" s="107">
        <v>-1918373.5483402163</v>
      </c>
    </row>
    <row r="79" spans="2:9">
      <c r="B79" s="105">
        <v>71</v>
      </c>
      <c r="C79" s="107">
        <v>26624709.774375305</v>
      </c>
      <c r="D79" s="107">
        <v>12816198.815063849</v>
      </c>
      <c r="E79" s="107">
        <v>20690853.657390833</v>
      </c>
      <c r="F79" s="107">
        <v>13839907.237943664</v>
      </c>
      <c r="G79" s="107">
        <v>17902384.214880824</v>
      </c>
      <c r="H79" s="107">
        <v>-2177846.9994532317</v>
      </c>
      <c r="I79" s="107">
        <v>19708788.153214619</v>
      </c>
    </row>
    <row r="80" spans="2:9">
      <c r="B80" s="105">
        <v>72</v>
      </c>
      <c r="C80" s="107">
        <v>18602590.606623128</v>
      </c>
      <c r="D80" s="107">
        <v>10956422.222636834</v>
      </c>
      <c r="E80" s="107">
        <v>9314691.4894377738</v>
      </c>
      <c r="F80" s="107">
        <v>10595102.273749039</v>
      </c>
      <c r="G80" s="107">
        <v>12121801.965626583</v>
      </c>
      <c r="H80" s="107">
        <v>-3112310.2150147408</v>
      </c>
      <c r="I80" s="107">
        <v>6148253.7730870098</v>
      </c>
    </row>
    <row r="81" spans="2:9">
      <c r="B81" s="105">
        <v>73</v>
      </c>
      <c r="C81" s="107">
        <v>21605233.5987304</v>
      </c>
      <c r="D81" s="107">
        <v>6821745.3422747403</v>
      </c>
      <c r="E81" s="107">
        <v>5080674.4896134734</v>
      </c>
      <c r="F81" s="107">
        <v>10396768.154591367</v>
      </c>
      <c r="G81" s="107">
        <v>11600470.896752611</v>
      </c>
      <c r="H81" s="107">
        <v>3115568.513634786</v>
      </c>
      <c r="I81" s="107">
        <v>-2076412.4732069373</v>
      </c>
    </row>
    <row r="82" spans="2:9">
      <c r="B82" s="105">
        <v>74</v>
      </c>
      <c r="C82" s="107">
        <v>27592386.359823018</v>
      </c>
      <c r="D82" s="107">
        <v>5015408.1245901287</v>
      </c>
      <c r="E82" s="107">
        <v>16816032.68328774</v>
      </c>
      <c r="F82" s="107">
        <v>2666922.9364700317</v>
      </c>
      <c r="G82" s="107">
        <v>11303503.56393069</v>
      </c>
      <c r="H82" s="107">
        <v>753327.00203372538</v>
      </c>
      <c r="I82" s="107">
        <v>5674903.6622609496</v>
      </c>
    </row>
    <row r="83" spans="2:9">
      <c r="B83" s="105">
        <v>75</v>
      </c>
      <c r="C83" s="107">
        <v>21671471.48881565</v>
      </c>
      <c r="D83" s="107">
        <v>10539277.171650052</v>
      </c>
      <c r="E83" s="107">
        <v>16479655.8673269</v>
      </c>
      <c r="F83" s="107">
        <v>15749259.35698764</v>
      </c>
      <c r="G83" s="107">
        <v>5635965.5307175517</v>
      </c>
      <c r="H83" s="107">
        <v>5560804.7075417042</v>
      </c>
      <c r="I83" s="107">
        <v>14529753.461892262</v>
      </c>
    </row>
    <row r="84" spans="2:9">
      <c r="B84" s="105">
        <v>76</v>
      </c>
      <c r="C84" s="107">
        <v>15265788.305023506</v>
      </c>
      <c r="D84" s="107">
        <v>16993770.937228054</v>
      </c>
      <c r="E84" s="107">
        <v>12361040.435766473</v>
      </c>
      <c r="F84" s="107">
        <v>5718197.0992529392</v>
      </c>
      <c r="G84" s="107">
        <v>16262504.319556355</v>
      </c>
      <c r="H84" s="107">
        <v>14864660.036123335</v>
      </c>
      <c r="I84" s="107">
        <v>9147532.7102858126</v>
      </c>
    </row>
    <row r="85" spans="2:9">
      <c r="B85" s="105">
        <v>77</v>
      </c>
      <c r="C85" s="107">
        <v>19448604.568899274</v>
      </c>
      <c r="D85" s="107">
        <v>13673254.084563211</v>
      </c>
      <c r="E85" s="107">
        <v>14241697.452791527</v>
      </c>
      <c r="F85" s="107">
        <v>10738727.461184949</v>
      </c>
      <c r="G85" s="107">
        <v>11859315.091122106</v>
      </c>
      <c r="H85" s="107">
        <v>12491985.422105387</v>
      </c>
      <c r="I85" s="107">
        <v>7197668.0754039586</v>
      </c>
    </row>
    <row r="86" spans="2:9">
      <c r="B86" s="105">
        <v>78</v>
      </c>
      <c r="C86" s="107">
        <v>15444405.16849421</v>
      </c>
      <c r="D86" s="107">
        <v>14640221.764405906</v>
      </c>
      <c r="E86" s="107">
        <v>17236007.504776046</v>
      </c>
      <c r="F86" s="107">
        <v>-262385.91105973721</v>
      </c>
      <c r="G86" s="107">
        <v>8187932.3800118864</v>
      </c>
      <c r="H86" s="107">
        <v>5897850.7420807481</v>
      </c>
      <c r="I86" s="107">
        <v>2369375.5773455054</v>
      </c>
    </row>
    <row r="87" spans="2:9">
      <c r="B87" s="105">
        <v>79</v>
      </c>
      <c r="C87" s="107">
        <v>19727903.842554525</v>
      </c>
      <c r="D87" s="107">
        <v>12272292.262248412</v>
      </c>
      <c r="E87" s="107">
        <v>10868361.913903877</v>
      </c>
      <c r="F87" s="107">
        <v>-3477243.7949411422</v>
      </c>
      <c r="G87" s="107">
        <v>4654530.2587070614</v>
      </c>
      <c r="H87" s="107">
        <v>-75583.363504514098</v>
      </c>
      <c r="I87" s="107">
        <v>-1815046.5522619188</v>
      </c>
    </row>
    <row r="88" spans="2:9">
      <c r="B88" s="105">
        <v>80</v>
      </c>
      <c r="C88" s="107">
        <v>14663178.488076985</v>
      </c>
      <c r="D88" s="107">
        <v>11417017.285203278</v>
      </c>
      <c r="E88" s="107">
        <v>19178210.646595478</v>
      </c>
      <c r="F88" s="107">
        <v>13906324.996338025</v>
      </c>
      <c r="G88" s="107">
        <v>8837896.3274709135</v>
      </c>
      <c r="H88" s="107">
        <v>15439964.050504953</v>
      </c>
      <c r="I88" s="107">
        <v>2521335.9526830763</v>
      </c>
    </row>
    <row r="89" spans="2:9">
      <c r="B89" s="105">
        <v>81</v>
      </c>
      <c r="C89" s="107">
        <v>27561280.929608405</v>
      </c>
      <c r="D89" s="107">
        <v>12716748.610272706</v>
      </c>
      <c r="E89" s="107">
        <v>227348.81293722987</v>
      </c>
      <c r="F89" s="107">
        <v>12547736.601969004</v>
      </c>
      <c r="G89" s="107">
        <v>9635278.9840459824</v>
      </c>
      <c r="H89" s="107">
        <v>2884475.8739965856</v>
      </c>
      <c r="I89" s="107">
        <v>3016381.7306211889</v>
      </c>
    </row>
    <row r="90" spans="2:9">
      <c r="B90" s="105">
        <v>82</v>
      </c>
      <c r="C90" s="107">
        <v>23488797.545184359</v>
      </c>
      <c r="D90" s="107">
        <v>18890609.240763113</v>
      </c>
      <c r="E90" s="107">
        <v>18607054.28278397</v>
      </c>
      <c r="F90" s="107">
        <v>21259664.241084203</v>
      </c>
      <c r="G90" s="107">
        <v>17689400.83667089</v>
      </c>
      <c r="H90" s="107">
        <v>476866.20424887538</v>
      </c>
      <c r="I90" s="107">
        <v>-274246.58871850371</v>
      </c>
    </row>
    <row r="91" spans="2:9">
      <c r="B91" s="105">
        <v>83</v>
      </c>
      <c r="C91" s="107">
        <v>13556216.091943279</v>
      </c>
      <c r="D91" s="107">
        <v>12769979.31183432</v>
      </c>
      <c r="E91" s="107">
        <v>13986860.647562161</v>
      </c>
      <c r="F91" s="107">
        <v>17475063.414321005</v>
      </c>
      <c r="G91" s="107">
        <v>17202678.438832328</v>
      </c>
      <c r="H91" s="107">
        <v>8741960.9683793336</v>
      </c>
      <c r="I91" s="107">
        <v>-4619007.2685638219</v>
      </c>
    </row>
    <row r="92" spans="2:9">
      <c r="B92" s="105">
        <v>84</v>
      </c>
      <c r="C92" s="107">
        <v>17156168.976640463</v>
      </c>
      <c r="D92" s="107">
        <v>9364750.0768047571</v>
      </c>
      <c r="E92" s="107">
        <v>13263525.904653698</v>
      </c>
      <c r="F92" s="107">
        <v>16544329.328025624</v>
      </c>
      <c r="G92" s="107">
        <v>3094521.7631286532</v>
      </c>
      <c r="H92" s="107">
        <v>5378769.7146927267</v>
      </c>
      <c r="I92" s="107">
        <v>3134072.7810234278</v>
      </c>
    </row>
    <row r="93" spans="2:9">
      <c r="B93" s="105">
        <v>85</v>
      </c>
      <c r="C93" s="107">
        <v>20369012.768082961</v>
      </c>
      <c r="D93" s="107">
        <v>20039368.15739584</v>
      </c>
      <c r="E93" s="107">
        <v>18290147.678498775</v>
      </c>
      <c r="F93" s="107">
        <v>7444119.1485964507</v>
      </c>
      <c r="G93" s="107">
        <v>10590416.082757235</v>
      </c>
      <c r="H93" s="107">
        <v>7912864.1233445108</v>
      </c>
      <c r="I93" s="107">
        <v>14024691.229146391</v>
      </c>
    </row>
    <row r="94" spans="2:9">
      <c r="B94" s="105">
        <v>86</v>
      </c>
      <c r="C94" s="107">
        <v>16218130.830848426</v>
      </c>
      <c r="D94" s="107">
        <v>6245127.8350217044</v>
      </c>
      <c r="E94" s="107">
        <v>14311608.702049181</v>
      </c>
      <c r="F94" s="107">
        <v>18953700.711697936</v>
      </c>
      <c r="G94" s="107">
        <v>3584306.2183481902</v>
      </c>
      <c r="H94" s="107">
        <v>316935.53050124645</v>
      </c>
      <c r="I94" s="107">
        <v>8057726.6142401993</v>
      </c>
    </row>
    <row r="95" spans="2:9">
      <c r="B95" s="105">
        <v>87</v>
      </c>
      <c r="C95" s="107">
        <v>24158581.387274086</v>
      </c>
      <c r="D95" s="107">
        <v>24260530.648637429</v>
      </c>
      <c r="E95" s="107">
        <v>9296320.8304205835</v>
      </c>
      <c r="F95" s="107">
        <v>5581085.8844000548</v>
      </c>
      <c r="G95" s="107">
        <v>5705177.4379644096</v>
      </c>
      <c r="H95" s="107">
        <v>-2656318.4315933436</v>
      </c>
      <c r="I95" s="107">
        <v>3737715.7623886317</v>
      </c>
    </row>
    <row r="96" spans="2:9">
      <c r="B96" s="105">
        <v>88</v>
      </c>
      <c r="C96" s="107">
        <v>21418595.872145042</v>
      </c>
      <c r="D96" s="107">
        <v>18689040.422555715</v>
      </c>
      <c r="E96" s="107">
        <v>5514288.753869459</v>
      </c>
      <c r="F96" s="107">
        <v>12871353.277996048</v>
      </c>
      <c r="G96" s="107">
        <v>7787815.3071931303</v>
      </c>
      <c r="H96" s="107">
        <v>-2946282.9956158102</v>
      </c>
      <c r="I96" s="107">
        <v>-2482997.6254120618</v>
      </c>
    </row>
    <row r="97" spans="2:9">
      <c r="B97" s="105">
        <v>89</v>
      </c>
      <c r="C97" s="107">
        <v>18834101.748481378</v>
      </c>
      <c r="D97" s="107">
        <v>6362688.2310363352</v>
      </c>
      <c r="E97" s="107">
        <v>15234826.721317485</v>
      </c>
      <c r="F97" s="107">
        <v>17415206.712317243</v>
      </c>
      <c r="G97" s="107">
        <v>7545719.4357239306</v>
      </c>
      <c r="H97" s="107">
        <v>13278384.243945196</v>
      </c>
      <c r="I97" s="107">
        <v>6585102.2286883742</v>
      </c>
    </row>
    <row r="98" spans="2:9">
      <c r="B98" s="105">
        <v>90</v>
      </c>
      <c r="C98" s="107">
        <v>22204222.510696456</v>
      </c>
      <c r="D98" s="107">
        <v>7199546.8422965854</v>
      </c>
      <c r="E98" s="107">
        <v>17151087.462276399</v>
      </c>
      <c r="F98" s="107">
        <v>11234437.007927284</v>
      </c>
      <c r="G98" s="107">
        <v>8582172.9318756014</v>
      </c>
      <c r="H98" s="107">
        <v>4758113.4307380319</v>
      </c>
      <c r="I98" s="107">
        <v>11577891.891630888</v>
      </c>
    </row>
    <row r="99" spans="2:9">
      <c r="B99" s="105">
        <v>91</v>
      </c>
      <c r="C99" s="107">
        <v>23614860.878326505</v>
      </c>
      <c r="D99" s="107">
        <v>12953364.827891082</v>
      </c>
      <c r="E99" s="107">
        <v>9243368.1498997957</v>
      </c>
      <c r="F99" s="107">
        <v>12461312.117410064</v>
      </c>
      <c r="G99" s="107">
        <v>2864659.6913584769</v>
      </c>
      <c r="H99" s="107">
        <v>5536223.1170959622</v>
      </c>
      <c r="I99" s="107">
        <v>5981188.7247271985</v>
      </c>
    </row>
    <row r="100" spans="2:9">
      <c r="B100" s="105">
        <v>92</v>
      </c>
      <c r="C100" s="107">
        <v>15468169.433386147</v>
      </c>
      <c r="D100" s="107">
        <v>24558603.375757739</v>
      </c>
      <c r="E100" s="107">
        <v>13943715.989303082</v>
      </c>
      <c r="F100" s="107">
        <v>14070897.112665623</v>
      </c>
      <c r="G100" s="107">
        <v>11229283.272298694</v>
      </c>
      <c r="H100" s="107">
        <v>-1355683.3718772233</v>
      </c>
      <c r="I100" s="107">
        <v>218820.10366262496</v>
      </c>
    </row>
    <row r="101" spans="2:9">
      <c r="B101" s="105">
        <v>93</v>
      </c>
      <c r="C101" s="107">
        <v>14491320.316397801</v>
      </c>
      <c r="D101" s="107">
        <v>30106896.804117322</v>
      </c>
      <c r="E101" s="107">
        <v>10311910.452161312</v>
      </c>
      <c r="F101" s="107">
        <v>14555601.502265215</v>
      </c>
      <c r="G101" s="107">
        <v>12027356.57397078</v>
      </c>
      <c r="H101" s="107">
        <v>10107729.280373797</v>
      </c>
      <c r="I101" s="107">
        <v>8228740.5055451989</v>
      </c>
    </row>
    <row r="102" spans="2:9">
      <c r="B102" s="105">
        <v>94</v>
      </c>
      <c r="C102" s="107">
        <v>16434337.555952609</v>
      </c>
      <c r="D102" s="107">
        <v>15134959.705784559</v>
      </c>
      <c r="E102" s="107">
        <v>14350601.065044329</v>
      </c>
      <c r="F102" s="107">
        <v>1210483.4352229089</v>
      </c>
      <c r="G102" s="107">
        <v>19150657.788814515</v>
      </c>
      <c r="H102" s="107">
        <v>6953076.4478516281</v>
      </c>
      <c r="I102" s="107">
        <v>10077770.074255154</v>
      </c>
    </row>
    <row r="103" spans="2:9">
      <c r="B103" s="105">
        <v>95</v>
      </c>
      <c r="C103" s="107">
        <v>10081569.543954521</v>
      </c>
      <c r="D103" s="107">
        <v>15273997.606132656</v>
      </c>
      <c r="E103" s="107">
        <v>17034378.798853889</v>
      </c>
      <c r="F103" s="107">
        <v>17378240.163427606</v>
      </c>
      <c r="G103" s="107">
        <v>11743630.102182001</v>
      </c>
      <c r="H103" s="107">
        <v>-4434194.0610149503</v>
      </c>
      <c r="I103" s="107">
        <v>10986570.867357388</v>
      </c>
    </row>
    <row r="104" spans="2:9">
      <c r="B104" s="105">
        <v>96</v>
      </c>
      <c r="C104" s="107">
        <v>16646143.870804846</v>
      </c>
      <c r="D104" s="107">
        <v>17747177.734131739</v>
      </c>
      <c r="E104" s="107">
        <v>14742071.470572278</v>
      </c>
      <c r="F104" s="107">
        <v>14747190.097093314</v>
      </c>
      <c r="G104" s="107">
        <v>15835937.39346683</v>
      </c>
      <c r="H104" s="107">
        <v>-42661.043672442436</v>
      </c>
      <c r="I104" s="107">
        <v>2200944.7201322019</v>
      </c>
    </row>
    <row r="105" spans="2:9">
      <c r="B105" s="105">
        <v>97</v>
      </c>
      <c r="C105" s="107">
        <v>21574722.259667963</v>
      </c>
      <c r="D105" s="107">
        <v>19631251.323058397</v>
      </c>
      <c r="E105" s="107">
        <v>4629428.2240306586</v>
      </c>
      <c r="F105" s="107">
        <v>13837370.019957408</v>
      </c>
      <c r="G105" s="107">
        <v>7311169.4002542794</v>
      </c>
      <c r="H105" s="107">
        <v>9922396.5734717101</v>
      </c>
      <c r="I105" s="107">
        <v>10757044.947977319</v>
      </c>
    </row>
    <row r="106" spans="2:9">
      <c r="B106" s="105">
        <v>98</v>
      </c>
      <c r="C106" s="107">
        <v>30316953.29237695</v>
      </c>
      <c r="D106" s="107">
        <v>23358295.27698651</v>
      </c>
      <c r="E106" s="107">
        <v>9064863.2298192382</v>
      </c>
      <c r="F106" s="107">
        <v>9781393.1105771661</v>
      </c>
      <c r="G106" s="107">
        <v>18348702.870682701</v>
      </c>
      <c r="H106" s="107">
        <v>8865728.2209905684</v>
      </c>
      <c r="I106" s="107">
        <v>7565493.4917002171</v>
      </c>
    </row>
    <row r="107" spans="2:9">
      <c r="B107" s="105">
        <v>99</v>
      </c>
      <c r="C107" s="107">
        <v>10502884.282504454</v>
      </c>
      <c r="D107" s="107">
        <v>16514465.339005172</v>
      </c>
      <c r="E107" s="107">
        <v>11336452.810781375</v>
      </c>
      <c r="F107" s="107">
        <v>11845896.175871029</v>
      </c>
      <c r="G107" s="107">
        <v>9899894.0135065168</v>
      </c>
      <c r="H107" s="107">
        <v>-780150.54751886427</v>
      </c>
      <c r="I107" s="107">
        <v>10554194.023559034</v>
      </c>
    </row>
    <row r="108" spans="2:9">
      <c r="B108" s="105">
        <v>100</v>
      </c>
      <c r="C108" s="107">
        <v>20927403.346863836</v>
      </c>
      <c r="D108" s="107">
        <v>21774447.838509142</v>
      </c>
      <c r="E108" s="107">
        <v>13627945.42571561</v>
      </c>
      <c r="F108" s="107">
        <v>11739654.460832775</v>
      </c>
      <c r="G108" s="107">
        <v>-3898136.207278356</v>
      </c>
      <c r="H108" s="107">
        <v>7135284.5421307683</v>
      </c>
      <c r="I108" s="107">
        <v>10979360.567801535</v>
      </c>
    </row>
    <row r="109" spans="2:9">
      <c r="B109" s="105">
        <v>101</v>
      </c>
      <c r="C109" s="107">
        <v>13536041.477686852</v>
      </c>
      <c r="D109" s="107">
        <v>13020979.027156115</v>
      </c>
      <c r="E109" s="107">
        <v>12097991.883622825</v>
      </c>
      <c r="F109" s="107">
        <v>10600736.820705742</v>
      </c>
      <c r="G109" s="107">
        <v>9605800.2034444064</v>
      </c>
      <c r="H109" s="107">
        <v>10991926.996566311</v>
      </c>
      <c r="I109" s="107">
        <v>6809775.9093004167</v>
      </c>
    </row>
    <row r="110" spans="2:9">
      <c r="B110" s="105">
        <v>102</v>
      </c>
      <c r="C110" s="107">
        <v>15113058.865580156</v>
      </c>
      <c r="D110" s="107">
        <v>10691600.988573745</v>
      </c>
      <c r="E110" s="107">
        <v>20635820.834123611</v>
      </c>
      <c r="F110" s="107">
        <v>8260820.5530569702</v>
      </c>
      <c r="G110" s="107">
        <v>15344675.022107273</v>
      </c>
      <c r="H110" s="107">
        <v>12690282.311919391</v>
      </c>
      <c r="I110" s="107">
        <v>7311758.1323466152</v>
      </c>
    </row>
    <row r="111" spans="2:9">
      <c r="B111" s="105">
        <v>103</v>
      </c>
      <c r="C111" s="107">
        <v>6242837.8607260287</v>
      </c>
      <c r="D111" s="107">
        <v>23743721.888650924</v>
      </c>
      <c r="E111" s="107">
        <v>23706152.209513411</v>
      </c>
      <c r="F111" s="107">
        <v>4883156.1991452426</v>
      </c>
      <c r="G111" s="107">
        <v>4309080.9587868601</v>
      </c>
      <c r="H111" s="107">
        <v>9494368.9223749936</v>
      </c>
      <c r="I111" s="107">
        <v>-7802471.6877449453</v>
      </c>
    </row>
    <row r="112" spans="2:9">
      <c r="B112" s="105">
        <v>104</v>
      </c>
      <c r="C112" s="107">
        <v>23524882.893757433</v>
      </c>
      <c r="D112" s="107">
        <v>14661162.951217696</v>
      </c>
      <c r="E112" s="107">
        <v>10058849.366866335</v>
      </c>
      <c r="F112" s="107">
        <v>6905967.6788677126</v>
      </c>
      <c r="G112" s="107">
        <v>17554371.77400358</v>
      </c>
      <c r="H112" s="107">
        <v>17804697.034762204</v>
      </c>
      <c r="I112" s="107">
        <v>-6442676.4653406888</v>
      </c>
    </row>
    <row r="113" spans="2:9">
      <c r="B113" s="105">
        <v>105</v>
      </c>
      <c r="C113" s="107">
        <v>23577855.615565434</v>
      </c>
      <c r="D113" s="107">
        <v>8552675.6103619635</v>
      </c>
      <c r="E113" s="107">
        <v>13858867.907641396</v>
      </c>
      <c r="F113" s="107">
        <v>14622143.204016671</v>
      </c>
      <c r="G113" s="107">
        <v>8718697.2908220589</v>
      </c>
      <c r="H113" s="107">
        <v>13207570.544690147</v>
      </c>
      <c r="I113" s="107">
        <v>3076487.2953064889</v>
      </c>
    </row>
    <row r="114" spans="2:9">
      <c r="B114" s="105">
        <v>106</v>
      </c>
      <c r="C114" s="107">
        <v>20922897.413087159</v>
      </c>
      <c r="D114" s="107">
        <v>21030958.88910535</v>
      </c>
      <c r="E114" s="107">
        <v>15145613.960817233</v>
      </c>
      <c r="F114" s="107">
        <v>13106765.395502865</v>
      </c>
      <c r="G114" s="107">
        <v>13659500.835199654</v>
      </c>
      <c r="H114" s="107">
        <v>4388271.2876869291</v>
      </c>
      <c r="I114" s="107">
        <v>-219445.348507002</v>
      </c>
    </row>
    <row r="115" spans="2:9">
      <c r="B115" s="105">
        <v>107</v>
      </c>
      <c r="C115" s="107">
        <v>21633054.865527108</v>
      </c>
      <c r="D115" s="107">
        <v>9103877.7066000998</v>
      </c>
      <c r="E115" s="107">
        <v>8852759.7046844959</v>
      </c>
      <c r="F115" s="107">
        <v>8066201.44970119</v>
      </c>
      <c r="G115" s="107">
        <v>1905780.4616722018</v>
      </c>
      <c r="H115" s="107">
        <v>6621129.3170847148</v>
      </c>
      <c r="I115" s="107">
        <v>-2424459.4506404847</v>
      </c>
    </row>
    <row r="116" spans="2:9">
      <c r="B116" s="105">
        <v>108</v>
      </c>
      <c r="C116" s="107">
        <v>23259687.581011921</v>
      </c>
      <c r="D116" s="107">
        <v>14401303.779513031</v>
      </c>
      <c r="E116" s="107">
        <v>4033885.0898768455</v>
      </c>
      <c r="F116" s="107">
        <v>14946102.131660298</v>
      </c>
      <c r="G116" s="107">
        <v>20708260.642075211</v>
      </c>
      <c r="H116" s="107">
        <v>7107390.8553395122</v>
      </c>
      <c r="I116" s="107">
        <v>-4761492.4653193951</v>
      </c>
    </row>
    <row r="117" spans="2:9">
      <c r="B117" s="105">
        <v>109</v>
      </c>
      <c r="C117" s="107">
        <v>15375769.938793421</v>
      </c>
      <c r="D117" s="107">
        <v>18140498.961306423</v>
      </c>
      <c r="E117" s="107">
        <v>10523088.821940497</v>
      </c>
      <c r="F117" s="107">
        <v>13173114.31222257</v>
      </c>
      <c r="G117" s="107">
        <v>10434229.648753464</v>
      </c>
      <c r="H117" s="107">
        <v>3420640.6599057168</v>
      </c>
      <c r="I117" s="107">
        <v>-7880943.6824039519</v>
      </c>
    </row>
    <row r="118" spans="2:9">
      <c r="B118" s="105">
        <v>110</v>
      </c>
      <c r="C118" s="107">
        <v>16788280.388826996</v>
      </c>
      <c r="D118" s="107">
        <v>20456891.446905673</v>
      </c>
      <c r="E118" s="107">
        <v>12173341.42091915</v>
      </c>
      <c r="F118" s="107">
        <v>13985854.164616451</v>
      </c>
      <c r="G118" s="107">
        <v>16532018.832530096</v>
      </c>
      <c r="H118" s="107">
        <v>-867241.19638234377</v>
      </c>
      <c r="I118" s="107">
        <v>2938957.4025720805</v>
      </c>
    </row>
    <row r="119" spans="2:9">
      <c r="B119" s="105">
        <v>111</v>
      </c>
      <c r="C119" s="107">
        <v>21519747.061003536</v>
      </c>
      <c r="D119" s="107">
        <v>19387199.578610763</v>
      </c>
      <c r="E119" s="107">
        <v>15119927.028549492</v>
      </c>
      <c r="F119" s="107">
        <v>15227951.235270694</v>
      </c>
      <c r="G119" s="107">
        <v>11182266.576559037</v>
      </c>
      <c r="H119" s="107">
        <v>10444923.707154438</v>
      </c>
      <c r="I119" s="107">
        <v>1808683.3895042837</v>
      </c>
    </row>
    <row r="120" spans="2:9">
      <c r="B120" s="105">
        <v>112</v>
      </c>
      <c r="C120" s="107">
        <v>17528933.869520128</v>
      </c>
      <c r="D120" s="107">
        <v>14912204.277387947</v>
      </c>
      <c r="E120" s="107">
        <v>10073612.063166037</v>
      </c>
      <c r="F120" s="107">
        <v>10564953.969774142</v>
      </c>
      <c r="G120" s="107">
        <v>-1002458.652394861</v>
      </c>
      <c r="H120" s="107">
        <v>3027312.7317869067</v>
      </c>
      <c r="I120" s="107">
        <v>-4598249.2983438373</v>
      </c>
    </row>
    <row r="121" spans="2:9">
      <c r="B121" s="105">
        <v>113</v>
      </c>
      <c r="C121" s="107">
        <v>14119173.236011893</v>
      </c>
      <c r="D121" s="107">
        <v>21600404.037512273</v>
      </c>
      <c r="E121" s="107">
        <v>12029022.976335689</v>
      </c>
      <c r="F121" s="107">
        <v>3277840.1537822783</v>
      </c>
      <c r="G121" s="107">
        <v>10470834.381575778</v>
      </c>
      <c r="H121" s="107">
        <v>-229671.46533215046</v>
      </c>
      <c r="I121" s="107">
        <v>5310755.7529625297</v>
      </c>
    </row>
    <row r="122" spans="2:9">
      <c r="B122" s="105">
        <v>114</v>
      </c>
      <c r="C122" s="107">
        <v>9417375.0485172123</v>
      </c>
      <c r="D122" s="107">
        <v>22855573.096413717</v>
      </c>
      <c r="E122" s="107">
        <v>13226202.717775211</v>
      </c>
      <c r="F122" s="107">
        <v>11141753.313232407</v>
      </c>
      <c r="G122" s="107">
        <v>12155479.814620644</v>
      </c>
      <c r="H122" s="107">
        <v>14812663.966916934</v>
      </c>
      <c r="I122" s="107">
        <v>1001169.0765471607</v>
      </c>
    </row>
    <row r="123" spans="2:9">
      <c r="B123" s="105">
        <v>115</v>
      </c>
      <c r="C123" s="107">
        <v>19330166.407791495</v>
      </c>
      <c r="D123" s="107">
        <v>9216402.266343981</v>
      </c>
      <c r="E123" s="107">
        <v>8870367.4629633278</v>
      </c>
      <c r="F123" s="107">
        <v>12674779.799726516</v>
      </c>
      <c r="G123" s="107">
        <v>10146043.985620677</v>
      </c>
      <c r="H123" s="107">
        <v>3314857.5679561943</v>
      </c>
      <c r="I123" s="107">
        <v>1523034.5126692355</v>
      </c>
    </row>
    <row r="124" spans="2:9">
      <c r="B124" s="105">
        <v>116</v>
      </c>
      <c r="C124" s="107">
        <v>16657701.041739866</v>
      </c>
      <c r="D124" s="107">
        <v>20502678.128542513</v>
      </c>
      <c r="E124" s="107">
        <v>17924944.06897153</v>
      </c>
      <c r="F124" s="107">
        <v>13533868.372631282</v>
      </c>
      <c r="G124" s="107">
        <v>9137563.8477116227</v>
      </c>
      <c r="H124" s="107">
        <v>13380831.970800042</v>
      </c>
      <c r="I124" s="107">
        <v>-1437689.542917639</v>
      </c>
    </row>
    <row r="125" spans="2:9">
      <c r="B125" s="105">
        <v>117</v>
      </c>
      <c r="C125" s="107">
        <v>24921724.275494069</v>
      </c>
      <c r="D125" s="107">
        <v>18701293.712397918</v>
      </c>
      <c r="E125" s="107">
        <v>17133258.229329422</v>
      </c>
      <c r="F125" s="107">
        <v>6893246.591879651</v>
      </c>
      <c r="G125" s="107">
        <v>9311086.8933761567</v>
      </c>
      <c r="H125" s="107">
        <v>2153351.8727201819</v>
      </c>
      <c r="I125" s="107">
        <v>3003168.3268467784</v>
      </c>
    </row>
    <row r="126" spans="2:9">
      <c r="B126" s="105">
        <v>118</v>
      </c>
      <c r="C126" s="107">
        <v>22609009.450246349</v>
      </c>
      <c r="D126" s="107">
        <v>20880188.994578823</v>
      </c>
      <c r="E126" s="107">
        <v>13197766.889649197</v>
      </c>
      <c r="F126" s="107">
        <v>7366938.4167877436</v>
      </c>
      <c r="G126" s="107">
        <v>9854263.3830536902</v>
      </c>
      <c r="H126" s="107">
        <v>9091913.6504646987</v>
      </c>
      <c r="I126" s="107">
        <v>-3119030.2019716054</v>
      </c>
    </row>
    <row r="127" spans="2:9">
      <c r="B127" s="105">
        <v>119</v>
      </c>
      <c r="C127" s="107">
        <v>17563977.415589511</v>
      </c>
      <c r="D127" s="107">
        <v>7188710.8177995384</v>
      </c>
      <c r="E127" s="107">
        <v>8494493.0656834394</v>
      </c>
      <c r="F127" s="107">
        <v>22084819.548491195</v>
      </c>
      <c r="G127" s="107">
        <v>-1057509.7973388582</v>
      </c>
      <c r="H127" s="107">
        <v>-256192.66151937842</v>
      </c>
      <c r="I127" s="107">
        <v>-1074984.194491595</v>
      </c>
    </row>
    <row r="128" spans="2:9">
      <c r="B128" s="105">
        <v>120</v>
      </c>
      <c r="C128" s="107">
        <v>13017453.380759001</v>
      </c>
      <c r="D128" s="107">
        <v>15639717.075750709</v>
      </c>
      <c r="E128" s="107">
        <v>22292454.843603849</v>
      </c>
      <c r="F128" s="107">
        <v>12103455.898358509</v>
      </c>
      <c r="G128" s="107">
        <v>9946764.1742596179</v>
      </c>
      <c r="H128" s="107">
        <v>3665076.7436169982</v>
      </c>
      <c r="I128" s="107">
        <v>4020144.9541911185</v>
      </c>
    </row>
    <row r="129" spans="2:9">
      <c r="B129" s="105">
        <v>121</v>
      </c>
      <c r="C129" s="107">
        <v>29098838.684292912</v>
      </c>
      <c r="D129" s="107">
        <v>11746825.256581381</v>
      </c>
      <c r="E129" s="107">
        <v>14796857.519210249</v>
      </c>
      <c r="F129" s="107">
        <v>9831206.9658281654</v>
      </c>
      <c r="G129" s="107">
        <v>6172977.4570849389</v>
      </c>
      <c r="H129" s="107">
        <v>16465721.933995366</v>
      </c>
      <c r="I129" s="107">
        <v>10859282.934307635</v>
      </c>
    </row>
    <row r="130" spans="2:9">
      <c r="B130" s="105">
        <v>122</v>
      </c>
      <c r="C130" s="107">
        <v>21453895.669143498</v>
      </c>
      <c r="D130" s="107">
        <v>7588520.84842439</v>
      </c>
      <c r="E130" s="107">
        <v>11469782.191054851</v>
      </c>
      <c r="F130" s="107">
        <v>8777710.6125891209</v>
      </c>
      <c r="G130" s="107">
        <v>-4180598.2751747966</v>
      </c>
      <c r="H130" s="107">
        <v>79789.039106801152</v>
      </c>
      <c r="I130" s="107">
        <v>10132585.646403477</v>
      </c>
    </row>
    <row r="131" spans="2:9">
      <c r="B131" s="105">
        <v>123</v>
      </c>
      <c r="C131" s="107">
        <v>13999387.266142726</v>
      </c>
      <c r="D131" s="107">
        <v>7208422.8995360583</v>
      </c>
      <c r="E131" s="107">
        <v>11734594.372672349</v>
      </c>
      <c r="F131" s="107">
        <v>16927456.534354582</v>
      </c>
      <c r="G131" s="107">
        <v>14341658.45251821</v>
      </c>
      <c r="H131" s="107">
        <v>-2847711.9132128954</v>
      </c>
      <c r="I131" s="107">
        <v>474649.28408510983</v>
      </c>
    </row>
    <row r="132" spans="2:9">
      <c r="B132" s="105">
        <v>124</v>
      </c>
      <c r="C132" s="107">
        <v>14433428.991265863</v>
      </c>
      <c r="D132" s="107">
        <v>10727972.164438665</v>
      </c>
      <c r="E132" s="107">
        <v>23567966.775814041</v>
      </c>
      <c r="F132" s="107">
        <v>13603475.913596466</v>
      </c>
      <c r="G132" s="107">
        <v>8176824.0240321904</v>
      </c>
      <c r="H132" s="107">
        <v>1130829.0112009197</v>
      </c>
      <c r="I132" s="107">
        <v>-358092.85166950524</v>
      </c>
    </row>
    <row r="133" spans="2:9">
      <c r="B133" s="105">
        <v>125</v>
      </c>
      <c r="C133" s="107">
        <v>21203835.106439143</v>
      </c>
      <c r="D133" s="107">
        <v>1211390.218817845</v>
      </c>
      <c r="E133" s="107">
        <v>12820251.363232076</v>
      </c>
      <c r="F133" s="107">
        <v>13519559.393627718</v>
      </c>
      <c r="G133" s="107">
        <v>-712079.64547605813</v>
      </c>
      <c r="H133" s="107">
        <v>4739385.405154109</v>
      </c>
      <c r="I133" s="107">
        <v>19493470.090792045</v>
      </c>
    </row>
    <row r="134" spans="2:9">
      <c r="B134" s="105">
        <v>126</v>
      </c>
      <c r="C134" s="107">
        <v>18529887.036689863</v>
      </c>
      <c r="D134" s="107">
        <v>17123614.780427262</v>
      </c>
      <c r="E134" s="107">
        <v>12879870.384766594</v>
      </c>
      <c r="F134" s="107">
        <v>7017293.9815961272</v>
      </c>
      <c r="G134" s="107">
        <v>1156306.359348163</v>
      </c>
      <c r="H134" s="107">
        <v>13492143.234715283</v>
      </c>
      <c r="I134" s="107">
        <v>-1492308.1598698199</v>
      </c>
    </row>
    <row r="135" spans="2:9">
      <c r="B135" s="105">
        <v>127</v>
      </c>
      <c r="C135" s="107">
        <v>18070035.437833905</v>
      </c>
      <c r="D135" s="107">
        <v>11753624.084051058</v>
      </c>
      <c r="E135" s="107">
        <v>7510814.3647238761</v>
      </c>
      <c r="F135" s="107">
        <v>7105225.9575779438</v>
      </c>
      <c r="G135" s="107">
        <v>11803780.694061726</v>
      </c>
      <c r="H135" s="107">
        <v>538328.61161723733</v>
      </c>
      <c r="I135" s="107">
        <v>6210782.5662695169</v>
      </c>
    </row>
    <row r="136" spans="2:9">
      <c r="B136" s="105">
        <v>128</v>
      </c>
      <c r="C136" s="107">
        <v>11783995.955335036</v>
      </c>
      <c r="D136" s="107">
        <v>17468288.630903974</v>
      </c>
      <c r="E136" s="107">
        <v>5293814.1922747791</v>
      </c>
      <c r="F136" s="107">
        <v>23076826.591487125</v>
      </c>
      <c r="G136" s="107">
        <v>14994715.294513673</v>
      </c>
      <c r="H136" s="107">
        <v>9027190.0362382829</v>
      </c>
      <c r="I136" s="107">
        <v>5426683.9768287092</v>
      </c>
    </row>
    <row r="137" spans="2:9">
      <c r="B137" s="105">
        <v>129</v>
      </c>
      <c r="C137" s="107">
        <v>16166056.620899543</v>
      </c>
      <c r="D137" s="107">
        <v>12246908.350785241</v>
      </c>
      <c r="E137" s="107">
        <v>15739442.120050251</v>
      </c>
      <c r="F137" s="107">
        <v>5773891.8601693958</v>
      </c>
      <c r="G137" s="107">
        <v>10352281.18706955</v>
      </c>
      <c r="H137" s="107">
        <v>15995586.540629864</v>
      </c>
      <c r="I137" s="107">
        <v>8925905.9920787513</v>
      </c>
    </row>
    <row r="138" spans="2:9">
      <c r="B138" s="105">
        <v>130</v>
      </c>
      <c r="C138" s="107">
        <v>15771059.726747468</v>
      </c>
      <c r="D138" s="107">
        <v>13390069.854494885</v>
      </c>
      <c r="E138" s="107">
        <v>10226030.721205652</v>
      </c>
      <c r="F138" s="107">
        <v>21554449.639330059</v>
      </c>
      <c r="G138" s="107">
        <v>11687353.93405503</v>
      </c>
      <c r="H138" s="107">
        <v>4122645.2320589572</v>
      </c>
      <c r="I138" s="107">
        <v>1760009.9889125079</v>
      </c>
    </row>
    <row r="139" spans="2:9">
      <c r="B139" s="105">
        <v>131</v>
      </c>
      <c r="C139" s="107">
        <v>16923744.225256488</v>
      </c>
      <c r="D139" s="107">
        <v>15304273.196137473</v>
      </c>
      <c r="E139" s="107">
        <v>12386103.545875356</v>
      </c>
      <c r="F139" s="107">
        <v>7717900.3969721347</v>
      </c>
      <c r="G139" s="107">
        <v>14460076.160880744</v>
      </c>
      <c r="H139" s="107">
        <v>5701517.5975119174</v>
      </c>
      <c r="I139" s="107">
        <v>858007.80154576898</v>
      </c>
    </row>
    <row r="140" spans="2:9">
      <c r="B140" s="105">
        <v>132</v>
      </c>
      <c r="C140" s="107">
        <v>19151894.319051564</v>
      </c>
      <c r="D140" s="107">
        <v>17430944.511080742</v>
      </c>
      <c r="E140" s="107">
        <v>9099306.5787722617</v>
      </c>
      <c r="F140" s="107">
        <v>23860791.891369045</v>
      </c>
      <c r="G140" s="107">
        <v>6587724.1162502617</v>
      </c>
      <c r="H140" s="107">
        <v>3393331.87484698</v>
      </c>
      <c r="I140" s="107">
        <v>10874241.968108341</v>
      </c>
    </row>
    <row r="141" spans="2:9">
      <c r="B141" s="105">
        <v>133</v>
      </c>
      <c r="C141" s="107">
        <v>18816776.489263952</v>
      </c>
      <c r="D141" s="107">
        <v>34029703.383634731</v>
      </c>
      <c r="E141" s="107">
        <v>23365122.217779055</v>
      </c>
      <c r="F141" s="107">
        <v>12949645.299671963</v>
      </c>
      <c r="G141" s="107">
        <v>16565133.324215963</v>
      </c>
      <c r="H141" s="107">
        <v>9468579.2200494707</v>
      </c>
      <c r="I141" s="107">
        <v>8551689.9568504244</v>
      </c>
    </row>
    <row r="142" spans="2:9">
      <c r="B142" s="105">
        <v>134</v>
      </c>
      <c r="C142" s="107">
        <v>25767235.800666958</v>
      </c>
      <c r="D142" s="107">
        <v>8935601.2356289923</v>
      </c>
      <c r="E142" s="107">
        <v>11212838.584064871</v>
      </c>
      <c r="F142" s="107">
        <v>18513189.936295331</v>
      </c>
      <c r="G142" s="107">
        <v>7332931.0228165686</v>
      </c>
      <c r="H142" s="107">
        <v>12705467.420557112</v>
      </c>
      <c r="I142" s="107">
        <v>2750632.79853113</v>
      </c>
    </row>
    <row r="143" spans="2:9">
      <c r="B143" s="105">
        <v>135</v>
      </c>
      <c r="C143" s="107">
        <v>18335480.641559348</v>
      </c>
      <c r="D143" s="107">
        <v>18851172.942394495</v>
      </c>
      <c r="E143" s="107">
        <v>19490967.174264774</v>
      </c>
      <c r="F143" s="107">
        <v>8390819.8200056404</v>
      </c>
      <c r="G143" s="107">
        <v>16686928.496688351</v>
      </c>
      <c r="H143" s="107">
        <v>8043182.0044789165</v>
      </c>
      <c r="I143" s="107">
        <v>12526214.417353898</v>
      </c>
    </row>
    <row r="144" spans="2:9">
      <c r="B144" s="105">
        <v>136</v>
      </c>
      <c r="C144" s="107">
        <v>11168346.551157176</v>
      </c>
      <c r="D144" s="107">
        <v>14366868.769819096</v>
      </c>
      <c r="E144" s="107">
        <v>16794323.677563608</v>
      </c>
      <c r="F144" s="107">
        <v>8923042.5975785255</v>
      </c>
      <c r="G144" s="107">
        <v>11019235.639487997</v>
      </c>
      <c r="H144" s="107">
        <v>480058.97690084577</v>
      </c>
      <c r="I144" s="107">
        <v>-6173525.157928139</v>
      </c>
    </row>
    <row r="145" spans="2:9">
      <c r="B145" s="105">
        <v>137</v>
      </c>
      <c r="C145" s="107">
        <v>23381808.234652087</v>
      </c>
      <c r="D145" s="107">
        <v>15413782.531099409</v>
      </c>
      <c r="E145" s="107">
        <v>8880689.2358163297</v>
      </c>
      <c r="F145" s="107">
        <v>14652387.312909648</v>
      </c>
      <c r="G145" s="107">
        <v>-1896276.6038977057</v>
      </c>
      <c r="H145" s="107">
        <v>16058384.087834194</v>
      </c>
      <c r="I145" s="107">
        <v>1322411.2753672302</v>
      </c>
    </row>
    <row r="146" spans="2:9">
      <c r="B146" s="105">
        <v>138</v>
      </c>
      <c r="C146" s="107">
        <v>26662950.875898287</v>
      </c>
      <c r="D146" s="107">
        <v>16728826.460027903</v>
      </c>
      <c r="E146" s="107">
        <v>12944344.311401352</v>
      </c>
      <c r="F146" s="107">
        <v>11613862.438662276</v>
      </c>
      <c r="G146" s="107">
        <v>13464186.80430533</v>
      </c>
      <c r="H146" s="107">
        <v>9717498.109760344</v>
      </c>
      <c r="I146" s="107">
        <v>6872408.6185770929</v>
      </c>
    </row>
    <row r="147" spans="2:9">
      <c r="B147" s="105">
        <v>139</v>
      </c>
      <c r="C147" s="107">
        <v>14236129.763514742</v>
      </c>
      <c r="D147" s="107">
        <v>20307206.319202274</v>
      </c>
      <c r="E147" s="107">
        <v>12952947.740182281</v>
      </c>
      <c r="F147" s="107">
        <v>14800633.384027511</v>
      </c>
      <c r="G147" s="107">
        <v>3020232.8641593158</v>
      </c>
      <c r="H147" s="107">
        <v>7282008.1062545031</v>
      </c>
      <c r="I147" s="107">
        <v>7117711.9049586058</v>
      </c>
    </row>
    <row r="148" spans="2:9">
      <c r="B148" s="105">
        <v>140</v>
      </c>
      <c r="C148" s="107">
        <v>7232489.8362558037</v>
      </c>
      <c r="D148" s="107">
        <v>19407019.547313228</v>
      </c>
      <c r="E148" s="107">
        <v>11117257.52145949</v>
      </c>
      <c r="F148" s="107">
        <v>22543899.900705904</v>
      </c>
      <c r="G148" s="107">
        <v>16687103.538145542</v>
      </c>
      <c r="H148" s="107">
        <v>8059981.024755165</v>
      </c>
      <c r="I148" s="107">
        <v>14881831.288986996</v>
      </c>
    </row>
    <row r="149" spans="2:9">
      <c r="B149" s="105">
        <v>141</v>
      </c>
      <c r="C149" s="107">
        <v>25616143.21649991</v>
      </c>
      <c r="D149" s="107">
        <v>10787706.417844355</v>
      </c>
      <c r="E149" s="107">
        <v>13402174.426347449</v>
      </c>
      <c r="F149" s="107">
        <v>15305562.193714991</v>
      </c>
      <c r="G149" s="107">
        <v>6624909.7303649932</v>
      </c>
      <c r="H149" s="107">
        <v>7476092.7589732707</v>
      </c>
      <c r="I149" s="107">
        <v>328847.24959594011</v>
      </c>
    </row>
    <row r="150" spans="2:9">
      <c r="B150" s="105">
        <v>142</v>
      </c>
      <c r="C150" s="107">
        <v>14331777.174370468</v>
      </c>
      <c r="D150" s="107">
        <v>16678421.207090572</v>
      </c>
      <c r="E150" s="107">
        <v>12036891.019379631</v>
      </c>
      <c r="F150" s="107">
        <v>7102658.2317004353</v>
      </c>
      <c r="G150" s="107">
        <v>3825260.0381315053</v>
      </c>
      <c r="H150" s="107">
        <v>9959548.6890725195</v>
      </c>
      <c r="I150" s="107">
        <v>17152333.076998085</v>
      </c>
    </row>
    <row r="151" spans="2:9">
      <c r="B151" s="105">
        <v>143</v>
      </c>
      <c r="C151" s="107">
        <v>12378585.211808845</v>
      </c>
      <c r="D151" s="107">
        <v>13249875.524124786</v>
      </c>
      <c r="E151" s="107">
        <v>-723636.76035781205</v>
      </c>
      <c r="F151" s="107">
        <v>13679253.382998705</v>
      </c>
      <c r="G151" s="107">
        <v>20309428.532346472</v>
      </c>
      <c r="H151" s="107">
        <v>4789265.8745517582</v>
      </c>
      <c r="I151" s="107">
        <v>-1247336.9840004742</v>
      </c>
    </row>
    <row r="152" spans="2:9">
      <c r="B152" s="105">
        <v>144</v>
      </c>
      <c r="C152" s="107">
        <v>27366572.254177496</v>
      </c>
      <c r="D152" s="107">
        <v>13723430.740608186</v>
      </c>
      <c r="E152" s="107">
        <v>16087379.080947623</v>
      </c>
      <c r="F152" s="107">
        <v>16529625.498508617</v>
      </c>
      <c r="G152" s="107">
        <v>4813020.7504509836</v>
      </c>
      <c r="H152" s="107">
        <v>3029912.7453266382</v>
      </c>
      <c r="I152" s="107">
        <v>10428091.744722545</v>
      </c>
    </row>
    <row r="153" spans="2:9">
      <c r="B153" s="105">
        <v>145</v>
      </c>
      <c r="C153" s="107">
        <v>6259465.375330776</v>
      </c>
      <c r="D153" s="107">
        <v>17470533.531552121</v>
      </c>
      <c r="E153" s="107">
        <v>16239767.316066846</v>
      </c>
      <c r="F153" s="107">
        <v>14854698.082572967</v>
      </c>
      <c r="G153" s="107">
        <v>8552526.8894341588</v>
      </c>
      <c r="H153" s="107">
        <v>14534447.5655009</v>
      </c>
      <c r="I153" s="107">
        <v>21478269.545215353</v>
      </c>
    </row>
    <row r="154" spans="2:9">
      <c r="B154" s="105">
        <v>146</v>
      </c>
      <c r="C154" s="107">
        <v>18934772.590800524</v>
      </c>
      <c r="D154" s="107">
        <v>14206410.559450224</v>
      </c>
      <c r="E154" s="107">
        <v>20164085.82518822</v>
      </c>
      <c r="F154" s="107">
        <v>22521720.556464955</v>
      </c>
      <c r="G154" s="107">
        <v>-1234755.895598501</v>
      </c>
      <c r="H154" s="107">
        <v>4761856.9626667053</v>
      </c>
      <c r="I154" s="107">
        <v>16745618.42474027</v>
      </c>
    </row>
    <row r="155" spans="2:9">
      <c r="B155" s="105">
        <v>147</v>
      </c>
      <c r="C155" s="107">
        <v>17831894.993010402</v>
      </c>
      <c r="D155" s="107">
        <v>10774779.703148857</v>
      </c>
      <c r="E155" s="107">
        <v>15666623.302794561</v>
      </c>
      <c r="F155" s="107">
        <v>6975950.8315532953</v>
      </c>
      <c r="G155" s="107">
        <v>14358993.840698972</v>
      </c>
      <c r="H155" s="107">
        <v>5231048.5019606203</v>
      </c>
      <c r="I155" s="107">
        <v>16029282.754315153</v>
      </c>
    </row>
    <row r="156" spans="2:9">
      <c r="B156" s="105">
        <v>148</v>
      </c>
      <c r="C156" s="107">
        <v>29237986.54289864</v>
      </c>
      <c r="D156" s="107">
        <v>18751056.148685575</v>
      </c>
      <c r="E156" s="107">
        <v>13450428.670008168</v>
      </c>
      <c r="F156" s="107">
        <v>8264891.4515221417</v>
      </c>
      <c r="G156" s="107">
        <v>9940536.5861376524</v>
      </c>
      <c r="H156" s="107">
        <v>1525850.0935910046</v>
      </c>
      <c r="I156" s="107">
        <v>11594325.892661661</v>
      </c>
    </row>
    <row r="157" spans="2:9">
      <c r="B157" s="105">
        <v>149</v>
      </c>
      <c r="C157" s="107">
        <v>26438662.676388785</v>
      </c>
      <c r="D157" s="107">
        <v>24377720.552759975</v>
      </c>
      <c r="E157" s="107">
        <v>13911627.044883043</v>
      </c>
      <c r="F157" s="107">
        <v>764373.13524933159</v>
      </c>
      <c r="G157" s="107">
        <v>22656602.97694315</v>
      </c>
      <c r="H157" s="107">
        <v>14316637.004634514</v>
      </c>
      <c r="I157" s="107">
        <v>9361626.6588480473</v>
      </c>
    </row>
    <row r="158" spans="2:9">
      <c r="B158" s="105">
        <v>150</v>
      </c>
      <c r="C158" s="107">
        <v>27564082.339477122</v>
      </c>
      <c r="D158" s="107">
        <v>18230718.639264122</v>
      </c>
      <c r="E158" s="107">
        <v>14673414.090532035</v>
      </c>
      <c r="F158" s="107">
        <v>-1135634.0064905882</v>
      </c>
      <c r="G158" s="107">
        <v>7573040.0593611747</v>
      </c>
      <c r="H158" s="107">
        <v>-835213.92800393701</v>
      </c>
      <c r="I158" s="107">
        <v>2491078.8553948998</v>
      </c>
    </row>
    <row r="159" spans="2:9">
      <c r="B159" s="105">
        <v>151</v>
      </c>
      <c r="C159" s="107">
        <v>20915839.267448038</v>
      </c>
      <c r="D159" s="107">
        <v>8809513.2091834992</v>
      </c>
      <c r="E159" s="107">
        <v>10346371.744158953</v>
      </c>
      <c r="F159" s="107">
        <v>10206379.579235807</v>
      </c>
      <c r="G159" s="107">
        <v>7211836.3161816001</v>
      </c>
      <c r="H159" s="107">
        <v>12502730.649868146</v>
      </c>
      <c r="I159" s="107">
        <v>5124233.2489822507</v>
      </c>
    </row>
    <row r="160" spans="2:9">
      <c r="B160" s="105">
        <v>152</v>
      </c>
      <c r="C160" s="107">
        <v>21779280.678841874</v>
      </c>
      <c r="D160" s="107">
        <v>12408311.800774544</v>
      </c>
      <c r="E160" s="107">
        <v>16001097.275799096</v>
      </c>
      <c r="F160" s="107">
        <v>16373801.480475962</v>
      </c>
      <c r="G160" s="107">
        <v>12788681.396706074</v>
      </c>
      <c r="H160" s="107">
        <v>19752966.838257104</v>
      </c>
      <c r="I160" s="107">
        <v>6503734.9284978062</v>
      </c>
    </row>
    <row r="161" spans="2:9">
      <c r="B161" s="105">
        <v>153</v>
      </c>
      <c r="C161" s="107">
        <v>18762181.864716068</v>
      </c>
      <c r="D161" s="107">
        <v>23711379.39874053</v>
      </c>
      <c r="E161" s="107">
        <v>9854952.6509629935</v>
      </c>
      <c r="F161" s="107">
        <v>10303349.038867831</v>
      </c>
      <c r="G161" s="107">
        <v>-7825439.2102853209</v>
      </c>
      <c r="H161" s="107">
        <v>-2724488.4824804813</v>
      </c>
      <c r="I161" s="107">
        <v>1768296.1740475893</v>
      </c>
    </row>
    <row r="162" spans="2:9">
      <c r="B162" s="105">
        <v>154</v>
      </c>
      <c r="C162" s="107">
        <v>24335255.381948277</v>
      </c>
      <c r="D162" s="107">
        <v>20168261.804451615</v>
      </c>
      <c r="E162" s="107">
        <v>12857488.342466846</v>
      </c>
      <c r="F162" s="107">
        <v>6008474.2830944806</v>
      </c>
      <c r="G162" s="107">
        <v>18217858.431179434</v>
      </c>
      <c r="H162" s="107">
        <v>4315095.8590520471</v>
      </c>
      <c r="I162" s="107">
        <v>-2875631.7743255794</v>
      </c>
    </row>
    <row r="163" spans="2:9">
      <c r="B163" s="105">
        <v>155</v>
      </c>
      <c r="C163" s="107">
        <v>18570679.667665616</v>
      </c>
      <c r="D163" s="107">
        <v>8686734.3428630084</v>
      </c>
      <c r="E163" s="107">
        <v>11951332.97057347</v>
      </c>
      <c r="F163" s="107">
        <v>19422171.39352484</v>
      </c>
      <c r="G163" s="107">
        <v>-842805.12295684218</v>
      </c>
      <c r="H163" s="107">
        <v>6072167.9458760321</v>
      </c>
      <c r="I163" s="107">
        <v>5384119.8643070608</v>
      </c>
    </row>
    <row r="164" spans="2:9">
      <c r="B164" s="105">
        <v>156</v>
      </c>
      <c r="C164" s="107">
        <v>18498292.582993686</v>
      </c>
      <c r="D164" s="107">
        <v>8509899.0169549733</v>
      </c>
      <c r="E164" s="107">
        <v>8988373.4714481235</v>
      </c>
      <c r="F164" s="107">
        <v>7106462.5224262327</v>
      </c>
      <c r="G164" s="107">
        <v>7180727.8396205008</v>
      </c>
      <c r="H164" s="107">
        <v>12108495.701479629</v>
      </c>
      <c r="I164" s="107">
        <v>9857080.5420648158</v>
      </c>
    </row>
    <row r="165" spans="2:9">
      <c r="B165" s="105">
        <v>157</v>
      </c>
      <c r="C165" s="107">
        <v>20771301.105166033</v>
      </c>
      <c r="D165" s="107">
        <v>12089039.928495675</v>
      </c>
      <c r="E165" s="107">
        <v>16052470.08331725</v>
      </c>
      <c r="F165" s="107">
        <v>13236652.305416375</v>
      </c>
      <c r="G165" s="107">
        <v>5113577.2067077756</v>
      </c>
      <c r="H165" s="107">
        <v>11508375.991720602</v>
      </c>
      <c r="I165" s="107">
        <v>9957399.6988631189</v>
      </c>
    </row>
    <row r="166" spans="2:9">
      <c r="B166" s="105">
        <v>158</v>
      </c>
      <c r="C166" s="107">
        <v>12233092.761283353</v>
      </c>
      <c r="D166" s="107">
        <v>15056594.408457637</v>
      </c>
      <c r="E166" s="107">
        <v>11628041.522468969</v>
      </c>
      <c r="F166" s="107">
        <v>12446864.789239541</v>
      </c>
      <c r="G166" s="107">
        <v>11591179.344180524</v>
      </c>
      <c r="H166" s="107">
        <v>19111419.780173317</v>
      </c>
      <c r="I166" s="107">
        <v>9381969.3200374246</v>
      </c>
    </row>
    <row r="167" spans="2:9">
      <c r="B167" s="105">
        <v>159</v>
      </c>
      <c r="C167" s="107">
        <v>17850829.374160573</v>
      </c>
      <c r="D167" s="107">
        <v>12667114.172546014</v>
      </c>
      <c r="E167" s="107">
        <v>5981805.519777894</v>
      </c>
      <c r="F167" s="107">
        <v>5023780.9780687243</v>
      </c>
      <c r="G167" s="107">
        <v>11625609.288495794</v>
      </c>
      <c r="H167" s="107">
        <v>8415191.6413101405</v>
      </c>
      <c r="I167" s="107">
        <v>3114579.1383844763</v>
      </c>
    </row>
    <row r="168" spans="2:9">
      <c r="B168" s="105">
        <v>160</v>
      </c>
      <c r="C168" s="107">
        <v>20893987.577933043</v>
      </c>
      <c r="D168" s="107">
        <v>13620290.373675227</v>
      </c>
      <c r="E168" s="107">
        <v>8970977.510095641</v>
      </c>
      <c r="F168" s="107">
        <v>13501620.595773682</v>
      </c>
      <c r="G168" s="107">
        <v>10858085.923623666</v>
      </c>
      <c r="H168" s="107">
        <v>6028277.8272319138</v>
      </c>
      <c r="I168" s="107">
        <v>-410706.70662097633</v>
      </c>
    </row>
    <row r="169" spans="2:9">
      <c r="B169" s="105">
        <v>161</v>
      </c>
      <c r="C169" s="107">
        <v>19110040.381462365</v>
      </c>
      <c r="D169" s="107">
        <v>17590215.645485997</v>
      </c>
      <c r="E169" s="107">
        <v>5801063.0437984169</v>
      </c>
      <c r="F169" s="107">
        <v>15588160.120025933</v>
      </c>
      <c r="G169" s="107">
        <v>5208184.6229235381</v>
      </c>
      <c r="H169" s="107">
        <v>8728521.7133785933</v>
      </c>
      <c r="I169" s="107">
        <v>14925696.095542237</v>
      </c>
    </row>
    <row r="170" spans="2:9">
      <c r="B170" s="105">
        <v>162</v>
      </c>
      <c r="C170" s="107">
        <v>22510155.08600086</v>
      </c>
      <c r="D170" s="107">
        <v>16385465.841147363</v>
      </c>
      <c r="E170" s="107">
        <v>14282859.616763964</v>
      </c>
      <c r="F170" s="107">
        <v>8205517.0765973479</v>
      </c>
      <c r="G170" s="107">
        <v>16372154.282757208</v>
      </c>
      <c r="H170" s="107">
        <v>17447217.674044505</v>
      </c>
      <c r="I170" s="107">
        <v>6133975.891082868</v>
      </c>
    </row>
    <row r="171" spans="2:9">
      <c r="B171" s="105">
        <v>163</v>
      </c>
      <c r="C171" s="107">
        <v>19264917.910396293</v>
      </c>
      <c r="D171" s="107">
        <v>19018214.87184228</v>
      </c>
      <c r="E171" s="107">
        <v>4696407.755137518</v>
      </c>
      <c r="F171" s="107">
        <v>20228270.259838402</v>
      </c>
      <c r="G171" s="107">
        <v>5121100.6020163</v>
      </c>
      <c r="H171" s="107">
        <v>4491530.4916714877</v>
      </c>
      <c r="I171" s="107">
        <v>5175673.9617506266</v>
      </c>
    </row>
    <row r="172" spans="2:9">
      <c r="B172" s="105">
        <v>164</v>
      </c>
      <c r="C172" s="107">
        <v>14256278.439952359</v>
      </c>
      <c r="D172" s="107">
        <v>24445388.573477075</v>
      </c>
      <c r="E172" s="107">
        <v>14514967.501633704</v>
      </c>
      <c r="F172" s="107">
        <v>11659623.225210324</v>
      </c>
      <c r="G172" s="107">
        <v>8933376.9718082547</v>
      </c>
      <c r="H172" s="107">
        <v>167178.83445164561</v>
      </c>
      <c r="I172" s="107">
        <v>9490181.566463396</v>
      </c>
    </row>
    <row r="173" spans="2:9">
      <c r="B173" s="105">
        <v>165</v>
      </c>
      <c r="C173" s="107">
        <v>15975242.404850796</v>
      </c>
      <c r="D173" s="107">
        <v>20614438.01121524</v>
      </c>
      <c r="E173" s="107">
        <v>21128155.924968258</v>
      </c>
      <c r="F173" s="107">
        <v>23623065.564788505</v>
      </c>
      <c r="G173" s="107">
        <v>4597786.100318566</v>
      </c>
      <c r="H173" s="107">
        <v>-3002873.0010724515</v>
      </c>
      <c r="I173" s="107">
        <v>5573231.7552456707</v>
      </c>
    </row>
    <row r="174" spans="2:9">
      <c r="B174" s="105">
        <v>166</v>
      </c>
      <c r="C174" s="107">
        <v>23669965.726100549</v>
      </c>
      <c r="D174" s="107">
        <v>14710148.521850169</v>
      </c>
      <c r="E174" s="107">
        <v>-3202047.8680016696</v>
      </c>
      <c r="F174" s="107">
        <v>5002535.756024912</v>
      </c>
      <c r="G174" s="107">
        <v>10842758.417758346</v>
      </c>
      <c r="H174" s="107">
        <v>2740562.9442912638</v>
      </c>
      <c r="I174" s="107">
        <v>-655089.82489326596</v>
      </c>
    </row>
    <row r="175" spans="2:9">
      <c r="B175" s="105">
        <v>167</v>
      </c>
      <c r="C175" s="107">
        <v>27378129.001964197</v>
      </c>
      <c r="D175" s="107">
        <v>3747576.4232759178</v>
      </c>
      <c r="E175" s="107">
        <v>9666708.8019756526</v>
      </c>
      <c r="F175" s="107">
        <v>13405303.871746838</v>
      </c>
      <c r="G175" s="107">
        <v>4540345.9355506897</v>
      </c>
      <c r="H175" s="107">
        <v>11506393.743096143</v>
      </c>
      <c r="I175" s="107">
        <v>-404491.87510751188</v>
      </c>
    </row>
    <row r="176" spans="2:9">
      <c r="B176" s="105">
        <v>168</v>
      </c>
      <c r="C176" s="107">
        <v>20453888.16726844</v>
      </c>
      <c r="D176" s="107">
        <v>18949050.196393669</v>
      </c>
      <c r="E176" s="107">
        <v>15016508.363013074</v>
      </c>
      <c r="F176" s="107">
        <v>8503358.0526548326</v>
      </c>
      <c r="G176" s="107">
        <v>8421974.0352969468</v>
      </c>
      <c r="H176" s="107">
        <v>11956086.039612785</v>
      </c>
      <c r="I176" s="107">
        <v>6339473.1031468511</v>
      </c>
    </row>
    <row r="177" spans="2:9">
      <c r="B177" s="105">
        <v>169</v>
      </c>
      <c r="C177" s="107">
        <v>17830716.874956489</v>
      </c>
      <c r="D177" s="107">
        <v>2724544.9319828302</v>
      </c>
      <c r="E177" s="107">
        <v>7365318.7257623225</v>
      </c>
      <c r="F177" s="107">
        <v>16804025.334206015</v>
      </c>
      <c r="G177" s="107">
        <v>6808834.6675475091</v>
      </c>
      <c r="H177" s="107">
        <v>9967662.7535819858</v>
      </c>
      <c r="I177" s="107">
        <v>12618700.917003542</v>
      </c>
    </row>
    <row r="178" spans="2:9">
      <c r="B178" s="105">
        <v>170</v>
      </c>
      <c r="C178" s="107">
        <v>13479036.807575464</v>
      </c>
      <c r="D178" s="107">
        <v>18842407.780620754</v>
      </c>
      <c r="E178" s="107">
        <v>10824157.162643388</v>
      </c>
      <c r="F178" s="107">
        <v>8018951.0910136998</v>
      </c>
      <c r="G178" s="107">
        <v>17361219.433026046</v>
      </c>
      <c r="H178" s="107">
        <v>-10830505.289036915</v>
      </c>
      <c r="I178" s="107">
        <v>14767368.602502525</v>
      </c>
    </row>
    <row r="179" spans="2:9">
      <c r="B179" s="105">
        <v>171</v>
      </c>
      <c r="C179" s="107">
        <v>11362282.976629898</v>
      </c>
      <c r="D179" s="107">
        <v>18788209.14667739</v>
      </c>
      <c r="E179" s="107">
        <v>8755524.1476182491</v>
      </c>
      <c r="F179" s="107">
        <v>6266255.9178076833</v>
      </c>
      <c r="G179" s="107">
        <v>-3104685.3510897756</v>
      </c>
      <c r="H179" s="107">
        <v>2327136.7707113326</v>
      </c>
      <c r="I179" s="107">
        <v>4145763.6762198359</v>
      </c>
    </row>
    <row r="180" spans="2:9">
      <c r="B180" s="105">
        <v>172</v>
      </c>
      <c r="C180" s="107">
        <v>21262618.084448218</v>
      </c>
      <c r="D180" s="107">
        <v>17029591.135992914</v>
      </c>
      <c r="E180" s="107">
        <v>6493467.0916938484</v>
      </c>
      <c r="F180" s="107">
        <v>14374027.49625659</v>
      </c>
      <c r="G180" s="107">
        <v>11711198.069632769</v>
      </c>
      <c r="H180" s="107">
        <v>968587.09668926895</v>
      </c>
      <c r="I180" s="107">
        <v>-6989643.6858466715</v>
      </c>
    </row>
    <row r="181" spans="2:9">
      <c r="B181" s="105">
        <v>173</v>
      </c>
      <c r="C181" s="107">
        <v>15514860.64746654</v>
      </c>
      <c r="D181" s="107">
        <v>19508239.992164493</v>
      </c>
      <c r="E181" s="107">
        <v>10920067.866747394</v>
      </c>
      <c r="F181" s="107">
        <v>14834678.385581031</v>
      </c>
      <c r="G181" s="107">
        <v>2480477.4048339576</v>
      </c>
      <c r="H181" s="107">
        <v>4784974.7006719112</v>
      </c>
      <c r="I181" s="107">
        <v>11167288.262409896</v>
      </c>
    </row>
    <row r="182" spans="2:9">
      <c r="B182" s="105">
        <v>174</v>
      </c>
      <c r="C182" s="107">
        <v>19011938.77709657</v>
      </c>
      <c r="D182" s="107">
        <v>18742613.315329835</v>
      </c>
      <c r="E182" s="107">
        <v>22995742.285620838</v>
      </c>
      <c r="F182" s="107">
        <v>20095925.815716326</v>
      </c>
      <c r="G182" s="107">
        <v>11690418.050706491</v>
      </c>
      <c r="H182" s="107">
        <v>14033569.200521559</v>
      </c>
      <c r="I182" s="107">
        <v>3736701.2731542289</v>
      </c>
    </row>
    <row r="183" spans="2:9">
      <c r="B183" s="105">
        <v>175</v>
      </c>
      <c r="C183" s="107">
        <v>19068413.820361838</v>
      </c>
      <c r="D183" s="107">
        <v>17513952.356972262</v>
      </c>
      <c r="E183" s="107">
        <v>15704501.53734462</v>
      </c>
      <c r="F183" s="107">
        <v>6892991.6514302343</v>
      </c>
      <c r="G183" s="107">
        <v>8590652.5269212574</v>
      </c>
      <c r="H183" s="107">
        <v>4402863.6031250954</v>
      </c>
      <c r="I183" s="107">
        <v>21082929.691799134</v>
      </c>
    </row>
    <row r="184" spans="2:9">
      <c r="B184" s="105">
        <v>176</v>
      </c>
      <c r="C184" s="107">
        <v>13519570.317884609</v>
      </c>
      <c r="D184" s="107">
        <v>29513564.361353606</v>
      </c>
      <c r="E184" s="107">
        <v>11006323.541890651</v>
      </c>
      <c r="F184" s="107">
        <v>15563882.927220255</v>
      </c>
      <c r="G184" s="107">
        <v>5912933.1099491268</v>
      </c>
      <c r="H184" s="107">
        <v>12191613.756624684</v>
      </c>
      <c r="I184" s="107">
        <v>15070727.926724255</v>
      </c>
    </row>
    <row r="185" spans="2:9">
      <c r="B185" s="105">
        <v>177</v>
      </c>
      <c r="C185" s="107">
        <v>16294388.079043224</v>
      </c>
      <c r="D185" s="107">
        <v>17063434.938247293</v>
      </c>
      <c r="E185" s="107">
        <v>15842664.561295763</v>
      </c>
      <c r="F185" s="107">
        <v>12511253.528452158</v>
      </c>
      <c r="G185" s="107">
        <v>12189341.721662432</v>
      </c>
      <c r="H185" s="107">
        <v>5799727.15367423</v>
      </c>
      <c r="I185" s="107">
        <v>3558453.152101323</v>
      </c>
    </row>
    <row r="186" spans="2:9">
      <c r="B186" s="105">
        <v>178</v>
      </c>
      <c r="C186" s="107">
        <v>28174498.993779242</v>
      </c>
      <c r="D186" s="107">
        <v>13416054.49238722</v>
      </c>
      <c r="E186" s="107">
        <v>12620298.757215589</v>
      </c>
      <c r="F186" s="107">
        <v>13386145.92361182</v>
      </c>
      <c r="G186" s="107">
        <v>5897477.1453570426</v>
      </c>
      <c r="H186" s="107">
        <v>11146573.583312154</v>
      </c>
      <c r="I186" s="107">
        <v>302786.24217814207</v>
      </c>
    </row>
    <row r="187" spans="2:9">
      <c r="B187" s="105">
        <v>179</v>
      </c>
      <c r="C187" s="107">
        <v>26446022.418845206</v>
      </c>
      <c r="D187" s="107">
        <v>10360903.780710548</v>
      </c>
      <c r="E187" s="107">
        <v>17153675.572900102</v>
      </c>
      <c r="F187" s="107">
        <v>9100895.1982778162</v>
      </c>
      <c r="G187" s="107">
        <v>-1564634.0145379901</v>
      </c>
      <c r="H187" s="107">
        <v>-1806658.6433111131</v>
      </c>
      <c r="I187" s="107">
        <v>3571534.384391278</v>
      </c>
    </row>
    <row r="188" spans="2:9">
      <c r="B188" s="105">
        <v>180</v>
      </c>
      <c r="C188" s="107">
        <v>17357986.74588263</v>
      </c>
      <c r="D188" s="107">
        <v>24868912.554976419</v>
      </c>
      <c r="E188" s="107">
        <v>15910624.230937809</v>
      </c>
      <c r="F188" s="107">
        <v>15709070.674085796</v>
      </c>
      <c r="G188" s="107">
        <v>14567560.485587642</v>
      </c>
      <c r="H188" s="107">
        <v>5885832.0978661329</v>
      </c>
      <c r="I188" s="107">
        <v>4362158.6621547341</v>
      </c>
    </row>
    <row r="189" spans="2:9">
      <c r="B189" s="105">
        <v>181</v>
      </c>
      <c r="C189" s="107">
        <v>26923705.458330378</v>
      </c>
      <c r="D189" s="107">
        <v>16948176.925968081</v>
      </c>
      <c r="E189" s="107">
        <v>20177650.643648967</v>
      </c>
      <c r="F189" s="107">
        <v>12166155.998799592</v>
      </c>
      <c r="G189" s="107">
        <v>8357994.9205666631</v>
      </c>
      <c r="H189" s="107">
        <v>-3360856.7381351888</v>
      </c>
      <c r="I189" s="107">
        <v>225477.87753933668</v>
      </c>
    </row>
    <row r="190" spans="2:9">
      <c r="B190" s="105">
        <v>182</v>
      </c>
      <c r="C190" s="107">
        <v>17306219.016729206</v>
      </c>
      <c r="D190" s="107">
        <v>9231972.5628087074</v>
      </c>
      <c r="E190" s="107">
        <v>25979879.713378742</v>
      </c>
      <c r="F190" s="107">
        <v>5373416.3731990755</v>
      </c>
      <c r="G190" s="107">
        <v>10255559.518668503</v>
      </c>
      <c r="H190" s="107">
        <v>103211.39388869703</v>
      </c>
      <c r="I190" s="107">
        <v>-9032865.0663933605</v>
      </c>
    </row>
    <row r="191" spans="2:9">
      <c r="B191" s="105">
        <v>183</v>
      </c>
      <c r="C191" s="107">
        <v>14626024.594768092</v>
      </c>
      <c r="D191" s="107">
        <v>14227758.98947145</v>
      </c>
      <c r="E191" s="107">
        <v>12568304.414294735</v>
      </c>
      <c r="F191" s="107">
        <v>13589835.385354981</v>
      </c>
      <c r="G191" s="107">
        <v>-1886806.3222928792</v>
      </c>
      <c r="H191" s="107">
        <v>692020.73629669845</v>
      </c>
      <c r="I191" s="107">
        <v>10909914.717561528</v>
      </c>
    </row>
    <row r="192" spans="2:9">
      <c r="B192" s="105">
        <v>184</v>
      </c>
      <c r="C192" s="107">
        <v>13985921.487176508</v>
      </c>
      <c r="D192" s="107">
        <v>12349310.736762464</v>
      </c>
      <c r="E192" s="107">
        <v>10732669.892422438</v>
      </c>
      <c r="F192" s="107">
        <v>19929434.914082602</v>
      </c>
      <c r="G192" s="107">
        <v>4164205.6151338518</v>
      </c>
      <c r="H192" s="107">
        <v>2559773.3322707713</v>
      </c>
      <c r="I192" s="107">
        <v>5700215.377138719</v>
      </c>
    </row>
    <row r="193" spans="2:9">
      <c r="B193" s="105">
        <v>185</v>
      </c>
      <c r="C193" s="107">
        <v>18119382.995885119</v>
      </c>
      <c r="D193" s="107">
        <v>14208346.018279374</v>
      </c>
      <c r="E193" s="107">
        <v>10823525.612516776</v>
      </c>
      <c r="F193" s="107">
        <v>14548744.257551283</v>
      </c>
      <c r="G193" s="107">
        <v>24269873.079220057</v>
      </c>
      <c r="H193" s="107">
        <v>6440202.6615472287</v>
      </c>
      <c r="I193" s="107">
        <v>15185530.293930933</v>
      </c>
    </row>
    <row r="194" spans="2:9">
      <c r="B194" s="105">
        <v>186</v>
      </c>
      <c r="C194" s="107">
        <v>12843107.902648941</v>
      </c>
      <c r="D194" s="107">
        <v>15656370.058994502</v>
      </c>
      <c r="E194" s="107">
        <v>7116584.853556633</v>
      </c>
      <c r="F194" s="107">
        <v>7256705.423889935</v>
      </c>
      <c r="G194" s="107">
        <v>5892970.2819531709</v>
      </c>
      <c r="H194" s="107">
        <v>11217556.006677508</v>
      </c>
      <c r="I194" s="107">
        <v>10633692.744905487</v>
      </c>
    </row>
    <row r="195" spans="2:9">
      <c r="B195" s="105">
        <v>187</v>
      </c>
      <c r="C195" s="107">
        <v>17446978.63842541</v>
      </c>
      <c r="D195" s="107">
        <v>13034714.624019191</v>
      </c>
      <c r="E195" s="107">
        <v>6868060.8329877704</v>
      </c>
      <c r="F195" s="107">
        <v>11823761.738069147</v>
      </c>
      <c r="G195" s="107">
        <v>4316649.3739034683</v>
      </c>
      <c r="H195" s="107">
        <v>10602207.827870056</v>
      </c>
      <c r="I195" s="107">
        <v>8385509.5859196335</v>
      </c>
    </row>
    <row r="196" spans="2:9">
      <c r="B196" s="105">
        <v>188</v>
      </c>
      <c r="C196" s="107">
        <v>6059914.0591140389</v>
      </c>
      <c r="D196" s="107">
        <v>9183652.9730455279</v>
      </c>
      <c r="E196" s="107">
        <v>16545231.509895116</v>
      </c>
      <c r="F196" s="107">
        <v>-2590617.2109954804</v>
      </c>
      <c r="G196" s="107">
        <v>8857313.3387179375</v>
      </c>
      <c r="H196" s="107">
        <v>4655099.8684732914</v>
      </c>
      <c r="I196" s="107">
        <v>4580106.1502113044</v>
      </c>
    </row>
    <row r="197" spans="2:9">
      <c r="B197" s="105">
        <v>189</v>
      </c>
      <c r="C197" s="107">
        <v>18816845.709575683</v>
      </c>
      <c r="D197" s="107">
        <v>14777130.057959259</v>
      </c>
      <c r="E197" s="107">
        <v>5967075.1725325137</v>
      </c>
      <c r="F197" s="107">
        <v>2065252.5778419524</v>
      </c>
      <c r="G197" s="107">
        <v>15707502.209540963</v>
      </c>
      <c r="H197" s="107">
        <v>958138.75317440927</v>
      </c>
      <c r="I197" s="107">
        <v>-791857.94771914184</v>
      </c>
    </row>
    <row r="198" spans="2:9">
      <c r="B198" s="105">
        <v>190</v>
      </c>
      <c r="C198" s="107">
        <v>7099286.6432120204</v>
      </c>
      <c r="D198" s="107">
        <v>16148225.974843889</v>
      </c>
      <c r="E198" s="107">
        <v>21724086.617788032</v>
      </c>
      <c r="F198" s="107">
        <v>10352298.128998592</v>
      </c>
      <c r="G198" s="107">
        <v>7288418.8327758759</v>
      </c>
      <c r="H198" s="107">
        <v>5159553.9431376755</v>
      </c>
      <c r="I198" s="107">
        <v>4201173.2601020783</v>
      </c>
    </row>
    <row r="199" spans="2:9">
      <c r="B199" s="105">
        <v>191</v>
      </c>
      <c r="C199" s="107">
        <v>17035785.825007305</v>
      </c>
      <c r="D199" s="107">
        <v>5128876.1811174899</v>
      </c>
      <c r="E199" s="107">
        <v>14235642.601833403</v>
      </c>
      <c r="F199" s="107">
        <v>-653226.82558317482</v>
      </c>
      <c r="G199" s="107">
        <v>14494265.4345081</v>
      </c>
      <c r="H199" s="107">
        <v>3055934.1426149011</v>
      </c>
      <c r="I199" s="107">
        <v>7425701.1058026999</v>
      </c>
    </row>
    <row r="200" spans="2:9">
      <c r="B200" s="105">
        <v>192</v>
      </c>
      <c r="C200" s="107">
        <v>10204980.726628676</v>
      </c>
      <c r="D200" s="107">
        <v>3494548.2145485878</v>
      </c>
      <c r="E200" s="107">
        <v>5930298.9701604992</v>
      </c>
      <c r="F200" s="107">
        <v>23927214.673044831</v>
      </c>
      <c r="G200" s="107">
        <v>6476905.5422891974</v>
      </c>
      <c r="H200" s="107">
        <v>9232718.710980013</v>
      </c>
      <c r="I200" s="107">
        <v>-2330159.1760113537</v>
      </c>
    </row>
    <row r="201" spans="2:9">
      <c r="B201" s="105">
        <v>193</v>
      </c>
      <c r="C201" s="107">
        <v>26660206.616178811</v>
      </c>
      <c r="D201" s="107">
        <v>15376845.348134279</v>
      </c>
      <c r="E201" s="107">
        <v>18031789.875572786</v>
      </c>
      <c r="F201" s="107">
        <v>13791650.920169219</v>
      </c>
      <c r="G201" s="107">
        <v>8131774.2130948454</v>
      </c>
      <c r="H201" s="107">
        <v>-224659.21654562652</v>
      </c>
      <c r="I201" s="107">
        <v>-1441804.76713036</v>
      </c>
    </row>
    <row r="202" spans="2:9">
      <c r="B202" s="105">
        <v>194</v>
      </c>
      <c r="C202" s="107">
        <v>6840016.6956674159</v>
      </c>
      <c r="D202" s="107">
        <v>25679893.972491279</v>
      </c>
      <c r="E202" s="107">
        <v>11646981.608308032</v>
      </c>
      <c r="F202" s="107">
        <v>19209196.240001798</v>
      </c>
      <c r="G202" s="107">
        <v>12096996.567103013</v>
      </c>
      <c r="H202" s="107">
        <v>14049585.961292461</v>
      </c>
      <c r="I202" s="107">
        <v>11262083.8703513</v>
      </c>
    </row>
    <row r="203" spans="2:9">
      <c r="B203" s="105">
        <v>195</v>
      </c>
      <c r="C203" s="107">
        <v>17932902.353915021</v>
      </c>
      <c r="D203" s="107">
        <v>16784577.414689794</v>
      </c>
      <c r="E203" s="107">
        <v>20089946.966432422</v>
      </c>
      <c r="F203" s="107">
        <v>6379341.9992714673</v>
      </c>
      <c r="G203" s="107">
        <v>7763322.8398932517</v>
      </c>
      <c r="H203" s="107">
        <v>16516397.410826907</v>
      </c>
      <c r="I203" s="107">
        <v>6313738.97680825</v>
      </c>
    </row>
    <row r="204" spans="2:9">
      <c r="B204" s="105">
        <v>196</v>
      </c>
      <c r="C204" s="107">
        <v>19630141.234243855</v>
      </c>
      <c r="D204" s="107">
        <v>19218592.475568697</v>
      </c>
      <c r="E204" s="107">
        <v>9825672.0305937082</v>
      </c>
      <c r="F204" s="107">
        <v>18828225.410249949</v>
      </c>
      <c r="G204" s="107">
        <v>7448819.179315716</v>
      </c>
      <c r="H204" s="107">
        <v>-1990747.7142001688</v>
      </c>
      <c r="I204" s="107">
        <v>2085093.0065609515</v>
      </c>
    </row>
    <row r="205" spans="2:9">
      <c r="B205" s="105">
        <v>197</v>
      </c>
      <c r="C205" s="107">
        <v>23408501.533371642</v>
      </c>
      <c r="D205" s="107">
        <v>13126300.25823991</v>
      </c>
      <c r="E205" s="107">
        <v>10404554.779064178</v>
      </c>
      <c r="F205" s="107">
        <v>3871413.0288972557</v>
      </c>
      <c r="G205" s="107">
        <v>-2518003.6404584497</v>
      </c>
      <c r="H205" s="107">
        <v>5507853.6284499913</v>
      </c>
      <c r="I205" s="107">
        <v>15982428.807056278</v>
      </c>
    </row>
    <row r="206" spans="2:9">
      <c r="B206" s="105">
        <v>198</v>
      </c>
      <c r="C206" s="107">
        <v>5698902.8596530259</v>
      </c>
      <c r="D206" s="107">
        <v>13163898.469137862</v>
      </c>
      <c r="E206" s="107">
        <v>9651105.6342290491</v>
      </c>
      <c r="F206" s="107">
        <v>9128252.7615657598</v>
      </c>
      <c r="G206" s="107">
        <v>11240113.05684334</v>
      </c>
      <c r="H206" s="107">
        <v>6390524.7400897592</v>
      </c>
      <c r="I206" s="107">
        <v>8120218.5334557295</v>
      </c>
    </row>
    <row r="207" spans="2:9">
      <c r="B207" s="105">
        <v>199</v>
      </c>
      <c r="C207" s="107">
        <v>10787312.78655234</v>
      </c>
      <c r="D207" s="107">
        <v>29015040.368758455</v>
      </c>
      <c r="E207" s="107">
        <v>20808707.264722407</v>
      </c>
      <c r="F207" s="107">
        <v>10985533.94759047</v>
      </c>
      <c r="G207" s="107">
        <v>6158578.121539101</v>
      </c>
      <c r="H207" s="107">
        <v>7559737.6451572329</v>
      </c>
      <c r="I207" s="107">
        <v>2434565.8848066479</v>
      </c>
    </row>
    <row r="208" spans="2:9">
      <c r="B208" s="105">
        <v>200</v>
      </c>
      <c r="C208" s="107">
        <v>18865332.689022243</v>
      </c>
      <c r="D208" s="107">
        <v>7769654.7177350074</v>
      </c>
      <c r="E208" s="107">
        <v>4822106.8362981379</v>
      </c>
      <c r="F208" s="107">
        <v>12505032.331194922</v>
      </c>
      <c r="G208" s="107">
        <v>13851490.33695361</v>
      </c>
      <c r="H208" s="107">
        <v>14463289.031079501</v>
      </c>
      <c r="I208" s="107">
        <v>3462932.582795158</v>
      </c>
    </row>
  </sheetData>
  <mergeCells count="1">
    <mergeCell ref="C6:I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E9A57-8A5A-564B-A735-9D6903CD906D}">
  <sheetPr codeName="Arkusz27">
    <tabColor theme="0" tint="-0.499984740745262"/>
  </sheetPr>
  <dimension ref="A4:I208"/>
  <sheetViews>
    <sheetView workbookViewId="0">
      <selection activeCell="M38" sqref="M38"/>
    </sheetView>
  </sheetViews>
  <sheetFormatPr defaultColWidth="10.77734375" defaultRowHeight="13.2"/>
  <cols>
    <col min="1" max="1" width="13.44140625" style="36" bestFit="1" customWidth="1"/>
    <col min="2" max="9" width="16.33203125" style="36" customWidth="1"/>
    <col min="10" max="16384" width="10.77734375" style="36"/>
  </cols>
  <sheetData>
    <row r="4" spans="1:9">
      <c r="B4" s="73" t="s">
        <v>122</v>
      </c>
      <c r="C4" s="97">
        <f>AVERAGE(C9:C208)</f>
        <v>18162928.620534997</v>
      </c>
      <c r="D4" s="97">
        <f t="shared" ref="D4:I4" si="0">AVERAGE(D9:D208)</f>
        <v>15678174.482811002</v>
      </c>
      <c r="E4" s="97">
        <f t="shared" si="0"/>
        <v>14078946.533902993</v>
      </c>
      <c r="F4" s="97">
        <f t="shared" si="0"/>
        <v>11195634.619155502</v>
      </c>
      <c r="G4" s="97">
        <f t="shared" si="0"/>
        <v>8853726.8948394973</v>
      </c>
      <c r="H4" s="97">
        <f t="shared" si="0"/>
        <v>7239100.4648416974</v>
      </c>
      <c r="I4" s="97">
        <f t="shared" si="0"/>
        <v>5589876.4381939163</v>
      </c>
    </row>
    <row r="6" spans="1:9" ht="15.6">
      <c r="C6" s="211" t="s">
        <v>134</v>
      </c>
      <c r="D6" s="211"/>
      <c r="E6" s="211"/>
      <c r="F6" s="211"/>
      <c r="G6" s="211"/>
      <c r="H6" s="211"/>
      <c r="I6" s="211"/>
    </row>
    <row r="7" spans="1:9">
      <c r="B7" s="104"/>
      <c r="C7" s="106">
        <v>-0.15</v>
      </c>
      <c r="D7" s="106">
        <v>-0.1</v>
      </c>
      <c r="E7" s="106">
        <v>-0.05</v>
      </c>
      <c r="F7" s="106">
        <v>0</v>
      </c>
      <c r="G7" s="106">
        <v>0.05</v>
      </c>
      <c r="H7" s="106">
        <v>0.1</v>
      </c>
      <c r="I7" s="106">
        <v>0.15</v>
      </c>
    </row>
    <row r="8" spans="1:9">
      <c r="A8" s="73" t="s">
        <v>133</v>
      </c>
      <c r="B8" s="108" t="s">
        <v>132</v>
      </c>
      <c r="C8" s="109" t="s">
        <v>126</v>
      </c>
      <c r="D8" s="109" t="s">
        <v>127</v>
      </c>
      <c r="E8" s="109" t="s">
        <v>128</v>
      </c>
      <c r="F8" s="109" t="s">
        <v>124</v>
      </c>
      <c r="G8" s="109" t="s">
        <v>129</v>
      </c>
      <c r="H8" s="109" t="s">
        <v>130</v>
      </c>
      <c r="I8" s="109" t="s">
        <v>131</v>
      </c>
    </row>
    <row r="9" spans="1:9">
      <c r="B9" s="105">
        <v>1</v>
      </c>
      <c r="C9" s="107">
        <v>24818663.640000001</v>
      </c>
      <c r="D9" s="107">
        <v>29024128.280000001</v>
      </c>
      <c r="E9" s="107">
        <v>20246413.98</v>
      </c>
      <c r="F9" s="107">
        <v>17182028.670000002</v>
      </c>
      <c r="G9" s="107">
        <v>11677608.26</v>
      </c>
      <c r="H9" s="107">
        <v>-447373.18969999999</v>
      </c>
      <c r="I9" s="107">
        <v>9934740.3780000005</v>
      </c>
    </row>
    <row r="10" spans="1:9">
      <c r="B10" s="105">
        <v>2</v>
      </c>
      <c r="C10" s="107">
        <v>22985400.34</v>
      </c>
      <c r="D10" s="107">
        <v>17050213.420000002</v>
      </c>
      <c r="E10" s="107">
        <v>9345682.7310000006</v>
      </c>
      <c r="F10" s="107">
        <v>16062522.17</v>
      </c>
      <c r="G10" s="107">
        <v>595209.24230000004</v>
      </c>
      <c r="H10" s="107">
        <v>-3907969.531</v>
      </c>
      <c r="I10" s="107">
        <v>11144503.27</v>
      </c>
    </row>
    <row r="11" spans="1:9">
      <c r="B11" s="105">
        <v>3</v>
      </c>
      <c r="C11" s="107">
        <v>14827041.76</v>
      </c>
      <c r="D11" s="107">
        <v>14548577.85</v>
      </c>
      <c r="E11" s="107">
        <v>22530901.359999999</v>
      </c>
      <c r="F11" s="107">
        <v>24721333.719999999</v>
      </c>
      <c r="G11" s="107">
        <v>9778802.5270000007</v>
      </c>
      <c r="H11" s="107">
        <v>14840103.890000001</v>
      </c>
      <c r="I11" s="107">
        <v>-233107.2016</v>
      </c>
    </row>
    <row r="12" spans="1:9">
      <c r="B12" s="105">
        <v>4</v>
      </c>
      <c r="C12" s="107">
        <v>17145159.690000001</v>
      </c>
      <c r="D12" s="107">
        <v>18943606.379999999</v>
      </c>
      <c r="E12" s="107">
        <v>1792273.0379999999</v>
      </c>
      <c r="F12" s="107">
        <v>-320322.35810000001</v>
      </c>
      <c r="G12" s="107">
        <v>11569281.439999999</v>
      </c>
      <c r="H12" s="107">
        <v>15291729.34</v>
      </c>
      <c r="I12" s="107">
        <v>3948773.281</v>
      </c>
    </row>
    <row r="13" spans="1:9">
      <c r="B13" s="105">
        <v>5</v>
      </c>
      <c r="C13" s="107">
        <v>20359793.41</v>
      </c>
      <c r="D13" s="107">
        <v>11618889.310000001</v>
      </c>
      <c r="E13" s="107">
        <v>15697030.41</v>
      </c>
      <c r="F13" s="107">
        <v>11957766.640000001</v>
      </c>
      <c r="G13" s="107">
        <v>2691859.1150000002</v>
      </c>
      <c r="H13" s="107">
        <v>2969945.4720000001</v>
      </c>
      <c r="I13" s="107">
        <v>-4877108.0209999997</v>
      </c>
    </row>
    <row r="14" spans="1:9">
      <c r="B14" s="105">
        <v>6</v>
      </c>
      <c r="C14" s="107">
        <v>15408583.48</v>
      </c>
      <c r="D14" s="107">
        <v>16994991.350000001</v>
      </c>
      <c r="E14" s="107">
        <v>15094124.380000001</v>
      </c>
      <c r="F14" s="107">
        <v>16115616.800000001</v>
      </c>
      <c r="G14" s="107">
        <v>15879704.210000001</v>
      </c>
      <c r="H14" s="107">
        <v>-3801689.06</v>
      </c>
      <c r="I14" s="107">
        <v>3886797.662</v>
      </c>
    </row>
    <row r="15" spans="1:9">
      <c r="B15" s="105">
        <v>7</v>
      </c>
      <c r="C15" s="107">
        <v>20202700.949999999</v>
      </c>
      <c r="D15" s="107">
        <v>18682719.34</v>
      </c>
      <c r="E15" s="107">
        <v>5781349.352</v>
      </c>
      <c r="F15" s="107">
        <v>11621964.51</v>
      </c>
      <c r="G15" s="107">
        <v>15492604.289999999</v>
      </c>
      <c r="H15" s="107">
        <v>2903877.4479999999</v>
      </c>
      <c r="I15" s="107">
        <v>3267024.68</v>
      </c>
    </row>
    <row r="16" spans="1:9">
      <c r="B16" s="105">
        <v>8</v>
      </c>
      <c r="C16" s="107">
        <v>17295650.100000001</v>
      </c>
      <c r="D16" s="107">
        <v>6602440.8260000004</v>
      </c>
      <c r="E16" s="107">
        <v>11790109.039999999</v>
      </c>
      <c r="F16" s="107">
        <v>12521838.85</v>
      </c>
      <c r="G16" s="107">
        <v>7914760.8279999997</v>
      </c>
      <c r="H16" s="107">
        <v>9503813.2609999999</v>
      </c>
      <c r="I16" s="107">
        <v>7592784.7869999995</v>
      </c>
    </row>
    <row r="17" spans="2:9">
      <c r="B17" s="105">
        <v>9</v>
      </c>
      <c r="C17" s="107">
        <v>17324029.760000002</v>
      </c>
      <c r="D17" s="107">
        <v>19304603.620000001</v>
      </c>
      <c r="E17" s="107">
        <v>17866414.109999999</v>
      </c>
      <c r="F17" s="107">
        <v>15015565.609999999</v>
      </c>
      <c r="G17" s="107">
        <v>7488148.9390000002</v>
      </c>
      <c r="H17" s="107">
        <v>3828012.9929999998</v>
      </c>
      <c r="I17" s="107">
        <v>7681198.2199999997</v>
      </c>
    </row>
    <row r="18" spans="2:9">
      <c r="B18" s="105">
        <v>10</v>
      </c>
      <c r="C18" s="107">
        <v>12982997.310000001</v>
      </c>
      <c r="D18" s="107">
        <v>20738287.27</v>
      </c>
      <c r="E18" s="107">
        <v>23132276.809999999</v>
      </c>
      <c r="F18" s="107">
        <v>3656400.642</v>
      </c>
      <c r="G18" s="107">
        <v>-2197524.3020000001</v>
      </c>
      <c r="H18" s="107">
        <v>-1437689.227</v>
      </c>
      <c r="I18" s="107">
        <v>10399544.939999999</v>
      </c>
    </row>
    <row r="19" spans="2:9">
      <c r="B19" s="105">
        <v>11</v>
      </c>
      <c r="C19" s="107">
        <v>13395558.789999999</v>
      </c>
      <c r="D19" s="107">
        <v>16403210.810000001</v>
      </c>
      <c r="E19" s="107">
        <v>3317009.0159999998</v>
      </c>
      <c r="F19" s="107">
        <v>9921304.2229999993</v>
      </c>
      <c r="G19" s="107">
        <v>4428795.1349999998</v>
      </c>
      <c r="H19" s="107">
        <v>12133358.32</v>
      </c>
      <c r="I19" s="107">
        <v>8683428.5050000008</v>
      </c>
    </row>
    <row r="20" spans="2:9">
      <c r="B20" s="105">
        <v>12</v>
      </c>
      <c r="C20" s="107">
        <v>21519851.219999999</v>
      </c>
      <c r="D20" s="107">
        <v>18693373.140000001</v>
      </c>
      <c r="E20" s="107">
        <v>10180681.52</v>
      </c>
      <c r="F20" s="107">
        <v>13705945.34</v>
      </c>
      <c r="G20" s="107">
        <v>8369283.182</v>
      </c>
      <c r="H20" s="107">
        <v>10346919.060000001</v>
      </c>
      <c r="I20" s="107">
        <v>-1705364.8289999999</v>
      </c>
    </row>
    <row r="21" spans="2:9">
      <c r="B21" s="105">
        <v>13</v>
      </c>
      <c r="C21" s="107">
        <v>26349698.41</v>
      </c>
      <c r="D21" s="107">
        <v>16523534.789999999</v>
      </c>
      <c r="E21" s="107">
        <v>11310387.800000001</v>
      </c>
      <c r="F21" s="107">
        <v>-582266.73800000001</v>
      </c>
      <c r="G21" s="107">
        <v>3008714.4720000001</v>
      </c>
      <c r="H21" s="107">
        <v>-5515555.7549999999</v>
      </c>
      <c r="I21" s="107">
        <v>-677497.50809999998</v>
      </c>
    </row>
    <row r="22" spans="2:9">
      <c r="B22" s="105">
        <v>14</v>
      </c>
      <c r="C22" s="107">
        <v>23912304.879999999</v>
      </c>
      <c r="D22" s="107">
        <v>21812130.739999998</v>
      </c>
      <c r="E22" s="107">
        <v>20905347.100000001</v>
      </c>
      <c r="F22" s="107">
        <v>2471552.338</v>
      </c>
      <c r="G22" s="107">
        <v>9989674.2029999997</v>
      </c>
      <c r="H22" s="107">
        <v>8079136.9230000004</v>
      </c>
      <c r="I22" s="107">
        <v>-681782.62349999999</v>
      </c>
    </row>
    <row r="23" spans="2:9">
      <c r="B23" s="105">
        <v>15</v>
      </c>
      <c r="C23" s="107">
        <v>22511929.34</v>
      </c>
      <c r="D23" s="107">
        <v>11909052.25</v>
      </c>
      <c r="E23" s="107">
        <v>10716568.59</v>
      </c>
      <c r="F23" s="107">
        <v>10946488.07</v>
      </c>
      <c r="G23" s="107">
        <v>4638925.1399999997</v>
      </c>
      <c r="H23" s="107">
        <v>7869192.7170000002</v>
      </c>
      <c r="I23" s="107">
        <v>8287985.8030000003</v>
      </c>
    </row>
    <row r="24" spans="2:9">
      <c r="B24" s="105">
        <v>16</v>
      </c>
      <c r="C24" s="107">
        <v>17112031.039999999</v>
      </c>
      <c r="D24" s="107">
        <v>32544114.399999999</v>
      </c>
      <c r="E24" s="107">
        <v>17155505.25</v>
      </c>
      <c r="F24" s="107">
        <v>10054037.210000001</v>
      </c>
      <c r="G24" s="107">
        <v>14988800.630000001</v>
      </c>
      <c r="H24" s="107">
        <v>10466465.699999999</v>
      </c>
      <c r="I24" s="107">
        <v>12467945.890000001</v>
      </c>
    </row>
    <row r="25" spans="2:9">
      <c r="B25" s="105">
        <v>17</v>
      </c>
      <c r="C25" s="107">
        <v>9089594.0189999994</v>
      </c>
      <c r="D25" s="107">
        <v>18600052.07</v>
      </c>
      <c r="E25" s="107">
        <v>3637152.7039999999</v>
      </c>
      <c r="F25" s="107">
        <v>21105744.699999999</v>
      </c>
      <c r="G25" s="107">
        <v>10186764.689999999</v>
      </c>
      <c r="H25" s="107">
        <v>-5824362.6150000002</v>
      </c>
      <c r="I25" s="107">
        <v>-4324959.1509999996</v>
      </c>
    </row>
    <row r="26" spans="2:9">
      <c r="B26" s="105">
        <v>18</v>
      </c>
      <c r="C26" s="107">
        <v>21640469</v>
      </c>
      <c r="D26" s="107">
        <v>20414167.949999999</v>
      </c>
      <c r="E26" s="107">
        <v>15897031.01</v>
      </c>
      <c r="F26" s="107">
        <v>21911989.02</v>
      </c>
      <c r="G26" s="107">
        <v>5581912.6979999999</v>
      </c>
      <c r="H26" s="107">
        <v>921132.12849999999</v>
      </c>
      <c r="I26" s="107">
        <v>11929658.970000001</v>
      </c>
    </row>
    <row r="27" spans="2:9">
      <c r="B27" s="105">
        <v>19</v>
      </c>
      <c r="C27" s="107">
        <v>29525973.73</v>
      </c>
      <c r="D27" s="107">
        <v>13180067.73</v>
      </c>
      <c r="E27" s="107">
        <v>17263519.25</v>
      </c>
      <c r="F27" s="107">
        <v>11848937.25</v>
      </c>
      <c r="G27" s="107">
        <v>9935613.977</v>
      </c>
      <c r="H27" s="107">
        <v>25125961.75</v>
      </c>
      <c r="I27" s="107">
        <v>7799213.7769999998</v>
      </c>
    </row>
    <row r="28" spans="2:9">
      <c r="B28" s="105">
        <v>20</v>
      </c>
      <c r="C28" s="107">
        <v>11566648.41</v>
      </c>
      <c r="D28" s="107">
        <v>8256265.5</v>
      </c>
      <c r="E28" s="107">
        <v>33097785.34</v>
      </c>
      <c r="F28" s="107">
        <v>17478908.920000002</v>
      </c>
      <c r="G28" s="107">
        <v>13058690.23</v>
      </c>
      <c r="H28" s="107">
        <v>8021145.335</v>
      </c>
      <c r="I28" s="107">
        <v>11329714.279999999</v>
      </c>
    </row>
    <row r="29" spans="2:9">
      <c r="B29" s="105">
        <v>21</v>
      </c>
      <c r="C29" s="107">
        <v>14251189.33</v>
      </c>
      <c r="D29" s="107">
        <v>24412955.75</v>
      </c>
      <c r="E29" s="107">
        <v>2211623.2519999999</v>
      </c>
      <c r="F29" s="107">
        <v>15817644.140000001</v>
      </c>
      <c r="G29" s="107">
        <v>7262740.6030000001</v>
      </c>
      <c r="H29" s="107">
        <v>6280618.2999999998</v>
      </c>
      <c r="I29" s="107">
        <v>12609201.26</v>
      </c>
    </row>
    <row r="30" spans="2:9">
      <c r="B30" s="105">
        <v>22</v>
      </c>
      <c r="C30" s="107">
        <v>22191543.920000002</v>
      </c>
      <c r="D30" s="107">
        <v>19760161.199999999</v>
      </c>
      <c r="E30" s="107">
        <v>21235632.670000002</v>
      </c>
      <c r="F30" s="107">
        <v>15092203.640000001</v>
      </c>
      <c r="G30" s="107">
        <v>13108770.77</v>
      </c>
      <c r="H30" s="107">
        <v>2193882.128</v>
      </c>
      <c r="I30" s="107">
        <v>11442256.460000001</v>
      </c>
    </row>
    <row r="31" spans="2:9">
      <c r="B31" s="105">
        <v>23</v>
      </c>
      <c r="C31" s="107">
        <v>28017067.489999998</v>
      </c>
      <c r="D31" s="107">
        <v>12535388.91</v>
      </c>
      <c r="E31" s="107">
        <v>22321517.059999999</v>
      </c>
      <c r="F31" s="107">
        <v>14043527.470000001</v>
      </c>
      <c r="G31" s="107">
        <v>15752148.77</v>
      </c>
      <c r="H31" s="107">
        <v>8924850.0189999994</v>
      </c>
      <c r="I31" s="107">
        <v>4421507.5219999999</v>
      </c>
    </row>
    <row r="32" spans="2:9">
      <c r="B32" s="105">
        <v>24</v>
      </c>
      <c r="C32" s="107">
        <v>21313023.510000002</v>
      </c>
      <c r="D32" s="107">
        <v>21108206.16</v>
      </c>
      <c r="E32" s="107">
        <v>11170669.92</v>
      </c>
      <c r="F32" s="107">
        <v>5325312.7560000001</v>
      </c>
      <c r="G32" s="107">
        <v>11814089.67</v>
      </c>
      <c r="H32" s="107">
        <v>8411553.1559999995</v>
      </c>
      <c r="I32" s="107">
        <v>17378922.18</v>
      </c>
    </row>
    <row r="33" spans="2:9">
      <c r="B33" s="105">
        <v>25</v>
      </c>
      <c r="C33" s="107">
        <v>11315429</v>
      </c>
      <c r="D33" s="107">
        <v>-1118012.08</v>
      </c>
      <c r="E33" s="107">
        <v>7968668.2089999998</v>
      </c>
      <c r="F33" s="107">
        <v>18390813.969999999</v>
      </c>
      <c r="G33" s="107">
        <v>18187136.82</v>
      </c>
      <c r="H33" s="107">
        <v>4852027.0530000003</v>
      </c>
      <c r="I33" s="107">
        <v>3457281.8730000001</v>
      </c>
    </row>
    <row r="34" spans="2:9">
      <c r="B34" s="105">
        <v>26</v>
      </c>
      <c r="C34" s="107">
        <v>12539914.529999999</v>
      </c>
      <c r="D34" s="107">
        <v>12224643.529999999</v>
      </c>
      <c r="E34" s="107">
        <v>14674151.060000001</v>
      </c>
      <c r="F34" s="107">
        <v>15429690.98</v>
      </c>
      <c r="G34" s="107">
        <v>10326043.66</v>
      </c>
      <c r="H34" s="107">
        <v>8310850.2549999999</v>
      </c>
      <c r="I34" s="107">
        <v>14829250.689999999</v>
      </c>
    </row>
    <row r="35" spans="2:9">
      <c r="B35" s="105">
        <v>27</v>
      </c>
      <c r="C35" s="107">
        <v>17173993.879999999</v>
      </c>
      <c r="D35" s="107">
        <v>18793791.640000001</v>
      </c>
      <c r="E35" s="107">
        <v>18731573.800000001</v>
      </c>
      <c r="F35" s="107">
        <v>3246336.801</v>
      </c>
      <c r="G35" s="107">
        <v>5870179.1469999999</v>
      </c>
      <c r="H35" s="107">
        <v>13682243.210000001</v>
      </c>
      <c r="I35" s="107">
        <v>5716820.6160000004</v>
      </c>
    </row>
    <row r="36" spans="2:9">
      <c r="B36" s="105">
        <v>28</v>
      </c>
      <c r="C36" s="107">
        <v>10147393</v>
      </c>
      <c r="D36" s="107">
        <v>25388226.899999999</v>
      </c>
      <c r="E36" s="107">
        <v>3477533.0060000001</v>
      </c>
      <c r="F36" s="107">
        <v>2246363.8760000002</v>
      </c>
      <c r="G36" s="107">
        <v>4024919.8110000002</v>
      </c>
      <c r="H36" s="107">
        <v>10733362.630000001</v>
      </c>
      <c r="I36" s="107">
        <v>3252271.699</v>
      </c>
    </row>
    <row r="37" spans="2:9">
      <c r="B37" s="105">
        <v>29</v>
      </c>
      <c r="C37" s="107">
        <v>20642612.239999998</v>
      </c>
      <c r="D37" s="107">
        <v>17406709.23</v>
      </c>
      <c r="E37" s="107">
        <v>13985488.18</v>
      </c>
      <c r="F37" s="107">
        <v>9127051.1429999992</v>
      </c>
      <c r="G37" s="107">
        <v>4917299.8459999999</v>
      </c>
      <c r="H37" s="107">
        <v>9037544.5460000001</v>
      </c>
      <c r="I37" s="107">
        <v>7058859.4510000004</v>
      </c>
    </row>
    <row r="38" spans="2:9">
      <c r="B38" s="105">
        <v>30</v>
      </c>
      <c r="C38" s="107">
        <v>23330586.809999999</v>
      </c>
      <c r="D38" s="107">
        <v>24782701.780000001</v>
      </c>
      <c r="E38" s="107">
        <v>4337110.5109999999</v>
      </c>
      <c r="F38" s="107">
        <v>-217377.78599999999</v>
      </c>
      <c r="G38" s="107">
        <v>6473205.0800000001</v>
      </c>
      <c r="H38" s="107">
        <v>-2376698.1359999999</v>
      </c>
      <c r="I38" s="107">
        <v>5137843.2759999996</v>
      </c>
    </row>
    <row r="39" spans="2:9">
      <c r="B39" s="105">
        <v>31</v>
      </c>
      <c r="C39" s="107">
        <v>14951958.539999999</v>
      </c>
      <c r="D39" s="107">
        <v>19727579.989999998</v>
      </c>
      <c r="E39" s="107">
        <v>24973324.760000002</v>
      </c>
      <c r="F39" s="107">
        <v>7388462.409</v>
      </c>
      <c r="G39" s="107">
        <v>13548512.689999999</v>
      </c>
      <c r="H39" s="107">
        <v>7351613.3820000002</v>
      </c>
      <c r="I39" s="107">
        <v>4018222.5529999998</v>
      </c>
    </row>
    <row r="40" spans="2:9">
      <c r="B40" s="105">
        <v>32</v>
      </c>
      <c r="C40" s="107">
        <v>11392080.869999999</v>
      </c>
      <c r="D40" s="107">
        <v>20409479.84</v>
      </c>
      <c r="E40" s="107">
        <v>13323992.710000001</v>
      </c>
      <c r="F40" s="107">
        <v>18798001.949999999</v>
      </c>
      <c r="G40" s="107">
        <v>9079265.1710000001</v>
      </c>
      <c r="H40" s="107">
        <v>7366955.2070000004</v>
      </c>
      <c r="I40" s="107">
        <v>12008529.41</v>
      </c>
    </row>
    <row r="41" spans="2:9">
      <c r="B41" s="105">
        <v>33</v>
      </c>
      <c r="C41" s="107">
        <v>16293600.300000001</v>
      </c>
      <c r="D41" s="107">
        <v>19645694.850000001</v>
      </c>
      <c r="E41" s="107">
        <v>5591705.5420000004</v>
      </c>
      <c r="F41" s="107">
        <v>18777324.52</v>
      </c>
      <c r="G41" s="107">
        <v>6145981.3640000001</v>
      </c>
      <c r="H41" s="107">
        <v>3731453.1370000001</v>
      </c>
      <c r="I41" s="107">
        <v>7703144.5619999999</v>
      </c>
    </row>
    <row r="42" spans="2:9">
      <c r="B42" s="105">
        <v>34</v>
      </c>
      <c r="C42" s="107">
        <v>18779615.809999999</v>
      </c>
      <c r="D42" s="107">
        <v>8168369.3810000001</v>
      </c>
      <c r="E42" s="107">
        <v>14760992.880000001</v>
      </c>
      <c r="F42" s="107">
        <v>10413220.34</v>
      </c>
      <c r="G42" s="107">
        <v>8003597.21</v>
      </c>
      <c r="H42" s="107">
        <v>14787077.289999999</v>
      </c>
      <c r="I42" s="107">
        <v>3232586.074</v>
      </c>
    </row>
    <row r="43" spans="2:9">
      <c r="B43" s="105">
        <v>35</v>
      </c>
      <c r="C43" s="107">
        <v>15110343.67</v>
      </c>
      <c r="D43" s="107">
        <v>22378400.100000001</v>
      </c>
      <c r="E43" s="107">
        <v>14911346.060000001</v>
      </c>
      <c r="F43" s="107">
        <v>20018607.41</v>
      </c>
      <c r="G43" s="107">
        <v>14398467.220000001</v>
      </c>
      <c r="H43" s="107">
        <v>8046661.3499999996</v>
      </c>
      <c r="I43" s="107">
        <v>7921350.3720000004</v>
      </c>
    </row>
    <row r="44" spans="2:9">
      <c r="B44" s="105">
        <v>36</v>
      </c>
      <c r="C44" s="107">
        <v>21389001.640000001</v>
      </c>
      <c r="D44" s="107">
        <v>19109239.52</v>
      </c>
      <c r="E44" s="107">
        <v>20438626.93</v>
      </c>
      <c r="F44" s="107">
        <v>5091037.2570000002</v>
      </c>
      <c r="G44" s="107">
        <v>3561826.2370000002</v>
      </c>
      <c r="H44" s="107">
        <v>14145516.199999999</v>
      </c>
      <c r="I44" s="107">
        <v>-4873382.4749999996</v>
      </c>
    </row>
    <row r="45" spans="2:9">
      <c r="B45" s="105">
        <v>37</v>
      </c>
      <c r="C45" s="107">
        <v>26635564.66</v>
      </c>
      <c r="D45" s="107">
        <v>23798111.780000001</v>
      </c>
      <c r="E45" s="107">
        <v>7282437.0350000001</v>
      </c>
      <c r="F45" s="107">
        <v>3396932.3229999999</v>
      </c>
      <c r="G45" s="107">
        <v>13266297.93</v>
      </c>
      <c r="H45" s="107">
        <v>12075639.289999999</v>
      </c>
      <c r="I45" s="107">
        <v>2488804.3020000001</v>
      </c>
    </row>
    <row r="46" spans="2:9">
      <c r="B46" s="105">
        <v>38</v>
      </c>
      <c r="C46" s="107">
        <v>13190388.35</v>
      </c>
      <c r="D46" s="107">
        <v>5570568.3870000001</v>
      </c>
      <c r="E46" s="107">
        <v>11878828.4</v>
      </c>
      <c r="F46" s="107">
        <v>11402986.109999999</v>
      </c>
      <c r="G46" s="107">
        <v>2203031.8960000002</v>
      </c>
      <c r="H46" s="107">
        <v>10602403.85</v>
      </c>
      <c r="I46" s="107">
        <v>9892039.7290000003</v>
      </c>
    </row>
    <row r="47" spans="2:9">
      <c r="B47" s="105">
        <v>39</v>
      </c>
      <c r="C47" s="107">
        <v>11470966.85</v>
      </c>
      <c r="D47" s="107">
        <v>10430621.57</v>
      </c>
      <c r="E47" s="107">
        <v>21052598.289999999</v>
      </c>
      <c r="F47" s="107">
        <v>12344465.68</v>
      </c>
      <c r="G47" s="107">
        <v>-868290.59750000003</v>
      </c>
      <c r="H47" s="107">
        <v>13342608.539999999</v>
      </c>
      <c r="I47" s="107">
        <v>86569.252389999994</v>
      </c>
    </row>
    <row r="48" spans="2:9">
      <c r="B48" s="105">
        <v>40</v>
      </c>
      <c r="C48" s="107">
        <v>16564665.800000001</v>
      </c>
      <c r="D48" s="107">
        <v>31941139.210000001</v>
      </c>
      <c r="E48" s="107">
        <v>18546844.91</v>
      </c>
      <c r="F48" s="107">
        <v>17814712.050000001</v>
      </c>
      <c r="G48" s="107">
        <v>11161507.84</v>
      </c>
      <c r="H48" s="107">
        <v>2734699.29</v>
      </c>
      <c r="I48" s="107">
        <v>11493195.93</v>
      </c>
    </row>
    <row r="49" spans="2:9">
      <c r="B49" s="105">
        <v>41</v>
      </c>
      <c r="C49" s="107">
        <v>15490674.6</v>
      </c>
      <c r="D49" s="107">
        <v>21770887.760000002</v>
      </c>
      <c r="E49" s="107">
        <v>19607037.68</v>
      </c>
      <c r="F49" s="107">
        <v>16824712.149999999</v>
      </c>
      <c r="G49" s="107">
        <v>11910878.689999999</v>
      </c>
      <c r="H49" s="107">
        <v>2590894.7200000002</v>
      </c>
      <c r="I49" s="107">
        <v>2553168.6320000002</v>
      </c>
    </row>
    <row r="50" spans="2:9">
      <c r="B50" s="105">
        <v>42</v>
      </c>
      <c r="C50" s="107">
        <v>12751324.35</v>
      </c>
      <c r="D50" s="107">
        <v>16479879.27</v>
      </c>
      <c r="E50" s="107">
        <v>14397201.039999999</v>
      </c>
      <c r="F50" s="107">
        <v>11600970.43</v>
      </c>
      <c r="G50" s="107">
        <v>15331134.34</v>
      </c>
      <c r="H50" s="107">
        <v>15493482.439999999</v>
      </c>
      <c r="I50" s="107">
        <v>16233238.43</v>
      </c>
    </row>
    <row r="51" spans="2:9">
      <c r="B51" s="105">
        <v>43</v>
      </c>
      <c r="C51" s="107">
        <v>14956587.310000001</v>
      </c>
      <c r="D51" s="107">
        <v>11178011.210000001</v>
      </c>
      <c r="E51" s="107">
        <v>8324169.7170000002</v>
      </c>
      <c r="F51" s="107">
        <v>10274289.42</v>
      </c>
      <c r="G51" s="107">
        <v>21724673.550000001</v>
      </c>
      <c r="H51" s="107">
        <v>4671774.1579999998</v>
      </c>
      <c r="I51" s="107">
        <v>3308696.0729999999</v>
      </c>
    </row>
    <row r="52" spans="2:9">
      <c r="B52" s="105">
        <v>44</v>
      </c>
      <c r="C52" s="107">
        <v>17873550.949999999</v>
      </c>
      <c r="D52" s="107">
        <v>12809003.359999999</v>
      </c>
      <c r="E52" s="107">
        <v>8414177.9550000001</v>
      </c>
      <c r="F52" s="107">
        <v>16618216.35</v>
      </c>
      <c r="G52" s="107">
        <v>6244867.9560000002</v>
      </c>
      <c r="H52" s="107">
        <v>8249547.8169999998</v>
      </c>
      <c r="I52" s="107">
        <v>-488701.3688</v>
      </c>
    </row>
    <row r="53" spans="2:9">
      <c r="B53" s="105">
        <v>45</v>
      </c>
      <c r="C53" s="107">
        <v>23448867.16</v>
      </c>
      <c r="D53" s="107">
        <v>14784851.82</v>
      </c>
      <c r="E53" s="107">
        <v>29603495.09</v>
      </c>
      <c r="F53" s="107">
        <v>8873721.1909999996</v>
      </c>
      <c r="G53" s="107">
        <v>12931146.550000001</v>
      </c>
      <c r="H53" s="107">
        <v>4372195.6189999999</v>
      </c>
      <c r="I53" s="107">
        <v>15251846.810000001</v>
      </c>
    </row>
    <row r="54" spans="2:9">
      <c r="B54" s="105">
        <v>46</v>
      </c>
      <c r="C54" s="107">
        <v>22466627.52</v>
      </c>
      <c r="D54" s="107">
        <v>24055666.609999999</v>
      </c>
      <c r="E54" s="107">
        <v>21079989.809999999</v>
      </c>
      <c r="F54" s="107">
        <v>7902914.46</v>
      </c>
      <c r="G54" s="107">
        <v>-692993.98609999998</v>
      </c>
      <c r="H54" s="107">
        <v>9923644.8780000005</v>
      </c>
      <c r="I54" s="107">
        <v>-3238724.2409999999</v>
      </c>
    </row>
    <row r="55" spans="2:9">
      <c r="B55" s="105">
        <v>47</v>
      </c>
      <c r="C55" s="107">
        <v>22348642.010000002</v>
      </c>
      <c r="D55" s="107">
        <v>26600891.199999999</v>
      </c>
      <c r="E55" s="107">
        <v>20497050.960000001</v>
      </c>
      <c r="F55" s="107">
        <v>13510436.470000001</v>
      </c>
      <c r="G55" s="107">
        <v>8796610.6919999998</v>
      </c>
      <c r="H55" s="107">
        <v>11356554.630000001</v>
      </c>
      <c r="I55" s="107">
        <v>13870180.92</v>
      </c>
    </row>
    <row r="56" spans="2:9">
      <c r="B56" s="105">
        <v>48</v>
      </c>
      <c r="C56" s="107">
        <v>15554283.060000001</v>
      </c>
      <c r="D56" s="107">
        <v>14964198.24</v>
      </c>
      <c r="E56" s="107">
        <v>20221437.16</v>
      </c>
      <c r="F56" s="107">
        <v>10570896.32</v>
      </c>
      <c r="G56" s="107">
        <v>14247849.84</v>
      </c>
      <c r="H56" s="107">
        <v>9268562.5</v>
      </c>
      <c r="I56" s="107">
        <v>6339886.0240000002</v>
      </c>
    </row>
    <row r="57" spans="2:9">
      <c r="B57" s="105">
        <v>49</v>
      </c>
      <c r="C57" s="107">
        <v>21534230.030000001</v>
      </c>
      <c r="D57" s="107">
        <v>11929755.24</v>
      </c>
      <c r="E57" s="107">
        <v>17250428.859999999</v>
      </c>
      <c r="F57" s="107">
        <v>14838849.17</v>
      </c>
      <c r="G57" s="107">
        <v>8134688.6950000003</v>
      </c>
      <c r="H57" s="107">
        <v>12968630.289999999</v>
      </c>
      <c r="I57" s="107">
        <v>10384.051530000001</v>
      </c>
    </row>
    <row r="58" spans="2:9">
      <c r="B58" s="105">
        <v>50</v>
      </c>
      <c r="C58" s="107">
        <v>24719030.530000001</v>
      </c>
      <c r="D58" s="107">
        <v>3320084.0389999999</v>
      </c>
      <c r="E58" s="107">
        <v>6522228.8810000001</v>
      </c>
      <c r="F58" s="107">
        <v>17648498.5</v>
      </c>
      <c r="G58" s="107">
        <v>16511723.41</v>
      </c>
      <c r="H58" s="107">
        <v>15466577.390000001</v>
      </c>
      <c r="I58" s="107">
        <v>-1009027.036</v>
      </c>
    </row>
    <row r="59" spans="2:9">
      <c r="B59" s="105">
        <v>51</v>
      </c>
      <c r="C59" s="107">
        <v>16270884.439999999</v>
      </c>
      <c r="D59" s="107">
        <v>18252553.289999999</v>
      </c>
      <c r="E59" s="107">
        <v>24624648.539999999</v>
      </c>
      <c r="F59" s="107">
        <v>14907823.449999999</v>
      </c>
      <c r="G59" s="107">
        <v>-2201248.9569999999</v>
      </c>
      <c r="H59" s="107">
        <v>5318107.6090000002</v>
      </c>
      <c r="I59" s="107">
        <v>8822114.1889999993</v>
      </c>
    </row>
    <row r="60" spans="2:9">
      <c r="B60" s="105">
        <v>52</v>
      </c>
      <c r="C60" s="107">
        <v>13052345.710000001</v>
      </c>
      <c r="D60" s="107">
        <v>11849032.75</v>
      </c>
      <c r="E60" s="107">
        <v>11152561.42</v>
      </c>
      <c r="F60" s="107">
        <v>3069497.8730000001</v>
      </c>
      <c r="G60" s="107">
        <v>12800986.789999999</v>
      </c>
      <c r="H60" s="107">
        <v>6059592.8700000001</v>
      </c>
      <c r="I60" s="107">
        <v>10561205.619999999</v>
      </c>
    </row>
    <row r="61" spans="2:9">
      <c r="B61" s="105">
        <v>53</v>
      </c>
      <c r="C61" s="107">
        <v>21794235.27</v>
      </c>
      <c r="D61" s="107">
        <v>21586407.84</v>
      </c>
      <c r="E61" s="107">
        <v>13452924.83</v>
      </c>
      <c r="F61" s="107">
        <v>9814018.6940000001</v>
      </c>
      <c r="G61" s="107">
        <v>8443505.0020000003</v>
      </c>
      <c r="H61" s="107">
        <v>412125.51250000001</v>
      </c>
      <c r="I61" s="107">
        <v>12488172.300000001</v>
      </c>
    </row>
    <row r="62" spans="2:9">
      <c r="B62" s="105">
        <v>54</v>
      </c>
      <c r="C62" s="107">
        <v>19497119.079999998</v>
      </c>
      <c r="D62" s="107">
        <v>12594843.01</v>
      </c>
      <c r="E62" s="107">
        <v>12517599.83</v>
      </c>
      <c r="F62" s="107">
        <v>14172189.390000001</v>
      </c>
      <c r="G62" s="107">
        <v>-901700.99710000004</v>
      </c>
      <c r="H62" s="107">
        <v>6307358.8540000003</v>
      </c>
      <c r="I62" s="107">
        <v>6312091.432</v>
      </c>
    </row>
    <row r="63" spans="2:9">
      <c r="B63" s="105">
        <v>55</v>
      </c>
      <c r="C63" s="107">
        <v>20216298.77</v>
      </c>
      <c r="D63" s="107">
        <v>18842372.440000001</v>
      </c>
      <c r="E63" s="107">
        <v>11875536.15</v>
      </c>
      <c r="F63" s="107">
        <v>25335742.34</v>
      </c>
      <c r="G63" s="107">
        <v>11442125.789999999</v>
      </c>
      <c r="H63" s="107">
        <v>2514643.5290000001</v>
      </c>
      <c r="I63" s="107">
        <v>6392536.3969999999</v>
      </c>
    </row>
    <row r="64" spans="2:9">
      <c r="B64" s="105">
        <v>56</v>
      </c>
      <c r="C64" s="107">
        <v>13954427.84</v>
      </c>
      <c r="D64" s="107">
        <v>23570634.699999999</v>
      </c>
      <c r="E64" s="107">
        <v>14168970.310000001</v>
      </c>
      <c r="F64" s="107">
        <v>22747667.850000001</v>
      </c>
      <c r="G64" s="107">
        <v>13052491.109999999</v>
      </c>
      <c r="H64" s="107">
        <v>7626879.4539999999</v>
      </c>
      <c r="I64" s="107">
        <v>9821341.2090000007</v>
      </c>
    </row>
    <row r="65" spans="2:9">
      <c r="B65" s="105">
        <v>57</v>
      </c>
      <c r="C65" s="107">
        <v>13621754.369999999</v>
      </c>
      <c r="D65" s="107">
        <v>18423660.23</v>
      </c>
      <c r="E65" s="107">
        <v>5551625.2209999999</v>
      </c>
      <c r="F65" s="107">
        <v>25486447.199999999</v>
      </c>
      <c r="G65" s="107">
        <v>4243197.7220000001</v>
      </c>
      <c r="H65" s="107">
        <v>3565660.7560000001</v>
      </c>
      <c r="I65" s="107">
        <v>3248930.5079999999</v>
      </c>
    </row>
    <row r="66" spans="2:9">
      <c r="B66" s="105">
        <v>58</v>
      </c>
      <c r="C66" s="107">
        <v>13642436.77</v>
      </c>
      <c r="D66" s="107">
        <v>22425554.399999999</v>
      </c>
      <c r="E66" s="107">
        <v>18247348.93</v>
      </c>
      <c r="F66" s="107">
        <v>17422333.52</v>
      </c>
      <c r="G66" s="107">
        <v>13967121.84</v>
      </c>
      <c r="H66" s="107">
        <v>9054975.7070000004</v>
      </c>
      <c r="I66" s="107">
        <v>6006172.5190000003</v>
      </c>
    </row>
    <row r="67" spans="2:9">
      <c r="B67" s="105">
        <v>59</v>
      </c>
      <c r="C67" s="107">
        <v>17701579.93</v>
      </c>
      <c r="D67" s="107">
        <v>15826439.23</v>
      </c>
      <c r="E67" s="107">
        <v>6223884.3770000003</v>
      </c>
      <c r="F67" s="107">
        <v>18835568.52</v>
      </c>
      <c r="G67" s="107">
        <v>-1063569.8929999999</v>
      </c>
      <c r="H67" s="107">
        <v>7152568.9689999996</v>
      </c>
      <c r="I67" s="107">
        <v>-3396685.727</v>
      </c>
    </row>
    <row r="68" spans="2:9">
      <c r="B68" s="105">
        <v>60</v>
      </c>
      <c r="C68" s="107">
        <v>18058307.07</v>
      </c>
      <c r="D68" s="107">
        <v>9065244.8220000006</v>
      </c>
      <c r="E68" s="107">
        <v>13149295.970000001</v>
      </c>
      <c r="F68" s="107">
        <v>21722813.949999999</v>
      </c>
      <c r="G68" s="107">
        <v>6172116.2429999998</v>
      </c>
      <c r="H68" s="107">
        <v>7029323.2659999998</v>
      </c>
      <c r="I68" s="107">
        <v>-8077794.676</v>
      </c>
    </row>
    <row r="69" spans="2:9">
      <c r="B69" s="105">
        <v>61</v>
      </c>
      <c r="C69" s="107">
        <v>2983879.3220000002</v>
      </c>
      <c r="D69" s="107">
        <v>20570219.780000001</v>
      </c>
      <c r="E69" s="107">
        <v>13838739.52</v>
      </c>
      <c r="F69" s="107">
        <v>20759466.469999999</v>
      </c>
      <c r="G69" s="107">
        <v>16745624.310000001</v>
      </c>
      <c r="H69" s="107">
        <v>12395071.99</v>
      </c>
      <c r="I69" s="107">
        <v>9241637.1960000005</v>
      </c>
    </row>
    <row r="70" spans="2:9">
      <c r="B70" s="105">
        <v>62</v>
      </c>
      <c r="C70" s="107">
        <v>18838472.649999999</v>
      </c>
      <c r="D70" s="107">
        <v>9382410.7550000008</v>
      </c>
      <c r="E70" s="107">
        <v>1060525.311</v>
      </c>
      <c r="F70" s="107">
        <v>11944734.199999999</v>
      </c>
      <c r="G70" s="107">
        <v>14034832.42</v>
      </c>
      <c r="H70" s="107">
        <v>6194621.3990000002</v>
      </c>
      <c r="I70" s="107">
        <v>3713969.9879999999</v>
      </c>
    </row>
    <row r="71" spans="2:9">
      <c r="B71" s="105">
        <v>63</v>
      </c>
      <c r="C71" s="107">
        <v>13067982.779999999</v>
      </c>
      <c r="D71" s="107">
        <v>14083907.58</v>
      </c>
      <c r="E71" s="107">
        <v>11935946.68</v>
      </c>
      <c r="F71" s="107">
        <v>1505015.3389999999</v>
      </c>
      <c r="G71" s="107">
        <v>23500908.260000002</v>
      </c>
      <c r="H71" s="107">
        <v>4988344.8530000001</v>
      </c>
      <c r="I71" s="107">
        <v>12993462.279999999</v>
      </c>
    </row>
    <row r="72" spans="2:9">
      <c r="B72" s="105">
        <v>64</v>
      </c>
      <c r="C72" s="107">
        <v>28541060.850000001</v>
      </c>
      <c r="D72" s="107">
        <v>16370009.439999999</v>
      </c>
      <c r="E72" s="107">
        <v>22328694.260000002</v>
      </c>
      <c r="F72" s="107">
        <v>2639760.074</v>
      </c>
      <c r="G72" s="107">
        <v>15638493.42</v>
      </c>
      <c r="H72" s="107">
        <v>-640664.64419999998</v>
      </c>
      <c r="I72" s="107">
        <v>2654334.1030000001</v>
      </c>
    </row>
    <row r="73" spans="2:9">
      <c r="B73" s="105">
        <v>65</v>
      </c>
      <c r="C73" s="107">
        <v>19908608.079999998</v>
      </c>
      <c r="D73" s="107">
        <v>13295776.25</v>
      </c>
      <c r="E73" s="107">
        <v>21929599.010000002</v>
      </c>
      <c r="F73" s="107">
        <v>7610935.0899999999</v>
      </c>
      <c r="G73" s="107">
        <v>17610552.300000001</v>
      </c>
      <c r="H73" s="107">
        <v>6828949.233</v>
      </c>
      <c r="I73" s="107">
        <v>4829074.443</v>
      </c>
    </row>
    <row r="74" spans="2:9">
      <c r="B74" s="105">
        <v>66</v>
      </c>
      <c r="C74" s="107">
        <v>15898617.68</v>
      </c>
      <c r="D74" s="107">
        <v>12995252.27</v>
      </c>
      <c r="E74" s="107">
        <v>17557146.050000001</v>
      </c>
      <c r="F74" s="107">
        <v>4321903.0290000001</v>
      </c>
      <c r="G74" s="107">
        <v>11899677.67</v>
      </c>
      <c r="H74" s="107">
        <v>54673.310140000001</v>
      </c>
      <c r="I74" s="107">
        <v>6027038.6950000003</v>
      </c>
    </row>
    <row r="75" spans="2:9">
      <c r="B75" s="105">
        <v>67</v>
      </c>
      <c r="C75" s="107">
        <v>27593957.91</v>
      </c>
      <c r="D75" s="107">
        <v>11944592.779999999</v>
      </c>
      <c r="E75" s="107">
        <v>8654163.4140000008</v>
      </c>
      <c r="F75" s="107">
        <v>1300933.3230000001</v>
      </c>
      <c r="G75" s="107">
        <v>7901273.7910000002</v>
      </c>
      <c r="H75" s="107">
        <v>-2479353.196</v>
      </c>
      <c r="I75" s="107">
        <v>6202061.2970000003</v>
      </c>
    </row>
    <row r="76" spans="2:9">
      <c r="B76" s="105">
        <v>68</v>
      </c>
      <c r="C76" s="107">
        <v>18009694.57</v>
      </c>
      <c r="D76" s="107">
        <v>19033974.739999998</v>
      </c>
      <c r="E76" s="107">
        <v>16789157.649999999</v>
      </c>
      <c r="F76" s="107">
        <v>19523308.27</v>
      </c>
      <c r="G76" s="107">
        <v>7793900.4510000004</v>
      </c>
      <c r="H76" s="107">
        <v>-3375405.65</v>
      </c>
      <c r="I76" s="107">
        <v>9928258.3239999991</v>
      </c>
    </row>
    <row r="77" spans="2:9">
      <c r="B77" s="105">
        <v>69</v>
      </c>
      <c r="C77" s="107">
        <v>26560108.82</v>
      </c>
      <c r="D77" s="107">
        <v>25591497.109999999</v>
      </c>
      <c r="E77" s="107">
        <v>7243794.9189999998</v>
      </c>
      <c r="F77" s="107">
        <v>4860160.6919999998</v>
      </c>
      <c r="G77" s="107">
        <v>14088192.98</v>
      </c>
      <c r="H77" s="107">
        <v>1988427.63</v>
      </c>
      <c r="I77" s="107">
        <v>96941.063399999999</v>
      </c>
    </row>
    <row r="78" spans="2:9">
      <c r="B78" s="105">
        <v>70</v>
      </c>
      <c r="C78" s="107">
        <v>23676117.68</v>
      </c>
      <c r="D78" s="107">
        <v>16987308.629999999</v>
      </c>
      <c r="E78" s="107">
        <v>11836933.23</v>
      </c>
      <c r="F78" s="107">
        <v>3932916.96</v>
      </c>
      <c r="G78" s="107">
        <v>13663943.380000001</v>
      </c>
      <c r="H78" s="107">
        <v>4502056.8830000004</v>
      </c>
      <c r="I78" s="107">
        <v>3576523.2110000001</v>
      </c>
    </row>
    <row r="79" spans="2:9">
      <c r="B79" s="105">
        <v>71</v>
      </c>
      <c r="C79" s="107">
        <v>13481188.75</v>
      </c>
      <c r="D79" s="107">
        <v>13739033.57</v>
      </c>
      <c r="E79" s="107">
        <v>14457011.199999999</v>
      </c>
      <c r="F79" s="107">
        <v>23429048.850000001</v>
      </c>
      <c r="G79" s="107">
        <v>9567521.7109999992</v>
      </c>
      <c r="H79" s="107">
        <v>8196563.3849999998</v>
      </c>
      <c r="I79" s="107">
        <v>-2098855.0950000002</v>
      </c>
    </row>
    <row r="80" spans="2:9">
      <c r="B80" s="105">
        <v>72</v>
      </c>
      <c r="C80" s="107">
        <v>17612904.350000001</v>
      </c>
      <c r="D80" s="107">
        <v>12786428.27</v>
      </c>
      <c r="E80" s="107">
        <v>5084008.159</v>
      </c>
      <c r="F80" s="107">
        <v>15759055.810000001</v>
      </c>
      <c r="G80" s="107">
        <v>-818437.83490000002</v>
      </c>
      <c r="H80" s="107">
        <v>10070287.869999999</v>
      </c>
      <c r="I80" s="107">
        <v>-5693234.415</v>
      </c>
    </row>
    <row r="81" spans="2:9">
      <c r="B81" s="105">
        <v>73</v>
      </c>
      <c r="C81" s="107">
        <v>20405570.25</v>
      </c>
      <c r="D81" s="107">
        <v>14841789.07</v>
      </c>
      <c r="E81" s="107">
        <v>6747900.324</v>
      </c>
      <c r="F81" s="107">
        <v>1321636.9639999999</v>
      </c>
      <c r="G81" s="107">
        <v>9097373.9480000008</v>
      </c>
      <c r="H81" s="107">
        <v>18029748.23</v>
      </c>
      <c r="I81" s="107">
        <v>13348532.130000001</v>
      </c>
    </row>
    <row r="82" spans="2:9">
      <c r="B82" s="105">
        <v>74</v>
      </c>
      <c r="C82" s="107">
        <v>22328308.760000002</v>
      </c>
      <c r="D82" s="107">
        <v>6693871.8150000004</v>
      </c>
      <c r="E82" s="107">
        <v>13121328.93</v>
      </c>
      <c r="F82" s="107">
        <v>14617426.07</v>
      </c>
      <c r="G82" s="107">
        <v>5372117.9069999997</v>
      </c>
      <c r="H82" s="107">
        <v>5129426.5650000004</v>
      </c>
      <c r="I82" s="107">
        <v>5838862.642</v>
      </c>
    </row>
    <row r="83" spans="2:9">
      <c r="B83" s="105">
        <v>75</v>
      </c>
      <c r="C83" s="107">
        <v>15689199.77</v>
      </c>
      <c r="D83" s="107">
        <v>12149630.380000001</v>
      </c>
      <c r="E83" s="107">
        <v>14767324.42</v>
      </c>
      <c r="F83" s="107">
        <v>13379891.91</v>
      </c>
      <c r="G83" s="107">
        <v>9005392.1569999997</v>
      </c>
      <c r="H83" s="107">
        <v>10851410.609999999</v>
      </c>
      <c r="I83" s="107">
        <v>-811402.89170000004</v>
      </c>
    </row>
    <row r="84" spans="2:9">
      <c r="B84" s="105">
        <v>76</v>
      </c>
      <c r="C84" s="107">
        <v>24883130.27</v>
      </c>
      <c r="D84" s="107">
        <v>16745927.01</v>
      </c>
      <c r="E84" s="107">
        <v>10806105.18</v>
      </c>
      <c r="F84" s="107">
        <v>5908827.267</v>
      </c>
      <c r="G84" s="107">
        <v>6023567.7989999996</v>
      </c>
      <c r="H84" s="107">
        <v>10431456.050000001</v>
      </c>
      <c r="I84" s="107">
        <v>-1787880.419</v>
      </c>
    </row>
    <row r="85" spans="2:9">
      <c r="B85" s="105">
        <v>77</v>
      </c>
      <c r="C85" s="107">
        <v>34085723.18</v>
      </c>
      <c r="D85" s="107">
        <v>13783841.24</v>
      </c>
      <c r="E85" s="107">
        <v>20339222.469999999</v>
      </c>
      <c r="F85" s="107">
        <v>18334059.879999999</v>
      </c>
      <c r="G85" s="107">
        <v>10514020.619999999</v>
      </c>
      <c r="H85" s="107">
        <v>7996547.4950000001</v>
      </c>
      <c r="I85" s="107">
        <v>10622672.890000001</v>
      </c>
    </row>
    <row r="86" spans="2:9">
      <c r="B86" s="105">
        <v>78</v>
      </c>
      <c r="C86" s="107">
        <v>18457071.75</v>
      </c>
      <c r="D86" s="107">
        <v>7565373.9699999997</v>
      </c>
      <c r="E86" s="107">
        <v>26259593.100000001</v>
      </c>
      <c r="F86" s="107">
        <v>6872546.6509999996</v>
      </c>
      <c r="G86" s="107">
        <v>6668332.6789999995</v>
      </c>
      <c r="H86" s="107">
        <v>2384115.0950000002</v>
      </c>
      <c r="I86" s="107">
        <v>-3016948.2179999999</v>
      </c>
    </row>
    <row r="87" spans="2:9">
      <c r="B87" s="105">
        <v>79</v>
      </c>
      <c r="C87" s="107">
        <v>9999970.1669999994</v>
      </c>
      <c r="D87" s="107">
        <v>20380488.34</v>
      </c>
      <c r="E87" s="107">
        <v>15828090.49</v>
      </c>
      <c r="F87" s="107">
        <v>10911644.960000001</v>
      </c>
      <c r="G87" s="107">
        <v>-973416.56409999996</v>
      </c>
      <c r="H87" s="107">
        <v>13354208.560000001</v>
      </c>
      <c r="I87" s="107">
        <v>16454661.529999999</v>
      </c>
    </row>
    <row r="88" spans="2:9">
      <c r="B88" s="105">
        <v>80</v>
      </c>
      <c r="C88" s="107">
        <v>14279652.640000001</v>
      </c>
      <c r="D88" s="107">
        <v>19039896.300000001</v>
      </c>
      <c r="E88" s="107">
        <v>15532615.4</v>
      </c>
      <c r="F88" s="107">
        <v>5021314.6169999996</v>
      </c>
      <c r="G88" s="107">
        <v>-8061937.0070000002</v>
      </c>
      <c r="H88" s="107">
        <v>6375889.7980000004</v>
      </c>
      <c r="I88" s="107">
        <v>12747480.130000001</v>
      </c>
    </row>
    <row r="89" spans="2:9">
      <c r="B89" s="105">
        <v>81</v>
      </c>
      <c r="C89" s="107">
        <v>25352503.370000001</v>
      </c>
      <c r="D89" s="107">
        <v>17721874.219999999</v>
      </c>
      <c r="E89" s="107">
        <v>11619376.23</v>
      </c>
      <c r="F89" s="107">
        <v>5512774.0429999996</v>
      </c>
      <c r="G89" s="107">
        <v>11225093.77</v>
      </c>
      <c r="H89" s="107">
        <v>952702.91460000002</v>
      </c>
      <c r="I89" s="107">
        <v>-1441561.544</v>
      </c>
    </row>
    <row r="90" spans="2:9">
      <c r="B90" s="105">
        <v>82</v>
      </c>
      <c r="C90" s="107">
        <v>15652472.199999999</v>
      </c>
      <c r="D90" s="107">
        <v>16615253.869999999</v>
      </c>
      <c r="E90" s="107">
        <v>21574280.760000002</v>
      </c>
      <c r="F90" s="107">
        <v>1904240.6880000001</v>
      </c>
      <c r="G90" s="107">
        <v>-3544162.199</v>
      </c>
      <c r="H90" s="107">
        <v>10680847.810000001</v>
      </c>
      <c r="I90" s="107">
        <v>4333142.9809999997</v>
      </c>
    </row>
    <row r="91" spans="2:9">
      <c r="B91" s="105">
        <v>83</v>
      </c>
      <c r="C91" s="107">
        <v>17296541.199999999</v>
      </c>
      <c r="D91" s="107">
        <v>18117675.59</v>
      </c>
      <c r="E91" s="107">
        <v>22859683.23</v>
      </c>
      <c r="F91" s="107">
        <v>3748723.5950000002</v>
      </c>
      <c r="G91" s="107">
        <v>6808061.3509999998</v>
      </c>
      <c r="H91" s="107">
        <v>11209415.07</v>
      </c>
      <c r="I91" s="107">
        <v>8946948.7149999999</v>
      </c>
    </row>
    <row r="92" spans="2:9">
      <c r="B92" s="105">
        <v>84</v>
      </c>
      <c r="C92" s="107">
        <v>25737473.07</v>
      </c>
      <c r="D92" s="107">
        <v>17405357.48</v>
      </c>
      <c r="E92" s="107">
        <v>13109313.82</v>
      </c>
      <c r="F92" s="107">
        <v>5603363.0489999996</v>
      </c>
      <c r="G92" s="107">
        <v>-48451.781499999997</v>
      </c>
      <c r="H92" s="107">
        <v>-353579.81540000002</v>
      </c>
      <c r="I92" s="107">
        <v>4983030.4720000001</v>
      </c>
    </row>
    <row r="93" spans="2:9">
      <c r="B93" s="105">
        <v>85</v>
      </c>
      <c r="C93" s="107">
        <v>23365676.079999998</v>
      </c>
      <c r="D93" s="107">
        <v>13774952.109999999</v>
      </c>
      <c r="E93" s="107">
        <v>12886559.33</v>
      </c>
      <c r="F93" s="107">
        <v>5942041.0240000002</v>
      </c>
      <c r="G93" s="107">
        <v>9945497.2630000003</v>
      </c>
      <c r="H93" s="107">
        <v>3520235.1069999998</v>
      </c>
      <c r="I93" s="107">
        <v>5799248.6359999999</v>
      </c>
    </row>
    <row r="94" spans="2:9">
      <c r="B94" s="105">
        <v>86</v>
      </c>
      <c r="C94" s="107">
        <v>29597310.84</v>
      </c>
      <c r="D94" s="107">
        <v>16535906.060000001</v>
      </c>
      <c r="E94" s="107">
        <v>15961581.66</v>
      </c>
      <c r="F94" s="107">
        <v>9977435.9519999996</v>
      </c>
      <c r="G94" s="107">
        <v>13189627.380000001</v>
      </c>
      <c r="H94" s="107">
        <v>-961409.18339999998</v>
      </c>
      <c r="I94" s="107">
        <v>9158421.2239999995</v>
      </c>
    </row>
    <row r="95" spans="2:9">
      <c r="B95" s="105">
        <v>87</v>
      </c>
      <c r="C95" s="107">
        <v>22887649.52</v>
      </c>
      <c r="D95" s="107">
        <v>10485382.300000001</v>
      </c>
      <c r="E95" s="107">
        <v>13124217.470000001</v>
      </c>
      <c r="F95" s="107">
        <v>18466220.350000001</v>
      </c>
      <c r="G95" s="107">
        <v>8922041.7530000005</v>
      </c>
      <c r="H95" s="107">
        <v>388763.75339999999</v>
      </c>
      <c r="I95" s="107">
        <v>16699118.130000001</v>
      </c>
    </row>
    <row r="96" spans="2:9">
      <c r="B96" s="105">
        <v>88</v>
      </c>
      <c r="C96" s="107">
        <v>20896466.850000001</v>
      </c>
      <c r="D96" s="107">
        <v>16505794.630000001</v>
      </c>
      <c r="E96" s="107">
        <v>15047109.310000001</v>
      </c>
      <c r="F96" s="107">
        <v>10169232.109999999</v>
      </c>
      <c r="G96" s="107">
        <v>12574603.109999999</v>
      </c>
      <c r="H96" s="107">
        <v>10735876.960000001</v>
      </c>
      <c r="I96" s="107">
        <v>-833260.32039999997</v>
      </c>
    </row>
    <row r="97" spans="2:9">
      <c r="B97" s="105">
        <v>89</v>
      </c>
      <c r="C97" s="107">
        <v>21362211.760000002</v>
      </c>
      <c r="D97" s="107">
        <v>25391248.82</v>
      </c>
      <c r="E97" s="107">
        <v>10458533.539999999</v>
      </c>
      <c r="F97" s="107">
        <v>11711763.84</v>
      </c>
      <c r="G97" s="107">
        <v>5823645.7520000003</v>
      </c>
      <c r="H97" s="107">
        <v>2427879.1850000001</v>
      </c>
      <c r="I97" s="107">
        <v>3107962.1039999998</v>
      </c>
    </row>
    <row r="98" spans="2:9">
      <c r="B98" s="105">
        <v>90</v>
      </c>
      <c r="C98" s="107">
        <v>21033607.129999999</v>
      </c>
      <c r="D98" s="107">
        <v>12061920.619999999</v>
      </c>
      <c r="E98" s="107">
        <v>19594760.219999999</v>
      </c>
      <c r="F98" s="107">
        <v>15537278.869999999</v>
      </c>
      <c r="G98" s="107">
        <v>18294060.41</v>
      </c>
      <c r="H98" s="107">
        <v>3392323.2009999999</v>
      </c>
      <c r="I98" s="107">
        <v>1111768.6170000001</v>
      </c>
    </row>
    <row r="99" spans="2:9">
      <c r="B99" s="105">
        <v>91</v>
      </c>
      <c r="C99" s="107">
        <v>24203985.719999999</v>
      </c>
      <c r="D99" s="107">
        <v>18044173.77</v>
      </c>
      <c r="E99" s="107">
        <v>15062149.109999999</v>
      </c>
      <c r="F99" s="107">
        <v>13720666.85</v>
      </c>
      <c r="G99" s="107">
        <v>4921034.0020000003</v>
      </c>
      <c r="H99" s="107">
        <v>25011773.100000001</v>
      </c>
      <c r="I99" s="107">
        <v>6566116.5439999998</v>
      </c>
    </row>
    <row r="100" spans="2:9">
      <c r="B100" s="105">
        <v>92</v>
      </c>
      <c r="C100" s="107">
        <v>23662882.579999998</v>
      </c>
      <c r="D100" s="107">
        <v>9724024.7850000001</v>
      </c>
      <c r="E100" s="107">
        <v>17653615.719999999</v>
      </c>
      <c r="F100" s="107">
        <v>-924088.48609999998</v>
      </c>
      <c r="G100" s="107">
        <v>21413323.989999998</v>
      </c>
      <c r="H100" s="107">
        <v>15821585.859999999</v>
      </c>
      <c r="I100" s="107">
        <v>-234705.1942</v>
      </c>
    </row>
    <row r="101" spans="2:9">
      <c r="B101" s="105">
        <v>93</v>
      </c>
      <c r="C101" s="107">
        <v>27352746.02</v>
      </c>
      <c r="D101" s="107">
        <v>11134500.76</v>
      </c>
      <c r="E101" s="107">
        <v>11290705.52</v>
      </c>
      <c r="F101" s="107">
        <v>9514385.3509999998</v>
      </c>
      <c r="G101" s="107">
        <v>14013516.15</v>
      </c>
      <c r="H101" s="107">
        <v>10344818.07</v>
      </c>
      <c r="I101" s="107">
        <v>2783834.0320000001</v>
      </c>
    </row>
    <row r="102" spans="2:9">
      <c r="B102" s="105">
        <v>94</v>
      </c>
      <c r="C102" s="107">
        <v>19058044.379999999</v>
      </c>
      <c r="D102" s="107">
        <v>26635987.829999998</v>
      </c>
      <c r="E102" s="107">
        <v>10519818.68</v>
      </c>
      <c r="F102" s="107">
        <v>19403860.449999999</v>
      </c>
      <c r="G102" s="107">
        <v>7052572.6749999998</v>
      </c>
      <c r="H102" s="107">
        <v>2151084.1170000001</v>
      </c>
      <c r="I102" s="107">
        <v>-12823899.49</v>
      </c>
    </row>
    <row r="103" spans="2:9">
      <c r="B103" s="105">
        <v>95</v>
      </c>
      <c r="C103" s="107">
        <v>9008410.3499999996</v>
      </c>
      <c r="D103" s="107">
        <v>14402682</v>
      </c>
      <c r="E103" s="107">
        <v>16451788.82</v>
      </c>
      <c r="F103" s="107">
        <v>6982801.1739999996</v>
      </c>
      <c r="G103" s="107">
        <v>1414795.064</v>
      </c>
      <c r="H103" s="107">
        <v>9053514.1280000005</v>
      </c>
      <c r="I103" s="107">
        <v>3914544.227</v>
      </c>
    </row>
    <row r="104" spans="2:9">
      <c r="B104" s="105">
        <v>96</v>
      </c>
      <c r="C104" s="107">
        <v>13471931.710000001</v>
      </c>
      <c r="D104" s="107">
        <v>18683647.760000002</v>
      </c>
      <c r="E104" s="107">
        <v>11217223.58</v>
      </c>
      <c r="F104" s="107">
        <v>18087396.719999999</v>
      </c>
      <c r="G104" s="107">
        <v>5700549.7419999996</v>
      </c>
      <c r="H104" s="107">
        <v>8609166.5280000009</v>
      </c>
      <c r="I104" s="107">
        <v>3025735.9330000002</v>
      </c>
    </row>
    <row r="105" spans="2:9">
      <c r="B105" s="105">
        <v>97</v>
      </c>
      <c r="C105" s="107">
        <v>7209258.4639999997</v>
      </c>
      <c r="D105" s="107">
        <v>13740019.73</v>
      </c>
      <c r="E105" s="107">
        <v>10079554.77</v>
      </c>
      <c r="F105" s="107">
        <v>7923008.7309999997</v>
      </c>
      <c r="G105" s="107">
        <v>47116.507400000002</v>
      </c>
      <c r="H105" s="107">
        <v>1473287.2879999999</v>
      </c>
      <c r="I105" s="107">
        <v>10303067.560000001</v>
      </c>
    </row>
    <row r="106" spans="2:9">
      <c r="B106" s="105">
        <v>98</v>
      </c>
      <c r="C106" s="107">
        <v>27049932.75</v>
      </c>
      <c r="D106" s="107">
        <v>5853778.6859999998</v>
      </c>
      <c r="E106" s="107">
        <v>8514217.8239999991</v>
      </c>
      <c r="F106" s="107">
        <v>-2151752.1529999999</v>
      </c>
      <c r="G106" s="107">
        <v>17024388.98</v>
      </c>
      <c r="H106" s="107">
        <v>1130585.439</v>
      </c>
      <c r="I106" s="107">
        <v>2302261.162</v>
      </c>
    </row>
    <row r="107" spans="2:9">
      <c r="B107" s="105">
        <v>99</v>
      </c>
      <c r="C107" s="107">
        <v>14171842.08</v>
      </c>
      <c r="D107" s="107">
        <v>3766621.9789999998</v>
      </c>
      <c r="E107" s="107">
        <v>19100046.32</v>
      </c>
      <c r="F107" s="107">
        <v>11364605.779999999</v>
      </c>
      <c r="G107" s="107">
        <v>2376158.81</v>
      </c>
      <c r="H107" s="107">
        <v>12171841.23</v>
      </c>
      <c r="I107" s="107">
        <v>-5315077.3059999999</v>
      </c>
    </row>
    <row r="108" spans="2:9">
      <c r="B108" s="105">
        <v>100</v>
      </c>
      <c r="C108" s="107">
        <v>18549064.690000001</v>
      </c>
      <c r="D108" s="107">
        <v>16534403.630000001</v>
      </c>
      <c r="E108" s="107">
        <v>16521060.449999999</v>
      </c>
      <c r="F108" s="107">
        <v>15364620.039999999</v>
      </c>
      <c r="G108" s="107">
        <v>6141946.432</v>
      </c>
      <c r="H108" s="107">
        <v>5184908.4620000003</v>
      </c>
      <c r="I108" s="107">
        <v>497639.11969999998</v>
      </c>
    </row>
    <row r="109" spans="2:9">
      <c r="B109" s="105">
        <v>101</v>
      </c>
      <c r="C109" s="107">
        <v>12966495</v>
      </c>
      <c r="D109" s="107">
        <v>14306232.84</v>
      </c>
      <c r="E109" s="107">
        <v>6929391.7189999996</v>
      </c>
      <c r="F109" s="107">
        <v>20370395.18</v>
      </c>
      <c r="G109" s="107">
        <v>15756710.59</v>
      </c>
      <c r="H109" s="107">
        <v>-1193182.9750000001</v>
      </c>
      <c r="I109" s="107">
        <v>5617668.3760000002</v>
      </c>
    </row>
    <row r="110" spans="2:9">
      <c r="B110" s="105">
        <v>102</v>
      </c>
      <c r="C110" s="107">
        <v>2301497.915</v>
      </c>
      <c r="D110" s="107">
        <v>7473315.0029999996</v>
      </c>
      <c r="E110" s="107">
        <v>1356300.044</v>
      </c>
      <c r="F110" s="107">
        <v>13750023.689999999</v>
      </c>
      <c r="G110" s="107">
        <v>13548011.57</v>
      </c>
      <c r="H110" s="107">
        <v>6151452.3499999996</v>
      </c>
      <c r="I110" s="107">
        <v>8708558.1669999994</v>
      </c>
    </row>
    <row r="111" spans="2:9">
      <c r="B111" s="105">
        <v>103</v>
      </c>
      <c r="C111" s="107">
        <v>24323301.809999999</v>
      </c>
      <c r="D111" s="107">
        <v>22285897.800000001</v>
      </c>
      <c r="E111" s="107">
        <v>19434581.620000001</v>
      </c>
      <c r="F111" s="107">
        <v>9322630.1549999993</v>
      </c>
      <c r="G111" s="107">
        <v>635609.08779999998</v>
      </c>
      <c r="H111" s="107">
        <v>10550129.710000001</v>
      </c>
      <c r="I111" s="107">
        <v>1260442.2009999999</v>
      </c>
    </row>
    <row r="112" spans="2:9">
      <c r="B112" s="105">
        <v>104</v>
      </c>
      <c r="C112" s="107">
        <v>16089974.49</v>
      </c>
      <c r="D112" s="107">
        <v>21219175.140000001</v>
      </c>
      <c r="E112" s="107">
        <v>18586766.02</v>
      </c>
      <c r="F112" s="107">
        <v>16454358.359999999</v>
      </c>
      <c r="G112" s="107">
        <v>16514345.630000001</v>
      </c>
      <c r="H112" s="107">
        <v>6454287.8200000003</v>
      </c>
      <c r="I112" s="107">
        <v>11540006.380000001</v>
      </c>
    </row>
    <row r="113" spans="2:9">
      <c r="B113" s="105">
        <v>105</v>
      </c>
      <c r="C113" s="107">
        <v>18968893.079999998</v>
      </c>
      <c r="D113" s="107">
        <v>8483424.4330000002</v>
      </c>
      <c r="E113" s="107">
        <v>9728197.966</v>
      </c>
      <c r="F113" s="107">
        <v>23587583.649999999</v>
      </c>
      <c r="G113" s="107">
        <v>4134680.5180000002</v>
      </c>
      <c r="H113" s="107">
        <v>16721135.640000001</v>
      </c>
      <c r="I113" s="107">
        <v>7468723.1129999999</v>
      </c>
    </row>
    <row r="114" spans="2:9">
      <c r="B114" s="105">
        <v>106</v>
      </c>
      <c r="C114" s="107">
        <v>16146508.76</v>
      </c>
      <c r="D114" s="107">
        <v>7929212.5499999998</v>
      </c>
      <c r="E114" s="107">
        <v>-4571379.091</v>
      </c>
      <c r="F114" s="107">
        <v>5475545.8710000003</v>
      </c>
      <c r="G114" s="107">
        <v>7109971.3820000002</v>
      </c>
      <c r="H114" s="107">
        <v>14192929.960000001</v>
      </c>
      <c r="I114" s="107">
        <v>2173936.227</v>
      </c>
    </row>
    <row r="115" spans="2:9">
      <c r="B115" s="105">
        <v>107</v>
      </c>
      <c r="C115" s="107">
        <v>10226801.9</v>
      </c>
      <c r="D115" s="107">
        <v>12875674.75</v>
      </c>
      <c r="E115" s="107">
        <v>8739543.2569999993</v>
      </c>
      <c r="F115" s="107">
        <v>17804330.579999998</v>
      </c>
      <c r="G115" s="107">
        <v>14567568.15</v>
      </c>
      <c r="H115" s="107">
        <v>5465934.8109999998</v>
      </c>
      <c r="I115" s="107">
        <v>8994100.6030000001</v>
      </c>
    </row>
    <row r="116" spans="2:9">
      <c r="B116" s="105">
        <v>108</v>
      </c>
      <c r="C116" s="107">
        <v>16818308.489999998</v>
      </c>
      <c r="D116" s="107">
        <v>19164928.350000001</v>
      </c>
      <c r="E116" s="107">
        <v>14269048.34</v>
      </c>
      <c r="F116" s="107">
        <v>6320823.0460000001</v>
      </c>
      <c r="G116" s="107">
        <v>4118638.3059999999</v>
      </c>
      <c r="H116" s="107">
        <v>5149615.7290000003</v>
      </c>
      <c r="I116" s="107">
        <v>4935996.835</v>
      </c>
    </row>
    <row r="117" spans="2:9">
      <c r="B117" s="105">
        <v>109</v>
      </c>
      <c r="C117" s="107">
        <v>15827221.130000001</v>
      </c>
      <c r="D117" s="107">
        <v>13024835.34</v>
      </c>
      <c r="E117" s="107">
        <v>13929720.039999999</v>
      </c>
      <c r="F117" s="107">
        <v>3394438.926</v>
      </c>
      <c r="G117" s="107">
        <v>7197217.5750000002</v>
      </c>
      <c r="H117" s="107">
        <v>-362434.14620000002</v>
      </c>
      <c r="I117" s="107">
        <v>1450944.35</v>
      </c>
    </row>
    <row r="118" spans="2:9">
      <c r="B118" s="105">
        <v>110</v>
      </c>
      <c r="C118" s="107">
        <v>21111356.719999999</v>
      </c>
      <c r="D118" s="107">
        <v>15345141.699999999</v>
      </c>
      <c r="E118" s="107">
        <v>9569897.9389999993</v>
      </c>
      <c r="F118" s="107">
        <v>8835256.1579999998</v>
      </c>
      <c r="G118" s="107">
        <v>9864972.8340000007</v>
      </c>
      <c r="H118" s="107">
        <v>9808335.0480000004</v>
      </c>
      <c r="I118" s="107">
        <v>17944539.260000002</v>
      </c>
    </row>
    <row r="119" spans="2:9">
      <c r="B119" s="105">
        <v>111</v>
      </c>
      <c r="C119" s="107">
        <v>16469269.539999999</v>
      </c>
      <c r="D119" s="107">
        <v>19092877.510000002</v>
      </c>
      <c r="E119" s="107">
        <v>10407721.130000001</v>
      </c>
      <c r="F119" s="107">
        <v>7329314.8310000002</v>
      </c>
      <c r="G119" s="107">
        <v>14182105.970000001</v>
      </c>
      <c r="H119" s="107">
        <v>16578300.789999999</v>
      </c>
      <c r="I119" s="107">
        <v>7245157.5499999998</v>
      </c>
    </row>
    <row r="120" spans="2:9">
      <c r="B120" s="105">
        <v>112</v>
      </c>
      <c r="C120" s="107">
        <v>31505695.100000001</v>
      </c>
      <c r="D120" s="107">
        <v>8374877.3949999996</v>
      </c>
      <c r="E120" s="107">
        <v>13394081.17</v>
      </c>
      <c r="F120" s="107">
        <v>5484721.7170000002</v>
      </c>
      <c r="G120" s="107">
        <v>3146722.2949999999</v>
      </c>
      <c r="H120" s="107">
        <v>2827985.5529999998</v>
      </c>
      <c r="I120" s="107">
        <v>9859136.4550000001</v>
      </c>
    </row>
    <row r="121" spans="2:9">
      <c r="B121" s="105">
        <v>113</v>
      </c>
      <c r="C121" s="107">
        <v>22837699.199999999</v>
      </c>
      <c r="D121" s="107">
        <v>5042610.8890000004</v>
      </c>
      <c r="E121" s="107">
        <v>23565880</v>
      </c>
      <c r="F121" s="107">
        <v>11999752.85</v>
      </c>
      <c r="G121" s="107">
        <v>11440225.640000001</v>
      </c>
      <c r="H121" s="107">
        <v>6785151.5310000004</v>
      </c>
      <c r="I121" s="107">
        <v>10110999.84</v>
      </c>
    </row>
    <row r="122" spans="2:9">
      <c r="B122" s="105">
        <v>114</v>
      </c>
      <c r="C122" s="107">
        <v>21467309.559999999</v>
      </c>
      <c r="D122" s="107">
        <v>9687540.3540000003</v>
      </c>
      <c r="E122" s="107">
        <v>20802675.620000001</v>
      </c>
      <c r="F122" s="107">
        <v>7852598.0130000003</v>
      </c>
      <c r="G122" s="107">
        <v>5111750.0290000001</v>
      </c>
      <c r="H122" s="107">
        <v>2441209.2050000001</v>
      </c>
      <c r="I122" s="107">
        <v>9036059.4419999998</v>
      </c>
    </row>
    <row r="123" spans="2:9">
      <c r="B123" s="105">
        <v>115</v>
      </c>
      <c r="C123" s="107">
        <v>30142691.73</v>
      </c>
      <c r="D123" s="107">
        <v>11717013.960000001</v>
      </c>
      <c r="E123" s="107">
        <v>13617889.4</v>
      </c>
      <c r="F123" s="107">
        <v>5011026.9939999999</v>
      </c>
      <c r="G123" s="107">
        <v>23238222.609999999</v>
      </c>
      <c r="H123" s="107">
        <v>13072745.92</v>
      </c>
      <c r="I123" s="107">
        <v>8518458.4480000008</v>
      </c>
    </row>
    <row r="124" spans="2:9">
      <c r="B124" s="105">
        <v>116</v>
      </c>
      <c r="C124" s="107">
        <v>19433162.890000001</v>
      </c>
      <c r="D124" s="107">
        <v>7434961.3030000003</v>
      </c>
      <c r="E124" s="107">
        <v>13555019.109999999</v>
      </c>
      <c r="F124" s="107">
        <v>8841233.8839999996</v>
      </c>
      <c r="G124" s="107">
        <v>12210013.33</v>
      </c>
      <c r="H124" s="107">
        <v>11799193.77</v>
      </c>
      <c r="I124" s="107">
        <v>9997126.5380000006</v>
      </c>
    </row>
    <row r="125" spans="2:9">
      <c r="B125" s="105">
        <v>117</v>
      </c>
      <c r="C125" s="107">
        <v>15826680.92</v>
      </c>
      <c r="D125" s="107">
        <v>12530905.82</v>
      </c>
      <c r="E125" s="107">
        <v>13078935.09</v>
      </c>
      <c r="F125" s="107">
        <v>13942586.939999999</v>
      </c>
      <c r="G125" s="107">
        <v>11871379.720000001</v>
      </c>
      <c r="H125" s="107">
        <v>16810908.25</v>
      </c>
      <c r="I125" s="107">
        <v>9141686.0189999994</v>
      </c>
    </row>
    <row r="126" spans="2:9">
      <c r="B126" s="105">
        <v>118</v>
      </c>
      <c r="C126" s="107">
        <v>10534246.57</v>
      </c>
      <c r="D126" s="107">
        <v>24138045.84</v>
      </c>
      <c r="E126" s="107">
        <v>26774767.48</v>
      </c>
      <c r="F126" s="107">
        <v>20078055.489999998</v>
      </c>
      <c r="G126" s="107">
        <v>5466634.898</v>
      </c>
      <c r="H126" s="107">
        <v>12856045.960000001</v>
      </c>
      <c r="I126" s="107">
        <v>12337206.83</v>
      </c>
    </row>
    <row r="127" spans="2:9">
      <c r="B127" s="105">
        <v>119</v>
      </c>
      <c r="C127" s="107">
        <v>22377567.039999999</v>
      </c>
      <c r="D127" s="107">
        <v>8891271.6449999996</v>
      </c>
      <c r="E127" s="107">
        <v>9079034.3570000008</v>
      </c>
      <c r="F127" s="107">
        <v>7373398.7709999997</v>
      </c>
      <c r="G127" s="107">
        <v>8313699.9869999997</v>
      </c>
      <c r="H127" s="107">
        <v>6203714.0889999997</v>
      </c>
      <c r="I127" s="107">
        <v>2632266.5320000001</v>
      </c>
    </row>
    <row r="128" spans="2:9">
      <c r="B128" s="105">
        <v>120</v>
      </c>
      <c r="C128" s="107">
        <v>7074575.4299999997</v>
      </c>
      <c r="D128" s="107">
        <v>18596652.199999999</v>
      </c>
      <c r="E128" s="107">
        <v>23225604.5</v>
      </c>
      <c r="F128" s="107">
        <v>10889972.92</v>
      </c>
      <c r="G128" s="107">
        <v>4480188.2419999996</v>
      </c>
      <c r="H128" s="107">
        <v>17471969.82</v>
      </c>
      <c r="I128" s="107">
        <v>810409.62860000005</v>
      </c>
    </row>
    <row r="129" spans="2:9">
      <c r="B129" s="105">
        <v>121</v>
      </c>
      <c r="C129" s="107">
        <v>18594606.109999999</v>
      </c>
      <c r="D129" s="107">
        <v>14522762.99</v>
      </c>
      <c r="E129" s="107">
        <v>28180957.09</v>
      </c>
      <c r="F129" s="107">
        <v>5605636.2489999998</v>
      </c>
      <c r="G129" s="107">
        <v>21028230.530000001</v>
      </c>
      <c r="H129" s="107">
        <v>13221778.130000001</v>
      </c>
      <c r="I129" s="107">
        <v>1268674.4539999999</v>
      </c>
    </row>
    <row r="130" spans="2:9">
      <c r="B130" s="105">
        <v>122</v>
      </c>
      <c r="C130" s="107">
        <v>23803334.559999999</v>
      </c>
      <c r="D130" s="107">
        <v>8352965.4939999999</v>
      </c>
      <c r="E130" s="107">
        <v>18686064.02</v>
      </c>
      <c r="F130" s="107">
        <v>12975412.24</v>
      </c>
      <c r="G130" s="107">
        <v>6529236.8229999999</v>
      </c>
      <c r="H130" s="107">
        <v>-3034268.3119999999</v>
      </c>
      <c r="I130" s="107">
        <v>4038124.1120000002</v>
      </c>
    </row>
    <row r="131" spans="2:9">
      <c r="B131" s="105">
        <v>123</v>
      </c>
      <c r="C131" s="107">
        <v>14058730.51</v>
      </c>
      <c r="D131" s="107">
        <v>14826102.25</v>
      </c>
      <c r="E131" s="107">
        <v>3006133.102</v>
      </c>
      <c r="F131" s="107">
        <v>11361458.42</v>
      </c>
      <c r="G131" s="107">
        <v>1113009.2990000001</v>
      </c>
      <c r="H131" s="107">
        <v>7855959.2259999998</v>
      </c>
      <c r="I131" s="107">
        <v>13243029.02</v>
      </c>
    </row>
    <row r="132" spans="2:9">
      <c r="B132" s="105">
        <v>124</v>
      </c>
      <c r="C132" s="107">
        <v>22171230.379999999</v>
      </c>
      <c r="D132" s="107">
        <v>8338432.4019999998</v>
      </c>
      <c r="E132" s="107">
        <v>19267637.710000001</v>
      </c>
      <c r="F132" s="107">
        <v>4273012.9840000002</v>
      </c>
      <c r="G132" s="107">
        <v>6634411.8439999996</v>
      </c>
      <c r="H132" s="107">
        <v>7595670.9749999996</v>
      </c>
      <c r="I132" s="107">
        <v>5636214.4390000002</v>
      </c>
    </row>
    <row r="133" spans="2:9">
      <c r="B133" s="105">
        <v>125</v>
      </c>
      <c r="C133" s="107">
        <v>13555060.43</v>
      </c>
      <c r="D133" s="107">
        <v>21563445.07</v>
      </c>
      <c r="E133" s="107">
        <v>11986306.66</v>
      </c>
      <c r="F133" s="107">
        <v>1785402.398</v>
      </c>
      <c r="G133" s="107">
        <v>18612991.02</v>
      </c>
      <c r="H133" s="107">
        <v>9189010.7630000003</v>
      </c>
      <c r="I133" s="107">
        <v>9583389.7750000004</v>
      </c>
    </row>
    <row r="134" spans="2:9">
      <c r="B134" s="105">
        <v>126</v>
      </c>
      <c r="C134" s="107">
        <v>20365322.260000002</v>
      </c>
      <c r="D134" s="107">
        <v>12898913.390000001</v>
      </c>
      <c r="E134" s="107">
        <v>20130699.82</v>
      </c>
      <c r="F134" s="107">
        <v>6569141.9390000002</v>
      </c>
      <c r="G134" s="107">
        <v>14880920.359999999</v>
      </c>
      <c r="H134" s="107">
        <v>6300217.6770000001</v>
      </c>
      <c r="I134" s="107">
        <v>9055217.5920000002</v>
      </c>
    </row>
    <row r="135" spans="2:9">
      <c r="B135" s="105">
        <v>127</v>
      </c>
      <c r="C135" s="107">
        <v>20420064.079999998</v>
      </c>
      <c r="D135" s="107">
        <v>-1534097.3219999999</v>
      </c>
      <c r="E135" s="107">
        <v>20614016.629999999</v>
      </c>
      <c r="F135" s="107">
        <v>20282841.899999999</v>
      </c>
      <c r="G135" s="107">
        <v>8282848.0920000002</v>
      </c>
      <c r="H135" s="107">
        <v>2531053.0010000002</v>
      </c>
      <c r="I135" s="107">
        <v>6954.7481630000002</v>
      </c>
    </row>
    <row r="136" spans="2:9">
      <c r="B136" s="105">
        <v>128</v>
      </c>
      <c r="C136" s="107">
        <v>28581954.350000001</v>
      </c>
      <c r="D136" s="107">
        <v>23175505.77</v>
      </c>
      <c r="E136" s="107">
        <v>10073334.98</v>
      </c>
      <c r="F136" s="107">
        <v>14306704.42</v>
      </c>
      <c r="G136" s="107">
        <v>2220126.287</v>
      </c>
      <c r="H136" s="107">
        <v>7835848.4759999998</v>
      </c>
      <c r="I136" s="107">
        <v>9614396.0010000002</v>
      </c>
    </row>
    <row r="137" spans="2:9">
      <c r="B137" s="105">
        <v>129</v>
      </c>
      <c r="C137" s="107">
        <v>11513840.82</v>
      </c>
      <c r="D137" s="107">
        <v>20123420.32</v>
      </c>
      <c r="E137" s="107">
        <v>13315935.810000001</v>
      </c>
      <c r="F137" s="107">
        <v>19445239.109999999</v>
      </c>
      <c r="G137" s="107">
        <v>9393203.182</v>
      </c>
      <c r="H137" s="107">
        <v>15391520.699999999</v>
      </c>
      <c r="I137" s="107">
        <v>4747561.8310000002</v>
      </c>
    </row>
    <row r="138" spans="2:9">
      <c r="B138" s="105">
        <v>130</v>
      </c>
      <c r="C138" s="107">
        <v>13914546.24</v>
      </c>
      <c r="D138" s="107">
        <v>28128493.859999999</v>
      </c>
      <c r="E138" s="107">
        <v>10738746.5</v>
      </c>
      <c r="F138" s="107">
        <v>4842706.4790000003</v>
      </c>
      <c r="G138" s="107">
        <v>18705036.82</v>
      </c>
      <c r="H138" s="107">
        <v>3497284.676</v>
      </c>
      <c r="I138" s="107">
        <v>9970838.1559999995</v>
      </c>
    </row>
    <row r="139" spans="2:9">
      <c r="B139" s="105">
        <v>131</v>
      </c>
      <c r="C139" s="107">
        <v>12332498.310000001</v>
      </c>
      <c r="D139" s="107">
        <v>23786171.460000001</v>
      </c>
      <c r="E139" s="107">
        <v>23268384.18</v>
      </c>
      <c r="F139" s="107">
        <v>7010003.3940000003</v>
      </c>
      <c r="G139" s="107">
        <v>5470482.4340000004</v>
      </c>
      <c r="H139" s="107">
        <v>4318317.0839999998</v>
      </c>
      <c r="I139" s="107">
        <v>7680986.0590000004</v>
      </c>
    </row>
    <row r="140" spans="2:9">
      <c r="B140" s="105">
        <v>132</v>
      </c>
      <c r="C140" s="107">
        <v>21691417.43</v>
      </c>
      <c r="D140" s="107">
        <v>14131827.52</v>
      </c>
      <c r="E140" s="107">
        <v>7251230.5039999997</v>
      </c>
      <c r="F140" s="107">
        <v>19089088.440000001</v>
      </c>
      <c r="G140" s="107">
        <v>8400274.1950000003</v>
      </c>
      <c r="H140" s="107">
        <v>5843246.0800000001</v>
      </c>
      <c r="I140" s="107">
        <v>-5015265.6579999998</v>
      </c>
    </row>
    <row r="141" spans="2:9">
      <c r="B141" s="105">
        <v>133</v>
      </c>
      <c r="C141" s="107">
        <v>18936344.670000002</v>
      </c>
      <c r="D141" s="107">
        <v>17252627.960000001</v>
      </c>
      <c r="E141" s="107">
        <v>13004109.07</v>
      </c>
      <c r="F141" s="107">
        <v>1213771.274</v>
      </c>
      <c r="G141" s="107">
        <v>8527524.0920000002</v>
      </c>
      <c r="H141" s="107">
        <v>2285499.5410000002</v>
      </c>
      <c r="I141" s="107">
        <v>6257899.1739999996</v>
      </c>
    </row>
    <row r="142" spans="2:9">
      <c r="B142" s="105">
        <v>134</v>
      </c>
      <c r="C142" s="107">
        <v>20469138.850000001</v>
      </c>
      <c r="D142" s="107">
        <v>15929409.83</v>
      </c>
      <c r="E142" s="107">
        <v>19225089.829999998</v>
      </c>
      <c r="F142" s="107">
        <v>4245241.9639999997</v>
      </c>
      <c r="G142" s="107">
        <v>2367002.4339999999</v>
      </c>
      <c r="H142" s="107">
        <v>11497229.23</v>
      </c>
      <c r="I142" s="107">
        <v>3751322.2149999999</v>
      </c>
    </row>
    <row r="143" spans="2:9">
      <c r="B143" s="105">
        <v>135</v>
      </c>
      <c r="C143" s="107">
        <v>-3955557.7259999998</v>
      </c>
      <c r="D143" s="107">
        <v>18418585.010000002</v>
      </c>
      <c r="E143" s="107">
        <v>7869346.9630000005</v>
      </c>
      <c r="F143" s="107">
        <v>6759844.2810000004</v>
      </c>
      <c r="G143" s="107">
        <v>-1488768.5330000001</v>
      </c>
      <c r="H143" s="107">
        <v>12583570.289999999</v>
      </c>
      <c r="I143" s="107">
        <v>10448259.59</v>
      </c>
    </row>
    <row r="144" spans="2:9">
      <c r="B144" s="105">
        <v>136</v>
      </c>
      <c r="C144" s="107">
        <v>16334243.17</v>
      </c>
      <c r="D144" s="107">
        <v>10782823.4</v>
      </c>
      <c r="E144" s="107">
        <v>28992166.859999999</v>
      </c>
      <c r="F144" s="107">
        <v>8802614.7290000003</v>
      </c>
      <c r="G144" s="107">
        <v>7039725.3789999997</v>
      </c>
      <c r="H144" s="107">
        <v>4013630.1239999998</v>
      </c>
      <c r="I144" s="107">
        <v>10436539.4</v>
      </c>
    </row>
    <row r="145" spans="2:9">
      <c r="B145" s="105">
        <v>137</v>
      </c>
      <c r="C145" s="107">
        <v>18889743.719999999</v>
      </c>
      <c r="D145" s="107">
        <v>16864678.84</v>
      </c>
      <c r="E145" s="107">
        <v>27244663.050000001</v>
      </c>
      <c r="F145" s="107">
        <v>16582475.33</v>
      </c>
      <c r="G145" s="107">
        <v>13130130.49</v>
      </c>
      <c r="H145" s="107">
        <v>14516501.220000001</v>
      </c>
      <c r="I145" s="107">
        <v>-4107135.9530000002</v>
      </c>
    </row>
    <row r="146" spans="2:9">
      <c r="B146" s="105">
        <v>138</v>
      </c>
      <c r="C146" s="107">
        <v>19760034.399999999</v>
      </c>
      <c r="D146" s="107">
        <v>26713673.649999999</v>
      </c>
      <c r="E146" s="107">
        <v>5752896.2410000004</v>
      </c>
      <c r="F146" s="107">
        <v>11490454.039999999</v>
      </c>
      <c r="G146" s="107">
        <v>2957622.4019999998</v>
      </c>
      <c r="H146" s="107">
        <v>1658604.189</v>
      </c>
      <c r="I146" s="107">
        <v>2640088.7919999999</v>
      </c>
    </row>
    <row r="147" spans="2:9">
      <c r="B147" s="105">
        <v>139</v>
      </c>
      <c r="C147" s="107">
        <v>29801969.23</v>
      </c>
      <c r="D147" s="107">
        <v>19611516.940000001</v>
      </c>
      <c r="E147" s="107">
        <v>25134434.890000001</v>
      </c>
      <c r="F147" s="107">
        <v>-2083936.0730000001</v>
      </c>
      <c r="G147" s="107">
        <v>-1177477.929</v>
      </c>
      <c r="H147" s="107">
        <v>3571553.35</v>
      </c>
      <c r="I147" s="107">
        <v>1275808.1980000001</v>
      </c>
    </row>
    <row r="148" spans="2:9">
      <c r="B148" s="105">
        <v>140</v>
      </c>
      <c r="C148" s="107">
        <v>10586102.1</v>
      </c>
      <c r="D148" s="107">
        <v>14698842.039999999</v>
      </c>
      <c r="E148" s="107">
        <v>17494797.030000001</v>
      </c>
      <c r="F148" s="107">
        <v>19166025.670000002</v>
      </c>
      <c r="G148" s="107">
        <v>3768454.5430000001</v>
      </c>
      <c r="H148" s="107">
        <v>6267201.5209999997</v>
      </c>
      <c r="I148" s="107">
        <v>5387995.9910000004</v>
      </c>
    </row>
    <row r="149" spans="2:9">
      <c r="B149" s="105">
        <v>141</v>
      </c>
      <c r="C149" s="107">
        <v>11895632.16</v>
      </c>
      <c r="D149" s="107">
        <v>4517828.4639999997</v>
      </c>
      <c r="E149" s="107">
        <v>34403114.049999997</v>
      </c>
      <c r="F149" s="107">
        <v>7468564.7759999996</v>
      </c>
      <c r="G149" s="107">
        <v>5185115.2010000004</v>
      </c>
      <c r="H149" s="107">
        <v>8780390.3690000009</v>
      </c>
      <c r="I149" s="107">
        <v>4673708.1550000003</v>
      </c>
    </row>
    <row r="150" spans="2:9">
      <c r="B150" s="105">
        <v>142</v>
      </c>
      <c r="C150" s="107">
        <v>17830024.199999999</v>
      </c>
      <c r="D150" s="107">
        <v>12752082.67</v>
      </c>
      <c r="E150" s="107">
        <v>17694600.859999999</v>
      </c>
      <c r="F150" s="107">
        <v>19889508.34</v>
      </c>
      <c r="G150" s="107">
        <v>7974327.4299999997</v>
      </c>
      <c r="H150" s="107">
        <v>4382355.1679999996</v>
      </c>
      <c r="I150" s="107">
        <v>-1166459.5379999999</v>
      </c>
    </row>
    <row r="151" spans="2:9">
      <c r="B151" s="105">
        <v>143</v>
      </c>
      <c r="C151" s="107">
        <v>15051022.390000001</v>
      </c>
      <c r="D151" s="107">
        <v>4095744.2969999998</v>
      </c>
      <c r="E151" s="107">
        <v>3805147.5049999999</v>
      </c>
      <c r="F151" s="107">
        <v>4627578.9610000001</v>
      </c>
      <c r="G151" s="107">
        <v>13086134.16</v>
      </c>
      <c r="H151" s="107">
        <v>6859690.2369999997</v>
      </c>
      <c r="I151" s="107">
        <v>9015732.8619999997</v>
      </c>
    </row>
    <row r="152" spans="2:9">
      <c r="B152" s="105">
        <v>144</v>
      </c>
      <c r="C152" s="107">
        <v>15488245.869999999</v>
      </c>
      <c r="D152" s="107">
        <v>20039851.800000001</v>
      </c>
      <c r="E152" s="107">
        <v>-194386.8634</v>
      </c>
      <c r="F152" s="107">
        <v>4995118.4709999999</v>
      </c>
      <c r="G152" s="107">
        <v>18112356.48</v>
      </c>
      <c r="H152" s="107">
        <v>10365318.33</v>
      </c>
      <c r="I152" s="107">
        <v>9575772.0899999999</v>
      </c>
    </row>
    <row r="153" spans="2:9">
      <c r="B153" s="105">
        <v>145</v>
      </c>
      <c r="C153" s="107">
        <v>12904908.710000001</v>
      </c>
      <c r="D153" s="107">
        <v>18197796.969999999</v>
      </c>
      <c r="E153" s="107">
        <v>8000664.9859999996</v>
      </c>
      <c r="F153" s="107">
        <v>16929159.449999999</v>
      </c>
      <c r="G153" s="107">
        <v>18122176.809999999</v>
      </c>
      <c r="H153" s="107">
        <v>10609306.060000001</v>
      </c>
      <c r="I153" s="107">
        <v>-1970930.956</v>
      </c>
    </row>
    <row r="154" spans="2:9">
      <c r="B154" s="105">
        <v>146</v>
      </c>
      <c r="C154" s="107">
        <v>21284136.77</v>
      </c>
      <c r="D154" s="107">
        <v>23768899.43</v>
      </c>
      <c r="E154" s="107">
        <v>22679346.399999999</v>
      </c>
      <c r="F154" s="107">
        <v>3569527.344</v>
      </c>
      <c r="G154" s="107">
        <v>8141740.0930000003</v>
      </c>
      <c r="H154" s="107">
        <v>2058262.4720000001</v>
      </c>
      <c r="I154" s="107">
        <v>5920422.3119999999</v>
      </c>
    </row>
    <row r="155" spans="2:9">
      <c r="B155" s="105">
        <v>147</v>
      </c>
      <c r="C155" s="107">
        <v>25323637</v>
      </c>
      <c r="D155" s="107">
        <v>19707397.77</v>
      </c>
      <c r="E155" s="107">
        <v>17292372</v>
      </c>
      <c r="F155" s="107">
        <v>23023183.260000002</v>
      </c>
      <c r="G155" s="107">
        <v>9416076.8939999994</v>
      </c>
      <c r="H155" s="107">
        <v>9348630.2970000003</v>
      </c>
      <c r="I155" s="107">
        <v>2168065.963</v>
      </c>
    </row>
    <row r="156" spans="2:9">
      <c r="B156" s="105">
        <v>148</v>
      </c>
      <c r="C156" s="107">
        <v>13669102.699999999</v>
      </c>
      <c r="D156" s="107">
        <v>31483287.030000001</v>
      </c>
      <c r="E156" s="107">
        <v>10613521.09</v>
      </c>
      <c r="F156" s="107">
        <v>9742402.4639999997</v>
      </c>
      <c r="G156" s="107">
        <v>15175706.83</v>
      </c>
      <c r="H156" s="107">
        <v>8193064.2249999996</v>
      </c>
      <c r="I156" s="107">
        <v>13256618.85</v>
      </c>
    </row>
    <row r="157" spans="2:9">
      <c r="B157" s="105">
        <v>149</v>
      </c>
      <c r="C157" s="107">
        <v>15207968.359999999</v>
      </c>
      <c r="D157" s="107">
        <v>12650722.970000001</v>
      </c>
      <c r="E157" s="107">
        <v>7296558.6540000001</v>
      </c>
      <c r="F157" s="107">
        <v>8895334.9609999992</v>
      </c>
      <c r="G157" s="107">
        <v>10587482.26</v>
      </c>
      <c r="H157" s="107">
        <v>17013887.420000002</v>
      </c>
      <c r="I157" s="107">
        <v>7871263.6330000004</v>
      </c>
    </row>
    <row r="158" spans="2:9">
      <c r="B158" s="105">
        <v>150</v>
      </c>
      <c r="C158" s="107">
        <v>16372893.970000001</v>
      </c>
      <c r="D158" s="107">
        <v>8095924.3289999999</v>
      </c>
      <c r="E158" s="107">
        <v>9878574.5610000007</v>
      </c>
      <c r="F158" s="107">
        <v>16747573.220000001</v>
      </c>
      <c r="G158" s="107">
        <v>9208380.9030000009</v>
      </c>
      <c r="H158" s="107">
        <v>7651857.1459999997</v>
      </c>
      <c r="I158" s="107">
        <v>-1052803.443</v>
      </c>
    </row>
    <row r="159" spans="2:9">
      <c r="B159" s="105">
        <v>151</v>
      </c>
      <c r="C159" s="107">
        <v>18095144.57</v>
      </c>
      <c r="D159" s="107">
        <v>15505313.189999999</v>
      </c>
      <c r="E159" s="107">
        <v>17487309.690000001</v>
      </c>
      <c r="F159" s="107">
        <v>18385911.359999999</v>
      </c>
      <c r="G159" s="107">
        <v>4475788.6059999997</v>
      </c>
      <c r="H159" s="107">
        <v>4937102.9680000003</v>
      </c>
      <c r="I159" s="107">
        <v>9062242.9700000007</v>
      </c>
    </row>
    <row r="160" spans="2:9">
      <c r="B160" s="105">
        <v>152</v>
      </c>
      <c r="C160" s="107">
        <v>21108104.920000002</v>
      </c>
      <c r="D160" s="107">
        <v>15892203.34</v>
      </c>
      <c r="E160" s="107">
        <v>15309699.699999999</v>
      </c>
      <c r="F160" s="107">
        <v>18364761.34</v>
      </c>
      <c r="G160" s="107">
        <v>6085957.6059999997</v>
      </c>
      <c r="H160" s="107">
        <v>11359516.77</v>
      </c>
      <c r="I160" s="107">
        <v>935543.9915</v>
      </c>
    </row>
    <row r="161" spans="2:9">
      <c r="B161" s="105">
        <v>153</v>
      </c>
      <c r="C161" s="107">
        <v>14090185.17</v>
      </c>
      <c r="D161" s="107">
        <v>13109771.810000001</v>
      </c>
      <c r="E161" s="107">
        <v>23592283.370000001</v>
      </c>
      <c r="F161" s="107">
        <v>9723468.4829999991</v>
      </c>
      <c r="G161" s="107">
        <v>14428776.52</v>
      </c>
      <c r="H161" s="107">
        <v>11267831.529999999</v>
      </c>
      <c r="I161" s="107">
        <v>20428550.52</v>
      </c>
    </row>
    <row r="162" spans="2:9">
      <c r="B162" s="105">
        <v>154</v>
      </c>
      <c r="C162" s="107">
        <v>19707207.420000002</v>
      </c>
      <c r="D162" s="107">
        <v>14528201.550000001</v>
      </c>
      <c r="E162" s="107">
        <v>15611427.5</v>
      </c>
      <c r="F162" s="107">
        <v>13674373.41</v>
      </c>
      <c r="G162" s="107">
        <v>3797863.0649999999</v>
      </c>
      <c r="H162" s="107">
        <v>15925293.9</v>
      </c>
      <c r="I162" s="107">
        <v>10797295.050000001</v>
      </c>
    </row>
    <row r="163" spans="2:9">
      <c r="B163" s="105">
        <v>155</v>
      </c>
      <c r="C163" s="107">
        <v>30315301.609999999</v>
      </c>
      <c r="D163" s="107">
        <v>22961031.629999999</v>
      </c>
      <c r="E163" s="107">
        <v>23297480.02</v>
      </c>
      <c r="F163" s="107">
        <v>1864398.2990000001</v>
      </c>
      <c r="G163" s="107">
        <v>10828811.960000001</v>
      </c>
      <c r="H163" s="107">
        <v>6697839.8109999998</v>
      </c>
      <c r="I163" s="107">
        <v>12274214.359999999</v>
      </c>
    </row>
    <row r="164" spans="2:9">
      <c r="B164" s="105">
        <v>156</v>
      </c>
      <c r="C164" s="107">
        <v>14357504.449999999</v>
      </c>
      <c r="D164" s="107">
        <v>14719040.76</v>
      </c>
      <c r="E164" s="107">
        <v>18276779.510000002</v>
      </c>
      <c r="F164" s="107">
        <v>4329511.7920000004</v>
      </c>
      <c r="G164" s="107">
        <v>4982340.1150000002</v>
      </c>
      <c r="H164" s="107">
        <v>3650268.1349999998</v>
      </c>
      <c r="I164" s="107">
        <v>388811.07569999999</v>
      </c>
    </row>
    <row r="165" spans="2:9">
      <c r="B165" s="105">
        <v>157</v>
      </c>
      <c r="C165" s="107">
        <v>22631206.760000002</v>
      </c>
      <c r="D165" s="107">
        <v>17166742.059999999</v>
      </c>
      <c r="E165" s="107">
        <v>7768318.1560000004</v>
      </c>
      <c r="F165" s="107">
        <v>21334932.34</v>
      </c>
      <c r="G165" s="107">
        <v>921174.55370000005</v>
      </c>
      <c r="H165" s="107">
        <v>-7767165.0369999995</v>
      </c>
      <c r="I165" s="107">
        <v>5321333.4630000005</v>
      </c>
    </row>
    <row r="166" spans="2:9">
      <c r="B166" s="105">
        <v>158</v>
      </c>
      <c r="C166" s="107">
        <v>25613342.66</v>
      </c>
      <c r="D166" s="107">
        <v>14178214.85</v>
      </c>
      <c r="E166" s="107">
        <v>12832460.800000001</v>
      </c>
      <c r="F166" s="107">
        <v>20946123.620000001</v>
      </c>
      <c r="G166" s="107">
        <v>4130538.7459999998</v>
      </c>
      <c r="H166" s="107">
        <v>13946929.1</v>
      </c>
      <c r="I166" s="107">
        <v>10296376.51</v>
      </c>
    </row>
    <row r="167" spans="2:9">
      <c r="B167" s="105">
        <v>159</v>
      </c>
      <c r="C167" s="107">
        <v>25526840.16</v>
      </c>
      <c r="D167" s="107">
        <v>22413327.300000001</v>
      </c>
      <c r="E167" s="107">
        <v>6332878.1979999999</v>
      </c>
      <c r="F167" s="107">
        <v>10154761.029999999</v>
      </c>
      <c r="G167" s="107">
        <v>11778768.02</v>
      </c>
      <c r="H167" s="107">
        <v>7814254.7810000004</v>
      </c>
      <c r="I167" s="107">
        <v>-439672.82290000003</v>
      </c>
    </row>
    <row r="168" spans="2:9">
      <c r="B168" s="105">
        <v>160</v>
      </c>
      <c r="C168" s="107">
        <v>20381301.609999999</v>
      </c>
      <c r="D168" s="107">
        <v>19347543.670000002</v>
      </c>
      <c r="E168" s="107">
        <v>21312347.879999999</v>
      </c>
      <c r="F168" s="107">
        <v>4301021.6169999996</v>
      </c>
      <c r="G168" s="107">
        <v>3716187.301</v>
      </c>
      <c r="H168" s="107">
        <v>8972494.7060000002</v>
      </c>
      <c r="I168" s="107">
        <v>8893285.2359999996</v>
      </c>
    </row>
    <row r="169" spans="2:9">
      <c r="B169" s="105">
        <v>161</v>
      </c>
      <c r="C169" s="107">
        <v>12264202.359999999</v>
      </c>
      <c r="D169" s="107">
        <v>10410456.6</v>
      </c>
      <c r="E169" s="107">
        <v>18200957.640000001</v>
      </c>
      <c r="F169" s="107">
        <v>10560988.359999999</v>
      </c>
      <c r="G169" s="107">
        <v>9174242.7410000004</v>
      </c>
      <c r="H169" s="107">
        <v>2836338.9920000001</v>
      </c>
      <c r="I169" s="107">
        <v>6497892.9419999998</v>
      </c>
    </row>
    <row r="170" spans="2:9">
      <c r="B170" s="105">
        <v>162</v>
      </c>
      <c r="C170" s="107">
        <v>13085762.539999999</v>
      </c>
      <c r="D170" s="107">
        <v>20102156.620000001</v>
      </c>
      <c r="E170" s="107">
        <v>17203636.969999999</v>
      </c>
      <c r="F170" s="107">
        <v>4589686.9689999996</v>
      </c>
      <c r="G170" s="107">
        <v>14050687.460000001</v>
      </c>
      <c r="H170" s="107">
        <v>3922340.7560000001</v>
      </c>
      <c r="I170" s="107">
        <v>5317641.4369999999</v>
      </c>
    </row>
    <row r="171" spans="2:9">
      <c r="B171" s="105">
        <v>163</v>
      </c>
      <c r="C171" s="107">
        <v>18982846.960000001</v>
      </c>
      <c r="D171" s="107">
        <v>14858376.52</v>
      </c>
      <c r="E171" s="107">
        <v>11328150.869999999</v>
      </c>
      <c r="F171" s="107">
        <v>10305272.27</v>
      </c>
      <c r="G171" s="107">
        <v>8118775.4340000004</v>
      </c>
      <c r="H171" s="107">
        <v>3219482.36</v>
      </c>
      <c r="I171" s="107">
        <v>10773230.16</v>
      </c>
    </row>
    <row r="172" spans="2:9">
      <c r="B172" s="105">
        <v>164</v>
      </c>
      <c r="C172" s="107">
        <v>13490229.26</v>
      </c>
      <c r="D172" s="107">
        <v>13217510.59</v>
      </c>
      <c r="E172" s="107">
        <v>16998402.640000001</v>
      </c>
      <c r="F172" s="107">
        <v>6440125.9340000004</v>
      </c>
      <c r="G172" s="107">
        <v>10356380.99</v>
      </c>
      <c r="H172" s="107">
        <v>2823262.318</v>
      </c>
      <c r="I172" s="107">
        <v>10162340.029999999</v>
      </c>
    </row>
    <row r="173" spans="2:9">
      <c r="B173" s="105">
        <v>165</v>
      </c>
      <c r="C173" s="107">
        <v>21496100.309999999</v>
      </c>
      <c r="D173" s="107">
        <v>278134.87349999999</v>
      </c>
      <c r="E173" s="107">
        <v>12989080.130000001</v>
      </c>
      <c r="F173" s="107">
        <v>2445859.8810000001</v>
      </c>
      <c r="G173" s="107">
        <v>3168269.2769999998</v>
      </c>
      <c r="H173" s="107">
        <v>5333155.0039999997</v>
      </c>
      <c r="I173" s="107">
        <v>4047973.06</v>
      </c>
    </row>
    <row r="174" spans="2:9">
      <c r="B174" s="105">
        <v>166</v>
      </c>
      <c r="C174" s="107">
        <v>14646286.859999999</v>
      </c>
      <c r="D174" s="107">
        <v>11692029.199999999</v>
      </c>
      <c r="E174" s="107">
        <v>24401794.02</v>
      </c>
      <c r="F174" s="107">
        <v>3328168.969</v>
      </c>
      <c r="G174" s="107">
        <v>13218533.43</v>
      </c>
      <c r="H174" s="107">
        <v>10818475.060000001</v>
      </c>
      <c r="I174" s="107">
        <v>9045848.068</v>
      </c>
    </row>
    <row r="175" spans="2:9">
      <c r="B175" s="105">
        <v>167</v>
      </c>
      <c r="C175" s="107">
        <v>10703192.66</v>
      </c>
      <c r="D175" s="107">
        <v>23516548.379999999</v>
      </c>
      <c r="E175" s="107">
        <v>19214423.239999998</v>
      </c>
      <c r="F175" s="107">
        <v>15440255.4</v>
      </c>
      <c r="G175" s="107">
        <v>10385605.02</v>
      </c>
      <c r="H175" s="107">
        <v>1857837.5630000001</v>
      </c>
      <c r="I175" s="107">
        <v>4418687.8710000003</v>
      </c>
    </row>
    <row r="176" spans="2:9">
      <c r="B176" s="105">
        <v>168</v>
      </c>
      <c r="C176" s="107">
        <v>8191453.8540000003</v>
      </c>
      <c r="D176" s="107">
        <v>17914267.800000001</v>
      </c>
      <c r="E176" s="107">
        <v>18332209.760000002</v>
      </c>
      <c r="F176" s="107">
        <v>14075648.439999999</v>
      </c>
      <c r="G176" s="107">
        <v>6542640.0259999996</v>
      </c>
      <c r="H176" s="107">
        <v>-7203952.9199999999</v>
      </c>
      <c r="I176" s="107">
        <v>6843622.2829999998</v>
      </c>
    </row>
    <row r="177" spans="2:9">
      <c r="B177" s="105">
        <v>169</v>
      </c>
      <c r="C177" s="107">
        <v>10318702.66</v>
      </c>
      <c r="D177" s="107">
        <v>10635684.210000001</v>
      </c>
      <c r="E177" s="107">
        <v>7302708.9950000001</v>
      </c>
      <c r="F177" s="107">
        <v>14166591.970000001</v>
      </c>
      <c r="G177" s="107">
        <v>8127969.585</v>
      </c>
      <c r="H177" s="107">
        <v>8489806.2070000004</v>
      </c>
      <c r="I177" s="107">
        <v>2354210.2480000001</v>
      </c>
    </row>
    <row r="178" spans="2:9">
      <c r="B178" s="105">
        <v>170</v>
      </c>
      <c r="C178" s="107">
        <v>15398507.9</v>
      </c>
      <c r="D178" s="107">
        <v>15074225.51</v>
      </c>
      <c r="E178" s="107">
        <v>12524958.279999999</v>
      </c>
      <c r="F178" s="107">
        <v>7596410.8559999997</v>
      </c>
      <c r="G178" s="107">
        <v>3199734.7829999998</v>
      </c>
      <c r="H178" s="107">
        <v>9463818.3379999995</v>
      </c>
      <c r="I178" s="107">
        <v>-822976.22490000003</v>
      </c>
    </row>
    <row r="179" spans="2:9">
      <c r="B179" s="105">
        <v>171</v>
      </c>
      <c r="C179" s="107">
        <v>8710513.2630000003</v>
      </c>
      <c r="D179" s="107">
        <v>8851872.7630000003</v>
      </c>
      <c r="E179" s="107">
        <v>9555795.8310000002</v>
      </c>
      <c r="F179" s="107">
        <v>12523654.199999999</v>
      </c>
      <c r="G179" s="107">
        <v>4042551.2439999999</v>
      </c>
      <c r="H179" s="107">
        <v>6987353.0240000002</v>
      </c>
      <c r="I179" s="107">
        <v>13558425.5</v>
      </c>
    </row>
    <row r="180" spans="2:9">
      <c r="B180" s="105">
        <v>172</v>
      </c>
      <c r="C180" s="107">
        <v>25485986.32</v>
      </c>
      <c r="D180" s="107">
        <v>26685582.039999999</v>
      </c>
      <c r="E180" s="107">
        <v>3666496.7289999998</v>
      </c>
      <c r="F180" s="107">
        <v>10189772.57</v>
      </c>
      <c r="G180" s="107">
        <v>13651370.77</v>
      </c>
      <c r="H180" s="107">
        <v>13179489.550000001</v>
      </c>
      <c r="I180" s="107">
        <v>10062169.77</v>
      </c>
    </row>
    <row r="181" spans="2:9">
      <c r="B181" s="105">
        <v>173</v>
      </c>
      <c r="C181" s="107">
        <v>26769047.75</v>
      </c>
      <c r="D181" s="107">
        <v>19338005.170000002</v>
      </c>
      <c r="E181" s="107">
        <v>19659931.920000002</v>
      </c>
      <c r="F181" s="107">
        <v>12980012.57</v>
      </c>
      <c r="G181" s="107">
        <v>1809661.325</v>
      </c>
      <c r="H181" s="107">
        <v>2714505.6889999998</v>
      </c>
      <c r="I181" s="107">
        <v>-4918189.5789999999</v>
      </c>
    </row>
    <row r="182" spans="2:9">
      <c r="B182" s="105">
        <v>174</v>
      </c>
      <c r="C182" s="107">
        <v>26717600.190000001</v>
      </c>
      <c r="D182" s="107">
        <v>17973743.690000001</v>
      </c>
      <c r="E182" s="107">
        <v>17242481.629999999</v>
      </c>
      <c r="F182" s="107">
        <v>21117954.530000001</v>
      </c>
      <c r="G182" s="107">
        <v>4603886.0310000004</v>
      </c>
      <c r="H182" s="107">
        <v>6971592.4550000001</v>
      </c>
      <c r="I182" s="107">
        <v>2943113.6919999998</v>
      </c>
    </row>
    <row r="183" spans="2:9">
      <c r="B183" s="105">
        <v>175</v>
      </c>
      <c r="C183" s="107">
        <v>17589990.280000001</v>
      </c>
      <c r="D183" s="107">
        <v>27016217.329999998</v>
      </c>
      <c r="E183" s="107">
        <v>7304925.4330000002</v>
      </c>
      <c r="F183" s="107">
        <v>17589306.489999998</v>
      </c>
      <c r="G183" s="107">
        <v>8290092.8969999999</v>
      </c>
      <c r="H183" s="107">
        <v>8839379.6620000005</v>
      </c>
      <c r="I183" s="107">
        <v>11093231.359999999</v>
      </c>
    </row>
    <row r="184" spans="2:9">
      <c r="B184" s="105">
        <v>176</v>
      </c>
      <c r="C184" s="107">
        <v>17580838.010000002</v>
      </c>
      <c r="D184" s="107">
        <v>15931764.27</v>
      </c>
      <c r="E184" s="107">
        <v>13734129.85</v>
      </c>
      <c r="F184" s="107">
        <v>17720877.91</v>
      </c>
      <c r="G184" s="107">
        <v>24397411.239999998</v>
      </c>
      <c r="H184" s="107">
        <v>8764842.0350000001</v>
      </c>
      <c r="I184" s="107">
        <v>2008786.7420000001</v>
      </c>
    </row>
    <row r="185" spans="2:9">
      <c r="B185" s="105">
        <v>177</v>
      </c>
      <c r="C185" s="107">
        <v>10417449.949999999</v>
      </c>
      <c r="D185" s="107">
        <v>399459.6937</v>
      </c>
      <c r="E185" s="107">
        <v>3295652.1269999999</v>
      </c>
      <c r="F185" s="107">
        <v>10407392.859999999</v>
      </c>
      <c r="G185" s="107">
        <v>11950621.810000001</v>
      </c>
      <c r="H185" s="107">
        <v>10687701.49</v>
      </c>
      <c r="I185" s="107">
        <v>-4008150.5660000001</v>
      </c>
    </row>
    <row r="186" spans="2:9">
      <c r="B186" s="105">
        <v>178</v>
      </c>
      <c r="C186" s="107">
        <v>20534849.469999999</v>
      </c>
      <c r="D186" s="107">
        <v>14513816.83</v>
      </c>
      <c r="E186" s="107">
        <v>24537753.300000001</v>
      </c>
      <c r="F186" s="107">
        <v>3474655.111</v>
      </c>
      <c r="G186" s="107">
        <v>11742176.380000001</v>
      </c>
      <c r="H186" s="107">
        <v>9300233.8959999997</v>
      </c>
      <c r="I186" s="107">
        <v>-705130.58770000003</v>
      </c>
    </row>
    <row r="187" spans="2:9">
      <c r="B187" s="105">
        <v>179</v>
      </c>
      <c r="C187" s="107">
        <v>17997098.949999999</v>
      </c>
      <c r="D187" s="107">
        <v>7200582.6780000003</v>
      </c>
      <c r="E187" s="107">
        <v>9373365.8619999997</v>
      </c>
      <c r="F187" s="107">
        <v>2512383.9780000001</v>
      </c>
      <c r="G187" s="107">
        <v>16662259.16</v>
      </c>
      <c r="H187" s="107">
        <v>14310710.85</v>
      </c>
      <c r="I187" s="107">
        <v>-3601985.5469999998</v>
      </c>
    </row>
    <row r="188" spans="2:9">
      <c r="B188" s="105">
        <v>180</v>
      </c>
      <c r="C188" s="107">
        <v>23386507.59</v>
      </c>
      <c r="D188" s="107">
        <v>8729633.0789999999</v>
      </c>
      <c r="E188" s="107">
        <v>17248460.68</v>
      </c>
      <c r="F188" s="107">
        <v>14117257.32</v>
      </c>
      <c r="G188" s="107">
        <v>-101237.1756</v>
      </c>
      <c r="H188" s="107">
        <v>18269894.829999998</v>
      </c>
      <c r="I188" s="107">
        <v>4485429.7769999998</v>
      </c>
    </row>
    <row r="189" spans="2:9">
      <c r="B189" s="105">
        <v>181</v>
      </c>
      <c r="C189" s="107">
        <v>21903905.809999999</v>
      </c>
      <c r="D189" s="107">
        <v>6827813.193</v>
      </c>
      <c r="E189" s="107">
        <v>15741446.01</v>
      </c>
      <c r="F189" s="107">
        <v>-496744.1557</v>
      </c>
      <c r="G189" s="107">
        <v>10271382.85</v>
      </c>
      <c r="H189" s="107">
        <v>3478801.3730000001</v>
      </c>
      <c r="I189" s="107">
        <v>8615849.6190000009</v>
      </c>
    </row>
    <row r="190" spans="2:9">
      <c r="B190" s="105">
        <v>182</v>
      </c>
      <c r="C190" s="107">
        <v>18738378.18</v>
      </c>
      <c r="D190" s="107">
        <v>10179799.199999999</v>
      </c>
      <c r="E190" s="107">
        <v>15790866.359999999</v>
      </c>
      <c r="F190" s="107">
        <v>7149916.9840000002</v>
      </c>
      <c r="G190" s="107">
        <v>12567538.609999999</v>
      </c>
      <c r="H190" s="107">
        <v>11968776.4</v>
      </c>
      <c r="I190" s="107">
        <v>8406891.3039999995</v>
      </c>
    </row>
    <row r="191" spans="2:9">
      <c r="B191" s="105">
        <v>183</v>
      </c>
      <c r="C191" s="107">
        <v>8233780.7410000004</v>
      </c>
      <c r="D191" s="107">
        <v>8724475.3589999992</v>
      </c>
      <c r="E191" s="107">
        <v>18433801.379999999</v>
      </c>
      <c r="F191" s="107">
        <v>17633949.489999998</v>
      </c>
      <c r="G191" s="107">
        <v>14069329.84</v>
      </c>
      <c r="H191" s="107">
        <v>5967171.5049999999</v>
      </c>
      <c r="I191" s="107">
        <v>10145548.27</v>
      </c>
    </row>
    <row r="192" spans="2:9">
      <c r="B192" s="105">
        <v>184</v>
      </c>
      <c r="C192" s="107">
        <v>13323289.92</v>
      </c>
      <c r="D192" s="107">
        <v>9040888.2420000006</v>
      </c>
      <c r="E192" s="107">
        <v>10152428.4</v>
      </c>
      <c r="F192" s="107">
        <v>11650318.310000001</v>
      </c>
      <c r="G192" s="107">
        <v>8734521.7740000002</v>
      </c>
      <c r="H192" s="107">
        <v>3499620.5529999998</v>
      </c>
      <c r="I192" s="107">
        <v>2013543.9439999999</v>
      </c>
    </row>
    <row r="193" spans="2:9">
      <c r="B193" s="105">
        <v>185</v>
      </c>
      <c r="C193" s="107">
        <v>24627368.739999998</v>
      </c>
      <c r="D193" s="107">
        <v>12235102.57</v>
      </c>
      <c r="E193" s="107">
        <v>13220183.960000001</v>
      </c>
      <c r="F193" s="107">
        <v>10364526.15</v>
      </c>
      <c r="G193" s="107">
        <v>9045150.7890000008</v>
      </c>
      <c r="H193" s="107">
        <v>11099298.74</v>
      </c>
      <c r="I193" s="107">
        <v>13447811.34</v>
      </c>
    </row>
    <row r="194" spans="2:9">
      <c r="B194" s="105">
        <v>186</v>
      </c>
      <c r="C194" s="107">
        <v>13043023.130000001</v>
      </c>
      <c r="D194" s="107">
        <v>17063053</v>
      </c>
      <c r="E194" s="107">
        <v>10610319.24</v>
      </c>
      <c r="F194" s="107">
        <v>22761027.420000002</v>
      </c>
      <c r="G194" s="107">
        <v>6834805.8109999998</v>
      </c>
      <c r="H194" s="107">
        <v>1666954.9639999999</v>
      </c>
      <c r="I194" s="107">
        <v>3814429.66</v>
      </c>
    </row>
    <row r="195" spans="2:9">
      <c r="B195" s="105">
        <v>187</v>
      </c>
      <c r="C195" s="107">
        <v>10330118.189999999</v>
      </c>
      <c r="D195" s="107">
        <v>19481868.170000002</v>
      </c>
      <c r="E195" s="107">
        <v>13734646.4</v>
      </c>
      <c r="F195" s="107">
        <v>3919536.5430000001</v>
      </c>
      <c r="G195" s="107">
        <v>-1759325.72</v>
      </c>
      <c r="H195" s="107">
        <v>11192300.289999999</v>
      </c>
      <c r="I195" s="107">
        <v>5890943.8329999996</v>
      </c>
    </row>
    <row r="196" spans="2:9">
      <c r="B196" s="105">
        <v>188</v>
      </c>
      <c r="C196" s="107">
        <v>24917829.949999999</v>
      </c>
      <c r="D196" s="107">
        <v>14428461.83</v>
      </c>
      <c r="E196" s="107">
        <v>4355844.7050000001</v>
      </c>
      <c r="F196" s="107">
        <v>9036781.7190000005</v>
      </c>
      <c r="G196" s="107">
        <v>12726303.810000001</v>
      </c>
      <c r="H196" s="107">
        <v>1902460.9950000001</v>
      </c>
      <c r="I196" s="107">
        <v>9194467.7430000007</v>
      </c>
    </row>
    <row r="197" spans="2:9">
      <c r="B197" s="105">
        <v>189</v>
      </c>
      <c r="C197" s="107">
        <v>22542291.059999999</v>
      </c>
      <c r="D197" s="107">
        <v>16743449.890000001</v>
      </c>
      <c r="E197" s="107">
        <v>4522436.18</v>
      </c>
      <c r="F197" s="107">
        <v>5677603.0539999995</v>
      </c>
      <c r="G197" s="107">
        <v>14055045.85</v>
      </c>
      <c r="H197" s="107">
        <v>2410179.4950000001</v>
      </c>
      <c r="I197" s="107">
        <v>12114649.57</v>
      </c>
    </row>
    <row r="198" spans="2:9">
      <c r="B198" s="105">
        <v>190</v>
      </c>
      <c r="C198" s="107">
        <v>6031969.108</v>
      </c>
      <c r="D198" s="107">
        <v>19437606.440000001</v>
      </c>
      <c r="E198" s="107">
        <v>11180295.390000001</v>
      </c>
      <c r="F198" s="107">
        <v>6477339.108</v>
      </c>
      <c r="G198" s="107">
        <v>6424448.1579999998</v>
      </c>
      <c r="H198" s="107">
        <v>9349892.3220000006</v>
      </c>
      <c r="I198" s="107">
        <v>3440691.6979999999</v>
      </c>
    </row>
    <row r="199" spans="2:9">
      <c r="B199" s="105">
        <v>191</v>
      </c>
      <c r="C199" s="107">
        <v>12862112.83</v>
      </c>
      <c r="D199" s="107">
        <v>18479144.350000001</v>
      </c>
      <c r="E199" s="107">
        <v>12056193.699999999</v>
      </c>
      <c r="F199" s="107">
        <v>9418457.8910000008</v>
      </c>
      <c r="G199" s="107">
        <v>9469004.7770000007</v>
      </c>
      <c r="H199" s="107">
        <v>5367958.2869999995</v>
      </c>
      <c r="I199" s="107">
        <v>9996184.5089999996</v>
      </c>
    </row>
    <row r="200" spans="2:9">
      <c r="B200" s="105">
        <v>192</v>
      </c>
      <c r="C200" s="107">
        <v>19706100.629999999</v>
      </c>
      <c r="D200" s="107">
        <v>16767558.390000001</v>
      </c>
      <c r="E200" s="107">
        <v>10490515.4</v>
      </c>
      <c r="F200" s="107">
        <v>20652492.280000001</v>
      </c>
      <c r="G200" s="107">
        <v>7980667.9469999997</v>
      </c>
      <c r="H200" s="107">
        <v>4428875.9359999998</v>
      </c>
      <c r="I200" s="107">
        <v>6111798.4510000004</v>
      </c>
    </row>
    <row r="201" spans="2:9">
      <c r="B201" s="105">
        <v>193</v>
      </c>
      <c r="C201" s="107">
        <v>18212399.829999998</v>
      </c>
      <c r="D201" s="107">
        <v>15507899.25</v>
      </c>
      <c r="E201" s="107">
        <v>10706379.5</v>
      </c>
      <c r="F201" s="107">
        <v>9698960.0539999995</v>
      </c>
      <c r="G201" s="107">
        <v>6508646.1519999998</v>
      </c>
      <c r="H201" s="107">
        <v>3894164.9440000001</v>
      </c>
      <c r="I201" s="107">
        <v>9113097.409</v>
      </c>
    </row>
    <row r="202" spans="2:9">
      <c r="B202" s="105">
        <v>194</v>
      </c>
      <c r="C202" s="107">
        <v>21605297.809999999</v>
      </c>
      <c r="D202" s="107">
        <v>18674585.859999999</v>
      </c>
      <c r="E202" s="107">
        <v>6216857.358</v>
      </c>
      <c r="F202" s="107">
        <v>18305241</v>
      </c>
      <c r="G202" s="107">
        <v>16300520.43</v>
      </c>
      <c r="H202" s="107">
        <v>14301485.619999999</v>
      </c>
      <c r="I202" s="107">
        <v>17754915.620000001</v>
      </c>
    </row>
    <row r="203" spans="2:9">
      <c r="B203" s="105">
        <v>195</v>
      </c>
      <c r="C203" s="107">
        <v>11499923.800000001</v>
      </c>
      <c r="D203" s="107">
        <v>11975794.85</v>
      </c>
      <c r="E203" s="107">
        <v>3421295.48</v>
      </c>
      <c r="F203" s="107">
        <v>15390761.09</v>
      </c>
      <c r="G203" s="107">
        <v>11158502.390000001</v>
      </c>
      <c r="H203" s="107">
        <v>5730062.1339999996</v>
      </c>
      <c r="I203" s="107">
        <v>821395.81660000002</v>
      </c>
    </row>
    <row r="204" spans="2:9">
      <c r="B204" s="105">
        <v>196</v>
      </c>
      <c r="C204" s="107">
        <v>13580026.529999999</v>
      </c>
      <c r="D204" s="107">
        <v>19741234.539999999</v>
      </c>
      <c r="E204" s="107">
        <v>13055069.359999999</v>
      </c>
      <c r="F204" s="107">
        <v>9524008.1970000006</v>
      </c>
      <c r="G204" s="107">
        <v>5475038.165</v>
      </c>
      <c r="H204" s="107">
        <v>10673744.16</v>
      </c>
      <c r="I204" s="107">
        <v>2651674.7790000001</v>
      </c>
    </row>
    <row r="205" spans="2:9">
      <c r="B205" s="105">
        <v>197</v>
      </c>
      <c r="C205" s="107">
        <v>14836546.949999999</v>
      </c>
      <c r="D205" s="107">
        <v>19737983.420000002</v>
      </c>
      <c r="E205" s="107">
        <v>13245214.23</v>
      </c>
      <c r="F205" s="107">
        <v>14724653.699999999</v>
      </c>
      <c r="G205" s="107">
        <v>225003.1735</v>
      </c>
      <c r="H205" s="107">
        <v>13587134.9</v>
      </c>
      <c r="I205" s="107">
        <v>2380815.1540000001</v>
      </c>
    </row>
    <row r="206" spans="2:9">
      <c r="B206" s="105">
        <v>198</v>
      </c>
      <c r="C206" s="107">
        <v>14799709.98</v>
      </c>
      <c r="D206" s="107">
        <v>11469750.869999999</v>
      </c>
      <c r="E206" s="107">
        <v>8583974.7630000003</v>
      </c>
      <c r="F206" s="107">
        <v>13436453.23</v>
      </c>
      <c r="G206" s="107">
        <v>1658776.6040000001</v>
      </c>
      <c r="H206" s="107">
        <v>14080881.119999999</v>
      </c>
      <c r="I206" s="107">
        <v>1121763.1140000001</v>
      </c>
    </row>
    <row r="207" spans="2:9">
      <c r="B207" s="105">
        <v>199</v>
      </c>
      <c r="C207" s="107">
        <v>29616844.629999999</v>
      </c>
      <c r="D207" s="107">
        <v>11698041.220000001</v>
      </c>
      <c r="E207" s="107">
        <v>12269463.93</v>
      </c>
      <c r="F207" s="107">
        <v>6389761.4110000003</v>
      </c>
      <c r="G207" s="107">
        <v>18035474.109999999</v>
      </c>
      <c r="H207" s="107">
        <v>391353.06209999998</v>
      </c>
      <c r="I207" s="107">
        <v>-1100726.763</v>
      </c>
    </row>
    <row r="208" spans="2:9">
      <c r="B208" s="105">
        <v>200</v>
      </c>
      <c r="C208" s="107">
        <v>18430589.280000001</v>
      </c>
      <c r="D208" s="107">
        <v>11983884.42</v>
      </c>
      <c r="E208" s="107">
        <v>8608297.6219999995</v>
      </c>
      <c r="F208" s="107">
        <v>3685757.7379999999</v>
      </c>
      <c r="G208" s="107">
        <v>11136237.35</v>
      </c>
      <c r="H208" s="107">
        <v>11224612.529999999</v>
      </c>
      <c r="I208" s="107">
        <v>2640354.7239999999</v>
      </c>
    </row>
  </sheetData>
  <mergeCells count="1">
    <mergeCell ref="C6:I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7E8E-73AC-654F-B435-7CF81E4D9A6E}">
  <sheetPr codeName="Arkusz28">
    <tabColor theme="0" tint="-0.499984740745262"/>
  </sheetPr>
  <dimension ref="A4:I208"/>
  <sheetViews>
    <sheetView workbookViewId="0">
      <selection activeCell="M38" sqref="M38"/>
    </sheetView>
  </sheetViews>
  <sheetFormatPr defaultColWidth="10.77734375" defaultRowHeight="13.2"/>
  <cols>
    <col min="1" max="1" width="10.77734375" style="36"/>
    <col min="2" max="9" width="19.44140625" style="36" customWidth="1"/>
    <col min="10" max="16384" width="10.77734375" style="36"/>
  </cols>
  <sheetData>
    <row r="4" spans="1:9">
      <c r="B4" s="73" t="s">
        <v>122</v>
      </c>
      <c r="C4" s="97">
        <f>AVERAGE(C9:C208)</f>
        <v>16005554.486395247</v>
      </c>
      <c r="D4" s="97">
        <f t="shared" ref="D4:I4" si="0">AVERAGE(D9:D208)</f>
        <v>14531514.761308823</v>
      </c>
      <c r="E4" s="97">
        <f t="shared" si="0"/>
        <v>13301025.644199599</v>
      </c>
      <c r="F4" s="97">
        <f t="shared" si="0"/>
        <v>10838028.745430751</v>
      </c>
      <c r="G4" s="97">
        <f t="shared" si="0"/>
        <v>8534197.8426616061</v>
      </c>
      <c r="H4" s="97">
        <f t="shared" si="0"/>
        <v>6435914.3458638303</v>
      </c>
      <c r="I4" s="97">
        <f t="shared" si="0"/>
        <v>4554742.2882225923</v>
      </c>
    </row>
    <row r="6" spans="1:9" ht="15.6">
      <c r="C6" s="213" t="s">
        <v>134</v>
      </c>
      <c r="D6" s="213"/>
      <c r="E6" s="213"/>
      <c r="F6" s="213"/>
      <c r="G6" s="213"/>
      <c r="H6" s="213"/>
      <c r="I6" s="213"/>
    </row>
    <row r="7" spans="1:9">
      <c r="B7" s="75" t="s">
        <v>10</v>
      </c>
      <c r="C7" s="112">
        <v>-0.15</v>
      </c>
      <c r="D7" s="112">
        <v>-0.1</v>
      </c>
      <c r="E7" s="112">
        <v>-0.05</v>
      </c>
      <c r="F7" s="112">
        <v>0</v>
      </c>
      <c r="G7" s="112">
        <v>0.05</v>
      </c>
      <c r="H7" s="112">
        <v>0.1</v>
      </c>
      <c r="I7" s="112">
        <v>0.15</v>
      </c>
    </row>
    <row r="8" spans="1:9">
      <c r="A8" s="73" t="s">
        <v>135</v>
      </c>
      <c r="B8" s="101">
        <v>13516093.382045731</v>
      </c>
      <c r="C8" s="102">
        <v>36341606.868500002</v>
      </c>
      <c r="D8" s="102">
        <v>38479348.449000001</v>
      </c>
      <c r="E8" s="102">
        <v>40617090.0295</v>
      </c>
      <c r="F8" s="113">
        <v>42754831.609999999</v>
      </c>
      <c r="G8" s="102">
        <v>44892573.190499999</v>
      </c>
      <c r="H8" s="102">
        <v>47030314.771000005</v>
      </c>
      <c r="I8" s="102">
        <v>49168056.351499997</v>
      </c>
    </row>
    <row r="9" spans="1:9">
      <c r="B9" s="36">
        <v>1</v>
      </c>
      <c r="C9" s="114">
        <v>10810425.979765877</v>
      </c>
      <c r="D9" s="114">
        <v>8134809.6504844129</v>
      </c>
      <c r="E9" s="114">
        <v>14526925.87717706</v>
      </c>
      <c r="F9" s="114">
        <v>1341895.3184776306</v>
      </c>
      <c r="G9" s="114">
        <v>9200609.570202589</v>
      </c>
      <c r="H9" s="114">
        <v>3549458.9397139549</v>
      </c>
      <c r="I9" s="114">
        <v>6118466.1581092924</v>
      </c>
    </row>
    <row r="10" spans="1:9">
      <c r="B10" s="36">
        <v>2</v>
      </c>
      <c r="C10" s="114">
        <v>22718630.849762037</v>
      </c>
      <c r="D10" s="114">
        <v>18549339.254716158</v>
      </c>
      <c r="E10" s="114">
        <v>13671526.861404374</v>
      </c>
      <c r="F10" s="114">
        <v>11409981.825986341</v>
      </c>
      <c r="G10" s="114">
        <v>-26282.322471946478</v>
      </c>
      <c r="H10" s="114">
        <v>8340418.1105052531</v>
      </c>
      <c r="I10" s="114">
        <v>14276516.821865007</v>
      </c>
    </row>
    <row r="11" spans="1:9">
      <c r="B11" s="36">
        <v>3</v>
      </c>
      <c r="C11" s="114">
        <v>20328371.733093739</v>
      </c>
      <c r="D11" s="114">
        <v>12004216.298039421</v>
      </c>
      <c r="E11" s="114">
        <v>25558105.337530792</v>
      </c>
      <c r="F11" s="114">
        <v>18956713.401194558</v>
      </c>
      <c r="G11" s="114">
        <v>8741136.7431971878</v>
      </c>
      <c r="H11" s="114">
        <v>7070880.9023337066</v>
      </c>
      <c r="I11" s="114">
        <v>4909418.7237913013</v>
      </c>
    </row>
    <row r="12" spans="1:9">
      <c r="B12" s="36">
        <v>4</v>
      </c>
      <c r="C12" s="114">
        <v>17432216.051789969</v>
      </c>
      <c r="D12" s="114">
        <v>16507568.295879841</v>
      </c>
      <c r="E12" s="114">
        <v>16554061.335033149</v>
      </c>
      <c r="F12" s="114">
        <v>14561556.852032259</v>
      </c>
      <c r="G12" s="114">
        <v>8743199.0593385249</v>
      </c>
      <c r="H12" s="114">
        <v>4684463.909876138</v>
      </c>
      <c r="I12" s="114">
        <v>13847249.587614298</v>
      </c>
    </row>
    <row r="13" spans="1:9">
      <c r="B13" s="36">
        <v>5</v>
      </c>
      <c r="C13" s="114">
        <v>25581205.328286499</v>
      </c>
      <c r="D13" s="114">
        <v>18306808.489396632</v>
      </c>
      <c r="E13" s="114">
        <v>15920307.71976915</v>
      </c>
      <c r="F13" s="114">
        <v>13011265.02110742</v>
      </c>
      <c r="G13" s="114">
        <v>6059296.6425794959</v>
      </c>
      <c r="H13" s="114">
        <v>71930.670780241489</v>
      </c>
      <c r="I13" s="114">
        <v>4418093.8576518446</v>
      </c>
    </row>
    <row r="14" spans="1:9">
      <c r="B14" s="36">
        <v>6</v>
      </c>
      <c r="C14" s="114">
        <v>18716565.50728178</v>
      </c>
      <c r="D14" s="114">
        <v>2028137.0526396781</v>
      </c>
      <c r="E14" s="114">
        <v>19069918.581313089</v>
      </c>
      <c r="F14" s="114">
        <v>17048667.936338112</v>
      </c>
      <c r="G14" s="114">
        <v>951124.18726548553</v>
      </c>
      <c r="H14" s="114">
        <v>-954257.6393790096</v>
      </c>
      <c r="I14" s="114">
        <v>-1470657.4743424654</v>
      </c>
    </row>
    <row r="15" spans="1:9">
      <c r="B15" s="36">
        <v>7</v>
      </c>
      <c r="C15" s="114">
        <v>10556795.102461413</v>
      </c>
      <c r="D15" s="114">
        <v>20391977.906160474</v>
      </c>
      <c r="E15" s="114">
        <v>27344395.634874523</v>
      </c>
      <c r="F15" s="114">
        <v>14009778.566344753</v>
      </c>
      <c r="G15" s="114">
        <v>4313493.4219481945</v>
      </c>
      <c r="H15" s="114">
        <v>6907227.7076424658</v>
      </c>
      <c r="I15" s="114">
        <v>13930190.483180001</v>
      </c>
    </row>
    <row r="16" spans="1:9">
      <c r="B16" s="36">
        <v>8</v>
      </c>
      <c r="C16" s="114">
        <v>13974524.83101581</v>
      </c>
      <c r="D16" s="114">
        <v>12815256.004563868</v>
      </c>
      <c r="E16" s="114">
        <v>13643039.769312009</v>
      </c>
      <c r="F16" s="114">
        <v>1341102.4152599722</v>
      </c>
      <c r="G16" s="114">
        <v>768070.24775996804</v>
      </c>
      <c r="H16" s="114">
        <v>11640160.603240043</v>
      </c>
      <c r="I16" s="114">
        <v>4017329.6002502441</v>
      </c>
    </row>
    <row r="17" spans="2:9">
      <c r="B17" s="36">
        <v>9</v>
      </c>
      <c r="C17" s="114">
        <v>22859934.368131518</v>
      </c>
      <c r="D17" s="114">
        <v>22759462.85320279</v>
      </c>
      <c r="E17" s="114">
        <v>10157631.886339828</v>
      </c>
      <c r="F17" s="114">
        <v>6244591.5178134441</v>
      </c>
      <c r="G17" s="114">
        <v>22726927.753413931</v>
      </c>
      <c r="H17" s="114">
        <v>19794949.583609238</v>
      </c>
      <c r="I17" s="114">
        <v>8433315.5472109169</v>
      </c>
    </row>
    <row r="18" spans="2:9">
      <c r="B18" s="36">
        <v>10</v>
      </c>
      <c r="C18" s="114">
        <v>7977168.7120147645</v>
      </c>
      <c r="D18" s="114">
        <v>9065835.7920205593</v>
      </c>
      <c r="E18" s="114">
        <v>20460005.898984283</v>
      </c>
      <c r="F18" s="114">
        <v>9949579.9157074094</v>
      </c>
      <c r="G18" s="114">
        <v>12045004.553152353</v>
      </c>
      <c r="H18" s="114">
        <v>6785874.4306249768</v>
      </c>
      <c r="I18" s="114">
        <v>10834022.381212831</v>
      </c>
    </row>
    <row r="19" spans="2:9">
      <c r="B19" s="36">
        <v>11</v>
      </c>
      <c r="C19" s="114">
        <v>15284586.705708817</v>
      </c>
      <c r="D19" s="114">
        <v>6686883.1894164979</v>
      </c>
      <c r="E19" s="114">
        <v>20327181.790913582</v>
      </c>
      <c r="F19" s="114">
        <v>5394411.5006299615</v>
      </c>
      <c r="G19" s="114">
        <v>7119638.2222477198</v>
      </c>
      <c r="H19" s="114">
        <v>10986276.725933224</v>
      </c>
      <c r="I19" s="114">
        <v>995360.84778019786</v>
      </c>
    </row>
    <row r="20" spans="2:9">
      <c r="B20" s="36">
        <v>12</v>
      </c>
      <c r="C20" s="114">
        <v>18563693.919950336</v>
      </c>
      <c r="D20" s="114">
        <v>5196299.1804460436</v>
      </c>
      <c r="E20" s="114">
        <v>20055818.911777511</v>
      </c>
      <c r="F20" s="114">
        <v>12228575.222932085</v>
      </c>
      <c r="G20" s="114">
        <v>15860905.247493714</v>
      </c>
      <c r="H20" s="114">
        <v>4271975.4042273164</v>
      </c>
      <c r="I20" s="114">
        <v>4881515.7512836158</v>
      </c>
    </row>
    <row r="21" spans="2:9">
      <c r="B21" s="36">
        <v>13</v>
      </c>
      <c r="C21" s="114">
        <v>12240480.736892357</v>
      </c>
      <c r="D21" s="114">
        <v>14305074.094920844</v>
      </c>
      <c r="E21" s="114">
        <v>9747745.2719694078</v>
      </c>
      <c r="F21" s="114">
        <v>6484572.4310976416</v>
      </c>
      <c r="G21" s="114">
        <v>6460444.9990405142</v>
      </c>
      <c r="H21" s="114">
        <v>4648318.8449793607</v>
      </c>
      <c r="I21" s="114">
        <v>-1910256.4381506592</v>
      </c>
    </row>
    <row r="22" spans="2:9">
      <c r="B22" s="36">
        <v>14</v>
      </c>
      <c r="C22" s="114">
        <v>18784077.179726869</v>
      </c>
      <c r="D22" s="114">
        <v>10462560.930685014</v>
      </c>
      <c r="E22" s="114">
        <v>12158674.467545599</v>
      </c>
      <c r="F22" s="114">
        <v>17442990.438660577</v>
      </c>
      <c r="G22" s="114">
        <v>5116734.0214859247</v>
      </c>
      <c r="H22" s="114">
        <v>16794369.280940861</v>
      </c>
      <c r="I22" s="114">
        <v>9282957.0846613348</v>
      </c>
    </row>
    <row r="23" spans="2:9">
      <c r="B23" s="36">
        <v>15</v>
      </c>
      <c r="C23" s="114">
        <v>18987802.313170895</v>
      </c>
      <c r="D23" s="114">
        <v>2388562.1201938242</v>
      </c>
      <c r="E23" s="114">
        <v>3938559.8506192267</v>
      </c>
      <c r="F23" s="114">
        <v>12932762.939221188</v>
      </c>
      <c r="G23" s="114">
        <v>13345503.750114173</v>
      </c>
      <c r="H23" s="114">
        <v>3505374.1418221146</v>
      </c>
      <c r="I23" s="114">
        <v>4783533.0723858923</v>
      </c>
    </row>
    <row r="24" spans="2:9">
      <c r="B24" s="36">
        <v>16</v>
      </c>
      <c r="C24" s="114">
        <v>9624386.6026518941</v>
      </c>
      <c r="D24" s="114">
        <v>8504932.317014575</v>
      </c>
      <c r="E24" s="114">
        <v>11146213.537505388</v>
      </c>
      <c r="F24" s="114">
        <v>5978774.1792564094</v>
      </c>
      <c r="G24" s="114">
        <v>6372454.7932734638</v>
      </c>
      <c r="H24" s="114">
        <v>4665186.1215039939</v>
      </c>
      <c r="I24" s="114">
        <v>20594151.881672174</v>
      </c>
    </row>
    <row r="25" spans="2:9">
      <c r="B25" s="36">
        <v>17</v>
      </c>
      <c r="C25" s="114">
        <v>18376057.466908321</v>
      </c>
      <c r="D25" s="114">
        <v>19673297.481077328</v>
      </c>
      <c r="E25" s="114">
        <v>9892393.9566838443</v>
      </c>
      <c r="F25" s="114">
        <v>5363713.7331902534</v>
      </c>
      <c r="G25" s="114">
        <v>2553663.2084458768</v>
      </c>
      <c r="H25" s="114">
        <v>-1066517.7356888503</v>
      </c>
      <c r="I25" s="114">
        <v>-688182.22944639623</v>
      </c>
    </row>
    <row r="26" spans="2:9">
      <c r="B26" s="36">
        <v>18</v>
      </c>
      <c r="C26" s="114">
        <v>18828879.112480178</v>
      </c>
      <c r="D26" s="114">
        <v>6864096.7324338257</v>
      </c>
      <c r="E26" s="114">
        <v>3132760.2682237923</v>
      </c>
      <c r="F26" s="114">
        <v>13171534.618839815</v>
      </c>
      <c r="G26" s="114">
        <v>6541461.3021779805</v>
      </c>
      <c r="H26" s="114">
        <v>9123712.1521542817</v>
      </c>
      <c r="I26" s="114">
        <v>1355241.7447970062</v>
      </c>
    </row>
    <row r="27" spans="2:9">
      <c r="B27" s="36">
        <v>19</v>
      </c>
      <c r="C27" s="114">
        <v>13102040.633120582</v>
      </c>
      <c r="D27" s="114">
        <v>14206286.117165595</v>
      </c>
      <c r="E27" s="114">
        <v>6478973.0053794086</v>
      </c>
      <c r="F27" s="114">
        <v>3734898.5912627727</v>
      </c>
      <c r="G27" s="114">
        <v>3154184.3944452554</v>
      </c>
      <c r="H27" s="114">
        <v>-2396090.499995932</v>
      </c>
      <c r="I27" s="114">
        <v>3739770.2176144868</v>
      </c>
    </row>
    <row r="28" spans="2:9">
      <c r="B28" s="36">
        <v>20</v>
      </c>
      <c r="C28" s="114">
        <v>27739686.134644628</v>
      </c>
      <c r="D28" s="114">
        <v>7768969.4942935705</v>
      </c>
      <c r="E28" s="114">
        <v>26250836.055793777</v>
      </c>
      <c r="F28" s="114">
        <v>6058350.1184701324</v>
      </c>
      <c r="G28" s="114">
        <v>13945582.416492</v>
      </c>
      <c r="H28" s="114">
        <v>4441178.342974931</v>
      </c>
      <c r="I28" s="114">
        <v>-12554438.474316165</v>
      </c>
    </row>
    <row r="29" spans="2:9">
      <c r="B29" s="36">
        <v>21</v>
      </c>
      <c r="C29" s="114">
        <v>4722300.3765369505</v>
      </c>
      <c r="D29" s="114">
        <v>11236052.866080865</v>
      </c>
      <c r="E29" s="114">
        <v>15381840.123007685</v>
      </c>
      <c r="F29" s="114">
        <v>13771410.397714242</v>
      </c>
      <c r="G29" s="114">
        <v>2465432.6692821831</v>
      </c>
      <c r="H29" s="114">
        <v>-1140858.2986523658</v>
      </c>
      <c r="I29" s="114">
        <v>9273064.2075185627</v>
      </c>
    </row>
    <row r="30" spans="2:9">
      <c r="B30" s="36">
        <v>22</v>
      </c>
      <c r="C30" s="114">
        <v>26122611.071494684</v>
      </c>
      <c r="D30" s="114">
        <v>10755887.482803002</v>
      </c>
      <c r="E30" s="114">
        <v>10303239.999254823</v>
      </c>
      <c r="F30" s="114">
        <v>7300589.767611742</v>
      </c>
      <c r="G30" s="114">
        <v>-1548790.7699832469</v>
      </c>
      <c r="H30" s="114">
        <v>23519406.731780842</v>
      </c>
      <c r="I30" s="114">
        <v>13364991.893227607</v>
      </c>
    </row>
    <row r="31" spans="2:9">
      <c r="B31" s="36">
        <v>23</v>
      </c>
      <c r="C31" s="114">
        <v>10913944.731329948</v>
      </c>
      <c r="D31" s="114">
        <v>19291682.658222929</v>
      </c>
      <c r="E31" s="114">
        <v>18558943.740240589</v>
      </c>
      <c r="F31" s="114">
        <v>7724364.169179678</v>
      </c>
      <c r="G31" s="114">
        <v>-1737464.8345977664</v>
      </c>
      <c r="H31" s="114">
        <v>9355112.3637204617</v>
      </c>
      <c r="I31" s="114">
        <v>17193446.00144814</v>
      </c>
    </row>
    <row r="32" spans="2:9">
      <c r="B32" s="36">
        <v>24</v>
      </c>
      <c r="C32" s="114">
        <v>17175254.012776583</v>
      </c>
      <c r="D32" s="114">
        <v>2147734.7983387858</v>
      </c>
      <c r="E32" s="114">
        <v>20424944.780622274</v>
      </c>
      <c r="F32" s="114">
        <v>-1814501.9225966185</v>
      </c>
      <c r="G32" s="114">
        <v>11232383.610869095</v>
      </c>
      <c r="H32" s="114">
        <v>12516616.555838302</v>
      </c>
      <c r="I32" s="114">
        <v>3033302.5903807282</v>
      </c>
    </row>
    <row r="33" spans="2:9">
      <c r="B33" s="36">
        <v>25</v>
      </c>
      <c r="C33" s="114">
        <v>23210634.508197859</v>
      </c>
      <c r="D33" s="114">
        <v>8917075.4317908436</v>
      </c>
      <c r="E33" s="114">
        <v>26868853.22716324</v>
      </c>
      <c r="F33" s="114">
        <v>16414634.953753814</v>
      </c>
      <c r="G33" s="114">
        <v>2239934.7558849752</v>
      </c>
      <c r="H33" s="114">
        <v>1280129.3957238793</v>
      </c>
      <c r="I33" s="114">
        <v>-4097350.690236792</v>
      </c>
    </row>
    <row r="34" spans="2:9">
      <c r="B34" s="36">
        <v>26</v>
      </c>
      <c r="C34" s="114">
        <v>27883138.556985721</v>
      </c>
      <c r="D34" s="114">
        <v>5254448.3947214931</v>
      </c>
      <c r="E34" s="114">
        <v>11470840.563661426</v>
      </c>
      <c r="F34" s="114">
        <v>9601146.1470898092</v>
      </c>
      <c r="G34" s="114">
        <v>14741697.311878115</v>
      </c>
      <c r="H34" s="114">
        <v>6304704.3213217854</v>
      </c>
      <c r="I34" s="114">
        <v>-1148516.9114721119</v>
      </c>
    </row>
    <row r="35" spans="2:9">
      <c r="B35" s="36">
        <v>27</v>
      </c>
      <c r="C35" s="114">
        <v>8042280.5781442821</v>
      </c>
      <c r="D35" s="114">
        <v>21042115.230079934</v>
      </c>
      <c r="E35" s="114">
        <v>17879360.663385257</v>
      </c>
      <c r="F35" s="114">
        <v>5865701.0229196101</v>
      </c>
      <c r="G35" s="114">
        <v>10018910.25650987</v>
      </c>
      <c r="H35" s="114">
        <v>1238377.8259405047</v>
      </c>
      <c r="I35" s="114">
        <v>2506624.1861720681</v>
      </c>
    </row>
    <row r="36" spans="2:9">
      <c r="B36" s="36">
        <v>28</v>
      </c>
      <c r="C36" s="114">
        <v>26975237.291934878</v>
      </c>
      <c r="D36" s="114">
        <v>24844955.65709205</v>
      </c>
      <c r="E36" s="114">
        <v>10024495.682578564</v>
      </c>
      <c r="F36" s="114">
        <v>21142080.135933146</v>
      </c>
      <c r="G36" s="114">
        <v>12923513.564006507</v>
      </c>
      <c r="H36" s="114">
        <v>7787008.0878218114</v>
      </c>
      <c r="I36" s="114">
        <v>19392769.259627819</v>
      </c>
    </row>
    <row r="37" spans="2:9">
      <c r="B37" s="36">
        <v>29</v>
      </c>
      <c r="C37" s="114">
        <v>15826872.473562643</v>
      </c>
      <c r="D37" s="114">
        <v>15592063.26972279</v>
      </c>
      <c r="E37" s="114">
        <v>17450183.645657152</v>
      </c>
      <c r="F37" s="114">
        <v>15907275.821347803</v>
      </c>
      <c r="G37" s="114">
        <v>10518003.169131115</v>
      </c>
      <c r="H37" s="114">
        <v>1780230.0050066859</v>
      </c>
      <c r="I37" s="114">
        <v>2523282.849753499</v>
      </c>
    </row>
    <row r="38" spans="2:9">
      <c r="B38" s="36">
        <v>30</v>
      </c>
      <c r="C38" s="114">
        <v>14228907.064041391</v>
      </c>
      <c r="D38" s="114">
        <v>21541947.286231562</v>
      </c>
      <c r="E38" s="114">
        <v>14277100.320186257</v>
      </c>
      <c r="F38" s="114">
        <v>9270778.9087871611</v>
      </c>
      <c r="G38" s="114">
        <v>4280151.5637445748</v>
      </c>
      <c r="H38" s="114">
        <v>7151220.5864506066</v>
      </c>
      <c r="I38" s="114">
        <v>6733610.4285289347</v>
      </c>
    </row>
    <row r="39" spans="2:9">
      <c r="B39" s="36">
        <v>31</v>
      </c>
      <c r="C39" s="114">
        <v>15721219.010506988</v>
      </c>
      <c r="D39" s="114">
        <v>14722545.18178542</v>
      </c>
      <c r="E39" s="114">
        <v>20793326.971807301</v>
      </c>
      <c r="F39" s="114">
        <v>17563753.464431152</v>
      </c>
      <c r="G39" s="114">
        <v>1870716.8421884179</v>
      </c>
      <c r="H39" s="114">
        <v>7825840.912691623</v>
      </c>
      <c r="I39" s="114">
        <v>13608911.44836995</v>
      </c>
    </row>
    <row r="40" spans="2:9">
      <c r="B40" s="36">
        <v>32</v>
      </c>
      <c r="C40" s="114">
        <v>27407119.768920958</v>
      </c>
      <c r="D40" s="114">
        <v>13485058.200539172</v>
      </c>
      <c r="E40" s="114">
        <v>12711933.095259979</v>
      </c>
      <c r="F40" s="114">
        <v>13285563.42288208</v>
      </c>
      <c r="G40" s="114">
        <v>19155036.747866347</v>
      </c>
      <c r="H40" s="114">
        <v>7453706.5053018928</v>
      </c>
      <c r="I40" s="114">
        <v>-7269535.1463643312</v>
      </c>
    </row>
    <row r="41" spans="2:9">
      <c r="B41" s="36">
        <v>33</v>
      </c>
      <c r="C41" s="114">
        <v>16337540.214310661</v>
      </c>
      <c r="D41" s="114">
        <v>10028484.370533258</v>
      </c>
      <c r="E41" s="114">
        <v>21636538.026792571</v>
      </c>
      <c r="F41" s="114">
        <v>5990452.1854799986</v>
      </c>
      <c r="G41" s="114">
        <v>7069263.3359388709</v>
      </c>
      <c r="H41" s="114">
        <v>6311777.2137918621</v>
      </c>
      <c r="I41" s="114">
        <v>6191570.5734271109</v>
      </c>
    </row>
    <row r="42" spans="2:9">
      <c r="B42" s="36">
        <v>34</v>
      </c>
      <c r="C42" s="114">
        <v>11882972.616938531</v>
      </c>
      <c r="D42" s="114">
        <v>12431022.782306746</v>
      </c>
      <c r="E42" s="114">
        <v>9606251.2918227166</v>
      </c>
      <c r="F42" s="114">
        <v>13527711.71926485</v>
      </c>
      <c r="G42" s="114">
        <v>6544231.6144602597</v>
      </c>
      <c r="H42" s="114">
        <v>3437936.5416098833</v>
      </c>
      <c r="I42" s="114">
        <v>9740332.4146918654</v>
      </c>
    </row>
    <row r="43" spans="2:9">
      <c r="B43" s="36">
        <v>35</v>
      </c>
      <c r="C43" s="114">
        <v>9607191.6188675314</v>
      </c>
      <c r="D43" s="114">
        <v>17114075.316077948</v>
      </c>
      <c r="E43" s="114">
        <v>17284334.177016452</v>
      </c>
      <c r="F43" s="114">
        <v>15874236.403687358</v>
      </c>
      <c r="G43" s="114">
        <v>7765233.3176222444</v>
      </c>
      <c r="H43" s="114">
        <v>13661941.215276554</v>
      </c>
      <c r="I43" s="114">
        <v>7175056.9889305383</v>
      </c>
    </row>
    <row r="44" spans="2:9">
      <c r="B44" s="36">
        <v>36</v>
      </c>
      <c r="C44" s="114">
        <v>21015341.853870586</v>
      </c>
      <c r="D44" s="114">
        <v>19013214.655673668</v>
      </c>
      <c r="E44" s="114">
        <v>14151077.939984992</v>
      </c>
      <c r="F44" s="114">
        <v>4667566.7553649992</v>
      </c>
      <c r="G44" s="114">
        <v>4428775.8972818851</v>
      </c>
      <c r="H44" s="114">
        <v>10765658.513888195</v>
      </c>
      <c r="I44" s="114">
        <v>-5233561.0237344056</v>
      </c>
    </row>
    <row r="45" spans="2:9">
      <c r="B45" s="36">
        <v>37</v>
      </c>
      <c r="C45" s="114">
        <v>18572902.801509753</v>
      </c>
      <c r="D45" s="114">
        <v>10059524.712387204</v>
      </c>
      <c r="E45" s="114">
        <v>20794743.168468207</v>
      </c>
      <c r="F45" s="114">
        <v>3487546.5638212264</v>
      </c>
      <c r="G45" s="114">
        <v>10117490.685234144</v>
      </c>
      <c r="H45" s="114">
        <v>16469886.793997571</v>
      </c>
      <c r="I45" s="114">
        <v>3407241.0306299925</v>
      </c>
    </row>
    <row r="46" spans="2:9">
      <c r="B46" s="36">
        <v>38</v>
      </c>
      <c r="C46" s="114">
        <v>9884240.4572538882</v>
      </c>
      <c r="D46" s="114">
        <v>14879287.866770968</v>
      </c>
      <c r="E46" s="114">
        <v>6778015.3628304154</v>
      </c>
      <c r="F46" s="114">
        <v>8875848.5621979237</v>
      </c>
      <c r="G46" s="114">
        <v>5489205.0912886858</v>
      </c>
      <c r="H46" s="114">
        <v>8011134.9132599533</v>
      </c>
      <c r="I46" s="114">
        <v>10282228.184983522</v>
      </c>
    </row>
    <row r="47" spans="2:9">
      <c r="B47" s="36">
        <v>39</v>
      </c>
      <c r="C47" s="114">
        <v>16066482.367496565</v>
      </c>
      <c r="D47" s="114">
        <v>11217996.428283975</v>
      </c>
      <c r="E47" s="114">
        <v>323249.19524267316</v>
      </c>
      <c r="F47" s="114">
        <v>5656463.5939976871</v>
      </c>
      <c r="G47" s="114">
        <v>-5992039.3459778279</v>
      </c>
      <c r="H47" s="114">
        <v>672676.64759904146</v>
      </c>
      <c r="I47" s="114">
        <v>-3359861.6608247012</v>
      </c>
    </row>
    <row r="48" spans="2:9">
      <c r="B48" s="36">
        <v>40</v>
      </c>
      <c r="C48" s="114">
        <v>16381698.210011601</v>
      </c>
      <c r="D48" s="114">
        <v>26755984.408387005</v>
      </c>
      <c r="E48" s="114">
        <v>4291350.3104707003</v>
      </c>
      <c r="F48" s="114">
        <v>9719899.949181065</v>
      </c>
      <c r="G48" s="114">
        <v>6612681.8764447719</v>
      </c>
      <c r="H48" s="114">
        <v>4362563.8006423265</v>
      </c>
      <c r="I48" s="114">
        <v>-3867309.4218021631</v>
      </c>
    </row>
    <row r="49" spans="2:9">
      <c r="B49" s="36">
        <v>41</v>
      </c>
      <c r="C49" s="114">
        <v>14650262.166822225</v>
      </c>
      <c r="D49" s="114">
        <v>14036599.696540952</v>
      </c>
      <c r="E49" s="114">
        <v>10230113.653022125</v>
      </c>
      <c r="F49" s="114">
        <v>13479651.406911895</v>
      </c>
      <c r="G49" s="114">
        <v>12067271.585404158</v>
      </c>
      <c r="H49" s="114">
        <v>2855809.0360516906</v>
      </c>
      <c r="I49" s="114">
        <v>-1304947.5619335324</v>
      </c>
    </row>
    <row r="50" spans="2:9">
      <c r="B50" s="36">
        <v>42</v>
      </c>
      <c r="C50" s="114">
        <v>14436845.891984224</v>
      </c>
      <c r="D50" s="114">
        <v>11870065.235418022</v>
      </c>
      <c r="E50" s="114">
        <v>12438878.254219443</v>
      </c>
      <c r="F50" s="114">
        <v>19048652.506098658</v>
      </c>
      <c r="G50" s="114">
        <v>1679469.3404622674</v>
      </c>
      <c r="H50" s="114">
        <v>9454450.8989534676</v>
      </c>
      <c r="I50" s="114">
        <v>6929396.7169958055</v>
      </c>
    </row>
    <row r="51" spans="2:9">
      <c r="B51" s="36">
        <v>43</v>
      </c>
      <c r="C51" s="114">
        <v>12653555.140541032</v>
      </c>
      <c r="D51" s="114">
        <v>876828.7223636061</v>
      </c>
      <c r="E51" s="114">
        <v>867617.43700246513</v>
      </c>
      <c r="F51" s="114">
        <v>9815227.1744622886</v>
      </c>
      <c r="G51" s="114">
        <v>6765000.9323132932</v>
      </c>
      <c r="H51" s="114">
        <v>13838960.210722461</v>
      </c>
      <c r="I51" s="114">
        <v>1491291.3498651832</v>
      </c>
    </row>
    <row r="52" spans="2:9">
      <c r="B52" s="36">
        <v>44</v>
      </c>
      <c r="C52" s="114">
        <v>6153557.0275600255</v>
      </c>
      <c r="D52" s="114">
        <v>19283669.578809544</v>
      </c>
      <c r="E52" s="114">
        <v>16988174.895471379</v>
      </c>
      <c r="F52" s="114">
        <v>2324622.252572313</v>
      </c>
      <c r="G52" s="114">
        <v>5013877.3977610767</v>
      </c>
      <c r="H52" s="114">
        <v>4792460.9795674831</v>
      </c>
      <c r="I52" s="114">
        <v>12021907.823090017</v>
      </c>
    </row>
    <row r="53" spans="2:9">
      <c r="B53" s="36">
        <v>45</v>
      </c>
      <c r="C53" s="114">
        <v>9006493.6712011546</v>
      </c>
      <c r="D53" s="114">
        <v>8263816.2781160325</v>
      </c>
      <c r="E53" s="114">
        <v>11046918.669115677</v>
      </c>
      <c r="F53" s="114">
        <v>14709052.431240946</v>
      </c>
      <c r="G53" s="114">
        <v>947540.45441232622</v>
      </c>
      <c r="H53" s="114">
        <v>2822643.894343242</v>
      </c>
      <c r="I53" s="114">
        <v>7318437.8141107112</v>
      </c>
    </row>
    <row r="54" spans="2:9">
      <c r="B54" s="36">
        <v>46</v>
      </c>
      <c r="C54" s="114">
        <v>15154534.206955001</v>
      </c>
      <c r="D54" s="114">
        <v>15390438.030349687</v>
      </c>
      <c r="E54" s="114">
        <v>24060346.439266607</v>
      </c>
      <c r="F54" s="114">
        <v>6216113.0398612916</v>
      </c>
      <c r="G54" s="114">
        <v>9741017.1564918309</v>
      </c>
      <c r="H54" s="114">
        <v>4684540.6391150653</v>
      </c>
      <c r="I54" s="114">
        <v>5439610.294266209</v>
      </c>
    </row>
    <row r="55" spans="2:9">
      <c r="B55" s="36">
        <v>47</v>
      </c>
      <c r="C55" s="114">
        <v>5956559.5945631266</v>
      </c>
      <c r="D55" s="114">
        <v>12459678.719927579</v>
      </c>
      <c r="E55" s="114">
        <v>6571727.1411368698</v>
      </c>
      <c r="F55" s="114">
        <v>4672063.3244710714</v>
      </c>
      <c r="G55" s="114">
        <v>5440295.6312075704</v>
      </c>
      <c r="H55" s="114">
        <v>16128479.206047028</v>
      </c>
      <c r="I55" s="114">
        <v>5248073.7167961001</v>
      </c>
    </row>
    <row r="56" spans="2:9">
      <c r="B56" s="36">
        <v>48</v>
      </c>
      <c r="C56" s="114">
        <v>9319253.8742381483</v>
      </c>
      <c r="D56" s="114">
        <v>7288637.7364547402</v>
      </c>
      <c r="E56" s="114">
        <v>18469819.351595983</v>
      </c>
      <c r="F56" s="114">
        <v>3263020.617497772</v>
      </c>
      <c r="G56" s="114">
        <v>5137122.1246245056</v>
      </c>
      <c r="H56" s="114">
        <v>804725.39522069693</v>
      </c>
      <c r="I56" s="114">
        <v>-1457116.6465263665</v>
      </c>
    </row>
    <row r="57" spans="2:9">
      <c r="B57" s="36">
        <v>49</v>
      </c>
      <c r="C57" s="114">
        <v>16859299.830206528</v>
      </c>
      <c r="D57" s="114">
        <v>14457661.653509155</v>
      </c>
      <c r="E57" s="114">
        <v>14462159.593629315</v>
      </c>
      <c r="F57" s="114">
        <v>5446030.5139513016</v>
      </c>
      <c r="G57" s="114">
        <v>2716847.5392111391</v>
      </c>
      <c r="H57" s="114">
        <v>5525480.4651338607</v>
      </c>
      <c r="I57" s="114">
        <v>-2934038.6860431284</v>
      </c>
    </row>
    <row r="58" spans="2:9">
      <c r="B58" s="36">
        <v>50</v>
      </c>
      <c r="C58" s="114">
        <v>14411459.765235156</v>
      </c>
      <c r="D58" s="114">
        <v>21702497.482352987</v>
      </c>
      <c r="E58" s="114">
        <v>20057288.571720466</v>
      </c>
      <c r="F58" s="114">
        <v>17084301.41607438</v>
      </c>
      <c r="G58" s="114">
        <v>4313033.4984323829</v>
      </c>
      <c r="H58" s="114">
        <v>7166776.6733930558</v>
      </c>
      <c r="I58" s="114">
        <v>8462740.0152464062</v>
      </c>
    </row>
    <row r="59" spans="2:9">
      <c r="B59" s="36">
        <v>51</v>
      </c>
      <c r="C59" s="114">
        <v>16827684.705639496</v>
      </c>
      <c r="D59" s="114">
        <v>17753182.539737329</v>
      </c>
      <c r="E59" s="114">
        <v>11114731.103752136</v>
      </c>
      <c r="F59" s="114">
        <v>12694670.77001667</v>
      </c>
      <c r="G59" s="114">
        <v>11003033.1893612</v>
      </c>
      <c r="H59" s="114">
        <v>9344511.8227637112</v>
      </c>
      <c r="I59" s="114">
        <v>7702542.7817339152</v>
      </c>
    </row>
    <row r="60" spans="2:9">
      <c r="B60" s="36">
        <v>52</v>
      </c>
      <c r="C60" s="114">
        <v>16573406.690030962</v>
      </c>
      <c r="D60" s="114">
        <v>20044828.50840947</v>
      </c>
      <c r="E60" s="114">
        <v>18655563.374570385</v>
      </c>
      <c r="F60" s="114">
        <v>14680344.438540354</v>
      </c>
      <c r="G60" s="114">
        <v>3944540.2335139811</v>
      </c>
      <c r="H60" s="114">
        <v>3870524.2383396626</v>
      </c>
      <c r="I60" s="114">
        <v>4630820.6588744372</v>
      </c>
    </row>
    <row r="61" spans="2:9">
      <c r="B61" s="36">
        <v>53</v>
      </c>
      <c r="C61" s="114">
        <v>17166937.966437608</v>
      </c>
      <c r="D61" s="114">
        <v>939328.38196341693</v>
      </c>
      <c r="E61" s="114">
        <v>10928386.770771801</v>
      </c>
      <c r="F61" s="114">
        <v>16025904.105051115</v>
      </c>
      <c r="G61" s="114">
        <v>11931405.307603419</v>
      </c>
      <c r="H61" s="114">
        <v>2752397.7596517056</v>
      </c>
      <c r="I61" s="114">
        <v>-2318176.8646493554</v>
      </c>
    </row>
    <row r="62" spans="2:9">
      <c r="B62" s="36">
        <v>54</v>
      </c>
      <c r="C62" s="114">
        <v>12314054.182189286</v>
      </c>
      <c r="D62" s="114">
        <v>6558534.7907943279</v>
      </c>
      <c r="E62" s="114">
        <v>3650842.8124363869</v>
      </c>
      <c r="F62" s="114">
        <v>14794856.108781919</v>
      </c>
      <c r="G62" s="114">
        <v>8827058.9033551216</v>
      </c>
      <c r="H62" s="114">
        <v>-10618684.418715417</v>
      </c>
      <c r="I62" s="114">
        <v>4985770.6289169341</v>
      </c>
    </row>
    <row r="63" spans="2:9">
      <c r="B63" s="36">
        <v>55</v>
      </c>
      <c r="C63" s="114">
        <v>19739792.441014558</v>
      </c>
      <c r="D63" s="114">
        <v>12878865.219329268</v>
      </c>
      <c r="E63" s="114">
        <v>14831363.426501393</v>
      </c>
      <c r="F63" s="114">
        <v>12846553.32967639</v>
      </c>
      <c r="G63" s="114">
        <v>19615561.658596441</v>
      </c>
      <c r="H63" s="114">
        <v>16355485.521834835</v>
      </c>
      <c r="I63" s="114">
        <v>1506847.52672638</v>
      </c>
    </row>
    <row r="64" spans="2:9">
      <c r="B64" s="36">
        <v>56</v>
      </c>
      <c r="C64" s="114">
        <v>9651939.0080360919</v>
      </c>
      <c r="D64" s="114">
        <v>26057555.61557363</v>
      </c>
      <c r="E64" s="114">
        <v>15997012.855182394</v>
      </c>
      <c r="F64" s="114">
        <v>15352141.047793135</v>
      </c>
      <c r="G64" s="114">
        <v>18792159.494570345</v>
      </c>
      <c r="H64" s="114">
        <v>11209130.39631018</v>
      </c>
      <c r="I64" s="114">
        <v>7063008.0504966378</v>
      </c>
    </row>
    <row r="65" spans="2:9">
      <c r="B65" s="36">
        <v>57</v>
      </c>
      <c r="C65" s="114">
        <v>15288613.775197327</v>
      </c>
      <c r="D65" s="114">
        <v>19414455.05218488</v>
      </c>
      <c r="E65" s="114">
        <v>13367609.669016823</v>
      </c>
      <c r="F65" s="114">
        <v>19163644.180316716</v>
      </c>
      <c r="G65" s="114">
        <v>10844727.235558286</v>
      </c>
      <c r="H65" s="114">
        <v>13649275.772466511</v>
      </c>
      <c r="I65" s="114">
        <v>14199009.687920898</v>
      </c>
    </row>
    <row r="66" spans="2:9">
      <c r="B66" s="36">
        <v>58</v>
      </c>
      <c r="C66" s="114">
        <v>11796144.254089862</v>
      </c>
      <c r="D66" s="114">
        <v>28949104.876128167</v>
      </c>
      <c r="E66" s="114">
        <v>14577848.414958775</v>
      </c>
      <c r="F66" s="114">
        <v>9851338.7640055418</v>
      </c>
      <c r="G66" s="114">
        <v>12396821.461987793</v>
      </c>
      <c r="H66" s="114">
        <v>1878703.9536181539</v>
      </c>
      <c r="I66" s="114">
        <v>3793764.0145036578</v>
      </c>
    </row>
    <row r="67" spans="2:9">
      <c r="B67" s="36">
        <v>59</v>
      </c>
      <c r="C67" s="114">
        <v>27009061.04842867</v>
      </c>
      <c r="D67" s="114">
        <v>17924452.06277144</v>
      </c>
      <c r="E67" s="114">
        <v>12967431.363563195</v>
      </c>
      <c r="F67" s="114">
        <v>21006594.868678942</v>
      </c>
      <c r="G67" s="114">
        <v>-479527.75318795443</v>
      </c>
      <c r="H67" s="114">
        <v>6183221.6619113535</v>
      </c>
      <c r="I67" s="114">
        <v>4171060.4473012984</v>
      </c>
    </row>
    <row r="68" spans="2:9">
      <c r="B68" s="36">
        <v>60</v>
      </c>
      <c r="C68" s="114">
        <v>20517661.869091153</v>
      </c>
      <c r="D68" s="114">
        <v>10415127.348943427</v>
      </c>
      <c r="E68" s="114">
        <v>13658529.004640996</v>
      </c>
      <c r="F68" s="114">
        <v>13521281.469815239</v>
      </c>
      <c r="G68" s="114">
        <v>19783582.781691223</v>
      </c>
      <c r="H68" s="114">
        <v>819882.46435925364</v>
      </c>
      <c r="I68" s="114">
        <v>741890.73335188627</v>
      </c>
    </row>
    <row r="69" spans="2:9">
      <c r="B69" s="36">
        <v>61</v>
      </c>
      <c r="C69" s="114">
        <v>14297694.249967486</v>
      </c>
      <c r="D69" s="114">
        <v>16604680.165504843</v>
      </c>
      <c r="E69" s="114">
        <v>19860237.113687709</v>
      </c>
      <c r="F69" s="114">
        <v>9937092.5449815094</v>
      </c>
      <c r="G69" s="114">
        <v>17109697.495773196</v>
      </c>
      <c r="H69" s="114">
        <v>-3300232.6253335625</v>
      </c>
      <c r="I69" s="114">
        <v>10529854.649939269</v>
      </c>
    </row>
    <row r="70" spans="2:9">
      <c r="B70" s="36">
        <v>62</v>
      </c>
      <c r="C70" s="114">
        <v>248048.72105188668</v>
      </c>
      <c r="D70" s="114">
        <v>8073923.4228285104</v>
      </c>
      <c r="E70" s="114">
        <v>20104099.281321824</v>
      </c>
      <c r="F70" s="114">
        <v>15834313.5831642</v>
      </c>
      <c r="G70" s="114">
        <v>11345525.082723394</v>
      </c>
      <c r="H70" s="114">
        <v>12921560.734771207</v>
      </c>
      <c r="I70" s="114">
        <v>6423560.2123401016</v>
      </c>
    </row>
    <row r="71" spans="2:9">
      <c r="B71" s="36">
        <v>63</v>
      </c>
      <c r="C71" s="114">
        <v>24426030.727118894</v>
      </c>
      <c r="D71" s="114">
        <v>20752418.308384016</v>
      </c>
      <c r="E71" s="114">
        <v>16995073.071950808</v>
      </c>
      <c r="F71" s="114">
        <v>15022475.442069948</v>
      </c>
      <c r="G71" s="114">
        <v>4050876.9270122349</v>
      </c>
      <c r="H71" s="114">
        <v>8648185.0612092763</v>
      </c>
      <c r="I71" s="114">
        <v>507124.36507745087</v>
      </c>
    </row>
    <row r="72" spans="2:9">
      <c r="B72" s="36">
        <v>64</v>
      </c>
      <c r="C72" s="114">
        <v>18189955.657035485</v>
      </c>
      <c r="D72" s="114">
        <v>16383500.856739029</v>
      </c>
      <c r="E72" s="114">
        <v>11810457.059412137</v>
      </c>
      <c r="F72" s="114">
        <v>7183320.0502723306</v>
      </c>
      <c r="G72" s="114">
        <v>-825053.1216223985</v>
      </c>
      <c r="H72" s="114">
        <v>13400161.728895545</v>
      </c>
      <c r="I72" s="114">
        <v>1883294.9647497833</v>
      </c>
    </row>
    <row r="73" spans="2:9">
      <c r="B73" s="36">
        <v>65</v>
      </c>
      <c r="C73" s="114">
        <v>17160696.450979725</v>
      </c>
      <c r="D73" s="114">
        <v>16090276.954198673</v>
      </c>
      <c r="E73" s="114">
        <v>15487407.789236203</v>
      </c>
      <c r="F73" s="114">
        <v>12582191.13034524</v>
      </c>
      <c r="G73" s="114">
        <v>9576621.5968997627</v>
      </c>
      <c r="H73" s="114">
        <v>11218817.291149169</v>
      </c>
      <c r="I73" s="114">
        <v>820226.91363395751</v>
      </c>
    </row>
    <row r="74" spans="2:9">
      <c r="B74" s="36">
        <v>66</v>
      </c>
      <c r="C74" s="114">
        <v>17560542.905093208</v>
      </c>
      <c r="D74" s="114">
        <v>19712737.794334128</v>
      </c>
      <c r="E74" s="114">
        <v>23719507.081798419</v>
      </c>
      <c r="F74" s="114">
        <v>576139.1165971905</v>
      </c>
      <c r="G74" s="114">
        <v>9914712.0330140591</v>
      </c>
      <c r="H74" s="114">
        <v>10916676.100671351</v>
      </c>
      <c r="I74" s="114">
        <v>9209323.2465862036</v>
      </c>
    </row>
    <row r="75" spans="2:9">
      <c r="B75" s="36">
        <v>67</v>
      </c>
      <c r="C75" s="114">
        <v>18191889.266395986</v>
      </c>
      <c r="D75" s="114">
        <v>16536214.291096851</v>
      </c>
      <c r="E75" s="114">
        <v>8887751.7291139066</v>
      </c>
      <c r="F75" s="114">
        <v>20625402.733346775</v>
      </c>
      <c r="G75" s="114">
        <v>13156069.680908635</v>
      </c>
      <c r="H75" s="114">
        <v>2988669.7842162102</v>
      </c>
      <c r="I75" s="114">
        <v>-25184.913617044687</v>
      </c>
    </row>
    <row r="76" spans="2:9">
      <c r="B76" s="36">
        <v>68</v>
      </c>
      <c r="C76" s="114">
        <v>19254831.249045208</v>
      </c>
      <c r="D76" s="114">
        <v>25860620.805896759</v>
      </c>
      <c r="E76" s="114">
        <v>18301815.435612157</v>
      </c>
      <c r="F76" s="114">
        <v>5167546.5605166405</v>
      </c>
      <c r="G76" s="114">
        <v>3630407.4988997132</v>
      </c>
      <c r="H76" s="114">
        <v>-8461362.1449366957</v>
      </c>
      <c r="I76" s="114">
        <v>861487.08087159693</v>
      </c>
    </row>
    <row r="77" spans="2:9">
      <c r="B77" s="36">
        <v>69</v>
      </c>
      <c r="C77" s="114">
        <v>16686195.175332978</v>
      </c>
      <c r="D77" s="114">
        <v>10951611.28790313</v>
      </c>
      <c r="E77" s="114">
        <v>13721898.953635871</v>
      </c>
      <c r="F77" s="114">
        <v>5146240.3771319389</v>
      </c>
      <c r="G77" s="114">
        <v>4064982.2471630424</v>
      </c>
      <c r="H77" s="114">
        <v>16827714.764315069</v>
      </c>
      <c r="I77" s="114">
        <v>6015432.608858645</v>
      </c>
    </row>
    <row r="78" spans="2:9">
      <c r="B78" s="36">
        <v>70</v>
      </c>
      <c r="C78" s="114">
        <v>22490110.441436127</v>
      </c>
      <c r="D78" s="114">
        <v>21608252.335788861</v>
      </c>
      <c r="E78" s="114">
        <v>16564659.236477822</v>
      </c>
      <c r="F78" s="114">
        <v>6512544.4550041854</v>
      </c>
      <c r="G78" s="114">
        <v>4085283.4018512666</v>
      </c>
      <c r="H78" s="114">
        <v>4773052.5810895264</v>
      </c>
      <c r="I78" s="114">
        <v>11174482.712175652</v>
      </c>
    </row>
    <row r="79" spans="2:9">
      <c r="B79" s="36">
        <v>71</v>
      </c>
      <c r="C79" s="114">
        <v>18623865.73396419</v>
      </c>
      <c r="D79" s="114">
        <v>10953491.278517216</v>
      </c>
      <c r="E79" s="114">
        <v>14607370.317714259</v>
      </c>
      <c r="F79" s="114">
        <v>11197838.0205165</v>
      </c>
      <c r="G79" s="114">
        <v>15005294.057914883</v>
      </c>
      <c r="H79" s="114">
        <v>10337323.909150168</v>
      </c>
      <c r="I79" s="114">
        <v>-330008.63223788142</v>
      </c>
    </row>
    <row r="80" spans="2:9">
      <c r="B80" s="36">
        <v>72</v>
      </c>
      <c r="C80" s="114">
        <v>13719101.055899948</v>
      </c>
      <c r="D80" s="114">
        <v>18037945.954758063</v>
      </c>
      <c r="E80" s="114">
        <v>13002882.972630158</v>
      </c>
      <c r="F80" s="114">
        <v>3251803.6053671986</v>
      </c>
      <c r="G80" s="114">
        <v>7579685.0654974431</v>
      </c>
      <c r="H80" s="114">
        <v>722460.88876646757</v>
      </c>
      <c r="I80" s="114">
        <v>4643498.8029318601</v>
      </c>
    </row>
    <row r="81" spans="2:9">
      <c r="B81" s="36">
        <v>73</v>
      </c>
      <c r="C81" s="114">
        <v>7334788.1480291188</v>
      </c>
      <c r="D81" s="114">
        <v>11706135.611696035</v>
      </c>
      <c r="E81" s="114">
        <v>4096656.5681168437</v>
      </c>
      <c r="F81" s="114">
        <v>764567.71961985528</v>
      </c>
      <c r="G81" s="114">
        <v>14620695.891813591</v>
      </c>
      <c r="H81" s="114">
        <v>16402807.26146175</v>
      </c>
      <c r="I81" s="114">
        <v>6037117.9950993955</v>
      </c>
    </row>
    <row r="82" spans="2:9">
      <c r="B82" s="36">
        <v>74</v>
      </c>
      <c r="C82" s="114">
        <v>15633579.465421796</v>
      </c>
      <c r="D82" s="114">
        <v>7218605.8158595562</v>
      </c>
      <c r="E82" s="114">
        <v>17254570.658720538</v>
      </c>
      <c r="F82" s="114">
        <v>7104522.6362859756</v>
      </c>
      <c r="G82" s="114">
        <v>3654352.6439023763</v>
      </c>
      <c r="H82" s="114">
        <v>6065013.7461638749</v>
      </c>
      <c r="I82" s="114">
        <v>7880962.2522035241</v>
      </c>
    </row>
    <row r="83" spans="2:9">
      <c r="B83" s="36">
        <v>75</v>
      </c>
      <c r="C83" s="114">
        <v>13265953.574914441</v>
      </c>
      <c r="D83" s="114">
        <v>10071873.121626928</v>
      </c>
      <c r="E83" s="114">
        <v>16056280.112123072</v>
      </c>
      <c r="F83" s="114">
        <v>9436488.4692472517</v>
      </c>
      <c r="G83" s="114">
        <v>6803506.7373410761</v>
      </c>
      <c r="H83" s="114">
        <v>-2022387.0852236301</v>
      </c>
      <c r="I83" s="114">
        <v>8610755.5907547474</v>
      </c>
    </row>
    <row r="84" spans="2:9">
      <c r="B84" s="36">
        <v>76</v>
      </c>
      <c r="C84" s="114">
        <v>18285186.429847449</v>
      </c>
      <c r="D84" s="114">
        <v>11593117.697069779</v>
      </c>
      <c r="E84" s="114">
        <v>19134407.451181799</v>
      </c>
      <c r="F84" s="114">
        <v>12290165.781801671</v>
      </c>
      <c r="G84" s="114">
        <v>4399333.2073568255</v>
      </c>
      <c r="H84" s="114">
        <v>92631.673112750053</v>
      </c>
      <c r="I84" s="114">
        <v>-2010180.6982362717</v>
      </c>
    </row>
    <row r="85" spans="2:9">
      <c r="B85" s="36">
        <v>77</v>
      </c>
      <c r="C85" s="114">
        <v>16415192.707403094</v>
      </c>
      <c r="D85" s="114">
        <v>16628588.08369042</v>
      </c>
      <c r="E85" s="114">
        <v>10256827.517479658</v>
      </c>
      <c r="F85" s="114">
        <v>-1315461.778956309</v>
      </c>
      <c r="G85" s="114">
        <v>16757417.696575567</v>
      </c>
      <c r="H85" s="114">
        <v>8064409.8038571775</v>
      </c>
      <c r="I85" s="114">
        <v>10901057.092302561</v>
      </c>
    </row>
    <row r="86" spans="2:9">
      <c r="B86" s="36">
        <v>78</v>
      </c>
      <c r="C86" s="114">
        <v>2479923.2741803527</v>
      </c>
      <c r="D86" s="114">
        <v>-5042842.3916465044</v>
      </c>
      <c r="E86" s="114">
        <v>4716293.5861671865</v>
      </c>
      <c r="F86" s="114">
        <v>13759345.030800372</v>
      </c>
      <c r="G86" s="114">
        <v>1702686.0446714461</v>
      </c>
      <c r="H86" s="114">
        <v>7544445.4614579678</v>
      </c>
      <c r="I86" s="114">
        <v>13426557.006535143</v>
      </c>
    </row>
    <row r="87" spans="2:9">
      <c r="B87" s="36">
        <v>79</v>
      </c>
      <c r="C87" s="114">
        <v>18697995.410048738</v>
      </c>
      <c r="D87" s="114">
        <v>18608142.457785115</v>
      </c>
      <c r="E87" s="114">
        <v>8517913.9769037664</v>
      </c>
      <c r="F87" s="114">
        <v>433199.64372132719</v>
      </c>
      <c r="G87" s="114">
        <v>4896066.7714447379</v>
      </c>
      <c r="H87" s="114">
        <v>1578267.4786198139</v>
      </c>
      <c r="I87" s="114">
        <v>5776985.7713174075</v>
      </c>
    </row>
    <row r="88" spans="2:9">
      <c r="B88" s="36">
        <v>80</v>
      </c>
      <c r="C88" s="114">
        <v>16498648.994236201</v>
      </c>
      <c r="D88" s="114">
        <v>17927578.59813413</v>
      </c>
      <c r="E88" s="114">
        <v>19603952.765103474</v>
      </c>
      <c r="F88" s="114">
        <v>7474617.7163435221</v>
      </c>
      <c r="G88" s="114">
        <v>4351358.5940599591</v>
      </c>
      <c r="H88" s="114">
        <v>7160514.0985329896</v>
      </c>
      <c r="I88" s="114">
        <v>6072317.7493180931</v>
      </c>
    </row>
    <row r="89" spans="2:9">
      <c r="B89" s="36">
        <v>81</v>
      </c>
      <c r="C89" s="114">
        <v>15924389.85531126</v>
      </c>
      <c r="D89" s="114">
        <v>3766514.35932675</v>
      </c>
      <c r="E89" s="114">
        <v>12387730.074201614</v>
      </c>
      <c r="F89" s="114">
        <v>8522014.4861399084</v>
      </c>
      <c r="G89" s="114">
        <v>5618067.5230720937</v>
      </c>
      <c r="H89" s="114">
        <v>8557660.3436313719</v>
      </c>
      <c r="I89" s="114">
        <v>-14485179.213438764</v>
      </c>
    </row>
    <row r="90" spans="2:9">
      <c r="B90" s="36">
        <v>82</v>
      </c>
      <c r="C90" s="114">
        <v>19108475.973592758</v>
      </c>
      <c r="D90" s="114">
        <v>9120994.7036105543</v>
      </c>
      <c r="E90" s="114">
        <v>10102234.137619033</v>
      </c>
      <c r="F90" s="114">
        <v>19771147.916790143</v>
      </c>
      <c r="G90" s="114">
        <v>5558161.5246549249</v>
      </c>
      <c r="H90" s="114">
        <v>12358224.733754158</v>
      </c>
      <c r="I90" s="114">
        <v>-7017170.3813235462</v>
      </c>
    </row>
    <row r="91" spans="2:9">
      <c r="B91" s="36">
        <v>83</v>
      </c>
      <c r="C91" s="114">
        <v>9806889.9446739554</v>
      </c>
      <c r="D91" s="114">
        <v>32564650.910959467</v>
      </c>
      <c r="E91" s="114">
        <v>12498703.414480522</v>
      </c>
      <c r="F91" s="114">
        <v>7573817.4751601517</v>
      </c>
      <c r="G91" s="114">
        <v>9829354.8509028852</v>
      </c>
      <c r="H91" s="114">
        <v>10356624.773325428</v>
      </c>
      <c r="I91" s="114">
        <v>-2312605.3379171491</v>
      </c>
    </row>
    <row r="92" spans="2:9">
      <c r="B92" s="36">
        <v>84</v>
      </c>
      <c r="C92" s="114">
        <v>20618693.13667272</v>
      </c>
      <c r="D92" s="114">
        <v>14741929.721164778</v>
      </c>
      <c r="E92" s="114">
        <v>3182850.0863987505</v>
      </c>
      <c r="F92" s="114">
        <v>14391290.811796665</v>
      </c>
      <c r="G92" s="114">
        <v>2879077.6805022955</v>
      </c>
      <c r="H92" s="114">
        <v>19235573.444044083</v>
      </c>
      <c r="I92" s="114">
        <v>7188532.2314299494</v>
      </c>
    </row>
    <row r="93" spans="2:9">
      <c r="B93" s="36">
        <v>85</v>
      </c>
      <c r="C93" s="114">
        <v>16256966.675620809</v>
      </c>
      <c r="D93" s="114">
        <v>9221708.897498697</v>
      </c>
      <c r="E93" s="114">
        <v>12354383.313032374</v>
      </c>
      <c r="F93" s="114">
        <v>10079875.913711965</v>
      </c>
      <c r="G93" s="114">
        <v>7467536.9345441312</v>
      </c>
      <c r="H93" s="114">
        <v>5307018.2723268718</v>
      </c>
      <c r="I93" s="114">
        <v>1092024.2454969436</v>
      </c>
    </row>
    <row r="94" spans="2:9">
      <c r="B94" s="36">
        <v>86</v>
      </c>
      <c r="C94" s="114">
        <v>10804994.765723765</v>
      </c>
      <c r="D94" s="114">
        <v>23645519.67831336</v>
      </c>
      <c r="E94" s="114">
        <v>12803081.267699137</v>
      </c>
      <c r="F94" s="114">
        <v>6014822.276567623</v>
      </c>
      <c r="G94" s="114">
        <v>19428086.289682761</v>
      </c>
      <c r="H94" s="114">
        <v>12738519.849191725</v>
      </c>
      <c r="I94" s="114">
        <v>6272855.825338155</v>
      </c>
    </row>
    <row r="95" spans="2:9">
      <c r="B95" s="36">
        <v>87</v>
      </c>
      <c r="C95" s="114">
        <v>21357048.777750567</v>
      </c>
      <c r="D95" s="114">
        <v>14590160.68715553</v>
      </c>
      <c r="E95" s="114">
        <v>3131069.8750973195</v>
      </c>
      <c r="F95" s="114">
        <v>10184652.699181944</v>
      </c>
      <c r="G95" s="114">
        <v>17945647.294122159</v>
      </c>
      <c r="H95" s="114">
        <v>4572720.5592912883</v>
      </c>
      <c r="I95" s="114">
        <v>5420957.1017865092</v>
      </c>
    </row>
    <row r="96" spans="2:9">
      <c r="B96" s="36">
        <v>88</v>
      </c>
      <c r="C96" s="114">
        <v>11934528.651470587</v>
      </c>
      <c r="D96" s="114">
        <v>13065404.907196417</v>
      </c>
      <c r="E96" s="114">
        <v>25091485.432110846</v>
      </c>
      <c r="F96" s="114">
        <v>4063842.3345268667</v>
      </c>
      <c r="G96" s="114">
        <v>8402675.2744675726</v>
      </c>
      <c r="H96" s="114">
        <v>2685349.123729676</v>
      </c>
      <c r="I96" s="114">
        <v>3975651.3295254856</v>
      </c>
    </row>
    <row r="97" spans="2:9">
      <c r="B97" s="36">
        <v>89</v>
      </c>
      <c r="C97" s="114">
        <v>12021144.817085922</v>
      </c>
      <c r="D97" s="114">
        <v>14403651.994280457</v>
      </c>
      <c r="E97" s="114">
        <v>-839509.37401410937</v>
      </c>
      <c r="F97" s="114">
        <v>20685238.608394429</v>
      </c>
      <c r="G97" s="114">
        <v>5824544.0100045502</v>
      </c>
      <c r="H97" s="114">
        <v>14270851.221977562</v>
      </c>
      <c r="I97" s="114">
        <v>12968992.635312498</v>
      </c>
    </row>
    <row r="98" spans="2:9">
      <c r="B98" s="36">
        <v>90</v>
      </c>
      <c r="C98" s="114">
        <v>19710756.475122422</v>
      </c>
      <c r="D98" s="114">
        <v>18192211.961769119</v>
      </c>
      <c r="E98" s="114">
        <v>7836075.6250169277</v>
      </c>
      <c r="F98" s="114">
        <v>22754507.771230683</v>
      </c>
      <c r="G98" s="114">
        <v>5038748.4117716551</v>
      </c>
      <c r="H98" s="114">
        <v>-7726138.7384908795</v>
      </c>
      <c r="I98" s="114">
        <v>3906480.9924304336</v>
      </c>
    </row>
    <row r="99" spans="2:9">
      <c r="B99" s="36">
        <v>91</v>
      </c>
      <c r="C99" s="114">
        <v>12284754.480414689</v>
      </c>
      <c r="D99" s="114">
        <v>-2956393.2090083063</v>
      </c>
      <c r="E99" s="114">
        <v>21124136.184368446</v>
      </c>
      <c r="F99" s="114">
        <v>2529468.9224081188</v>
      </c>
      <c r="G99" s="114">
        <v>6877441.00174959</v>
      </c>
      <c r="H99" s="114">
        <v>-549172.09513349831</v>
      </c>
      <c r="I99" s="114">
        <v>7201222.3297130615</v>
      </c>
    </row>
    <row r="100" spans="2:9">
      <c r="B100" s="36">
        <v>92</v>
      </c>
      <c r="C100" s="114">
        <v>27619747.873059168</v>
      </c>
      <c r="D100" s="114">
        <v>15899006.602769688</v>
      </c>
      <c r="E100" s="114">
        <v>12655185.399635673</v>
      </c>
      <c r="F100" s="114">
        <v>24057196.146399185</v>
      </c>
      <c r="G100" s="114">
        <v>7125579.2952272445</v>
      </c>
      <c r="H100" s="114">
        <v>13362249.318489224</v>
      </c>
      <c r="I100" s="114">
        <v>-3587799.1832888424</v>
      </c>
    </row>
    <row r="101" spans="2:9">
      <c r="B101" s="36">
        <v>93</v>
      </c>
      <c r="C101" s="114">
        <v>15124150.613553852</v>
      </c>
      <c r="D101" s="114">
        <v>19400892.482540175</v>
      </c>
      <c r="E101" s="114">
        <v>17955473.573123068</v>
      </c>
      <c r="F101" s="114">
        <v>16338528.176049724</v>
      </c>
      <c r="G101" s="114">
        <v>5893250.6566863209</v>
      </c>
      <c r="H101" s="114">
        <v>16549724.185220659</v>
      </c>
      <c r="I101" s="114">
        <v>10030925.744442925</v>
      </c>
    </row>
    <row r="102" spans="2:9">
      <c r="B102" s="36">
        <v>94</v>
      </c>
      <c r="C102" s="114">
        <v>25945443.011098459</v>
      </c>
      <c r="D102" s="114">
        <v>9269487.1684371531</v>
      </c>
      <c r="E102" s="114">
        <v>2903525.1535509974</v>
      </c>
      <c r="F102" s="114">
        <v>6322826.5362645686</v>
      </c>
      <c r="G102" s="114">
        <v>3906917.7433855534</v>
      </c>
      <c r="H102" s="114">
        <v>7998901.8996494263</v>
      </c>
      <c r="I102" s="114">
        <v>6017489.7497825325</v>
      </c>
    </row>
    <row r="103" spans="2:9">
      <c r="B103" s="36">
        <v>95</v>
      </c>
      <c r="C103" s="114">
        <v>18137556.241469428</v>
      </c>
      <c r="D103" s="114">
        <v>11702785.864422143</v>
      </c>
      <c r="E103" s="114">
        <v>17336651.26565814</v>
      </c>
      <c r="F103" s="114">
        <v>13607322.581019595</v>
      </c>
      <c r="G103" s="114">
        <v>23633290.786688775</v>
      </c>
      <c r="H103" s="114">
        <v>1831924.3452845365</v>
      </c>
      <c r="I103" s="114">
        <v>-4414517.4624568224</v>
      </c>
    </row>
    <row r="104" spans="2:9">
      <c r="B104" s="36">
        <v>96</v>
      </c>
      <c r="C104" s="114">
        <v>9394689.0187172443</v>
      </c>
      <c r="D104" s="114">
        <v>20664893.579429388</v>
      </c>
      <c r="E104" s="114">
        <v>19868832.856241047</v>
      </c>
      <c r="F104" s="114">
        <v>24793445.789287522</v>
      </c>
      <c r="G104" s="114">
        <v>-3284953.9701517075</v>
      </c>
      <c r="H104" s="114">
        <v>5489592.7658602893</v>
      </c>
      <c r="I104" s="114">
        <v>-5484869.1774313003</v>
      </c>
    </row>
    <row r="105" spans="2:9">
      <c r="B105" s="36">
        <v>97</v>
      </c>
      <c r="C105" s="114">
        <v>14930830.238848016</v>
      </c>
      <c r="D105" s="114">
        <v>25174060.088291392</v>
      </c>
      <c r="E105" s="114">
        <v>2934369.3181936145</v>
      </c>
      <c r="F105" s="114">
        <v>20732308.045880973</v>
      </c>
      <c r="G105" s="114">
        <v>4531565.3446406424</v>
      </c>
      <c r="H105" s="114">
        <v>6526713.8466917276</v>
      </c>
      <c r="I105" s="114">
        <v>14551673.157470286</v>
      </c>
    </row>
    <row r="106" spans="2:9">
      <c r="B106" s="36">
        <v>98</v>
      </c>
      <c r="C106" s="114">
        <v>13202975.725497544</v>
      </c>
      <c r="D106" s="114">
        <v>4064607.0977312177</v>
      </c>
      <c r="E106" s="114">
        <v>11975029.165798962</v>
      </c>
      <c r="F106" s="114">
        <v>1405966.7518345118</v>
      </c>
      <c r="G106" s="114">
        <v>6563412.369184047</v>
      </c>
      <c r="H106" s="114">
        <v>13805197.770666376</v>
      </c>
      <c r="I106" s="114">
        <v>7252964.5818335712</v>
      </c>
    </row>
    <row r="107" spans="2:9">
      <c r="B107" s="36">
        <v>99</v>
      </c>
      <c r="C107" s="114">
        <v>19449534.368636221</v>
      </c>
      <c r="D107" s="114">
        <v>23707906.119261801</v>
      </c>
      <c r="E107" s="114">
        <v>18343201.354298607</v>
      </c>
      <c r="F107" s="114">
        <v>20619557.455867127</v>
      </c>
      <c r="G107" s="114">
        <v>10723007.912322924</v>
      </c>
      <c r="H107" s="114">
        <v>4031470.0239407718</v>
      </c>
      <c r="I107" s="114">
        <v>1373093.2036384493</v>
      </c>
    </row>
    <row r="108" spans="2:9">
      <c r="B108" s="36">
        <v>100</v>
      </c>
      <c r="C108" s="114">
        <v>18588041.903620914</v>
      </c>
      <c r="D108" s="114">
        <v>20154486.937072828</v>
      </c>
      <c r="E108" s="114">
        <v>14880463.682735607</v>
      </c>
      <c r="F108" s="114">
        <v>12760631.261957765</v>
      </c>
      <c r="G108" s="114">
        <v>20015801.463415727</v>
      </c>
      <c r="H108" s="114">
        <v>-3573064.005552277</v>
      </c>
      <c r="I108" s="114">
        <v>5204654.9392667413</v>
      </c>
    </row>
    <row r="109" spans="2:9">
      <c r="B109" s="36">
        <v>101</v>
      </c>
      <c r="C109" s="114">
        <v>6316929.7134734094</v>
      </c>
      <c r="D109" s="114">
        <v>14508605.787859619</v>
      </c>
      <c r="E109" s="114">
        <v>15779047.334159404</v>
      </c>
      <c r="F109" s="114">
        <v>8498013.4906653911</v>
      </c>
      <c r="G109" s="114">
        <v>15468771.166410744</v>
      </c>
      <c r="H109" s="114">
        <v>3003668.2370827049</v>
      </c>
      <c r="I109" s="114">
        <v>1245973.923729375</v>
      </c>
    </row>
    <row r="110" spans="2:9">
      <c r="B110" s="36">
        <v>102</v>
      </c>
      <c r="C110" s="114">
        <v>16053610.499248296</v>
      </c>
      <c r="D110" s="114">
        <v>11513749.315536231</v>
      </c>
      <c r="E110" s="114">
        <v>21281533.421048343</v>
      </c>
      <c r="F110" s="114">
        <v>23472463.280573145</v>
      </c>
      <c r="G110" s="114">
        <v>11892539.024754152</v>
      </c>
      <c r="H110" s="114">
        <v>14284601.542196736</v>
      </c>
      <c r="I110" s="114">
        <v>10844928.903852567</v>
      </c>
    </row>
    <row r="111" spans="2:9">
      <c r="B111" s="36">
        <v>103</v>
      </c>
      <c r="C111" s="114">
        <v>17935504.20895572</v>
      </c>
      <c r="D111" s="114">
        <v>4524833.1368830055</v>
      </c>
      <c r="E111" s="114">
        <v>4151506.7649622709</v>
      </c>
      <c r="F111" s="114">
        <v>9773244.7308095396</v>
      </c>
      <c r="G111" s="114">
        <v>11714086.759269685</v>
      </c>
      <c r="H111" s="114">
        <v>8612508.9822390825</v>
      </c>
      <c r="I111" s="114">
        <v>-652598.75119410455</v>
      </c>
    </row>
    <row r="112" spans="2:9">
      <c r="B112" s="36">
        <v>104</v>
      </c>
      <c r="C112" s="114">
        <v>12767384.185272291</v>
      </c>
      <c r="D112" s="114">
        <v>9676101.3628710955</v>
      </c>
      <c r="E112" s="114">
        <v>22851358.666647479</v>
      </c>
      <c r="F112" s="114">
        <v>11740129.673660353</v>
      </c>
      <c r="G112" s="114">
        <v>12975805.824167654</v>
      </c>
      <c r="H112" s="114">
        <v>8758001.9123201519</v>
      </c>
      <c r="I112" s="114">
        <v>7583893.0713977814</v>
      </c>
    </row>
    <row r="113" spans="2:9">
      <c r="B113" s="36">
        <v>105</v>
      </c>
      <c r="C113" s="114">
        <v>17587246.00469175</v>
      </c>
      <c r="D113" s="114">
        <v>15081344.255928025</v>
      </c>
      <c r="E113" s="114">
        <v>5018653.3814191669</v>
      </c>
      <c r="F113" s="114">
        <v>17481953.118080094</v>
      </c>
      <c r="G113" s="114">
        <v>-1605220.0897284746</v>
      </c>
      <c r="H113" s="114">
        <v>12083728.207804129</v>
      </c>
      <c r="I113" s="114">
        <v>4781205.3923123628</v>
      </c>
    </row>
    <row r="114" spans="2:9">
      <c r="B114" s="36">
        <v>106</v>
      </c>
      <c r="C114" s="114">
        <v>17469099.874806136</v>
      </c>
      <c r="D114" s="114">
        <v>14975377.635421067</v>
      </c>
      <c r="E114" s="114">
        <v>15665416.418957502</v>
      </c>
      <c r="F114" s="114">
        <v>7383212.0318481773</v>
      </c>
      <c r="G114" s="114">
        <v>12188180.043449968</v>
      </c>
      <c r="H114" s="114">
        <v>6302725.2744663209</v>
      </c>
      <c r="I114" s="114">
        <v>2574506.1263967007</v>
      </c>
    </row>
    <row r="115" spans="2:9">
      <c r="B115" s="36">
        <v>107</v>
      </c>
      <c r="C115" s="114">
        <v>12028044.942976773</v>
      </c>
      <c r="D115" s="114">
        <v>16693897.78329429</v>
      </c>
      <c r="E115" s="114">
        <v>19613132.624129072</v>
      </c>
      <c r="F115" s="114">
        <v>9480631.1907980144</v>
      </c>
      <c r="G115" s="114">
        <v>5131168.2723242939</v>
      </c>
      <c r="H115" s="114">
        <v>10053724.669145808</v>
      </c>
      <c r="I115" s="114">
        <v>7126169.4342974722</v>
      </c>
    </row>
    <row r="116" spans="2:9">
      <c r="B116" s="36">
        <v>108</v>
      </c>
      <c r="C116" s="114">
        <v>9519378.9425326288</v>
      </c>
      <c r="D116" s="114">
        <v>21131288.749056861</v>
      </c>
      <c r="E116" s="114">
        <v>11864858.07833387</v>
      </c>
      <c r="F116" s="114">
        <v>17309617.442516148</v>
      </c>
      <c r="G116" s="114">
        <v>14108576.836456224</v>
      </c>
      <c r="H116" s="114">
        <v>1334574.6335121244</v>
      </c>
      <c r="I116" s="114">
        <v>13331875.814313367</v>
      </c>
    </row>
    <row r="117" spans="2:9">
      <c r="B117" s="36">
        <v>109</v>
      </c>
      <c r="C117" s="114">
        <v>27144904.259709075</v>
      </c>
      <c r="D117" s="114">
        <v>12675203.174346104</v>
      </c>
      <c r="E117" s="114">
        <v>14537630.791393057</v>
      </c>
      <c r="F117" s="114">
        <v>4940487.0911412239</v>
      </c>
      <c r="G117" s="114">
        <v>22118284.92323637</v>
      </c>
      <c r="H117" s="114">
        <v>5106359.0138535947</v>
      </c>
      <c r="I117" s="114">
        <v>-914927.29828062654</v>
      </c>
    </row>
    <row r="118" spans="2:9">
      <c r="B118" s="36">
        <v>110</v>
      </c>
      <c r="C118" s="114">
        <v>8468336.6815512031</v>
      </c>
      <c r="D118" s="114">
        <v>14646554.098543748</v>
      </c>
      <c r="E118" s="114">
        <v>23925216.677963451</v>
      </c>
      <c r="F118" s="114">
        <v>19515547.213973671</v>
      </c>
      <c r="G118" s="114">
        <v>8005776.3085213304</v>
      </c>
      <c r="H118" s="114">
        <v>5794237.1101431549</v>
      </c>
      <c r="I118" s="114">
        <v>7428202.2585111558</v>
      </c>
    </row>
    <row r="119" spans="2:9">
      <c r="B119" s="36">
        <v>111</v>
      </c>
      <c r="C119" s="114">
        <v>20609358.560895175</v>
      </c>
      <c r="D119" s="114">
        <v>12213647.306277141</v>
      </c>
      <c r="E119" s="114">
        <v>16723179.534233719</v>
      </c>
      <c r="F119" s="114">
        <v>3980850.250382632</v>
      </c>
      <c r="G119" s="114">
        <v>15375331.30367808</v>
      </c>
      <c r="H119" s="114">
        <v>8960121.3583433777</v>
      </c>
      <c r="I119" s="114">
        <v>-3419394.8406215608</v>
      </c>
    </row>
    <row r="120" spans="2:9">
      <c r="B120" s="36">
        <v>112</v>
      </c>
      <c r="C120" s="114">
        <v>23762075.930547342</v>
      </c>
      <c r="D120" s="114">
        <v>17265393.935196325</v>
      </c>
      <c r="E120" s="114">
        <v>12562899.369012773</v>
      </c>
      <c r="F120" s="114">
        <v>8904982.4512167722</v>
      </c>
      <c r="G120" s="114">
        <v>14435806.911154613</v>
      </c>
      <c r="H120" s="114">
        <v>8126647.7117525637</v>
      </c>
      <c r="I120" s="114">
        <v>5625212.9765172154</v>
      </c>
    </row>
    <row r="121" spans="2:9">
      <c r="B121" s="36">
        <v>113</v>
      </c>
      <c r="C121" s="114">
        <v>16751074.803828523</v>
      </c>
      <c r="D121" s="114">
        <v>17046402.620295778</v>
      </c>
      <c r="E121" s="114">
        <v>11363280.626212925</v>
      </c>
      <c r="F121" s="114">
        <v>10651838.953680813</v>
      </c>
      <c r="G121" s="114">
        <v>13430799.295732766</v>
      </c>
      <c r="H121" s="114">
        <v>-4480261.883426562</v>
      </c>
      <c r="I121" s="114">
        <v>8161986.9320639968</v>
      </c>
    </row>
    <row r="122" spans="2:9">
      <c r="B122" s="36">
        <v>114</v>
      </c>
      <c r="C122" s="114">
        <v>17434926.610377699</v>
      </c>
      <c r="D122" s="114">
        <v>20587851.444857016</v>
      </c>
      <c r="E122" s="114">
        <v>12639127.470237091</v>
      </c>
      <c r="F122" s="114">
        <v>8405864.9648392946</v>
      </c>
      <c r="G122" s="114">
        <v>9899192.743155092</v>
      </c>
      <c r="H122" s="114">
        <v>-828104.7520519644</v>
      </c>
      <c r="I122" s="114">
        <v>9750423.2597310841</v>
      </c>
    </row>
    <row r="123" spans="2:9">
      <c r="B123" s="36">
        <v>115</v>
      </c>
      <c r="C123" s="114">
        <v>20493480.875880376</v>
      </c>
      <c r="D123" s="114">
        <v>21289977.040901393</v>
      </c>
      <c r="E123" s="114">
        <v>12311464.978722155</v>
      </c>
      <c r="F123" s="114">
        <v>10262388.589867175</v>
      </c>
      <c r="G123" s="114">
        <v>12620821.441647127</v>
      </c>
      <c r="H123" s="114">
        <v>1038590.2767951787</v>
      </c>
      <c r="I123" s="114">
        <v>779591.99614265561</v>
      </c>
    </row>
    <row r="124" spans="2:9">
      <c r="B124" s="36">
        <v>116</v>
      </c>
      <c r="C124" s="114">
        <v>12506507.492327228</v>
      </c>
      <c r="D124" s="114">
        <v>18388199.554403007</v>
      </c>
      <c r="E124" s="114">
        <v>1460611.3150695115</v>
      </c>
      <c r="F124" s="114">
        <v>8498908.3802189827</v>
      </c>
      <c r="G124" s="114">
        <v>11730795.890417933</v>
      </c>
      <c r="H124" s="114">
        <v>3966509.9942405522</v>
      </c>
      <c r="I124" s="114">
        <v>5893152.2132951021</v>
      </c>
    </row>
    <row r="125" spans="2:9">
      <c r="B125" s="36">
        <v>117</v>
      </c>
      <c r="C125" s="114">
        <v>13391487.310381934</v>
      </c>
      <c r="D125" s="114">
        <v>16959798.166564927</v>
      </c>
      <c r="E125" s="114">
        <v>14489032.325613961</v>
      </c>
      <c r="F125" s="114">
        <v>14259789.234548047</v>
      </c>
      <c r="G125" s="114">
        <v>4852876.9430901855</v>
      </c>
      <c r="H125" s="114">
        <v>10039373.484533817</v>
      </c>
      <c r="I125" s="114">
        <v>4997429.043901965</v>
      </c>
    </row>
    <row r="126" spans="2:9">
      <c r="B126" s="36">
        <v>118</v>
      </c>
      <c r="C126" s="114">
        <v>24553563.305509821</v>
      </c>
      <c r="D126" s="114">
        <v>15118258.757569477</v>
      </c>
      <c r="E126" s="114">
        <v>19794632.824523643</v>
      </c>
      <c r="F126" s="114">
        <v>7706719.9568169415</v>
      </c>
      <c r="G126" s="114">
        <v>3751251.7159894556</v>
      </c>
      <c r="H126" s="114">
        <v>4907793.9987474829</v>
      </c>
      <c r="I126" s="114">
        <v>380165.70516885817</v>
      </c>
    </row>
    <row r="127" spans="2:9">
      <c r="B127" s="36">
        <v>119</v>
      </c>
      <c r="C127" s="114">
        <v>16424741.500058651</v>
      </c>
      <c r="D127" s="114">
        <v>32043233.670611784</v>
      </c>
      <c r="E127" s="114">
        <v>7098477.5464656353</v>
      </c>
      <c r="F127" s="114">
        <v>16657006.833566114</v>
      </c>
      <c r="G127" s="114">
        <v>12260662.357596084</v>
      </c>
      <c r="H127" s="114">
        <v>2377023.1997124553</v>
      </c>
      <c r="I127" s="114">
        <v>-2363935.7462435514</v>
      </c>
    </row>
    <row r="128" spans="2:9">
      <c r="B128" s="36">
        <v>120</v>
      </c>
      <c r="C128" s="114">
        <v>14133925.162473232</v>
      </c>
      <c r="D128" s="114">
        <v>17630865.370531887</v>
      </c>
      <c r="E128" s="114">
        <v>11807838.786147669</v>
      </c>
      <c r="F128" s="114">
        <v>11072929.464047626</v>
      </c>
      <c r="G128" s="114">
        <v>1247045.7171345949</v>
      </c>
      <c r="H128" s="114">
        <v>23638860.851743355</v>
      </c>
      <c r="I128" s="114">
        <v>10465497.305416584</v>
      </c>
    </row>
    <row r="129" spans="2:9">
      <c r="B129" s="36">
        <v>121</v>
      </c>
      <c r="C129" s="114">
        <v>23710036.569148719</v>
      </c>
      <c r="D129" s="114">
        <v>27356055.664469436</v>
      </c>
      <c r="E129" s="114">
        <v>18343042.737659767</v>
      </c>
      <c r="F129" s="114">
        <v>9945676.7938808948</v>
      </c>
      <c r="G129" s="114">
        <v>5866827.2165692896</v>
      </c>
      <c r="H129" s="114">
        <v>15422451.283105269</v>
      </c>
      <c r="I129" s="114">
        <v>10701987.710742459</v>
      </c>
    </row>
    <row r="130" spans="2:9">
      <c r="B130" s="36">
        <v>122</v>
      </c>
      <c r="C130" s="114">
        <v>11596147.07362929</v>
      </c>
      <c r="D130" s="114">
        <v>21044828.211203858</v>
      </c>
      <c r="E130" s="114">
        <v>19598035.333148777</v>
      </c>
      <c r="F130" s="114">
        <v>-6713516.1662824303</v>
      </c>
      <c r="G130" s="114">
        <v>5732778.0947830081</v>
      </c>
      <c r="H130" s="114">
        <v>5263169.1576767713</v>
      </c>
      <c r="I130" s="114">
        <v>80142.202343210578</v>
      </c>
    </row>
    <row r="131" spans="2:9">
      <c r="B131" s="36">
        <v>123</v>
      </c>
      <c r="C131" s="114">
        <v>11902648.979677349</v>
      </c>
      <c r="D131" s="114">
        <v>19660919.940411776</v>
      </c>
      <c r="E131" s="114">
        <v>19215120.936451361</v>
      </c>
      <c r="F131" s="114">
        <v>10272157.182614356</v>
      </c>
      <c r="G131" s="114">
        <v>8450970.7069815546</v>
      </c>
      <c r="H131" s="114">
        <v>1516573.7453907281</v>
      </c>
      <c r="I131" s="114">
        <v>4246031.8323370516</v>
      </c>
    </row>
    <row r="132" spans="2:9">
      <c r="B132" s="36">
        <v>124</v>
      </c>
      <c r="C132" s="114">
        <v>20927826.617609844</v>
      </c>
      <c r="D132" s="114">
        <v>17719640.936233208</v>
      </c>
      <c r="E132" s="114">
        <v>4608875.5619900078</v>
      </c>
      <c r="F132" s="114">
        <v>14823944.169899464</v>
      </c>
      <c r="G132" s="114">
        <v>14397580.335222691</v>
      </c>
      <c r="H132" s="114">
        <v>13475798.760598257</v>
      </c>
      <c r="I132" s="114">
        <v>1647831.3567301184</v>
      </c>
    </row>
    <row r="133" spans="2:9">
      <c r="B133" s="36">
        <v>125</v>
      </c>
      <c r="C133" s="114">
        <v>18556676.719765261</v>
      </c>
      <c r="D133" s="114">
        <v>19687074.20488134</v>
      </c>
      <c r="E133" s="114">
        <v>16208243.005663931</v>
      </c>
      <c r="F133" s="114">
        <v>411486.39354427159</v>
      </c>
      <c r="G133" s="114">
        <v>6535238.7271391451</v>
      </c>
      <c r="H133" s="114">
        <v>4611918.4067209661</v>
      </c>
      <c r="I133" s="114">
        <v>3358932.438206017</v>
      </c>
    </row>
    <row r="134" spans="2:9">
      <c r="B134" s="36">
        <v>126</v>
      </c>
      <c r="C134" s="114">
        <v>7829382.2402732223</v>
      </c>
      <c r="D134" s="114">
        <v>10071709.047274262</v>
      </c>
      <c r="E134" s="114">
        <v>13503101.651950091</v>
      </c>
      <c r="F134" s="114">
        <v>19145493.044738069</v>
      </c>
      <c r="G134" s="114">
        <v>12461967.436620578</v>
      </c>
      <c r="H134" s="114">
        <v>8545648.2368799448</v>
      </c>
      <c r="I134" s="114">
        <v>10399147.797464222</v>
      </c>
    </row>
    <row r="135" spans="2:9">
      <c r="B135" s="36">
        <v>127</v>
      </c>
      <c r="C135" s="114">
        <v>23612705.450697437</v>
      </c>
      <c r="D135" s="114">
        <v>10149109.873744324</v>
      </c>
      <c r="E135" s="114">
        <v>20881455.772033244</v>
      </c>
      <c r="F135" s="114">
        <v>15618303.267020434</v>
      </c>
      <c r="G135" s="114">
        <v>1428221.4331743121</v>
      </c>
      <c r="H135" s="114">
        <v>6824471.1943989992</v>
      </c>
      <c r="I135" s="114">
        <v>12543928.641701519</v>
      </c>
    </row>
    <row r="136" spans="2:9">
      <c r="B136" s="36">
        <v>128</v>
      </c>
      <c r="C136" s="114">
        <v>19894217.425085455</v>
      </c>
      <c r="D136" s="114">
        <v>1225345.3410571516</v>
      </c>
      <c r="E136" s="114">
        <v>12261567.870578691</v>
      </c>
      <c r="F136" s="114">
        <v>10872734.638077751</v>
      </c>
      <c r="G136" s="114">
        <v>3311835.8355046064</v>
      </c>
      <c r="H136" s="114">
        <v>-1029174.3194338381</v>
      </c>
      <c r="I136" s="114">
        <v>13707687.804135874</v>
      </c>
    </row>
    <row r="137" spans="2:9">
      <c r="B137" s="36">
        <v>129</v>
      </c>
      <c r="C137" s="114">
        <v>23317640.345728114</v>
      </c>
      <c r="D137" s="114">
        <v>9950861.6883118004</v>
      </c>
      <c r="E137" s="114">
        <v>18503886.316862211</v>
      </c>
      <c r="F137" s="114">
        <v>11422820.09366776</v>
      </c>
      <c r="G137" s="114">
        <v>11224470.167281866</v>
      </c>
      <c r="H137" s="114">
        <v>-1723941.2079913616</v>
      </c>
      <c r="I137" s="114">
        <v>10502911.293983668</v>
      </c>
    </row>
    <row r="138" spans="2:9">
      <c r="B138" s="36">
        <v>130</v>
      </c>
      <c r="C138" s="114">
        <v>14013719.584887952</v>
      </c>
      <c r="D138" s="114">
        <v>15853689.197451577</v>
      </c>
      <c r="E138" s="114">
        <v>14294969.03507328</v>
      </c>
      <c r="F138" s="114">
        <v>17714478.069164485</v>
      </c>
      <c r="G138" s="114">
        <v>21347889.543360412</v>
      </c>
      <c r="H138" s="114">
        <v>5424666.0568583459</v>
      </c>
      <c r="I138" s="114">
        <v>4030460.863405332</v>
      </c>
    </row>
    <row r="139" spans="2:9">
      <c r="B139" s="36">
        <v>131</v>
      </c>
      <c r="C139" s="114">
        <v>1424879.2476332188</v>
      </c>
      <c r="D139" s="114">
        <v>14342404.452995464</v>
      </c>
      <c r="E139" s="114">
        <v>12284723.051570997</v>
      </c>
      <c r="F139" s="114">
        <v>15114176.882801577</v>
      </c>
      <c r="G139" s="114">
        <v>502902.6714977473</v>
      </c>
      <c r="H139" s="114">
        <v>-4107247.8858162463</v>
      </c>
      <c r="I139" s="114">
        <v>1119230.8494795263</v>
      </c>
    </row>
    <row r="140" spans="2:9">
      <c r="B140" s="36">
        <v>132</v>
      </c>
      <c r="C140" s="114">
        <v>24661627.877159804</v>
      </c>
      <c r="D140" s="114">
        <v>16246956.982493043</v>
      </c>
      <c r="E140" s="114">
        <v>-109007.51348541677</v>
      </c>
      <c r="F140" s="114">
        <v>15259730.727248847</v>
      </c>
      <c r="G140" s="114">
        <v>11322624.124807045</v>
      </c>
      <c r="H140" s="114">
        <v>-3031270.01846762</v>
      </c>
      <c r="I140" s="114">
        <v>4514250.6011628062</v>
      </c>
    </row>
    <row r="141" spans="2:9">
      <c r="B141" s="36">
        <v>133</v>
      </c>
      <c r="C141" s="114">
        <v>13159538.11792697</v>
      </c>
      <c r="D141" s="114">
        <v>8356063.3551612794</v>
      </c>
      <c r="E141" s="114">
        <v>-267299.99205422401</v>
      </c>
      <c r="F141" s="114">
        <v>7408749.2588197142</v>
      </c>
      <c r="G141" s="114">
        <v>11204976.814910486</v>
      </c>
      <c r="H141" s="114">
        <v>-1925734.6424687803</v>
      </c>
      <c r="I141" s="114">
        <v>-874903.98417061567</v>
      </c>
    </row>
    <row r="142" spans="2:9">
      <c r="B142" s="36">
        <v>134</v>
      </c>
      <c r="C142" s="114">
        <v>8294274.9043394327</v>
      </c>
      <c r="D142" s="114">
        <v>24148618.799886823</v>
      </c>
      <c r="E142" s="114">
        <v>7823273.0510471314</v>
      </c>
      <c r="F142" s="114">
        <v>-1079900.4111820906</v>
      </c>
      <c r="G142" s="114">
        <v>2265379.475144133</v>
      </c>
      <c r="H142" s="114">
        <v>9441809.0658836365</v>
      </c>
      <c r="I142" s="114">
        <v>-10436295.043594539</v>
      </c>
    </row>
    <row r="143" spans="2:9">
      <c r="B143" s="36">
        <v>135</v>
      </c>
      <c r="C143" s="114">
        <v>15128780.450836733</v>
      </c>
      <c r="D143" s="114">
        <v>13321800.47274287</v>
      </c>
      <c r="E143" s="114">
        <v>10201337.820822015</v>
      </c>
      <c r="F143" s="114">
        <v>9908863.1445873678</v>
      </c>
      <c r="G143" s="114">
        <v>-25431.479768723249</v>
      </c>
      <c r="H143" s="114">
        <v>9651526.1671972573</v>
      </c>
      <c r="I143" s="114">
        <v>5756730.6175198108</v>
      </c>
    </row>
    <row r="144" spans="2:9">
      <c r="B144" s="36">
        <v>136</v>
      </c>
      <c r="C144" s="114">
        <v>20558441.213820711</v>
      </c>
      <c r="D144" s="114">
        <v>12318289.263648048</v>
      </c>
      <c r="E144" s="114">
        <v>21545632.278658256</v>
      </c>
      <c r="F144" s="114">
        <v>7582756.586313799</v>
      </c>
      <c r="G144" s="114">
        <v>3604152.8738897592</v>
      </c>
      <c r="H144" s="114">
        <v>9501107.9948444217</v>
      </c>
      <c r="I144" s="114">
        <v>17012463.732288405</v>
      </c>
    </row>
    <row r="145" spans="2:9">
      <c r="B145" s="36">
        <v>137</v>
      </c>
      <c r="C145" s="114">
        <v>16250511.48832272</v>
      </c>
      <c r="D145" s="114">
        <v>8479214.7860632241</v>
      </c>
      <c r="E145" s="114">
        <v>20443109.052549854</v>
      </c>
      <c r="F145" s="114">
        <v>6721289.3773664981</v>
      </c>
      <c r="G145" s="114">
        <v>8349131.9451899678</v>
      </c>
      <c r="H145" s="114">
        <v>3146649.3855767846</v>
      </c>
      <c r="I145" s="114">
        <v>6036280.2217959613</v>
      </c>
    </row>
    <row r="146" spans="2:9">
      <c r="B146" s="36">
        <v>138</v>
      </c>
      <c r="C146" s="114">
        <v>14581311.978880614</v>
      </c>
      <c r="D146" s="114">
        <v>15382252.041594356</v>
      </c>
      <c r="E146" s="114">
        <v>17408018.839315727</v>
      </c>
      <c r="F146" s="114">
        <v>5383731.8469663262</v>
      </c>
      <c r="G146" s="114">
        <v>17329274.373453692</v>
      </c>
      <c r="H146" s="114">
        <v>8999783.8737380654</v>
      </c>
      <c r="I146" s="114">
        <v>10819954.466687202</v>
      </c>
    </row>
    <row r="147" spans="2:9">
      <c r="B147" s="36">
        <v>139</v>
      </c>
      <c r="C147" s="114">
        <v>13035466.838202178</v>
      </c>
      <c r="D147" s="114">
        <v>16662022.368759722</v>
      </c>
      <c r="E147" s="114">
        <v>18093244.417925224</v>
      </c>
      <c r="F147" s="114">
        <v>19642069.602011845</v>
      </c>
      <c r="G147" s="114">
        <v>14098220.775574729</v>
      </c>
      <c r="H147" s="114">
        <v>-3922793.5350640863</v>
      </c>
      <c r="I147" s="114">
        <v>9721555.0628069937</v>
      </c>
    </row>
    <row r="148" spans="2:9">
      <c r="B148" s="36">
        <v>140</v>
      </c>
      <c r="C148" s="114">
        <v>20288396.263567716</v>
      </c>
      <c r="D148" s="114">
        <v>12943345.370755687</v>
      </c>
      <c r="E148" s="114">
        <v>3360807.2799266428</v>
      </c>
      <c r="F148" s="114">
        <v>12822760.291907832</v>
      </c>
      <c r="G148" s="114">
        <v>13500466.648145288</v>
      </c>
      <c r="H148" s="114">
        <v>14491667.545269579</v>
      </c>
      <c r="I148" s="114">
        <v>-5787969.310348317</v>
      </c>
    </row>
    <row r="149" spans="2:9">
      <c r="B149" s="36">
        <v>141</v>
      </c>
      <c r="C149" s="114">
        <v>15412397.365510955</v>
      </c>
      <c r="D149" s="114">
        <v>10198560.8105205</v>
      </c>
      <c r="E149" s="114">
        <v>11919856.840149552</v>
      </c>
      <c r="F149" s="114">
        <v>2472326.9976899773</v>
      </c>
      <c r="G149" s="114">
        <v>7751480.1346313059</v>
      </c>
      <c r="H149" s="114">
        <v>89266.967759013176</v>
      </c>
      <c r="I149" s="114">
        <v>6434162.9243741333</v>
      </c>
    </row>
    <row r="150" spans="2:9">
      <c r="B150" s="36">
        <v>142</v>
      </c>
      <c r="C150" s="114">
        <v>15520188.655255347</v>
      </c>
      <c r="D150" s="114">
        <v>15040077.471122891</v>
      </c>
      <c r="E150" s="114">
        <v>19982921.758094624</v>
      </c>
      <c r="F150" s="114">
        <v>14221107.872998312</v>
      </c>
      <c r="G150" s="114">
        <v>10222354.321512058</v>
      </c>
      <c r="H150" s="114">
        <v>5297495.2551762909</v>
      </c>
      <c r="I150" s="114">
        <v>23593090.050014466</v>
      </c>
    </row>
    <row r="151" spans="2:9">
      <c r="B151" s="36">
        <v>143</v>
      </c>
      <c r="C151" s="114">
        <v>15610493.276622057</v>
      </c>
      <c r="D151" s="114">
        <v>15825572.714336604</v>
      </c>
      <c r="E151" s="114">
        <v>16061701.639476657</v>
      </c>
      <c r="F151" s="114">
        <v>7468653.8298257738</v>
      </c>
      <c r="G151" s="114">
        <v>-4968179.5910186917</v>
      </c>
      <c r="H151" s="114">
        <v>11661798.567029446</v>
      </c>
      <c r="I151" s="114">
        <v>-8656407.9583243132</v>
      </c>
    </row>
    <row r="152" spans="2:9">
      <c r="B152" s="36">
        <v>144</v>
      </c>
      <c r="C152" s="114">
        <v>19699511.959562019</v>
      </c>
      <c r="D152" s="114">
        <v>23144720.435208946</v>
      </c>
      <c r="E152" s="114">
        <v>10527628.774425298</v>
      </c>
      <c r="F152" s="114">
        <v>9967432.5464478135</v>
      </c>
      <c r="G152" s="114">
        <v>6726043.6529628783</v>
      </c>
      <c r="H152" s="114">
        <v>6227749.7226054817</v>
      </c>
      <c r="I152" s="114">
        <v>105770.98636366427</v>
      </c>
    </row>
    <row r="153" spans="2:9">
      <c r="B153" s="36">
        <v>145</v>
      </c>
      <c r="C153" s="114">
        <v>25636635.300101474</v>
      </c>
      <c r="D153" s="114">
        <v>14698319.715238184</v>
      </c>
      <c r="E153" s="114">
        <v>14586285.44459714</v>
      </c>
      <c r="F153" s="114">
        <v>12824592.223399982</v>
      </c>
      <c r="G153" s="114">
        <v>-145127.41490010917</v>
      </c>
      <c r="H153" s="114">
        <v>8279508.0234605819</v>
      </c>
      <c r="I153" s="114">
        <v>15314163.601826966</v>
      </c>
    </row>
    <row r="154" spans="2:9">
      <c r="B154" s="36">
        <v>146</v>
      </c>
      <c r="C154" s="114">
        <v>18563691.360987693</v>
      </c>
      <c r="D154" s="114">
        <v>11569223.462372467</v>
      </c>
      <c r="E154" s="114">
        <v>10061903.940567315</v>
      </c>
      <c r="F154" s="114">
        <v>7864164.7078340501</v>
      </c>
      <c r="G154" s="114">
        <v>10301122.02565898</v>
      </c>
      <c r="H154" s="114">
        <v>1158480.8580442816</v>
      </c>
      <c r="I154" s="114">
        <v>12872282.709947065</v>
      </c>
    </row>
    <row r="155" spans="2:9">
      <c r="B155" s="36">
        <v>147</v>
      </c>
      <c r="C155" s="114">
        <v>22190188.976517975</v>
      </c>
      <c r="D155" s="114">
        <v>20147588.38569738</v>
      </c>
      <c r="E155" s="114">
        <v>14068138.517743409</v>
      </c>
      <c r="F155" s="114">
        <v>9454427.1420916319</v>
      </c>
      <c r="G155" s="114">
        <v>11157850.504665002</v>
      </c>
      <c r="H155" s="114">
        <v>183290.13383993506</v>
      </c>
      <c r="I155" s="114">
        <v>-2640075.6370197535</v>
      </c>
    </row>
    <row r="156" spans="2:9">
      <c r="B156" s="36">
        <v>148</v>
      </c>
      <c r="C156" s="114">
        <v>2568723.0825847387</v>
      </c>
      <c r="D156" s="114">
        <v>13450636.470481396</v>
      </c>
      <c r="E156" s="114">
        <v>10382094.372050568</v>
      </c>
      <c r="F156" s="114">
        <v>11322655.554945096</v>
      </c>
      <c r="G156" s="114">
        <v>10222725.97889939</v>
      </c>
      <c r="H156" s="114">
        <v>6935238.5456594974</v>
      </c>
      <c r="I156" s="114">
        <v>-1936508.502292946</v>
      </c>
    </row>
    <row r="157" spans="2:9">
      <c r="B157" s="36">
        <v>149</v>
      </c>
      <c r="C157" s="114">
        <v>3192768.4284012765</v>
      </c>
      <c r="D157" s="114">
        <v>14928475.515452296</v>
      </c>
      <c r="E157" s="114">
        <v>12622411.813905567</v>
      </c>
      <c r="F157" s="114">
        <v>13396655.650204793</v>
      </c>
      <c r="G157" s="114">
        <v>3596054.7772240639</v>
      </c>
      <c r="H157" s="114">
        <v>-1034988.5641856045</v>
      </c>
      <c r="I157" s="114">
        <v>9173822.7069373876</v>
      </c>
    </row>
    <row r="158" spans="2:9">
      <c r="B158" s="36">
        <v>150</v>
      </c>
      <c r="C158" s="114">
        <v>7876437.245920822</v>
      </c>
      <c r="D158" s="114">
        <v>20503580.893077716</v>
      </c>
      <c r="E158" s="114">
        <v>11317788.495371267</v>
      </c>
      <c r="F158" s="114">
        <v>20695392.317199796</v>
      </c>
      <c r="G158" s="114">
        <v>10881499.840354487</v>
      </c>
      <c r="H158" s="114">
        <v>10976959.856505468</v>
      </c>
      <c r="I158" s="114">
        <v>6036232.072380513</v>
      </c>
    </row>
    <row r="159" spans="2:9">
      <c r="B159" s="36">
        <v>151</v>
      </c>
      <c r="C159" s="114">
        <v>26071537.218325689</v>
      </c>
      <c r="D159" s="114">
        <v>13118347.58731778</v>
      </c>
      <c r="E159" s="114">
        <v>6193994.4021037966</v>
      </c>
      <c r="F159" s="114">
        <v>11609489.130752161</v>
      </c>
      <c r="G159" s="114">
        <v>9339339.6378744543</v>
      </c>
      <c r="H159" s="114">
        <v>5837223.6971668899</v>
      </c>
      <c r="I159" s="114">
        <v>1200972.5113085061</v>
      </c>
    </row>
    <row r="160" spans="2:9">
      <c r="B160" s="36">
        <v>152</v>
      </c>
      <c r="C160" s="114">
        <v>18322795.949418768</v>
      </c>
      <c r="D160" s="114">
        <v>20565452.467032284</v>
      </c>
      <c r="E160" s="114">
        <v>10946515.080150127</v>
      </c>
      <c r="F160" s="114">
        <v>19771010.060097665</v>
      </c>
      <c r="G160" s="114">
        <v>2125884.4175839573</v>
      </c>
      <c r="H160" s="114">
        <v>-1205783.2224813104</v>
      </c>
      <c r="I160" s="114">
        <v>4443017.528787896</v>
      </c>
    </row>
    <row r="161" spans="2:9">
      <c r="B161" s="36">
        <v>153</v>
      </c>
      <c r="C161" s="114">
        <v>26757513.113008142</v>
      </c>
      <c r="D161" s="114">
        <v>18239749.057456374</v>
      </c>
      <c r="E161" s="114">
        <v>8500727.4534948766</v>
      </c>
      <c r="F161" s="114">
        <v>14281515.539354369</v>
      </c>
      <c r="G161" s="114">
        <v>2905556.0536511838</v>
      </c>
      <c r="H161" s="114">
        <v>5459288.3946905583</v>
      </c>
      <c r="I161" s="114">
        <v>4712749.9871095717</v>
      </c>
    </row>
    <row r="162" spans="2:9">
      <c r="B162" s="36">
        <v>154</v>
      </c>
      <c r="C162" s="114">
        <v>17386404.712752759</v>
      </c>
      <c r="D162" s="114">
        <v>20890149.379157022</v>
      </c>
      <c r="E162" s="114">
        <v>7381686.2551082373</v>
      </c>
      <c r="F162" s="114">
        <v>-560488.94732217491</v>
      </c>
      <c r="G162" s="114">
        <v>6273661.1105245948</v>
      </c>
      <c r="H162" s="114">
        <v>6572118.0322127193</v>
      </c>
      <c r="I162" s="114">
        <v>12362864.911451206</v>
      </c>
    </row>
    <row r="163" spans="2:9">
      <c r="B163" s="36">
        <v>155</v>
      </c>
      <c r="C163" s="114">
        <v>16751768.586304471</v>
      </c>
      <c r="D163" s="114">
        <v>15270316.883835122</v>
      </c>
      <c r="E163" s="114">
        <v>8071063.5030180663</v>
      </c>
      <c r="F163" s="114">
        <v>23667985.355183333</v>
      </c>
      <c r="G163" s="114">
        <v>8635915.8540388942</v>
      </c>
      <c r="H163" s="114">
        <v>-242073.34531928599</v>
      </c>
      <c r="I163" s="114">
        <v>9196494.8056992739</v>
      </c>
    </row>
    <row r="164" spans="2:9">
      <c r="B164" s="36">
        <v>156</v>
      </c>
      <c r="C164" s="114">
        <v>23320758.845101967</v>
      </c>
      <c r="D164" s="114">
        <v>6380043.3248804063</v>
      </c>
      <c r="E164" s="114">
        <v>5560323.3280148804</v>
      </c>
      <c r="F164" s="114">
        <v>18103974.912142888</v>
      </c>
      <c r="G164" s="114">
        <v>6410644.2667449266</v>
      </c>
      <c r="H164" s="114">
        <v>6918757.0012217015</v>
      </c>
      <c r="I164" s="114">
        <v>14694231.860621631</v>
      </c>
    </row>
    <row r="165" spans="2:9">
      <c r="B165" s="36">
        <v>157</v>
      </c>
      <c r="C165" s="114">
        <v>15440796.623951435</v>
      </c>
      <c r="D165" s="114">
        <v>16228980.186003894</v>
      </c>
      <c r="E165" s="114">
        <v>20826486.082092047</v>
      </c>
      <c r="F165" s="114">
        <v>7720656.7955947518</v>
      </c>
      <c r="G165" s="114">
        <v>704489.72250960767</v>
      </c>
      <c r="H165" s="114">
        <v>2199339.4686667621</v>
      </c>
      <c r="I165" s="114">
        <v>-188329.19625322521</v>
      </c>
    </row>
    <row r="166" spans="2:9">
      <c r="B166" s="36">
        <v>158</v>
      </c>
      <c r="C166" s="114">
        <v>17464316.734796107</v>
      </c>
      <c r="D166" s="114">
        <v>16595664.3946082</v>
      </c>
      <c r="E166" s="114">
        <v>6914234.6080646217</v>
      </c>
      <c r="F166" s="114">
        <v>4740543.7357069403</v>
      </c>
      <c r="G166" s="114">
        <v>14981687.595786184</v>
      </c>
      <c r="H166" s="114">
        <v>5862596.9515950382</v>
      </c>
      <c r="I166" s="114">
        <v>6161513.3695207685</v>
      </c>
    </row>
    <row r="167" spans="2:9">
      <c r="B167" s="36">
        <v>159</v>
      </c>
      <c r="C167" s="114">
        <v>18766753.593357891</v>
      </c>
      <c r="D167" s="114">
        <v>16662096.127188042</v>
      </c>
      <c r="E167" s="114">
        <v>13586869.860951737</v>
      </c>
      <c r="F167" s="114">
        <v>9859121.8629500866</v>
      </c>
      <c r="G167" s="114">
        <v>11096001.166227505</v>
      </c>
      <c r="H167" s="114">
        <v>-2793593.8257698417</v>
      </c>
      <c r="I167" s="114">
        <v>5972836.3367737979</v>
      </c>
    </row>
    <row r="168" spans="2:9">
      <c r="B168" s="36">
        <v>160</v>
      </c>
      <c r="C168" s="114">
        <v>10109338.134262249</v>
      </c>
      <c r="D168" s="114">
        <v>13939653.068919018</v>
      </c>
      <c r="E168" s="114">
        <v>23695036.41961123</v>
      </c>
      <c r="F168" s="114">
        <v>15845887.420797348</v>
      </c>
      <c r="G168" s="114">
        <v>10207660.558094144</v>
      </c>
      <c r="H168" s="114">
        <v>3706705.0421729386</v>
      </c>
      <c r="I168" s="114">
        <v>-4730524.97388421</v>
      </c>
    </row>
    <row r="169" spans="2:9">
      <c r="B169" s="36">
        <v>161</v>
      </c>
      <c r="C169" s="114">
        <v>7282889.115964964</v>
      </c>
      <c r="D169" s="114">
        <v>16614174.198493555</v>
      </c>
      <c r="E169" s="114">
        <v>18142441.493080392</v>
      </c>
      <c r="F169" s="114">
        <v>7297135.2059703022</v>
      </c>
      <c r="G169" s="114">
        <v>14002561.58158201</v>
      </c>
      <c r="H169" s="114">
        <v>10099653.369147971</v>
      </c>
      <c r="I169" s="114">
        <v>77247.553067371249</v>
      </c>
    </row>
    <row r="170" spans="2:9">
      <c r="B170" s="36">
        <v>162</v>
      </c>
      <c r="C170" s="114">
        <v>13067252.363950372</v>
      </c>
      <c r="D170" s="114">
        <v>12048801.587390572</v>
      </c>
      <c r="E170" s="114">
        <v>12817716.477402702</v>
      </c>
      <c r="F170" s="114">
        <v>9364027.9440309107</v>
      </c>
      <c r="G170" s="114">
        <v>4340861.1816643924</v>
      </c>
      <c r="H170" s="114">
        <v>3782157.8832676411</v>
      </c>
      <c r="I170" s="114">
        <v>11449935.929740131</v>
      </c>
    </row>
    <row r="171" spans="2:9">
      <c r="B171" s="36">
        <v>163</v>
      </c>
      <c r="C171" s="114">
        <v>6128474.1886295378</v>
      </c>
      <c r="D171" s="114">
        <v>13783011.896260068</v>
      </c>
      <c r="E171" s="114">
        <v>9211467.6558420509</v>
      </c>
      <c r="F171" s="114">
        <v>12162835.651479959</v>
      </c>
      <c r="G171" s="114">
        <v>17143076.270657763</v>
      </c>
      <c r="H171" s="114">
        <v>-2287839.6071641445</v>
      </c>
      <c r="I171" s="114">
        <v>-1179475.9558684528</v>
      </c>
    </row>
    <row r="172" spans="2:9">
      <c r="B172" s="36">
        <v>164</v>
      </c>
      <c r="C172" s="114">
        <v>9404040.2329571098</v>
      </c>
      <c r="D172" s="114">
        <v>10179066.02194494</v>
      </c>
      <c r="E172" s="114">
        <v>9506245.9792940617</v>
      </c>
      <c r="F172" s="114">
        <v>12206335.943128079</v>
      </c>
      <c r="G172" s="114">
        <v>8614159.6666980386</v>
      </c>
      <c r="H172" s="114">
        <v>11594713.79317902</v>
      </c>
      <c r="I172" s="114">
        <v>10247959.179582551</v>
      </c>
    </row>
    <row r="173" spans="2:9">
      <c r="B173" s="36">
        <v>165</v>
      </c>
      <c r="C173" s="114">
        <v>12529528.292032897</v>
      </c>
      <c r="D173" s="114">
        <v>19713538.056436539</v>
      </c>
      <c r="E173" s="114">
        <v>4182965.3448141813</v>
      </c>
      <c r="F173" s="114">
        <v>4730205.306031853</v>
      </c>
      <c r="G173" s="114">
        <v>9442882.1732858866</v>
      </c>
      <c r="H173" s="114">
        <v>17508860.713584051</v>
      </c>
      <c r="I173" s="114">
        <v>3490263.3414603323</v>
      </c>
    </row>
    <row r="174" spans="2:9">
      <c r="B174" s="36">
        <v>166</v>
      </c>
      <c r="C174" s="114">
        <v>15161691.72108677</v>
      </c>
      <c r="D174" s="114">
        <v>19880055.627775595</v>
      </c>
      <c r="E174" s="114">
        <v>13845161.897382006</v>
      </c>
      <c r="F174" s="114">
        <v>19669553.591505051</v>
      </c>
      <c r="G174" s="114">
        <v>8000705.3922371864</v>
      </c>
      <c r="H174" s="114">
        <v>13220509.436105371</v>
      </c>
      <c r="I174" s="114">
        <v>-952866.90878652036</v>
      </c>
    </row>
    <row r="175" spans="2:9">
      <c r="B175" s="36">
        <v>167</v>
      </c>
      <c r="C175" s="114">
        <v>10647797.37996766</v>
      </c>
      <c r="D175" s="114">
        <v>3882369.7616606653</v>
      </c>
      <c r="E175" s="114">
        <v>13663499.625342786</v>
      </c>
      <c r="F175" s="114">
        <v>14280534.89890191</v>
      </c>
      <c r="G175" s="114">
        <v>3508475.5301227123</v>
      </c>
      <c r="H175" s="114">
        <v>9198162.7813972235</v>
      </c>
      <c r="I175" s="114">
        <v>683077.81879472733</v>
      </c>
    </row>
    <row r="176" spans="2:9">
      <c r="B176" s="36">
        <v>168</v>
      </c>
      <c r="C176" s="114">
        <v>14759653.134674683</v>
      </c>
      <c r="D176" s="114">
        <v>14090326.607904047</v>
      </c>
      <c r="E176" s="114">
        <v>16892220.058316663</v>
      </c>
      <c r="F176" s="114">
        <v>16885425.850417107</v>
      </c>
      <c r="G176" s="114">
        <v>8979181.3141322881</v>
      </c>
      <c r="H176" s="114">
        <v>3537345.0765127391</v>
      </c>
      <c r="I176" s="114">
        <v>7811002.8162130564</v>
      </c>
    </row>
    <row r="177" spans="2:9">
      <c r="B177" s="36">
        <v>169</v>
      </c>
      <c r="C177" s="114">
        <v>26983853.005304322</v>
      </c>
      <c r="D177" s="114">
        <v>16911604.197611392</v>
      </c>
      <c r="E177" s="114">
        <v>4809668.0386463702</v>
      </c>
      <c r="F177" s="114">
        <v>10060963.775542557</v>
      </c>
      <c r="G177" s="114">
        <v>11196912.099174663</v>
      </c>
      <c r="H177" s="114">
        <v>12840910.10078001</v>
      </c>
      <c r="I177" s="114">
        <v>3013156.7946225703</v>
      </c>
    </row>
    <row r="178" spans="2:9">
      <c r="B178" s="36">
        <v>170</v>
      </c>
      <c r="C178" s="114">
        <v>7644313.823529616</v>
      </c>
      <c r="D178" s="114">
        <v>11337543.907010064</v>
      </c>
      <c r="E178" s="114">
        <v>11605055.678455368</v>
      </c>
      <c r="F178" s="114">
        <v>8382740.5030699372</v>
      </c>
      <c r="G178" s="114">
        <v>7834751.1027912945</v>
      </c>
      <c r="H178" s="114">
        <v>11512925.284452751</v>
      </c>
      <c r="I178" s="114">
        <v>1956148.2453712076</v>
      </c>
    </row>
    <row r="179" spans="2:9">
      <c r="B179" s="36">
        <v>171</v>
      </c>
      <c r="C179" s="114">
        <v>24213835.774256304</v>
      </c>
      <c r="D179" s="114">
        <v>5551443.9994831085</v>
      </c>
      <c r="E179" s="114">
        <v>14265507.400994331</v>
      </c>
      <c r="F179" s="114">
        <v>27671815.727214068</v>
      </c>
      <c r="G179" s="114">
        <v>93997.98276989162</v>
      </c>
      <c r="H179" s="114">
        <v>5531457.0823820531</v>
      </c>
      <c r="I179" s="114">
        <v>-360543.23477761447</v>
      </c>
    </row>
    <row r="180" spans="2:9">
      <c r="B180" s="36">
        <v>172</v>
      </c>
      <c r="C180" s="114">
        <v>12396417.581100062</v>
      </c>
      <c r="D180" s="114">
        <v>26416775.497481376</v>
      </c>
      <c r="E180" s="114">
        <v>24144139.082265452</v>
      </c>
      <c r="F180" s="114">
        <v>8784412.0522277206</v>
      </c>
      <c r="G180" s="114">
        <v>16540287.391218826</v>
      </c>
      <c r="H180" s="114">
        <v>-586821.97499035299</v>
      </c>
      <c r="I180" s="114">
        <v>-2417403.3198925704</v>
      </c>
    </row>
    <row r="181" spans="2:9">
      <c r="B181" s="36">
        <v>173</v>
      </c>
      <c r="C181" s="114">
        <v>17737455.381559089</v>
      </c>
      <c r="D181" s="114">
        <v>-618294.91983340681</v>
      </c>
      <c r="E181" s="114">
        <v>9867655.6163726598</v>
      </c>
      <c r="F181" s="114">
        <v>6512138.0571335554</v>
      </c>
      <c r="G181" s="114">
        <v>18975773.039473221</v>
      </c>
      <c r="H181" s="114">
        <v>2687542.7732868791</v>
      </c>
      <c r="I181" s="114">
        <v>2974668.9195071012</v>
      </c>
    </row>
    <row r="182" spans="2:9">
      <c r="B182" s="36">
        <v>174</v>
      </c>
      <c r="C182" s="114">
        <v>17598855.93754077</v>
      </c>
      <c r="D182" s="114">
        <v>3852881.1335492581</v>
      </c>
      <c r="E182" s="114">
        <v>7626663.9181801528</v>
      </c>
      <c r="F182" s="114">
        <v>18741709.840615094</v>
      </c>
      <c r="G182" s="114">
        <v>5722428.1732947379</v>
      </c>
      <c r="H182" s="114">
        <v>11863936.449714378</v>
      </c>
      <c r="I182" s="114">
        <v>2046893.6322682053</v>
      </c>
    </row>
    <row r="183" spans="2:9">
      <c r="B183" s="36">
        <v>175</v>
      </c>
      <c r="C183" s="114">
        <v>9448256.3122090399</v>
      </c>
      <c r="D183" s="114">
        <v>15525101.793792143</v>
      </c>
      <c r="E183" s="114">
        <v>10149371.404216319</v>
      </c>
      <c r="F183" s="114">
        <v>10421182.7350761</v>
      </c>
      <c r="G183" s="114">
        <v>6451851.7136941552</v>
      </c>
      <c r="H183" s="114">
        <v>4035179.3522032648</v>
      </c>
      <c r="I183" s="114">
        <v>9879250.206493631</v>
      </c>
    </row>
    <row r="184" spans="2:9">
      <c r="B184" s="36">
        <v>176</v>
      </c>
      <c r="C184" s="114">
        <v>10173059.137884632</v>
      </c>
      <c r="D184" s="114">
        <v>3400182.2016929984</v>
      </c>
      <c r="E184" s="114">
        <v>6545390.4623407423</v>
      </c>
      <c r="F184" s="114">
        <v>12668442.628384739</v>
      </c>
      <c r="G184" s="114">
        <v>10913838.43997559</v>
      </c>
      <c r="H184" s="114">
        <v>5320701.1239094883</v>
      </c>
      <c r="I184" s="114">
        <v>8294078.7226685882</v>
      </c>
    </row>
    <row r="185" spans="2:9">
      <c r="B185" s="36">
        <v>177</v>
      </c>
      <c r="C185" s="114">
        <v>16666853.280469209</v>
      </c>
      <c r="D185" s="114">
        <v>19390736.69891794</v>
      </c>
      <c r="E185" s="114">
        <v>4633814.0568864346</v>
      </c>
      <c r="F185" s="114">
        <v>-67576.274089440703</v>
      </c>
      <c r="G185" s="114">
        <v>9333462.5217402279</v>
      </c>
      <c r="H185" s="114">
        <v>13467657.258081064</v>
      </c>
      <c r="I185" s="114">
        <v>-415513.37562058866</v>
      </c>
    </row>
    <row r="186" spans="2:9">
      <c r="B186" s="36">
        <v>178</v>
      </c>
      <c r="C186" s="114">
        <v>17086533.250857636</v>
      </c>
      <c r="D186" s="114">
        <v>12886800.157077596</v>
      </c>
      <c r="E186" s="114">
        <v>6320953.4134854078</v>
      </c>
      <c r="F186" s="114">
        <v>7519890.7285184562</v>
      </c>
      <c r="G186" s="114">
        <v>9489317.2214556485</v>
      </c>
      <c r="H186" s="114">
        <v>-11453230.320893988</v>
      </c>
      <c r="I186" s="114">
        <v>-10682116.90527311</v>
      </c>
    </row>
    <row r="187" spans="2:9">
      <c r="B187" s="36">
        <v>179</v>
      </c>
      <c r="C187" s="114">
        <v>28709231.195124879</v>
      </c>
      <c r="D187" s="114">
        <v>27249267.416662961</v>
      </c>
      <c r="E187" s="114">
        <v>14981483.146921396</v>
      </c>
      <c r="F187" s="114">
        <v>6356800.7208341211</v>
      </c>
      <c r="G187" s="114">
        <v>5772787.9124130309</v>
      </c>
      <c r="H187" s="114">
        <v>16520693.378165022</v>
      </c>
      <c r="I187" s="114">
        <v>14205387.340400726</v>
      </c>
    </row>
    <row r="188" spans="2:9">
      <c r="B188" s="36">
        <v>180</v>
      </c>
      <c r="C188" s="114">
        <v>24861934.25401184</v>
      </c>
      <c r="D188" s="114">
        <v>14540689.270424128</v>
      </c>
      <c r="E188" s="114">
        <v>22631478.840821162</v>
      </c>
      <c r="F188" s="114">
        <v>18439788.784263089</v>
      </c>
      <c r="G188" s="114">
        <v>6239977.5696397424</v>
      </c>
      <c r="H188" s="114">
        <v>9815935.8481058031</v>
      </c>
      <c r="I188" s="114">
        <v>6179768.9047118574</v>
      </c>
    </row>
    <row r="189" spans="2:9">
      <c r="B189" s="36">
        <v>181</v>
      </c>
      <c r="C189" s="114">
        <v>9075406.660880357</v>
      </c>
      <c r="D189" s="114">
        <v>8305205.5119270682</v>
      </c>
      <c r="E189" s="114">
        <v>10323632.610389233</v>
      </c>
      <c r="F189" s="114">
        <v>1833876.3325595856</v>
      </c>
      <c r="G189" s="114">
        <v>11978357.8512557</v>
      </c>
      <c r="H189" s="114">
        <v>7521761.149166733</v>
      </c>
      <c r="I189" s="114">
        <v>4611071.0366698354</v>
      </c>
    </row>
    <row r="190" spans="2:9">
      <c r="B190" s="36">
        <v>182</v>
      </c>
      <c r="C190" s="114">
        <v>12734438.916318789</v>
      </c>
      <c r="D190" s="114">
        <v>15661096.042849019</v>
      </c>
      <c r="E190" s="114">
        <v>22771184.818423659</v>
      </c>
      <c r="F190" s="114">
        <v>3177542.5351302624</v>
      </c>
      <c r="G190" s="114">
        <v>6270108.0546556413</v>
      </c>
      <c r="H190" s="114">
        <v>3189104.021189332</v>
      </c>
      <c r="I190" s="114">
        <v>6462334.7702068388</v>
      </c>
    </row>
    <row r="191" spans="2:9">
      <c r="B191" s="36">
        <v>183</v>
      </c>
      <c r="C191" s="114">
        <v>20316919.687604651</v>
      </c>
      <c r="D191" s="114">
        <v>26798267.341534764</v>
      </c>
      <c r="E191" s="114">
        <v>16554049.729179889</v>
      </c>
      <c r="F191" s="114">
        <v>3969647.0460765809</v>
      </c>
      <c r="G191" s="114">
        <v>5538848.3696479499</v>
      </c>
      <c r="H191" s="114">
        <v>3816665.8567472249</v>
      </c>
      <c r="I191" s="114">
        <v>-2044495.5068184137</v>
      </c>
    </row>
    <row r="192" spans="2:9">
      <c r="B192" s="36">
        <v>184</v>
      </c>
      <c r="C192" s="114">
        <v>14853437.323476911</v>
      </c>
      <c r="D192" s="114">
        <v>9623256.1844927371</v>
      </c>
      <c r="E192" s="114">
        <v>10886127.46592012</v>
      </c>
      <c r="F192" s="114">
        <v>13646774.865268245</v>
      </c>
      <c r="G192" s="114">
        <v>9552084.3367113322</v>
      </c>
      <c r="H192" s="114">
        <v>16630078.935877413</v>
      </c>
      <c r="I192" s="114">
        <v>7746378.2895275652</v>
      </c>
    </row>
    <row r="193" spans="2:9">
      <c r="B193" s="36">
        <v>185</v>
      </c>
      <c r="C193" s="114">
        <v>8068316.7232033759</v>
      </c>
      <c r="D193" s="114">
        <v>19593070.502493456</v>
      </c>
      <c r="E193" s="114">
        <v>13868461.166048586</v>
      </c>
      <c r="F193" s="114">
        <v>19728269.912999228</v>
      </c>
      <c r="G193" s="114">
        <v>8736238.1189902276</v>
      </c>
      <c r="H193" s="114">
        <v>12143976.757373303</v>
      </c>
      <c r="I193" s="114">
        <v>1409132.5660976321</v>
      </c>
    </row>
    <row r="194" spans="2:9">
      <c r="B194" s="36">
        <v>186</v>
      </c>
      <c r="C194" s="114">
        <v>13556918.072126582</v>
      </c>
      <c r="D194" s="114">
        <v>29504475.769757599</v>
      </c>
      <c r="E194" s="114">
        <v>17996978.947277024</v>
      </c>
      <c r="F194" s="114">
        <v>18629452.813727766</v>
      </c>
      <c r="G194" s="114">
        <v>10313163.911923379</v>
      </c>
      <c r="H194" s="114">
        <v>8722658.4239950329</v>
      </c>
      <c r="I194" s="114">
        <v>5192731.8796405494</v>
      </c>
    </row>
    <row r="195" spans="2:9">
      <c r="B195" s="36">
        <v>187</v>
      </c>
      <c r="C195" s="114">
        <v>20308117.32215701</v>
      </c>
      <c r="D195" s="114">
        <v>20027906.938870639</v>
      </c>
      <c r="E195" s="114">
        <v>12230174.829287052</v>
      </c>
      <c r="F195" s="114">
        <v>7540527.7916914374</v>
      </c>
      <c r="G195" s="114">
        <v>11009129.580805376</v>
      </c>
      <c r="H195" s="114">
        <v>6857284.2543093562</v>
      </c>
      <c r="I195" s="114">
        <v>7102020.5239003003</v>
      </c>
    </row>
    <row r="196" spans="2:9">
      <c r="B196" s="36">
        <v>188</v>
      </c>
      <c r="C196" s="114">
        <v>16574292.980622262</v>
      </c>
      <c r="D196" s="114">
        <v>15209713.387286708</v>
      </c>
      <c r="E196" s="114">
        <v>6622430.0527724028</v>
      </c>
      <c r="F196" s="114">
        <v>11176003.79634577</v>
      </c>
      <c r="G196" s="114">
        <v>17397550.010938019</v>
      </c>
      <c r="H196" s="114">
        <v>8400399.7175289989</v>
      </c>
      <c r="I196" s="114">
        <v>-9547172.9068217874</v>
      </c>
    </row>
    <row r="197" spans="2:9">
      <c r="B197" s="36">
        <v>189</v>
      </c>
      <c r="C197" s="114">
        <v>13369881.74949868</v>
      </c>
      <c r="D197" s="114">
        <v>13843707.531968087</v>
      </c>
      <c r="E197" s="114">
        <v>17376114.422812283</v>
      </c>
      <c r="F197" s="114">
        <v>2769114.738260746</v>
      </c>
      <c r="G197" s="114">
        <v>7766256.651685223</v>
      </c>
      <c r="H197" s="114">
        <v>9176082.2121731192</v>
      </c>
      <c r="I197" s="114">
        <v>8591805.9405747503</v>
      </c>
    </row>
    <row r="198" spans="2:9">
      <c r="B198" s="36">
        <v>190</v>
      </c>
      <c r="C198" s="114">
        <v>28200513.958345026</v>
      </c>
      <c r="D198" s="114">
        <v>8803119.0359511971</v>
      </c>
      <c r="E198" s="114">
        <v>1849937.9762025625</v>
      </c>
      <c r="F198" s="114">
        <v>-2666862.4671992511</v>
      </c>
      <c r="G198" s="114">
        <v>9265024.5671783686</v>
      </c>
      <c r="H198" s="114">
        <v>5767605.2460088432</v>
      </c>
      <c r="I198" s="114">
        <v>-1493731.3975852579</v>
      </c>
    </row>
    <row r="199" spans="2:9">
      <c r="B199" s="36">
        <v>191</v>
      </c>
      <c r="C199" s="114">
        <v>13052582.583446011</v>
      </c>
      <c r="D199" s="114">
        <v>14509170.863196164</v>
      </c>
      <c r="E199" s="114">
        <v>12618599.476006672</v>
      </c>
      <c r="F199" s="114">
        <v>9930688.5489953011</v>
      </c>
      <c r="G199" s="114">
        <v>16925982.189315021</v>
      </c>
      <c r="H199" s="114">
        <v>2665097.5229038149</v>
      </c>
      <c r="I199" s="114">
        <v>9420346.7575165927</v>
      </c>
    </row>
    <row r="200" spans="2:9">
      <c r="B200" s="36">
        <v>192</v>
      </c>
      <c r="C200" s="114">
        <v>22152863.073150963</v>
      </c>
      <c r="D200" s="114">
        <v>15545207.630667999</v>
      </c>
      <c r="E200" s="114">
        <v>19617439.222029686</v>
      </c>
      <c r="F200" s="114">
        <v>9831451.2744603306</v>
      </c>
      <c r="G200" s="114">
        <v>8618099.3558944911</v>
      </c>
      <c r="H200" s="114">
        <v>11665302.023971647</v>
      </c>
      <c r="I200" s="114">
        <v>6066720.2226536274</v>
      </c>
    </row>
    <row r="201" spans="2:9">
      <c r="B201" s="36">
        <v>193</v>
      </c>
      <c r="C201" s="114">
        <v>18398481.523494512</v>
      </c>
      <c r="D201" s="114">
        <v>6746806.8497654647</v>
      </c>
      <c r="E201" s="114">
        <v>7071147.9301568121</v>
      </c>
      <c r="F201" s="114">
        <v>15757965.01122123</v>
      </c>
      <c r="G201" s="114">
        <v>12765289.055381939</v>
      </c>
      <c r="H201" s="114">
        <v>12459234.25272131</v>
      </c>
      <c r="I201" s="114">
        <v>-3744483.2539371848</v>
      </c>
    </row>
    <row r="202" spans="2:9">
      <c r="B202" s="36">
        <v>194</v>
      </c>
      <c r="C202" s="114">
        <v>12153706.440259457</v>
      </c>
      <c r="D202" s="114">
        <v>14025743.931039169</v>
      </c>
      <c r="E202" s="114">
        <v>8332112.6859567612</v>
      </c>
      <c r="F202" s="114">
        <v>3039365.6402306408</v>
      </c>
      <c r="G202" s="114">
        <v>9855029.9143077731</v>
      </c>
      <c r="H202" s="114">
        <v>6225859.4704408497</v>
      </c>
      <c r="I202" s="114">
        <v>-5964045.117384389</v>
      </c>
    </row>
    <row r="203" spans="2:9">
      <c r="B203" s="36">
        <v>195</v>
      </c>
      <c r="C203" s="114">
        <v>15018536.877649188</v>
      </c>
      <c r="D203" s="114">
        <v>10861509.184683561</v>
      </c>
      <c r="E203" s="114">
        <v>7862958.7170825154</v>
      </c>
      <c r="F203" s="114">
        <v>13799754.964797229</v>
      </c>
      <c r="G203" s="114">
        <v>11433298.244877115</v>
      </c>
      <c r="H203" s="114">
        <v>10993223.101525858</v>
      </c>
      <c r="I203" s="114">
        <v>5451510.9674015492</v>
      </c>
    </row>
    <row r="204" spans="2:9">
      <c r="B204" s="36">
        <v>196</v>
      </c>
      <c r="C204" s="114">
        <v>4193608.6383322179</v>
      </c>
      <c r="D204" s="114">
        <v>17920559.851489455</v>
      </c>
      <c r="E204" s="114">
        <v>1879888.2894708067</v>
      </c>
      <c r="F204" s="114">
        <v>18591703.619531348</v>
      </c>
      <c r="G204" s="114">
        <v>17398151.225291342</v>
      </c>
      <c r="H204" s="114">
        <v>6508242.1839768738</v>
      </c>
      <c r="I204" s="114">
        <v>8654445.4310451448</v>
      </c>
    </row>
    <row r="205" spans="2:9">
      <c r="B205" s="36">
        <v>197</v>
      </c>
      <c r="C205" s="114">
        <v>6620323.3456257284</v>
      </c>
      <c r="D205" s="114">
        <v>18334609.199122146</v>
      </c>
      <c r="E205" s="114">
        <v>6434524.3926324397</v>
      </c>
      <c r="F205" s="114">
        <v>16560488.431981638</v>
      </c>
      <c r="G205" s="114">
        <v>20033825.064127758</v>
      </c>
      <c r="H205" s="114">
        <v>4703797.6336450875</v>
      </c>
      <c r="I205" s="114">
        <v>8082339.4479668736</v>
      </c>
    </row>
    <row r="206" spans="2:9">
      <c r="B206" s="36">
        <v>198</v>
      </c>
      <c r="C206" s="114">
        <v>11900732.420335561</v>
      </c>
      <c r="D206" s="114">
        <v>4543006.0922284424</v>
      </c>
      <c r="E206" s="114">
        <v>19174512.277093157</v>
      </c>
      <c r="F206" s="114">
        <v>5870129.4991461188</v>
      </c>
      <c r="G206" s="114">
        <v>5864106.8961773515</v>
      </c>
      <c r="H206" s="114">
        <v>8336420.9610472172</v>
      </c>
      <c r="I206" s="114">
        <v>-1417539.3077547103</v>
      </c>
    </row>
    <row r="207" spans="2:9">
      <c r="B207" s="36">
        <v>199</v>
      </c>
      <c r="C207" s="114">
        <v>25205930.103685081</v>
      </c>
      <c r="D207" s="114">
        <v>13955903.736782923</v>
      </c>
      <c r="E207" s="114">
        <v>22125753.676256701</v>
      </c>
      <c r="F207" s="114">
        <v>13860357.862443134</v>
      </c>
      <c r="G207" s="114">
        <v>5031979.3965176195</v>
      </c>
      <c r="H207" s="114">
        <v>4265076.3554627299</v>
      </c>
      <c r="I207" s="114">
        <v>2623919.2542950958</v>
      </c>
    </row>
    <row r="208" spans="2:9">
      <c r="B208" s="36">
        <v>200</v>
      </c>
      <c r="C208" s="114">
        <v>20460755.951938108</v>
      </c>
      <c r="D208" s="114">
        <v>15378337.2632806</v>
      </c>
      <c r="E208" s="114">
        <v>15204400.9431189</v>
      </c>
      <c r="F208" s="114">
        <v>4782528.2235798985</v>
      </c>
      <c r="G208" s="114">
        <v>13025972.043533087</v>
      </c>
      <c r="H208" s="114">
        <v>4319999.2916302532</v>
      </c>
      <c r="I208" s="114">
        <v>10102340.440573856</v>
      </c>
    </row>
  </sheetData>
  <mergeCells count="1">
    <mergeCell ref="C6:I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0E997-DCDA-7A4E-B193-9F7F8CC26747}">
  <sheetPr codeName="Arkusz29">
    <tabColor theme="0" tint="-0.499984740745262"/>
  </sheetPr>
  <dimension ref="A4:I208"/>
  <sheetViews>
    <sheetView workbookViewId="0">
      <selection activeCell="M38" sqref="M38"/>
    </sheetView>
  </sheetViews>
  <sheetFormatPr defaultColWidth="10.77734375" defaultRowHeight="13.2"/>
  <cols>
    <col min="1" max="1" width="10.77734375" style="36"/>
    <col min="2" max="2" width="16.109375" style="36" customWidth="1"/>
    <col min="3" max="9" width="16.33203125" style="36" customWidth="1"/>
    <col min="10" max="16384" width="10.77734375" style="36"/>
  </cols>
  <sheetData>
    <row r="4" spans="1:9">
      <c r="B4" s="73" t="s">
        <v>122</v>
      </c>
      <c r="C4" s="97">
        <f>AVERAGE(C9:C208)</f>
        <v>14522219.079126157</v>
      </c>
      <c r="D4" s="97">
        <f t="shared" ref="D4:I4" si="0">AVERAGE(D9:D208)</f>
        <v>12791789.677299462</v>
      </c>
      <c r="E4" s="97">
        <f t="shared" si="0"/>
        <v>10177989.281899953</v>
      </c>
      <c r="F4" s="97">
        <f t="shared" si="0"/>
        <v>8096889.4339127084</v>
      </c>
      <c r="G4" s="97">
        <f t="shared" si="0"/>
        <v>5952910.3519712128</v>
      </c>
      <c r="H4" s="97">
        <f t="shared" si="0"/>
        <v>3892116.5502775009</v>
      </c>
      <c r="I4" s="97">
        <f t="shared" si="0"/>
        <v>1720083.2223550866</v>
      </c>
    </row>
    <row r="6" spans="1:9" ht="15.6">
      <c r="C6" s="211" t="s">
        <v>134</v>
      </c>
      <c r="D6" s="211"/>
      <c r="E6" s="211"/>
      <c r="F6" s="211"/>
      <c r="G6" s="211"/>
      <c r="H6" s="211"/>
      <c r="I6" s="211"/>
    </row>
    <row r="7" spans="1:9">
      <c r="B7" s="75" t="s">
        <v>10</v>
      </c>
      <c r="C7" s="98">
        <v>-0.15</v>
      </c>
      <c r="D7" s="98">
        <v>-0.1</v>
      </c>
      <c r="E7" s="98">
        <v>-0.05</v>
      </c>
      <c r="F7" s="98">
        <v>0</v>
      </c>
      <c r="G7" s="99">
        <v>0.05</v>
      </c>
      <c r="H7" s="98">
        <v>0.1</v>
      </c>
      <c r="I7" s="98">
        <v>0.15</v>
      </c>
    </row>
    <row r="8" spans="1:9">
      <c r="A8" s="73" t="s">
        <v>135</v>
      </c>
      <c r="B8" s="101">
        <v>10525412.924046785</v>
      </c>
      <c r="C8" s="94">
        <v>36341606.868500002</v>
      </c>
      <c r="D8" s="94">
        <v>38479348.449000001</v>
      </c>
      <c r="E8" s="94">
        <v>40617090.0295</v>
      </c>
      <c r="F8" s="100">
        <v>42754831.609999999</v>
      </c>
      <c r="G8" s="94">
        <v>44892573.190499999</v>
      </c>
      <c r="H8" s="94">
        <v>47030314.771000005</v>
      </c>
      <c r="I8" s="94">
        <v>49168056.351499997</v>
      </c>
    </row>
    <row r="9" spans="1:9">
      <c r="B9" s="36">
        <v>1</v>
      </c>
      <c r="C9" s="36">
        <v>23245530.450708374</v>
      </c>
      <c r="D9" s="36">
        <v>15262248.44350639</v>
      </c>
      <c r="E9" s="36">
        <v>15635345.922458231</v>
      </c>
      <c r="F9" s="36">
        <v>8793867.6994767189</v>
      </c>
      <c r="G9" s="36">
        <v>-4884676.1906685978</v>
      </c>
      <c r="H9" s="36">
        <v>2718229.0601623058</v>
      </c>
      <c r="I9" s="36">
        <v>1449022.8794455975</v>
      </c>
    </row>
    <row r="10" spans="1:9">
      <c r="B10" s="36">
        <v>2</v>
      </c>
      <c r="C10" s="36">
        <v>19551146.180325046</v>
      </c>
      <c r="D10" s="36">
        <v>15491532.715597466</v>
      </c>
      <c r="E10" s="36">
        <v>5382070.5291238129</v>
      </c>
      <c r="F10" s="36">
        <v>16438326.71915628</v>
      </c>
      <c r="G10" s="36">
        <v>10318085.937829792</v>
      </c>
      <c r="H10" s="36">
        <v>4066293.5831474215</v>
      </c>
      <c r="I10" s="36">
        <v>3913033.934353441</v>
      </c>
    </row>
    <row r="11" spans="1:9">
      <c r="B11" s="36">
        <v>3</v>
      </c>
      <c r="C11" s="36">
        <v>4657747.7985547185</v>
      </c>
      <c r="D11" s="36">
        <v>14595981.629109889</v>
      </c>
      <c r="E11" s="36">
        <v>16985897.8401905</v>
      </c>
      <c r="F11" s="36">
        <v>3841056.1633318812</v>
      </c>
      <c r="G11" s="36">
        <v>10745848.577910095</v>
      </c>
      <c r="H11" s="36">
        <v>4863980.7058252394</v>
      </c>
      <c r="I11" s="36">
        <v>-4264527.3525096774</v>
      </c>
    </row>
    <row r="12" spans="1:9">
      <c r="B12" s="36">
        <v>4</v>
      </c>
      <c r="C12" s="36">
        <v>17932797.802797526</v>
      </c>
      <c r="D12" s="36">
        <v>15057827.297197938</v>
      </c>
      <c r="E12" s="36">
        <v>13964591.403688654</v>
      </c>
      <c r="F12" s="36">
        <v>18000701.249741495</v>
      </c>
      <c r="G12" s="36">
        <v>-144924.89494849741</v>
      </c>
      <c r="H12" s="36">
        <v>4388557.5175114274</v>
      </c>
      <c r="I12" s="36">
        <v>5147696.3094292134</v>
      </c>
    </row>
    <row r="13" spans="1:9">
      <c r="B13" s="36">
        <v>5</v>
      </c>
      <c r="C13" s="73">
        <v>13708511.504674196</v>
      </c>
      <c r="D13" s="73">
        <v>13267533.111761793</v>
      </c>
      <c r="E13" s="36">
        <v>8084141.4659333527</v>
      </c>
      <c r="F13" s="36">
        <v>5247056.972541526</v>
      </c>
      <c r="G13" s="36">
        <v>-2964675.3446662575</v>
      </c>
      <c r="H13" s="36">
        <v>-1591823.8999747932</v>
      </c>
      <c r="I13" s="36">
        <v>6249877.3518012017</v>
      </c>
    </row>
    <row r="14" spans="1:9">
      <c r="B14" s="36">
        <v>6</v>
      </c>
      <c r="C14" s="36">
        <v>14508361.724849537</v>
      </c>
      <c r="D14" s="36">
        <v>2994877.5862648636</v>
      </c>
      <c r="E14" s="36">
        <v>1200533.4114844501</v>
      </c>
      <c r="F14" s="36">
        <v>547353.17997393012</v>
      </c>
      <c r="G14" s="36">
        <v>11354379.182820067</v>
      </c>
      <c r="H14" s="36">
        <v>6202814.8426139951</v>
      </c>
      <c r="I14" s="36">
        <v>-1184640.9866254181</v>
      </c>
    </row>
    <row r="15" spans="1:9">
      <c r="B15" s="36">
        <v>7</v>
      </c>
      <c r="C15" s="36">
        <v>22798231.437424481</v>
      </c>
      <c r="D15" s="36">
        <v>17230091.407890067</v>
      </c>
      <c r="E15" s="36">
        <v>2893411.6270112097</v>
      </c>
      <c r="F15" s="36">
        <v>-2006889.0755214542</v>
      </c>
      <c r="G15" s="36">
        <v>3990605.7083771229</v>
      </c>
      <c r="H15" s="36">
        <v>8867000.2378575802</v>
      </c>
      <c r="I15" s="36">
        <v>8192234.233306855</v>
      </c>
    </row>
    <row r="16" spans="1:9">
      <c r="B16" s="36">
        <v>8</v>
      </c>
      <c r="C16" s="36">
        <v>21066862.678566679</v>
      </c>
      <c r="D16" s="36">
        <v>22977649.390445411</v>
      </c>
      <c r="E16" s="36">
        <v>15444260.612497002</v>
      </c>
      <c r="F16" s="36">
        <v>16279791.764286429</v>
      </c>
      <c r="G16" s="36">
        <v>4846215.4214263409</v>
      </c>
      <c r="H16" s="36">
        <v>4861994.3912791759</v>
      </c>
      <c r="I16" s="36">
        <v>-698548.44265393913</v>
      </c>
    </row>
    <row r="17" spans="2:9">
      <c r="B17" s="36">
        <v>9</v>
      </c>
      <c r="C17" s="36">
        <v>19523165.605447739</v>
      </c>
      <c r="D17" s="36">
        <v>17098956.653724805</v>
      </c>
      <c r="E17" s="36">
        <v>6266457.2680558115</v>
      </c>
      <c r="F17" s="36">
        <v>7842896.4343449324</v>
      </c>
      <c r="G17" s="36">
        <v>13197788.715427712</v>
      </c>
      <c r="H17" s="36">
        <v>11845338.235914052</v>
      </c>
      <c r="I17" s="36">
        <v>637768.25429303944</v>
      </c>
    </row>
    <row r="18" spans="2:9">
      <c r="B18" s="36">
        <v>10</v>
      </c>
      <c r="C18" s="36">
        <v>14070709.247102141</v>
      </c>
      <c r="D18" s="36">
        <v>6326593.6128254831</v>
      </c>
      <c r="E18" s="36">
        <v>-2306059.8590380847</v>
      </c>
      <c r="F18" s="36">
        <v>4577103.1232599914</v>
      </c>
      <c r="G18" s="36">
        <v>19573148.570627347</v>
      </c>
      <c r="H18" s="36">
        <v>9232201.2925362736</v>
      </c>
      <c r="I18" s="36">
        <v>12838979.444528013</v>
      </c>
    </row>
    <row r="19" spans="2:9">
      <c r="B19" s="36">
        <v>11</v>
      </c>
      <c r="C19" s="36">
        <v>16538396.950833485</v>
      </c>
      <c r="D19" s="36">
        <v>15446334.532387465</v>
      </c>
      <c r="E19" s="36">
        <v>16326293.154204726</v>
      </c>
      <c r="F19" s="36">
        <v>2003847.8317770809</v>
      </c>
      <c r="G19" s="36">
        <v>3544619.9366039038</v>
      </c>
      <c r="H19" s="36">
        <v>13895695.39361912</v>
      </c>
      <c r="I19" s="36">
        <v>2991669.3630259931</v>
      </c>
    </row>
    <row r="20" spans="2:9">
      <c r="B20" s="36">
        <v>12</v>
      </c>
      <c r="C20" s="36">
        <v>10044596.552115723</v>
      </c>
      <c r="D20" s="36">
        <v>8854952.0851976275</v>
      </c>
      <c r="E20" s="36">
        <v>11623372.498591676</v>
      </c>
      <c r="F20" s="36">
        <v>9809593.7405970544</v>
      </c>
      <c r="G20" s="36">
        <v>16175711.025813445</v>
      </c>
      <c r="H20" s="36">
        <v>10976432.58180058</v>
      </c>
      <c r="I20" s="36">
        <v>-2576346.421291545</v>
      </c>
    </row>
    <row r="21" spans="2:9">
      <c r="B21" s="36">
        <v>13</v>
      </c>
      <c r="C21" s="36">
        <v>17872545.254398152</v>
      </c>
      <c r="D21" s="36">
        <v>16971861.648624465</v>
      </c>
      <c r="E21" s="36">
        <v>9359668.6666955948</v>
      </c>
      <c r="F21" s="36">
        <v>9269926.8883989006</v>
      </c>
      <c r="G21" s="36">
        <v>1427392.9851432592</v>
      </c>
      <c r="H21" s="36">
        <v>5880804.9054477811</v>
      </c>
      <c r="I21" s="36">
        <v>-2319564.0357380956</v>
      </c>
    </row>
    <row r="22" spans="2:9">
      <c r="B22" s="36">
        <v>14</v>
      </c>
      <c r="C22" s="36">
        <v>7441138.3193983138</v>
      </c>
      <c r="D22" s="36">
        <v>9991333.6920938641</v>
      </c>
      <c r="E22" s="36">
        <v>19446926.666666389</v>
      </c>
      <c r="F22" s="36">
        <v>12638179.005852088</v>
      </c>
      <c r="G22" s="36">
        <v>1349027.4807642996</v>
      </c>
      <c r="H22" s="36">
        <v>7250154.8419522494</v>
      </c>
      <c r="I22" s="36">
        <v>346642.39413425326</v>
      </c>
    </row>
    <row r="23" spans="2:9">
      <c r="B23" s="36">
        <v>15</v>
      </c>
      <c r="C23" s="36">
        <v>23763605.305973798</v>
      </c>
      <c r="D23" s="36">
        <v>8741988.1104328781</v>
      </c>
      <c r="E23" s="36">
        <v>9714750.9237237126</v>
      </c>
      <c r="F23" s="36">
        <v>5821707.7124095857</v>
      </c>
      <c r="G23" s="36">
        <v>11080395.856467679</v>
      </c>
      <c r="H23" s="36">
        <v>1319691.8010217398</v>
      </c>
      <c r="I23" s="36">
        <v>15278878.977491707</v>
      </c>
    </row>
    <row r="24" spans="2:9">
      <c r="B24" s="36">
        <v>16</v>
      </c>
      <c r="C24" s="36">
        <v>10637290.589250579</v>
      </c>
      <c r="D24" s="36">
        <v>6845525.1254498959</v>
      </c>
      <c r="E24" s="36">
        <v>12262622.15240398</v>
      </c>
      <c r="F24" s="36">
        <v>12211853.049530774</v>
      </c>
      <c r="G24" s="36">
        <v>-3284275.1852479279</v>
      </c>
      <c r="H24" s="36">
        <v>13551182.720159382</v>
      </c>
      <c r="I24" s="36">
        <v>6137745.8209682405</v>
      </c>
    </row>
    <row r="25" spans="2:9">
      <c r="B25" s="36">
        <v>17</v>
      </c>
      <c r="C25" s="36">
        <v>20220860.956583932</v>
      </c>
      <c r="D25" s="36">
        <v>19326307.153933361</v>
      </c>
      <c r="E25" s="36">
        <v>7435211.3898939937</v>
      </c>
      <c r="F25" s="36">
        <v>5482507.4239711314</v>
      </c>
      <c r="G25" s="36">
        <v>-6910559.6166244894</v>
      </c>
      <c r="H25" s="36">
        <v>5728149.4607739747</v>
      </c>
      <c r="I25" s="36">
        <v>-3989944.4289879054</v>
      </c>
    </row>
    <row r="26" spans="2:9">
      <c r="B26" s="36">
        <v>18</v>
      </c>
      <c r="C26" s="36">
        <v>16268002.900689736</v>
      </c>
      <c r="D26" s="36">
        <v>15271877.76015833</v>
      </c>
      <c r="E26" s="36">
        <v>19679423.698938489</v>
      </c>
      <c r="F26" s="36">
        <v>3735197.2118174732</v>
      </c>
      <c r="G26" s="36">
        <v>4023496.3866071254</v>
      </c>
      <c r="H26" s="36">
        <v>2962074.7486448586</v>
      </c>
      <c r="I26" s="36">
        <v>477970.44453728199</v>
      </c>
    </row>
    <row r="27" spans="2:9">
      <c r="B27" s="36">
        <v>19</v>
      </c>
      <c r="C27" s="36">
        <v>17829412.246989846</v>
      </c>
      <c r="D27" s="36">
        <v>12386807.147184715</v>
      </c>
      <c r="E27" s="36">
        <v>209789.6767077893</v>
      </c>
      <c r="F27" s="36">
        <v>-2652352.5557793677</v>
      </c>
      <c r="G27" s="36">
        <v>12986269.733549058</v>
      </c>
      <c r="H27" s="36">
        <v>-326971.24399229884</v>
      </c>
      <c r="I27" s="36">
        <v>8096674.4340283722</v>
      </c>
    </row>
    <row r="28" spans="2:9">
      <c r="B28" s="36">
        <v>20</v>
      </c>
      <c r="C28" s="36">
        <v>18784308.687148526</v>
      </c>
      <c r="D28" s="36">
        <v>8453621.4673034847</v>
      </c>
      <c r="E28" s="36">
        <v>-559626.33454543352</v>
      </c>
      <c r="F28" s="36">
        <v>16600860.312642008</v>
      </c>
      <c r="G28" s="36">
        <v>-2134367.4921328723</v>
      </c>
      <c r="H28" s="36">
        <v>1034136.7501405627</v>
      </c>
      <c r="I28" s="36">
        <v>-2732207.2764985412</v>
      </c>
    </row>
    <row r="29" spans="2:9">
      <c r="B29" s="36">
        <v>21</v>
      </c>
      <c r="C29" s="36">
        <v>22054225.897546425</v>
      </c>
      <c r="D29" s="36">
        <v>8448504.7524952739</v>
      </c>
      <c r="E29" s="36">
        <v>14678387.267368466</v>
      </c>
      <c r="F29" s="36">
        <v>16116486.24346593</v>
      </c>
      <c r="G29" s="36">
        <v>-4904421.8301029056</v>
      </c>
      <c r="H29" s="36">
        <v>8253674.8226444572</v>
      </c>
      <c r="I29" s="36">
        <v>4229188.5583610088</v>
      </c>
    </row>
    <row r="30" spans="2:9">
      <c r="B30" s="36">
        <v>22</v>
      </c>
      <c r="C30" s="36">
        <v>14804150.837426335</v>
      </c>
      <c r="D30" s="36">
        <v>12326246.724066168</v>
      </c>
      <c r="E30" s="36">
        <v>8360210.7788102329</v>
      </c>
      <c r="F30" s="36">
        <v>885835.40887452662</v>
      </c>
      <c r="G30" s="36">
        <v>4490271.1415090859</v>
      </c>
      <c r="H30" s="36">
        <v>3168997.2025541961</v>
      </c>
      <c r="I30" s="36">
        <v>10411331.889501005</v>
      </c>
    </row>
    <row r="31" spans="2:9">
      <c r="B31" s="36">
        <v>23</v>
      </c>
      <c r="C31" s="36">
        <v>9004555.1349626929</v>
      </c>
      <c r="D31" s="36">
        <v>10541232.483808517</v>
      </c>
      <c r="E31" s="36">
        <v>12145120.457398817</v>
      </c>
      <c r="F31" s="36">
        <v>12936789.117252827</v>
      </c>
      <c r="G31" s="36">
        <v>1167947.2164518237</v>
      </c>
      <c r="H31" s="36">
        <v>-5792689.0693757236</v>
      </c>
      <c r="I31" s="36">
        <v>-6101638.6277112514</v>
      </c>
    </row>
    <row r="32" spans="2:9">
      <c r="B32" s="36">
        <v>24</v>
      </c>
      <c r="C32" s="36">
        <v>12783149.204586864</v>
      </c>
      <c r="D32" s="36">
        <v>12113648.768141329</v>
      </c>
      <c r="E32" s="36">
        <v>18394181.235002711</v>
      </c>
      <c r="F32" s="36">
        <v>8567858.5085618496</v>
      </c>
      <c r="G32" s="36">
        <v>5487157.0138088614</v>
      </c>
      <c r="H32" s="36">
        <v>-1276929.102150932</v>
      </c>
      <c r="I32" s="36">
        <v>5801128.1177245826</v>
      </c>
    </row>
    <row r="33" spans="2:9">
      <c r="B33" s="36">
        <v>25</v>
      </c>
      <c r="C33" s="36">
        <v>16480051.988550216</v>
      </c>
      <c r="D33" s="36">
        <v>6816659.3728639185</v>
      </c>
      <c r="E33" s="36">
        <v>20916213.437527016</v>
      </c>
      <c r="F33" s="36">
        <v>3304528.3836908787</v>
      </c>
      <c r="G33" s="36">
        <v>17722324.708918899</v>
      </c>
      <c r="H33" s="36">
        <v>1739167.0032635778</v>
      </c>
      <c r="I33" s="36">
        <v>-191830.71322035789</v>
      </c>
    </row>
    <row r="34" spans="2:9">
      <c r="B34" s="36">
        <v>26</v>
      </c>
      <c r="C34" s="36">
        <v>14738022.013328344</v>
      </c>
      <c r="D34" s="36">
        <v>12416096.950921848</v>
      </c>
      <c r="E34" s="36">
        <v>17983064.804634854</v>
      </c>
      <c r="F34" s="36">
        <v>11895010.088859439</v>
      </c>
      <c r="G34" s="36">
        <v>1499232.0825696588</v>
      </c>
      <c r="H34" s="36">
        <v>3409501.7174270749</v>
      </c>
      <c r="I34" s="36">
        <v>8555363.1875343323</v>
      </c>
    </row>
    <row r="35" spans="2:9">
      <c r="B35" s="36">
        <v>27</v>
      </c>
      <c r="C35" s="36">
        <v>7914500.4567802101</v>
      </c>
      <c r="D35" s="36">
        <v>14360103.381476223</v>
      </c>
      <c r="E35" s="36">
        <v>6349530.6733569652</v>
      </c>
      <c r="F35" s="36">
        <v>18066566.930665746</v>
      </c>
      <c r="G35" s="36">
        <v>17316746.506690353</v>
      </c>
      <c r="H35" s="36">
        <v>8666281.2859238833</v>
      </c>
      <c r="I35" s="36">
        <v>1684330.1101177335</v>
      </c>
    </row>
    <row r="36" spans="2:9">
      <c r="B36" s="36">
        <v>28</v>
      </c>
      <c r="C36" s="36">
        <v>3691908.6007294804</v>
      </c>
      <c r="D36" s="36">
        <v>8412570.4515509009</v>
      </c>
      <c r="E36" s="36">
        <v>12202543.882655263</v>
      </c>
      <c r="F36" s="36">
        <v>11266626.268314734</v>
      </c>
      <c r="G36" s="36">
        <v>3948209.0589104891</v>
      </c>
      <c r="H36" s="36">
        <v>-124148.61670903862</v>
      </c>
      <c r="I36" s="36">
        <v>7225118.8839626759</v>
      </c>
    </row>
    <row r="37" spans="2:9">
      <c r="B37" s="36">
        <v>29</v>
      </c>
      <c r="C37" s="36">
        <v>14426284.941543028</v>
      </c>
      <c r="D37" s="36">
        <v>6485686.698119849</v>
      </c>
      <c r="E37" s="36">
        <v>7097073.3062964529</v>
      </c>
      <c r="F37" s="36">
        <v>13910183.549422577</v>
      </c>
      <c r="G37" s="36">
        <v>8213565.7395392358</v>
      </c>
      <c r="H37" s="36">
        <v>4750029.5348238796</v>
      </c>
      <c r="I37" s="36">
        <v>-165236.11487989128</v>
      </c>
    </row>
    <row r="38" spans="2:9">
      <c r="B38" s="36">
        <v>30</v>
      </c>
      <c r="C38" s="36">
        <v>14777578.537488297</v>
      </c>
      <c r="D38" s="36">
        <v>16609250.27630052</v>
      </c>
      <c r="E38" s="36">
        <v>14974796.113378599</v>
      </c>
      <c r="F38" s="36">
        <v>5896803.6439139247</v>
      </c>
      <c r="G38" s="36">
        <v>13484073.799241632</v>
      </c>
      <c r="H38" s="36">
        <v>8263521.535304904</v>
      </c>
      <c r="I38" s="36">
        <v>-4484537.8403136283</v>
      </c>
    </row>
    <row r="39" spans="2:9">
      <c r="B39" s="36">
        <v>31</v>
      </c>
      <c r="C39" s="36">
        <v>16037492.67028603</v>
      </c>
      <c r="D39" s="36">
        <v>9772395.6548172235</v>
      </c>
      <c r="E39" s="36">
        <v>11258040.575084805</v>
      </c>
      <c r="F39" s="36">
        <v>10056417.492996231</v>
      </c>
      <c r="G39" s="36">
        <v>10871787.828859195</v>
      </c>
      <c r="H39" s="36">
        <v>-3916837.4941774607</v>
      </c>
      <c r="I39" s="36">
        <v>14281340.963179797</v>
      </c>
    </row>
    <row r="40" spans="2:9">
      <c r="B40" s="36">
        <v>32</v>
      </c>
      <c r="C40" s="36">
        <v>10877031.892080575</v>
      </c>
      <c r="D40" s="36">
        <v>3397635.945347771</v>
      </c>
      <c r="E40" s="36">
        <v>417682.82429175079</v>
      </c>
      <c r="F40" s="36">
        <v>12238549.940792665</v>
      </c>
      <c r="G40" s="36">
        <v>6231058.3914395571</v>
      </c>
      <c r="H40" s="36">
        <v>8983683.4823827147</v>
      </c>
      <c r="I40" s="36">
        <v>-9147089.0829476565</v>
      </c>
    </row>
    <row r="41" spans="2:9">
      <c r="B41" s="36">
        <v>33</v>
      </c>
      <c r="C41" s="36">
        <v>11614171.524691567</v>
      </c>
      <c r="D41" s="36">
        <v>14858334.134670034</v>
      </c>
      <c r="E41" s="36">
        <v>6789948.494170621</v>
      </c>
      <c r="F41" s="36">
        <v>4274194.4569615722</v>
      </c>
      <c r="G41" s="36">
        <v>12416786.088756859</v>
      </c>
      <c r="H41" s="36">
        <v>11421085.49246484</v>
      </c>
      <c r="I41" s="36">
        <v>784320.36253792048</v>
      </c>
    </row>
    <row r="42" spans="2:9">
      <c r="B42" s="36">
        <v>34</v>
      </c>
      <c r="C42" s="36">
        <v>18166660.351109743</v>
      </c>
      <c r="D42" s="36">
        <v>10109756.90325515</v>
      </c>
      <c r="E42" s="36">
        <v>12248807.881752282</v>
      </c>
      <c r="F42" s="36">
        <v>11189895.570474938</v>
      </c>
      <c r="G42" s="36">
        <v>-6601445.3353489488</v>
      </c>
      <c r="H42" s="36">
        <v>6912966.8404893279</v>
      </c>
      <c r="I42" s="36">
        <v>3298334.4008674622</v>
      </c>
    </row>
    <row r="43" spans="2:9">
      <c r="B43" s="36">
        <v>35</v>
      </c>
      <c r="C43" s="36">
        <v>11077813.884070843</v>
      </c>
      <c r="D43" s="36">
        <v>4548729.4033226818</v>
      </c>
      <c r="E43" s="36">
        <v>13835904.11244975</v>
      </c>
      <c r="F43" s="36">
        <v>9886845.2066813707</v>
      </c>
      <c r="G43" s="36">
        <v>-483607.57392592728</v>
      </c>
      <c r="H43" s="36">
        <v>5593425.3529409021</v>
      </c>
      <c r="I43" s="36">
        <v>2763093.427559182</v>
      </c>
    </row>
    <row r="44" spans="2:9">
      <c r="B44" s="36">
        <v>36</v>
      </c>
      <c r="C44" s="36">
        <v>14031094.995446444</v>
      </c>
      <c r="D44" s="36">
        <v>14723675.699683726</v>
      </c>
      <c r="E44" s="36">
        <v>6209892.1336703002</v>
      </c>
      <c r="F44" s="36">
        <v>1119953.0238568485</v>
      </c>
      <c r="G44" s="36">
        <v>6863082.4935641885</v>
      </c>
      <c r="H44" s="36">
        <v>-326095.64459970593</v>
      </c>
      <c r="I44" s="36">
        <v>52831.441198483109</v>
      </c>
    </row>
    <row r="45" spans="2:9">
      <c r="B45" s="36">
        <v>37</v>
      </c>
      <c r="C45" s="36">
        <v>18778280.255587339</v>
      </c>
      <c r="D45" s="36">
        <v>15600560.027427599</v>
      </c>
      <c r="E45" s="36">
        <v>15798216.770821825</v>
      </c>
      <c r="F45" s="36">
        <v>8883799.8481500596</v>
      </c>
      <c r="G45" s="36">
        <v>-116431.17095413804</v>
      </c>
      <c r="H45" s="36">
        <v>414823.57355862856</v>
      </c>
      <c r="I45" s="36">
        <v>965240.61027929187</v>
      </c>
    </row>
    <row r="46" spans="2:9">
      <c r="B46" s="36">
        <v>38</v>
      </c>
      <c r="C46" s="36">
        <v>24424929.035309106</v>
      </c>
      <c r="D46" s="36">
        <v>20874595.799525946</v>
      </c>
      <c r="E46" s="36">
        <v>8678267.8177465647</v>
      </c>
      <c r="F46" s="36">
        <v>13133353.695631534</v>
      </c>
      <c r="G46" s="36">
        <v>13384440.598658562</v>
      </c>
      <c r="H46" s="36">
        <v>5504636.1093862355</v>
      </c>
      <c r="I46" s="36">
        <v>2243819.8601921201</v>
      </c>
    </row>
    <row r="47" spans="2:9">
      <c r="B47" s="36">
        <v>39</v>
      </c>
      <c r="C47" s="36">
        <v>17470391.554988042</v>
      </c>
      <c r="D47" s="36">
        <v>7740157.4288433194</v>
      </c>
      <c r="E47" s="36">
        <v>14769378.42774424</v>
      </c>
      <c r="F47" s="36">
        <v>9129112.9844378531</v>
      </c>
      <c r="G47" s="36">
        <v>7462051.3093313426</v>
      </c>
      <c r="H47" s="36">
        <v>10636720.328866556</v>
      </c>
      <c r="I47" s="36">
        <v>-1076691.2321972996</v>
      </c>
    </row>
    <row r="48" spans="2:9">
      <c r="B48" s="36">
        <v>40</v>
      </c>
      <c r="C48" s="36">
        <v>28300863.955678388</v>
      </c>
      <c r="D48" s="36">
        <v>14708074.561577857</v>
      </c>
      <c r="E48" s="36">
        <v>10815552.348674282</v>
      </c>
      <c r="F48" s="36">
        <v>286645.90072719753</v>
      </c>
      <c r="G48" s="36">
        <v>5646325.6708337814</v>
      </c>
      <c r="H48" s="36">
        <v>-3244779.3454336077</v>
      </c>
      <c r="I48" s="36">
        <v>1478787.9512138963</v>
      </c>
    </row>
    <row r="49" spans="2:9">
      <c r="B49" s="36">
        <v>41</v>
      </c>
      <c r="C49" s="36">
        <v>15941023.570324257</v>
      </c>
      <c r="D49" s="36">
        <v>22014246.176555052</v>
      </c>
      <c r="E49" s="36">
        <v>2894555.5767863393</v>
      </c>
      <c r="F49" s="36">
        <v>2131857.393789202</v>
      </c>
      <c r="G49" s="36">
        <v>2280502.965559721</v>
      </c>
      <c r="H49" s="36">
        <v>-4419735.2665461749</v>
      </c>
      <c r="I49" s="36">
        <v>-6097561.4077276438</v>
      </c>
    </row>
    <row r="50" spans="2:9">
      <c r="B50" s="36">
        <v>42</v>
      </c>
      <c r="C50" s="36">
        <v>11373793.081023425</v>
      </c>
      <c r="D50" s="36">
        <v>9527373.0483294576</v>
      </c>
      <c r="E50" s="36">
        <v>16859148.286509454</v>
      </c>
      <c r="F50" s="36">
        <v>3057245.1982939541</v>
      </c>
      <c r="G50" s="36">
        <v>4154140.6459139735</v>
      </c>
      <c r="H50" s="36">
        <v>6057.8247239738703</v>
      </c>
      <c r="I50" s="36">
        <v>-3738850.3758784235</v>
      </c>
    </row>
    <row r="51" spans="2:9">
      <c r="B51" s="36">
        <v>43</v>
      </c>
      <c r="C51" s="36">
        <v>8762467.9052184224</v>
      </c>
      <c r="D51" s="36">
        <v>13518770.941266283</v>
      </c>
      <c r="E51" s="36">
        <v>8742655.8385262489</v>
      </c>
      <c r="F51" s="36">
        <v>17189905.625458434</v>
      </c>
      <c r="G51" s="36">
        <v>5901016.8051860482</v>
      </c>
      <c r="H51" s="36">
        <v>12207094.954361886</v>
      </c>
      <c r="I51" s="36">
        <v>-1690455.8534776121</v>
      </c>
    </row>
    <row r="52" spans="2:9">
      <c r="B52" s="36">
        <v>44</v>
      </c>
      <c r="C52" s="36">
        <v>3840138.1555900574</v>
      </c>
      <c r="D52" s="36">
        <v>11265928.846493647</v>
      </c>
      <c r="E52" s="36">
        <v>9323817.074121967</v>
      </c>
      <c r="F52" s="36">
        <v>7627538.3422259688</v>
      </c>
      <c r="G52" s="36">
        <v>9415020.9234793186</v>
      </c>
      <c r="H52" s="36">
        <v>5905852.6031278819</v>
      </c>
      <c r="I52" s="36">
        <v>5124908.5237220675</v>
      </c>
    </row>
    <row r="53" spans="2:9">
      <c r="B53" s="36">
        <v>45</v>
      </c>
      <c r="C53" s="36">
        <v>17107484.507918298</v>
      </c>
      <c r="D53" s="36">
        <v>3039043.189827472</v>
      </c>
      <c r="E53" s="36">
        <v>16158336.085674599</v>
      </c>
      <c r="F53" s="36">
        <v>17521318.150158942</v>
      </c>
      <c r="G53" s="36">
        <v>4314802.719262749</v>
      </c>
      <c r="H53" s="36">
        <v>-8584337.6888120919</v>
      </c>
      <c r="I53" s="36">
        <v>-1258097.9205654114</v>
      </c>
    </row>
    <row r="54" spans="2:9">
      <c r="B54" s="36">
        <v>46</v>
      </c>
      <c r="C54" s="36">
        <v>6979623.151165992</v>
      </c>
      <c r="D54" s="36">
        <v>5324524.5277052373</v>
      </c>
      <c r="E54" s="36">
        <v>19928780.382200211</v>
      </c>
      <c r="F54" s="36">
        <v>5346030.6754356623</v>
      </c>
      <c r="G54" s="36">
        <v>6783044.8870018125</v>
      </c>
      <c r="H54" s="36">
        <v>8843581.6770790666</v>
      </c>
      <c r="I54" s="36">
        <v>3699144.7061551362</v>
      </c>
    </row>
    <row r="55" spans="2:9">
      <c r="B55" s="36">
        <v>47</v>
      </c>
      <c r="C55" s="36">
        <v>16868389.544472858</v>
      </c>
      <c r="D55" s="36">
        <v>20870234.522319555</v>
      </c>
      <c r="E55" s="36">
        <v>14549477.980907515</v>
      </c>
      <c r="F55" s="36">
        <v>3550564.3318968713</v>
      </c>
      <c r="G55" s="36">
        <v>10262960.609674349</v>
      </c>
      <c r="H55" s="36">
        <v>2091031.0533068329</v>
      </c>
      <c r="I55" s="36">
        <v>234140.57437673211</v>
      </c>
    </row>
    <row r="56" spans="2:9">
      <c r="B56" s="36">
        <v>48</v>
      </c>
      <c r="C56" s="36">
        <v>11245465.78899537</v>
      </c>
      <c r="D56" s="36">
        <v>14510929.449937522</v>
      </c>
      <c r="E56" s="36">
        <v>9043962.9001487046</v>
      </c>
      <c r="F56" s="36">
        <v>3962369.2960973084</v>
      </c>
      <c r="G56" s="36">
        <v>-699943.96791447699</v>
      </c>
      <c r="H56" s="36">
        <v>9195911.8699708432</v>
      </c>
      <c r="I56" s="36">
        <v>9815877.9532187581</v>
      </c>
    </row>
    <row r="57" spans="2:9">
      <c r="B57" s="36">
        <v>49</v>
      </c>
      <c r="C57" s="36">
        <v>8943114.945413366</v>
      </c>
      <c r="D57" s="36">
        <v>19345558.797818229</v>
      </c>
      <c r="E57" s="36">
        <v>5942515.8783509731</v>
      </c>
      <c r="F57" s="36">
        <v>4704387.9287769198</v>
      </c>
      <c r="G57" s="36">
        <v>-3623918.8451834917</v>
      </c>
      <c r="H57" s="36">
        <v>-5211359.9321981072</v>
      </c>
      <c r="I57" s="36">
        <v>11165821.682212532</v>
      </c>
    </row>
    <row r="58" spans="2:9">
      <c r="B58" s="36">
        <v>50</v>
      </c>
      <c r="C58" s="36">
        <v>9509462.4774847031</v>
      </c>
      <c r="D58" s="36">
        <v>18254749.296992481</v>
      </c>
      <c r="E58" s="36">
        <v>12940072.288145438</v>
      </c>
      <c r="F58" s="36">
        <v>4769970.520112738</v>
      </c>
      <c r="G58" s="36">
        <v>1765717.851994738</v>
      </c>
      <c r="H58" s="36">
        <v>-3677713.1152893156</v>
      </c>
      <c r="I58" s="36">
        <v>6765578.5101171583</v>
      </c>
    </row>
    <row r="59" spans="2:9">
      <c r="B59" s="36">
        <v>51</v>
      </c>
      <c r="C59" s="36">
        <v>18134406.073344916</v>
      </c>
      <c r="D59" s="36">
        <v>18162871.2829061</v>
      </c>
      <c r="E59" s="36">
        <v>23564744.904605195</v>
      </c>
      <c r="F59" s="36">
        <v>23313499.699307874</v>
      </c>
      <c r="G59" s="36">
        <v>2504333.0887014717</v>
      </c>
      <c r="H59" s="36">
        <v>-230372.94264639914</v>
      </c>
      <c r="I59" s="36">
        <v>1886302.9555155039</v>
      </c>
    </row>
    <row r="60" spans="2:9">
      <c r="B60" s="36">
        <v>52</v>
      </c>
      <c r="C60" s="36">
        <v>6005285.8178193569</v>
      </c>
      <c r="D60" s="36">
        <v>12519229.451222047</v>
      </c>
      <c r="E60" s="36">
        <v>3370167.7939305604</v>
      </c>
      <c r="F60" s="36">
        <v>9427252.3195464313</v>
      </c>
      <c r="G60" s="36">
        <v>6931784.0077532679</v>
      </c>
      <c r="H60" s="36">
        <v>3732669.1445012987</v>
      </c>
      <c r="I60" s="36">
        <v>8049404.3355472088</v>
      </c>
    </row>
    <row r="61" spans="2:9">
      <c r="B61" s="36">
        <v>53</v>
      </c>
      <c r="C61" s="36">
        <v>5042483.8452958465</v>
      </c>
      <c r="D61" s="36">
        <v>13214459.622020498</v>
      </c>
      <c r="E61" s="36">
        <v>10031354.338260159</v>
      </c>
      <c r="F61" s="36">
        <v>3412705.5772608817</v>
      </c>
      <c r="G61" s="36">
        <v>-1518629.3870240599</v>
      </c>
      <c r="H61" s="36">
        <v>2953806.8281665891</v>
      </c>
      <c r="I61" s="36">
        <v>-2809289.6019348502</v>
      </c>
    </row>
    <row r="62" spans="2:9">
      <c r="B62" s="36">
        <v>54</v>
      </c>
      <c r="C62" s="36">
        <v>21139624.568801358</v>
      </c>
      <c r="D62" s="36">
        <v>8730255.8936263919</v>
      </c>
      <c r="E62" s="36">
        <v>1825220.6098311841</v>
      </c>
      <c r="F62" s="36">
        <v>1694396.7575054765</v>
      </c>
      <c r="G62" s="36">
        <v>6228159.4574393183</v>
      </c>
      <c r="H62" s="36">
        <v>3701960.1248046756</v>
      </c>
      <c r="I62" s="36">
        <v>5763069.8301742971</v>
      </c>
    </row>
    <row r="63" spans="2:9">
      <c r="B63" s="36">
        <v>55</v>
      </c>
      <c r="C63" s="36">
        <v>14325940.289958581</v>
      </c>
      <c r="D63" s="36">
        <v>15980810.486530602</v>
      </c>
      <c r="E63" s="36">
        <v>15338929.918098822</v>
      </c>
      <c r="F63" s="36">
        <v>487712.41928498447</v>
      </c>
      <c r="G63" s="36">
        <v>9336082.9183565527</v>
      </c>
      <c r="H63" s="36">
        <v>8979264.4167883396</v>
      </c>
      <c r="I63" s="36">
        <v>246588.89842483401</v>
      </c>
    </row>
    <row r="64" spans="2:9">
      <c r="B64" s="36">
        <v>56</v>
      </c>
      <c r="C64" s="36">
        <v>9967321.8567205369</v>
      </c>
      <c r="D64" s="36">
        <v>16979469.345041111</v>
      </c>
      <c r="E64" s="36">
        <v>8547070.0175359994</v>
      </c>
      <c r="F64" s="36">
        <v>20561609.525492474</v>
      </c>
      <c r="G64" s="36">
        <v>14840877.777377933</v>
      </c>
      <c r="H64" s="36">
        <v>5062480.1485433877</v>
      </c>
      <c r="I64" s="36">
        <v>-131905.76655215025</v>
      </c>
    </row>
    <row r="65" spans="2:9">
      <c r="B65" s="36">
        <v>57</v>
      </c>
      <c r="C65" s="36">
        <v>14854160.729011625</v>
      </c>
      <c r="D65" s="36">
        <v>7657082.9748635739</v>
      </c>
      <c r="E65" s="36">
        <v>1997277.6633257866</v>
      </c>
      <c r="F65" s="36">
        <v>1138338.6607911289</v>
      </c>
      <c r="G65" s="36">
        <v>2049456.5292645544</v>
      </c>
      <c r="H65" s="36">
        <v>7830441.8063093871</v>
      </c>
      <c r="I65" s="36">
        <v>6520311.156216383</v>
      </c>
    </row>
    <row r="66" spans="2:9">
      <c r="B66" s="36">
        <v>58</v>
      </c>
      <c r="C66" s="36">
        <v>20767224.91162689</v>
      </c>
      <c r="D66" s="36">
        <v>18008592.988419801</v>
      </c>
      <c r="E66" s="36">
        <v>10225232.854821414</v>
      </c>
      <c r="F66" s="36">
        <v>12076757.026961088</v>
      </c>
      <c r="G66" s="36">
        <v>-6778005.1288318783</v>
      </c>
      <c r="H66" s="36">
        <v>3895047.7005707324</v>
      </c>
      <c r="I66" s="36">
        <v>-1055706.0276938528</v>
      </c>
    </row>
    <row r="67" spans="2:9">
      <c r="B67" s="36">
        <v>59</v>
      </c>
      <c r="C67" s="36">
        <v>12262685.268478736</v>
      </c>
      <c r="D67" s="36">
        <v>21308474.888911873</v>
      </c>
      <c r="E67" s="36">
        <v>18628517.183280706</v>
      </c>
      <c r="F67" s="36">
        <v>9967715.1196087152</v>
      </c>
      <c r="G67" s="36">
        <v>1590344.1636257619</v>
      </c>
      <c r="H67" s="36">
        <v>10498475.61944139</v>
      </c>
      <c r="I67" s="36">
        <v>2586305.6785289347</v>
      </c>
    </row>
    <row r="68" spans="2:9">
      <c r="B68" s="36">
        <v>60</v>
      </c>
      <c r="C68" s="36">
        <v>18507624.433533326</v>
      </c>
      <c r="D68" s="36">
        <v>13599509.070246205</v>
      </c>
      <c r="E68" s="36">
        <v>16010054.782368094</v>
      </c>
      <c r="F68" s="36">
        <v>1735184.7291162312</v>
      </c>
      <c r="G68" s="36">
        <v>11592788.395044848</v>
      </c>
      <c r="H68" s="36">
        <v>9237973.0167752206</v>
      </c>
      <c r="I68" s="36">
        <v>-866956.95622764528</v>
      </c>
    </row>
    <row r="69" spans="2:9">
      <c r="B69" s="36">
        <v>61</v>
      </c>
      <c r="C69" s="36">
        <v>14522020.341153979</v>
      </c>
      <c r="D69" s="36">
        <v>16056096.859409004</v>
      </c>
      <c r="E69" s="36">
        <v>2702196.7121805847</v>
      </c>
      <c r="F69" s="36">
        <v>13200280.277721033</v>
      </c>
      <c r="G69" s="36">
        <v>1867270.3081565052</v>
      </c>
      <c r="H69" s="36">
        <v>13018548.97119686</v>
      </c>
      <c r="I69" s="36">
        <v>3035687.7358038127</v>
      </c>
    </row>
    <row r="70" spans="2:9">
      <c r="B70" s="36">
        <v>62</v>
      </c>
      <c r="C70" s="36">
        <v>15659984.862186134</v>
      </c>
      <c r="D70" s="36">
        <v>20799181.086538434</v>
      </c>
      <c r="E70" s="36">
        <v>9223937.9033505172</v>
      </c>
      <c r="F70" s="36">
        <v>3026801.626418367</v>
      </c>
      <c r="G70" s="36">
        <v>16303300.598669797</v>
      </c>
      <c r="H70" s="36">
        <v>6535388.6817736924</v>
      </c>
      <c r="I70" s="36">
        <v>-3994588.7581057101</v>
      </c>
    </row>
    <row r="71" spans="2:9">
      <c r="B71" s="36">
        <v>63</v>
      </c>
      <c r="C71" s="36">
        <v>12311885.98577401</v>
      </c>
      <c r="D71" s="36">
        <v>16659036.116157815</v>
      </c>
      <c r="E71" s="36">
        <v>20223242.145100385</v>
      </c>
      <c r="F71" s="36">
        <v>12626742.394799784</v>
      </c>
      <c r="G71" s="36">
        <v>2674566.4608929902</v>
      </c>
      <c r="H71" s="36">
        <v>9458405.8505469263</v>
      </c>
      <c r="I71" s="36">
        <v>6453724.2751660645</v>
      </c>
    </row>
    <row r="72" spans="2:9">
      <c r="B72" s="36">
        <v>64</v>
      </c>
      <c r="C72" s="36">
        <v>19981152.146014512</v>
      </c>
      <c r="D72" s="36">
        <v>7826630.1137465388</v>
      </c>
      <c r="E72" s="36">
        <v>13381861.146676242</v>
      </c>
      <c r="F72" s="36">
        <v>7401418.6593550742</v>
      </c>
      <c r="G72" s="36">
        <v>-1307435.8513703644</v>
      </c>
      <c r="H72" s="36">
        <v>8727671.7367841303</v>
      </c>
      <c r="I72" s="36">
        <v>-4977915.0061312765</v>
      </c>
    </row>
    <row r="73" spans="2:9">
      <c r="B73" s="36">
        <v>65</v>
      </c>
      <c r="C73" s="36">
        <v>16753053.985995948</v>
      </c>
      <c r="D73" s="36">
        <v>12801098.886090845</v>
      </c>
      <c r="E73" s="36">
        <v>16630583.41919288</v>
      </c>
      <c r="F73" s="36">
        <v>11136231.982946783</v>
      </c>
      <c r="G73" s="36">
        <v>-9262380.3288871944</v>
      </c>
      <c r="H73" s="36">
        <v>2800337.0799411237</v>
      </c>
      <c r="I73" s="36">
        <v>-6832441.9204793274</v>
      </c>
    </row>
    <row r="74" spans="2:9">
      <c r="B74" s="36">
        <v>66</v>
      </c>
      <c r="C74" s="36">
        <v>10087169.859169617</v>
      </c>
      <c r="D74" s="36">
        <v>5441243.7269819528</v>
      </c>
      <c r="E74" s="36">
        <v>13360669.484277844</v>
      </c>
      <c r="F74" s="36">
        <v>6325961.0865204036</v>
      </c>
      <c r="G74" s="36">
        <v>9820780.0107719004</v>
      </c>
      <c r="H74" s="36">
        <v>1992222.3279120475</v>
      </c>
      <c r="I74" s="36">
        <v>6273793.1279717982</v>
      </c>
    </row>
    <row r="75" spans="2:9">
      <c r="B75" s="36">
        <v>67</v>
      </c>
      <c r="C75" s="36">
        <v>19129801.196901649</v>
      </c>
      <c r="D75" s="36">
        <v>8569109.8699408174</v>
      </c>
      <c r="E75" s="36">
        <v>2529048.0124417692</v>
      </c>
      <c r="F75" s="36">
        <v>8484004.16733253</v>
      </c>
      <c r="G75" s="36">
        <v>1999606.4964727461</v>
      </c>
      <c r="H75" s="36">
        <v>-14354668.734568402</v>
      </c>
      <c r="I75" s="36">
        <v>-7719149.3940663189</v>
      </c>
    </row>
    <row r="76" spans="2:9">
      <c r="B76" s="36">
        <v>68</v>
      </c>
      <c r="C76" s="36">
        <v>20085599.8608789</v>
      </c>
      <c r="D76" s="36">
        <v>10411067.820197299</v>
      </c>
      <c r="E76" s="36">
        <v>2985087.5832536072</v>
      </c>
      <c r="F76" s="36">
        <v>7038965.4452211559</v>
      </c>
      <c r="G76" s="36">
        <v>14372628.138443738</v>
      </c>
      <c r="H76" s="36">
        <v>7147997.132875964</v>
      </c>
      <c r="I76" s="36">
        <v>7556504.1723236442</v>
      </c>
    </row>
    <row r="77" spans="2:9">
      <c r="B77" s="36">
        <v>69</v>
      </c>
      <c r="C77" s="36">
        <v>20131729.047188699</v>
      </c>
      <c r="D77" s="36">
        <v>7070740.7646043003</v>
      </c>
      <c r="E77" s="36">
        <v>4580621.4664361626</v>
      </c>
      <c r="F77" s="36">
        <v>11199487.112735331</v>
      </c>
      <c r="G77" s="36">
        <v>20056569.776659474</v>
      </c>
      <c r="H77" s="36">
        <v>-5143460.8146922141</v>
      </c>
      <c r="I77" s="36">
        <v>84461.837964609265</v>
      </c>
    </row>
    <row r="78" spans="2:9">
      <c r="B78" s="36">
        <v>70</v>
      </c>
      <c r="C78" s="36">
        <v>9991717.1132411808</v>
      </c>
      <c r="D78" s="36">
        <v>20266568.320375621</v>
      </c>
      <c r="E78" s="36">
        <v>319051.8349083215</v>
      </c>
      <c r="F78" s="36">
        <v>3327765.8566252589</v>
      </c>
      <c r="G78" s="36">
        <v>11978564.006537542</v>
      </c>
      <c r="H78" s="36">
        <v>-69006.924902021885</v>
      </c>
      <c r="I78" s="36">
        <v>1947883.553014949</v>
      </c>
    </row>
    <row r="79" spans="2:9">
      <c r="B79" s="36">
        <v>71</v>
      </c>
      <c r="C79" s="36">
        <v>18329959.290023535</v>
      </c>
      <c r="D79" s="36">
        <v>5444235.7559637278</v>
      </c>
      <c r="E79" s="36">
        <v>12604369.556763515</v>
      </c>
      <c r="F79" s="36">
        <v>301155.02664624155</v>
      </c>
      <c r="G79" s="36">
        <v>4998552.7017646134</v>
      </c>
      <c r="H79" s="36">
        <v>3044879.2841307819</v>
      </c>
      <c r="I79" s="36">
        <v>-6141491.6378443986</v>
      </c>
    </row>
    <row r="80" spans="2:9">
      <c r="B80" s="36">
        <v>72</v>
      </c>
      <c r="C80" s="36">
        <v>15946446.691521108</v>
      </c>
      <c r="D80" s="36">
        <v>8110701.7502215952</v>
      </c>
      <c r="E80" s="36">
        <v>14646639.566133514</v>
      </c>
      <c r="F80" s="36">
        <v>24643887.728152066</v>
      </c>
      <c r="G80" s="36">
        <v>5365705.4840196222</v>
      </c>
      <c r="H80" s="36">
        <v>-7355272.1707774252</v>
      </c>
      <c r="I80" s="36">
        <v>918371.56300251186</v>
      </c>
    </row>
    <row r="81" spans="2:9">
      <c r="B81" s="36">
        <v>73</v>
      </c>
      <c r="C81" s="36">
        <v>5286422.4813326746</v>
      </c>
      <c r="D81" s="36">
        <v>14165460.990949973</v>
      </c>
      <c r="E81" s="36">
        <v>12433842.7610403</v>
      </c>
      <c r="F81" s="36">
        <v>163992.26872684062</v>
      </c>
      <c r="G81" s="36">
        <v>3455958.0461667627</v>
      </c>
      <c r="H81" s="36">
        <v>5534565.8228354901</v>
      </c>
      <c r="I81" s="36">
        <v>-6165485.5266472101</v>
      </c>
    </row>
    <row r="82" spans="2:9">
      <c r="B82" s="36">
        <v>74</v>
      </c>
      <c r="C82" s="36">
        <v>12642482.154214054</v>
      </c>
      <c r="D82" s="36">
        <v>5047210.7596795857</v>
      </c>
      <c r="E82" s="36">
        <v>14496349.983595744</v>
      </c>
      <c r="F82" s="36">
        <v>3178776.6763710976</v>
      </c>
      <c r="G82" s="36">
        <v>-693045.65021987259</v>
      </c>
      <c r="H82" s="36">
        <v>13904874.657936439</v>
      </c>
      <c r="I82" s="36">
        <v>8161037.4145718515</v>
      </c>
    </row>
    <row r="83" spans="2:9">
      <c r="B83" s="36">
        <v>75</v>
      </c>
      <c r="C83" s="36">
        <v>21082556.240686998</v>
      </c>
      <c r="D83" s="36">
        <v>16894210.591383204</v>
      </c>
      <c r="E83" s="36">
        <v>18201106.209662363</v>
      </c>
      <c r="F83" s="36">
        <v>-3312664.827048555</v>
      </c>
      <c r="G83" s="36">
        <v>11656211.758125588</v>
      </c>
      <c r="H83" s="36">
        <v>-5651205.1034211516</v>
      </c>
      <c r="I83" s="36">
        <v>-1715928.7439810634</v>
      </c>
    </row>
    <row r="84" spans="2:9">
      <c r="B84" s="36">
        <v>76</v>
      </c>
      <c r="C84" s="36">
        <v>12654689.096479133</v>
      </c>
      <c r="D84" s="36">
        <v>5074665.5975824744</v>
      </c>
      <c r="E84" s="36">
        <v>11683012.25309673</v>
      </c>
      <c r="F84" s="36">
        <v>8724023.2232907712</v>
      </c>
      <c r="G84" s="36">
        <v>3706424.2440757006</v>
      </c>
      <c r="H84" s="36">
        <v>11116080.85635823</v>
      </c>
      <c r="I84" s="36">
        <v>8664074.5752570182</v>
      </c>
    </row>
    <row r="85" spans="2:9">
      <c r="B85" s="36">
        <v>77</v>
      </c>
      <c r="C85" s="36">
        <v>4793664.1146219373</v>
      </c>
      <c r="D85" s="36">
        <v>10311671.507398352</v>
      </c>
      <c r="E85" s="36">
        <v>8624416.7422621846</v>
      </c>
      <c r="F85" s="36">
        <v>3564365.4380744994</v>
      </c>
      <c r="G85" s="36">
        <v>-3121108.7942660153</v>
      </c>
      <c r="H85" s="36">
        <v>-164259.83024278283</v>
      </c>
      <c r="I85" s="36">
        <v>4584737.1782158166</v>
      </c>
    </row>
    <row r="86" spans="2:9">
      <c r="B86" s="36">
        <v>78</v>
      </c>
      <c r="C86" s="36">
        <v>13356595.122237861</v>
      </c>
      <c r="D86" s="36">
        <v>16244520.367814302</v>
      </c>
      <c r="E86" s="36">
        <v>4698247.1658717841</v>
      </c>
      <c r="F86" s="36">
        <v>-369809.46624055505</v>
      </c>
      <c r="G86" s="36">
        <v>-2780733.0343901962</v>
      </c>
      <c r="H86" s="36">
        <v>17607575.28555508</v>
      </c>
      <c r="I86" s="36">
        <v>5017988.7407982349</v>
      </c>
    </row>
    <row r="87" spans="2:9">
      <c r="B87" s="36">
        <v>79</v>
      </c>
      <c r="C87" s="36">
        <v>19503370.467014194</v>
      </c>
      <c r="D87" s="36">
        <v>18941862.749511495</v>
      </c>
      <c r="E87" s="36">
        <v>17576663.677842975</v>
      </c>
      <c r="F87" s="36">
        <v>4203180.6733555645</v>
      </c>
      <c r="G87" s="36">
        <v>3170166.6349989176</v>
      </c>
      <c r="H87" s="36">
        <v>-578866.89424587786</v>
      </c>
      <c r="I87" s="36">
        <v>9500374.6261610091</v>
      </c>
    </row>
    <row r="88" spans="2:9">
      <c r="B88" s="36">
        <v>80</v>
      </c>
      <c r="C88" s="36">
        <v>8878397.2891489416</v>
      </c>
      <c r="D88" s="36">
        <v>10196200.644370437</v>
      </c>
      <c r="E88" s="36">
        <v>6519214.8399890959</v>
      </c>
      <c r="F88" s="36">
        <v>18110581.170081198</v>
      </c>
      <c r="G88" s="36">
        <v>20843493.017777532</v>
      </c>
      <c r="H88" s="36">
        <v>13639685.012535021</v>
      </c>
      <c r="I88" s="36">
        <v>-6313326.0169093013</v>
      </c>
    </row>
    <row r="89" spans="2:9">
      <c r="B89" s="36">
        <v>81</v>
      </c>
      <c r="C89" s="36">
        <v>6914252.7977027595</v>
      </c>
      <c r="D89" s="36">
        <v>2162970.0548240542</v>
      </c>
      <c r="E89" s="36">
        <v>5785242.7177411467</v>
      </c>
      <c r="F89" s="36">
        <v>4411726.6220544726</v>
      </c>
      <c r="G89" s="36">
        <v>8289643.4405988157</v>
      </c>
      <c r="H89" s="36">
        <v>-104227.61801911891</v>
      </c>
      <c r="I89" s="36">
        <v>829863.11951345205</v>
      </c>
    </row>
    <row r="90" spans="2:9">
      <c r="B90" s="36">
        <v>82</v>
      </c>
      <c r="C90" s="36">
        <v>10996282.540562019</v>
      </c>
      <c r="D90" s="36">
        <v>1377363.3964276463</v>
      </c>
      <c r="E90" s="36">
        <v>-4122803.0403599888</v>
      </c>
      <c r="F90" s="36">
        <v>4058956.6192606539</v>
      </c>
      <c r="G90" s="36">
        <v>1066920.2145440131</v>
      </c>
      <c r="H90" s="36">
        <v>5980089.6395952106</v>
      </c>
      <c r="I90" s="36">
        <v>3345553.1131893396</v>
      </c>
    </row>
    <row r="91" spans="2:9">
      <c r="B91" s="36">
        <v>83</v>
      </c>
      <c r="C91" s="36">
        <v>16083479.974266872</v>
      </c>
      <c r="D91" s="36">
        <v>10508761.711146891</v>
      </c>
      <c r="E91" s="36">
        <v>5052481.6679984033</v>
      </c>
      <c r="F91" s="36">
        <v>4616534.3951641023</v>
      </c>
      <c r="G91" s="36">
        <v>5458525.5935635418</v>
      </c>
      <c r="H91" s="36">
        <v>11930180.105810195</v>
      </c>
      <c r="I91" s="36">
        <v>-2104182.6928340793</v>
      </c>
    </row>
    <row r="92" spans="2:9">
      <c r="B92" s="36">
        <v>84</v>
      </c>
      <c r="C92" s="36">
        <v>20310359.362318069</v>
      </c>
      <c r="D92" s="36">
        <v>7782939.5363380164</v>
      </c>
      <c r="E92" s="36">
        <v>11689246.048600093</v>
      </c>
      <c r="F92" s="36">
        <v>13784001.1968247</v>
      </c>
      <c r="G92" s="36">
        <v>296483.96965646744</v>
      </c>
      <c r="H92" s="36">
        <v>4879008.3730288446</v>
      </c>
      <c r="I92" s="36">
        <v>2202842.4687528312</v>
      </c>
    </row>
    <row r="93" spans="2:9">
      <c r="B93" s="36">
        <v>85</v>
      </c>
      <c r="C93" s="36">
        <v>11122440.675903618</v>
      </c>
      <c r="D93" s="36">
        <v>16899963.677083611</v>
      </c>
      <c r="E93" s="36">
        <v>7250895.692222178</v>
      </c>
      <c r="F93" s="36">
        <v>9609020.9730680138</v>
      </c>
      <c r="G93" s="36">
        <v>2007923.8761797547</v>
      </c>
      <c r="H93" s="36">
        <v>14096423.245424032</v>
      </c>
      <c r="I93" s="36">
        <v>9161586.4341770262</v>
      </c>
    </row>
    <row r="94" spans="2:9">
      <c r="B94" s="36">
        <v>86</v>
      </c>
      <c r="C94" s="36">
        <v>9910822.2447247058</v>
      </c>
      <c r="D94" s="36">
        <v>13273347.570090979</v>
      </c>
      <c r="E94" s="36">
        <v>8623758.4113202095</v>
      </c>
      <c r="F94" s="36">
        <v>7235122.2326586246</v>
      </c>
      <c r="G94" s="36">
        <v>5802422.6213978082</v>
      </c>
      <c r="H94" s="36">
        <v>522057.9415307343</v>
      </c>
      <c r="I94" s="36">
        <v>-216014.93250307441</v>
      </c>
    </row>
    <row r="95" spans="2:9">
      <c r="B95" s="36">
        <v>87</v>
      </c>
      <c r="C95" s="36">
        <v>14000112.439644903</v>
      </c>
      <c r="D95" s="36">
        <v>19752743.842314765</v>
      </c>
      <c r="E95" s="36">
        <v>15080738.102266848</v>
      </c>
      <c r="F95" s="36">
        <v>3243157.2600397766</v>
      </c>
      <c r="G95" s="36">
        <v>12055673.423834607</v>
      </c>
      <c r="H95" s="36">
        <v>9218478.7494492382</v>
      </c>
      <c r="I95" s="36">
        <v>5215241.7731597573</v>
      </c>
    </row>
    <row r="96" spans="2:9">
      <c r="B96" s="36">
        <v>88</v>
      </c>
      <c r="C96" s="36">
        <v>11418440.562508821</v>
      </c>
      <c r="D96" s="36">
        <v>12729560.124977753</v>
      </c>
      <c r="E96" s="36">
        <v>10733875.325387657</v>
      </c>
      <c r="F96" s="36">
        <v>-1512419.3091500252</v>
      </c>
      <c r="G96" s="36">
        <v>15973331.196402624</v>
      </c>
      <c r="H96" s="36">
        <v>-5116260.7132053822</v>
      </c>
      <c r="I96" s="36">
        <v>-128524.82149630785</v>
      </c>
    </row>
    <row r="97" spans="2:9">
      <c r="B97" s="36">
        <v>89</v>
      </c>
      <c r="C97" s="36">
        <v>13083055.795235947</v>
      </c>
      <c r="D97" s="36">
        <v>11139554.655535102</v>
      </c>
      <c r="E97" s="36">
        <v>6850360.950327158</v>
      </c>
      <c r="F97" s="36">
        <v>11777123.204404578</v>
      </c>
      <c r="G97" s="36">
        <v>1523416.7587530315</v>
      </c>
      <c r="H97" s="36">
        <v>2383551.8079125881</v>
      </c>
      <c r="I97" s="36">
        <v>840673.39081540704</v>
      </c>
    </row>
    <row r="98" spans="2:9">
      <c r="B98" s="36">
        <v>90</v>
      </c>
      <c r="C98" s="36">
        <v>9824726.2558284402</v>
      </c>
      <c r="D98" s="36">
        <v>6534056.5909612328</v>
      </c>
      <c r="E98" s="36">
        <v>15797907.735198677</v>
      </c>
      <c r="F98" s="36">
        <v>12947719.488243535</v>
      </c>
      <c r="G98" s="36">
        <v>4926686.9705724716</v>
      </c>
      <c r="H98" s="36">
        <v>17009941.192834646</v>
      </c>
      <c r="I98" s="36">
        <v>3615349.7422921658</v>
      </c>
    </row>
    <row r="99" spans="2:9">
      <c r="B99" s="36">
        <v>91</v>
      </c>
      <c r="C99" s="36">
        <v>21874112.692583859</v>
      </c>
      <c r="D99" s="36">
        <v>-1765294.5917021036</v>
      </c>
      <c r="E99" s="36">
        <v>23908297.551828101</v>
      </c>
      <c r="F99" s="36">
        <v>13793752.38214542</v>
      </c>
      <c r="G99" s="36">
        <v>14782472.996591493</v>
      </c>
      <c r="H99" s="36">
        <v>15215180.226326138</v>
      </c>
      <c r="I99" s="36">
        <v>7097201.5137373209</v>
      </c>
    </row>
    <row r="100" spans="2:9">
      <c r="B100" s="36">
        <v>92</v>
      </c>
      <c r="C100" s="36">
        <v>19276678.390453517</v>
      </c>
      <c r="D100" s="36">
        <v>17137775.156148955</v>
      </c>
      <c r="E100" s="36">
        <v>-2648475.0133617818</v>
      </c>
      <c r="F100" s="36">
        <v>7410895.1335237324</v>
      </c>
      <c r="G100" s="36">
        <v>6105186.1668440998</v>
      </c>
      <c r="H100" s="36">
        <v>12775289.960227877</v>
      </c>
      <c r="I100" s="36">
        <v>1977407.407062605</v>
      </c>
    </row>
    <row r="101" spans="2:9">
      <c r="B101" s="36">
        <v>93</v>
      </c>
      <c r="C101" s="36">
        <v>18693375.048466057</v>
      </c>
      <c r="D101" s="36">
        <v>7265258.5116291195</v>
      </c>
      <c r="E101" s="36">
        <v>4435490.866689533</v>
      </c>
      <c r="F101" s="36">
        <v>14601327.078931868</v>
      </c>
      <c r="G101" s="36">
        <v>3744321.0792552233</v>
      </c>
      <c r="H101" s="36">
        <v>-1156394.4845195562</v>
      </c>
      <c r="I101" s="36">
        <v>176197.29146419466</v>
      </c>
    </row>
    <row r="102" spans="2:9">
      <c r="B102" s="36">
        <v>94</v>
      </c>
      <c r="C102" s="36">
        <v>18040759.325641945</v>
      </c>
      <c r="D102" s="36">
        <v>11036904.499174565</v>
      </c>
      <c r="E102" s="36">
        <v>4439988.8609503657</v>
      </c>
      <c r="F102" s="36">
        <v>6054990.9784740508</v>
      </c>
      <c r="G102" s="36">
        <v>9578137.0382836908</v>
      </c>
      <c r="H102" s="36">
        <v>6628623.4868676066</v>
      </c>
      <c r="I102" s="36">
        <v>2791049.0643446296</v>
      </c>
    </row>
    <row r="103" spans="2:9">
      <c r="B103" s="36">
        <v>95</v>
      </c>
      <c r="C103" s="36">
        <v>11022928.798604622</v>
      </c>
      <c r="D103" s="36">
        <v>14228046.284073666</v>
      </c>
      <c r="E103" s="36">
        <v>8731278.7856557816</v>
      </c>
      <c r="F103" s="36">
        <v>11037631.851861298</v>
      </c>
      <c r="G103" s="36">
        <v>2393482.2443881333</v>
      </c>
      <c r="H103" s="36">
        <v>4259411.0955309272</v>
      </c>
      <c r="I103" s="36">
        <v>3153961.7113871425</v>
      </c>
    </row>
    <row r="104" spans="2:9">
      <c r="B104" s="36">
        <v>96</v>
      </c>
      <c r="C104" s="36">
        <v>14935711.240859628</v>
      </c>
      <c r="D104" s="36">
        <v>22061601.248597816</v>
      </c>
      <c r="E104" s="36">
        <v>9971115.1642341316</v>
      </c>
      <c r="F104" s="36">
        <v>4431090.5393327624</v>
      </c>
      <c r="G104" s="36">
        <v>4437142.5641864389</v>
      </c>
      <c r="H104" s="36">
        <v>3551856.524871543</v>
      </c>
      <c r="I104" s="36">
        <v>-4655615.9521123916</v>
      </c>
    </row>
    <row r="105" spans="2:9">
      <c r="B105" s="36">
        <v>97</v>
      </c>
      <c r="C105" s="36">
        <v>9693876.1291194409</v>
      </c>
      <c r="D105" s="36">
        <v>14318997.239127427</v>
      </c>
      <c r="E105" s="36">
        <v>3593656.5895241052</v>
      </c>
      <c r="F105" s="36">
        <v>9732417.5660915673</v>
      </c>
      <c r="G105" s="36">
        <v>12464552.431701154</v>
      </c>
      <c r="H105" s="36">
        <v>-2293630.1979129761</v>
      </c>
      <c r="I105" s="36">
        <v>-7639243.9831506461</v>
      </c>
    </row>
    <row r="106" spans="2:9">
      <c r="B106" s="36">
        <v>98</v>
      </c>
      <c r="C106" s="36">
        <v>23060952.263385564</v>
      </c>
      <c r="D106" s="36">
        <v>13661912.053999752</v>
      </c>
      <c r="E106" s="36">
        <v>11476488.641503394</v>
      </c>
      <c r="F106" s="36">
        <v>8128473.2594251037</v>
      </c>
      <c r="G106" s="36">
        <v>2489931.0780212283</v>
      </c>
      <c r="H106" s="36">
        <v>7861338.2137682438</v>
      </c>
      <c r="I106" s="36">
        <v>2726729.1185106933</v>
      </c>
    </row>
    <row r="107" spans="2:9">
      <c r="B107" s="36">
        <v>99</v>
      </c>
      <c r="C107" s="36">
        <v>11652264.377854139</v>
      </c>
      <c r="D107" s="36">
        <v>26860457.828079268</v>
      </c>
      <c r="E107" s="36">
        <v>14255473.676057428</v>
      </c>
      <c r="F107" s="36">
        <v>3413212.5875931382</v>
      </c>
      <c r="G107" s="36">
        <v>4204952.4424839169</v>
      </c>
      <c r="H107" s="36">
        <v>5068504.8273177743</v>
      </c>
      <c r="I107" s="36">
        <v>-986004.44990448654</v>
      </c>
    </row>
    <row r="108" spans="2:9">
      <c r="B108" s="36">
        <v>100</v>
      </c>
      <c r="C108" s="36">
        <v>22527732.005618677</v>
      </c>
      <c r="D108" s="36">
        <v>15244333.654420629</v>
      </c>
      <c r="E108" s="36">
        <v>10245213.429846063</v>
      </c>
      <c r="F108" s="36">
        <v>5242973.5974525362</v>
      </c>
      <c r="G108" s="36">
        <v>9707896.6217699051</v>
      </c>
      <c r="H108" s="36">
        <v>893831.08729451895</v>
      </c>
      <c r="I108" s="36">
        <v>4368591.472725898</v>
      </c>
    </row>
    <row r="109" spans="2:9">
      <c r="B109" s="36">
        <v>101</v>
      </c>
      <c r="C109" s="36">
        <v>13126111.789519966</v>
      </c>
      <c r="D109" s="36">
        <v>20662533.526771605</v>
      </c>
      <c r="E109" s="36">
        <v>16288981.664328083</v>
      </c>
      <c r="F109" s="36">
        <v>-1779216.8834778666</v>
      </c>
      <c r="G109" s="36">
        <v>5412870.3692906946</v>
      </c>
      <c r="H109" s="36">
        <v>1833415.3690731525</v>
      </c>
      <c r="I109" s="36">
        <v>1579305.476685524</v>
      </c>
    </row>
    <row r="110" spans="2:9">
      <c r="B110" s="36">
        <v>102</v>
      </c>
      <c r="C110" s="36">
        <v>15104151.997097105</v>
      </c>
      <c r="D110" s="36">
        <v>19956019.696892455</v>
      </c>
      <c r="E110" s="36">
        <v>8153826.4137449414</v>
      </c>
      <c r="F110" s="36">
        <v>2472768.4405859709</v>
      </c>
      <c r="G110" s="36">
        <v>-902566.0636575222</v>
      </c>
      <c r="H110" s="36">
        <v>8018321.2330521196</v>
      </c>
      <c r="I110" s="36">
        <v>-6487293.6540535986</v>
      </c>
    </row>
    <row r="111" spans="2:9">
      <c r="B111" s="36">
        <v>103</v>
      </c>
      <c r="C111" s="36">
        <v>14491451.674520731</v>
      </c>
      <c r="D111" s="36">
        <v>7468120.6638545841</v>
      </c>
      <c r="E111" s="36">
        <v>10802737.913923025</v>
      </c>
      <c r="F111" s="36">
        <v>629842.863373667</v>
      </c>
      <c r="G111" s="36">
        <v>19867215.136472136</v>
      </c>
      <c r="H111" s="36">
        <v>7478605.7563815862</v>
      </c>
      <c r="I111" s="36">
        <v>-7919185.1369943023</v>
      </c>
    </row>
    <row r="112" spans="2:9">
      <c r="B112" s="36">
        <v>104</v>
      </c>
      <c r="C112" s="36">
        <v>18459524.06428203</v>
      </c>
      <c r="D112" s="36">
        <v>9312302.4136255085</v>
      </c>
      <c r="E112" s="36">
        <v>6656704.7406208515</v>
      </c>
      <c r="F112" s="36">
        <v>3505731.0462121814</v>
      </c>
      <c r="G112" s="36">
        <v>7127798.4101171345</v>
      </c>
      <c r="H112" s="36">
        <v>-671578.5271577239</v>
      </c>
      <c r="I112" s="36">
        <v>486920.81742434204</v>
      </c>
    </row>
    <row r="113" spans="2:9">
      <c r="B113" s="36">
        <v>105</v>
      </c>
      <c r="C113" s="36">
        <v>18364135.489062816</v>
      </c>
      <c r="D113" s="36">
        <v>16636316.176242903</v>
      </c>
      <c r="E113" s="36">
        <v>13301095.911595762</v>
      </c>
      <c r="F113" s="36">
        <v>8978701.8462463468</v>
      </c>
      <c r="G113" s="36">
        <v>787406.00157645345</v>
      </c>
      <c r="H113" s="36">
        <v>8563442.0619214326</v>
      </c>
      <c r="I113" s="36">
        <v>-345380.34593988955</v>
      </c>
    </row>
    <row r="114" spans="2:9">
      <c r="B114" s="36">
        <v>106</v>
      </c>
      <c r="C114" s="36">
        <v>15192868.069063663</v>
      </c>
      <c r="D114" s="36">
        <v>13726721.181290075</v>
      </c>
      <c r="E114" s="36">
        <v>10895287.08159785</v>
      </c>
      <c r="F114" s="36">
        <v>1416208.0915566832</v>
      </c>
      <c r="G114" s="36">
        <v>10687167.681939304</v>
      </c>
      <c r="H114" s="36">
        <v>2790328.8397490829</v>
      </c>
      <c r="I114" s="36">
        <v>9733187.7819627374</v>
      </c>
    </row>
    <row r="115" spans="2:9">
      <c r="B115" s="36">
        <v>107</v>
      </c>
      <c r="C115" s="36">
        <v>11473329.656063676</v>
      </c>
      <c r="D115" s="36">
        <v>12989197.120530665</v>
      </c>
      <c r="E115" s="36">
        <v>7819744.1032682359</v>
      </c>
      <c r="F115" s="36">
        <v>3342109.7768084705</v>
      </c>
      <c r="G115" s="36">
        <v>13730673.339451879</v>
      </c>
      <c r="H115" s="36">
        <v>-3169368.2646900117</v>
      </c>
      <c r="I115" s="36">
        <v>335746.07763275504</v>
      </c>
    </row>
    <row r="116" spans="2:9">
      <c r="B116" s="36">
        <v>108</v>
      </c>
      <c r="C116" s="36">
        <v>11779171.750924468</v>
      </c>
      <c r="D116" s="36">
        <v>14478554.277172863</v>
      </c>
      <c r="E116" s="36">
        <v>12179862.157763675</v>
      </c>
      <c r="F116" s="36">
        <v>3001732.5321027935</v>
      </c>
      <c r="G116" s="36">
        <v>6592161.7167245597</v>
      </c>
      <c r="H116" s="36">
        <v>84426.586150124669</v>
      </c>
      <c r="I116" s="36">
        <v>1585261.7898851782</v>
      </c>
    </row>
    <row r="117" spans="2:9">
      <c r="B117" s="36">
        <v>109</v>
      </c>
      <c r="C117" s="36">
        <v>15720949.749945</v>
      </c>
      <c r="D117" s="36">
        <v>11715775.431487471</v>
      </c>
      <c r="E117" s="36">
        <v>8145401.8468171507</v>
      </c>
      <c r="F117" s="36">
        <v>15027482.992151991</v>
      </c>
      <c r="G117" s="36">
        <v>3130110.0049316287</v>
      </c>
      <c r="H117" s="36">
        <v>1627731.4715791792</v>
      </c>
      <c r="I117" s="36">
        <v>6153437.8568577319</v>
      </c>
    </row>
    <row r="118" spans="2:9">
      <c r="B118" s="36">
        <v>110</v>
      </c>
      <c r="C118" s="36">
        <v>16025126.148367256</v>
      </c>
      <c r="D118" s="36">
        <v>9012385.6620957702</v>
      </c>
      <c r="E118" s="36">
        <v>4604665.8643559515</v>
      </c>
      <c r="F118" s="36">
        <v>15882460.816214442</v>
      </c>
      <c r="G118" s="36">
        <v>14549237.329007164</v>
      </c>
      <c r="H118" s="36">
        <v>10451622.35821487</v>
      </c>
      <c r="I118" s="36">
        <v>8947378.080343008</v>
      </c>
    </row>
    <row r="119" spans="2:9">
      <c r="B119" s="36">
        <v>111</v>
      </c>
      <c r="C119" s="36">
        <v>8378069.2346175164</v>
      </c>
      <c r="D119" s="36">
        <v>8299713.7029509991</v>
      </c>
      <c r="E119" s="36">
        <v>3738988.0319528878</v>
      </c>
      <c r="F119" s="36">
        <v>12933475.609281734</v>
      </c>
      <c r="G119" s="36">
        <v>10104473.555708796</v>
      </c>
      <c r="H119" s="36">
        <v>7006722.7038794905</v>
      </c>
      <c r="I119" s="36">
        <v>-5208943.1741390526</v>
      </c>
    </row>
    <row r="120" spans="2:9">
      <c r="B120" s="36">
        <v>112</v>
      </c>
      <c r="C120" s="36">
        <v>14652776.696567565</v>
      </c>
      <c r="D120" s="36">
        <v>13337595.297684029</v>
      </c>
      <c r="E120" s="36">
        <v>8114751.0010986179</v>
      </c>
      <c r="F120" s="36">
        <v>11703669.298469752</v>
      </c>
      <c r="G120" s="36">
        <v>14458756.560419872</v>
      </c>
      <c r="H120" s="36">
        <v>3522242.2442117482</v>
      </c>
      <c r="I120" s="36">
        <v>7698927.3302965909</v>
      </c>
    </row>
    <row r="121" spans="2:9">
      <c r="B121" s="36">
        <v>113</v>
      </c>
      <c r="C121" s="36">
        <v>18971958.548957407</v>
      </c>
      <c r="D121" s="36">
        <v>26087708.818686426</v>
      </c>
      <c r="E121" s="36">
        <v>4578297.3404005617</v>
      </c>
      <c r="F121" s="36">
        <v>7055530.9729065597</v>
      </c>
      <c r="G121" s="36">
        <v>8346593.6450906545</v>
      </c>
      <c r="H121" s="36">
        <v>7325227.6407296807</v>
      </c>
      <c r="I121" s="36">
        <v>5449714.1913265586</v>
      </c>
    </row>
    <row r="122" spans="2:9">
      <c r="B122" s="36">
        <v>114</v>
      </c>
      <c r="C122" s="36">
        <v>14497237.755098253</v>
      </c>
      <c r="D122" s="36">
        <v>4939772.6365462989</v>
      </c>
      <c r="E122" s="36">
        <v>1909306.1633210182</v>
      </c>
      <c r="F122" s="36">
        <v>16595029.147968143</v>
      </c>
      <c r="G122" s="36">
        <v>462219.04631476104</v>
      </c>
      <c r="H122" s="36">
        <v>3380837.5352299809</v>
      </c>
      <c r="I122" s="36">
        <v>9139678.3362766802</v>
      </c>
    </row>
    <row r="123" spans="2:9">
      <c r="B123" s="36">
        <v>115</v>
      </c>
      <c r="C123" s="36">
        <v>11283403.615539253</v>
      </c>
      <c r="D123" s="36">
        <v>16098347.383660033</v>
      </c>
      <c r="E123" s="36">
        <v>6095479.040256843</v>
      </c>
      <c r="F123" s="36">
        <v>13575913.754193902</v>
      </c>
      <c r="G123" s="36">
        <v>4154257.7631628215</v>
      </c>
      <c r="H123" s="36">
        <v>-7819544.0014580339</v>
      </c>
      <c r="I123" s="36">
        <v>-2272143.5214992911</v>
      </c>
    </row>
    <row r="124" spans="2:9">
      <c r="B124" s="36">
        <v>116</v>
      </c>
      <c r="C124" s="36">
        <v>15273227.479406759</v>
      </c>
      <c r="D124" s="36">
        <v>9338848.8898379356</v>
      </c>
      <c r="E124" s="36">
        <v>13547228.760689348</v>
      </c>
      <c r="F124" s="36">
        <v>7952837.1506165117</v>
      </c>
      <c r="G124" s="36">
        <v>15735735.512244821</v>
      </c>
      <c r="H124" s="36">
        <v>-9685915.8266867697</v>
      </c>
      <c r="I124" s="36">
        <v>-986014.91948336363</v>
      </c>
    </row>
    <row r="125" spans="2:9">
      <c r="B125" s="36">
        <v>117</v>
      </c>
      <c r="C125" s="36">
        <v>10847113.769560367</v>
      </c>
      <c r="D125" s="36">
        <v>12856028.211106792</v>
      </c>
      <c r="E125" s="36">
        <v>16971991.498047054</v>
      </c>
      <c r="F125" s="36">
        <v>18002034.962553874</v>
      </c>
      <c r="G125" s="36">
        <v>11528145.514362484</v>
      </c>
      <c r="H125" s="36">
        <v>2890901.2401579618</v>
      </c>
      <c r="I125" s="36">
        <v>7569538.4515869915</v>
      </c>
    </row>
    <row r="126" spans="2:9">
      <c r="B126" s="36">
        <v>118</v>
      </c>
      <c r="C126" s="36">
        <v>10225228.309710935</v>
      </c>
      <c r="D126" s="36">
        <v>8822774.9785111994</v>
      </c>
      <c r="E126" s="36">
        <v>2570582.6780403405</v>
      </c>
      <c r="F126" s="36">
        <v>15611197.353750721</v>
      </c>
      <c r="G126" s="36">
        <v>10673113.549573034</v>
      </c>
      <c r="H126" s="36">
        <v>9739191.4345010817</v>
      </c>
      <c r="I126" s="36">
        <v>153238.08837717772</v>
      </c>
    </row>
    <row r="127" spans="2:9">
      <c r="B127" s="36">
        <v>119</v>
      </c>
      <c r="C127" s="36">
        <v>12685927.731186703</v>
      </c>
      <c r="D127" s="36">
        <v>11279239.144398496</v>
      </c>
      <c r="E127" s="36">
        <v>13982809.621801928</v>
      </c>
      <c r="F127" s="36">
        <v>15079370.365327239</v>
      </c>
      <c r="G127" s="36">
        <v>9616738.2024177462</v>
      </c>
      <c r="H127" s="36">
        <v>1692425.8917787075</v>
      </c>
      <c r="I127" s="36">
        <v>9469483.4857053906</v>
      </c>
    </row>
    <row r="128" spans="2:9">
      <c r="B128" s="36">
        <v>120</v>
      </c>
      <c r="C128" s="36">
        <v>10985647.078081518</v>
      </c>
      <c r="D128" s="36">
        <v>20036828.885526314</v>
      </c>
      <c r="E128" s="36">
        <v>19119968.621071994</v>
      </c>
      <c r="F128" s="36">
        <v>9577493.2616368979</v>
      </c>
      <c r="G128" s="36">
        <v>6150238.2628941536</v>
      </c>
      <c r="H128" s="36">
        <v>8600690.5177378505</v>
      </c>
      <c r="I128" s="36">
        <v>899967.21427132189</v>
      </c>
    </row>
    <row r="129" spans="2:9">
      <c r="B129" s="36">
        <v>121</v>
      </c>
      <c r="C129" s="36">
        <v>24444994.480019286</v>
      </c>
      <c r="D129" s="36">
        <v>17131022.386484653</v>
      </c>
      <c r="E129" s="36">
        <v>5023861.0443671346</v>
      </c>
      <c r="F129" s="36">
        <v>10164641.133003294</v>
      </c>
      <c r="G129" s="36">
        <v>18135252.57431826</v>
      </c>
      <c r="H129" s="36">
        <v>11297043.764655799</v>
      </c>
      <c r="I129" s="36">
        <v>6534111.0327747017</v>
      </c>
    </row>
    <row r="130" spans="2:9">
      <c r="B130" s="36">
        <v>122</v>
      </c>
      <c r="C130" s="36">
        <v>8917867.3396071792</v>
      </c>
      <c r="D130" s="36">
        <v>3906366.4073823094</v>
      </c>
      <c r="E130" s="36">
        <v>13594383.146027744</v>
      </c>
      <c r="F130" s="36">
        <v>9260520.0445382148</v>
      </c>
      <c r="G130" s="36">
        <v>10026428.73325333</v>
      </c>
      <c r="H130" s="36">
        <v>2577605.4930129945</v>
      </c>
      <c r="I130" s="36">
        <v>-2772279.0906413496</v>
      </c>
    </row>
    <row r="131" spans="2:9">
      <c r="B131" s="36">
        <v>123</v>
      </c>
      <c r="C131" s="36">
        <v>12381320.393522769</v>
      </c>
      <c r="D131" s="36">
        <v>20484212.200671151</v>
      </c>
      <c r="E131" s="36">
        <v>4338696.76704368</v>
      </c>
      <c r="F131" s="36">
        <v>8937982.454873696</v>
      </c>
      <c r="G131" s="36">
        <v>6783937.7005934417</v>
      </c>
      <c r="H131" s="36">
        <v>-6465436.0680310875</v>
      </c>
      <c r="I131" s="36">
        <v>10134066.537707493</v>
      </c>
    </row>
    <row r="132" spans="2:9">
      <c r="B132" s="36">
        <v>124</v>
      </c>
      <c r="C132" s="36">
        <v>13601905.422093615</v>
      </c>
      <c r="D132" s="36">
        <v>10629776.012307808</v>
      </c>
      <c r="E132" s="36">
        <v>12595800.893347383</v>
      </c>
      <c r="F132" s="36">
        <v>19352002.658471048</v>
      </c>
      <c r="G132" s="36">
        <v>11710372.205429733</v>
      </c>
      <c r="H132" s="36">
        <v>4844627.3653004467</v>
      </c>
      <c r="I132" s="36">
        <v>8838688.356113404</v>
      </c>
    </row>
    <row r="133" spans="2:9">
      <c r="B133" s="36">
        <v>125</v>
      </c>
      <c r="C133" s="36">
        <v>22372377.7535595</v>
      </c>
      <c r="D133" s="36">
        <v>19869301.677792534</v>
      </c>
      <c r="E133" s="36">
        <v>22565994.772749081</v>
      </c>
      <c r="F133" s="36">
        <v>5616857.632659927</v>
      </c>
      <c r="G133" s="36">
        <v>1757359.0219550282</v>
      </c>
      <c r="H133" s="36">
        <v>-2319597.7494405061</v>
      </c>
      <c r="I133" s="36">
        <v>7953052.8397180587</v>
      </c>
    </row>
    <row r="134" spans="2:9">
      <c r="B134" s="36">
        <v>126</v>
      </c>
      <c r="C134" s="36">
        <v>17277380.522418424</v>
      </c>
      <c r="D134" s="36">
        <v>13683669.060097516</v>
      </c>
      <c r="E134" s="36">
        <v>12248016.542596862</v>
      </c>
      <c r="F134" s="36">
        <v>2242871.4250149429</v>
      </c>
      <c r="G134" s="36">
        <v>-153891.08722858131</v>
      </c>
      <c r="H134" s="36">
        <v>5538617.406305328</v>
      </c>
      <c r="I134" s="36">
        <v>4088263.7050691843</v>
      </c>
    </row>
    <row r="135" spans="2:9">
      <c r="B135" s="36">
        <v>127</v>
      </c>
      <c r="C135" s="36">
        <v>16435550.96296528</v>
      </c>
      <c r="D135" s="36">
        <v>10358589.798519567</v>
      </c>
      <c r="E135" s="36">
        <v>8584199.8186508864</v>
      </c>
      <c r="F135" s="36">
        <v>10270469.903578937</v>
      </c>
      <c r="G135" s="36">
        <v>593594.39818929136</v>
      </c>
      <c r="H135" s="36">
        <v>4470877.5821584165</v>
      </c>
      <c r="I135" s="36">
        <v>7324430.6674214602</v>
      </c>
    </row>
    <row r="136" spans="2:9">
      <c r="B136" s="36">
        <v>128</v>
      </c>
      <c r="C136" s="36">
        <v>17998920.550369203</v>
      </c>
      <c r="D136" s="36">
        <v>9134117.8478255421</v>
      </c>
      <c r="E136" s="36">
        <v>-2093817.0458667874</v>
      </c>
      <c r="F136" s="36">
        <v>3402004.0586818606</v>
      </c>
      <c r="G136" s="36">
        <v>691519.67527541518</v>
      </c>
      <c r="H136" s="36">
        <v>1592723.2477556616</v>
      </c>
      <c r="I136" s="36">
        <v>9324599.2967384756</v>
      </c>
    </row>
    <row r="137" spans="2:9">
      <c r="B137" s="36">
        <v>129</v>
      </c>
      <c r="C137" s="36">
        <v>8637163.8522492796</v>
      </c>
      <c r="D137" s="36">
        <v>5241513.5542627871</v>
      </c>
      <c r="E137" s="36">
        <v>9234698.5890914798</v>
      </c>
      <c r="F137" s="36">
        <v>18912454.019736946</v>
      </c>
      <c r="G137" s="36">
        <v>6630659.0617302209</v>
      </c>
      <c r="H137" s="36">
        <v>-4392573.520995453</v>
      </c>
      <c r="I137" s="36">
        <v>3494811.1318933666</v>
      </c>
    </row>
    <row r="138" spans="2:9">
      <c r="B138" s="36">
        <v>130</v>
      </c>
      <c r="C138" s="36">
        <v>14045134.024177536</v>
      </c>
      <c r="D138" s="36">
        <v>13322545.7716005</v>
      </c>
      <c r="E138" s="36">
        <v>12794068.955716446</v>
      </c>
      <c r="F138" s="36">
        <v>12321893.020204708</v>
      </c>
      <c r="G138" s="36">
        <v>10720473.566173598</v>
      </c>
      <c r="H138" s="36">
        <v>9513055.6225843132</v>
      </c>
      <c r="I138" s="36">
        <v>-5409591.2974307984</v>
      </c>
    </row>
    <row r="139" spans="2:9">
      <c r="B139" s="36">
        <v>131</v>
      </c>
      <c r="C139" s="36">
        <v>12160796.401889428</v>
      </c>
      <c r="D139" s="36">
        <v>19663146.819346994</v>
      </c>
      <c r="E139" s="36">
        <v>4737596.9846559018</v>
      </c>
      <c r="F139" s="36">
        <v>8486114.0450637043</v>
      </c>
      <c r="G139" s="36">
        <v>3551612.7805048972</v>
      </c>
      <c r="H139" s="36">
        <v>8765234.1602958441</v>
      </c>
      <c r="I139" s="36">
        <v>-2229571.868790105</v>
      </c>
    </row>
    <row r="140" spans="2:9">
      <c r="B140" s="36">
        <v>132</v>
      </c>
      <c r="C140" s="36">
        <v>16531734.028007224</v>
      </c>
      <c r="D140" s="36">
        <v>23809792.060733527</v>
      </c>
      <c r="E140" s="36">
        <v>14480939.511297435</v>
      </c>
      <c r="F140" s="36">
        <v>4953916.9614149928</v>
      </c>
      <c r="G140" s="36">
        <v>4674704.6444207877</v>
      </c>
      <c r="H140" s="36">
        <v>11257566.491164654</v>
      </c>
      <c r="I140" s="36">
        <v>12864214.053370714</v>
      </c>
    </row>
    <row r="141" spans="2:9">
      <c r="B141" s="36">
        <v>133</v>
      </c>
      <c r="C141" s="36">
        <v>8021285.4791029245</v>
      </c>
      <c r="D141" s="36">
        <v>14464232.90696232</v>
      </c>
      <c r="E141" s="36">
        <v>-2384464.2706638128</v>
      </c>
      <c r="F141" s="36">
        <v>17335050.327529743</v>
      </c>
      <c r="G141" s="36">
        <v>-30811.229228779674</v>
      </c>
      <c r="H141" s="36">
        <v>-10076289.052389562</v>
      </c>
      <c r="I141" s="36">
        <v>569630.33838148415</v>
      </c>
    </row>
    <row r="142" spans="2:9">
      <c r="B142" s="36">
        <v>134</v>
      </c>
      <c r="C142" s="36">
        <v>11686140.766182855</v>
      </c>
      <c r="D142" s="36">
        <v>7915864.8036698699</v>
      </c>
      <c r="E142" s="36">
        <v>7655309.3567592502</v>
      </c>
      <c r="F142" s="36">
        <v>8984724.8958643675</v>
      </c>
      <c r="G142" s="36">
        <v>5820664.5048787594</v>
      </c>
      <c r="H142" s="36">
        <v>-6210468.4638670385</v>
      </c>
      <c r="I142" s="36">
        <v>-9067321.3339837939</v>
      </c>
    </row>
    <row r="143" spans="2:9">
      <c r="B143" s="36">
        <v>135</v>
      </c>
      <c r="C143" s="36">
        <v>20131428.906832114</v>
      </c>
      <c r="D143" s="36">
        <v>14121129.53535828</v>
      </c>
      <c r="E143" s="36">
        <v>10613913.014733031</v>
      </c>
      <c r="F143" s="36">
        <v>4086293.1315720379</v>
      </c>
      <c r="G143" s="36">
        <v>10700940.290710017</v>
      </c>
      <c r="H143" s="36">
        <v>10208156.153893292</v>
      </c>
      <c r="I143" s="36">
        <v>1012714.4370199144</v>
      </c>
    </row>
    <row r="144" spans="2:9">
      <c r="B144" s="36">
        <v>136</v>
      </c>
      <c r="C144" s="36">
        <v>19475681.612715825</v>
      </c>
      <c r="D144" s="36">
        <v>6161631.6653742492</v>
      </c>
      <c r="E144" s="36">
        <v>15716620.189692631</v>
      </c>
      <c r="F144" s="36">
        <v>6184446.2235652059</v>
      </c>
      <c r="G144" s="36">
        <v>2128546.3171619922</v>
      </c>
      <c r="H144" s="36">
        <v>8321942.3580312878</v>
      </c>
      <c r="I144" s="36">
        <v>-2849529.4123632908</v>
      </c>
    </row>
    <row r="145" spans="2:9">
      <c r="B145" s="36">
        <v>137</v>
      </c>
      <c r="C145" s="36">
        <v>15475970.659694552</v>
      </c>
      <c r="D145" s="36">
        <v>21840905.072811335</v>
      </c>
      <c r="E145" s="36">
        <v>11925897.013646483</v>
      </c>
      <c r="F145" s="36">
        <v>10732539.264116541</v>
      </c>
      <c r="G145" s="36">
        <v>7098141.4044013023</v>
      </c>
      <c r="H145" s="36">
        <v>-2771697.3633450419</v>
      </c>
      <c r="I145" s="36">
        <v>-40337.506912067533</v>
      </c>
    </row>
    <row r="146" spans="2:9">
      <c r="B146" s="36">
        <v>138</v>
      </c>
      <c r="C146" s="36">
        <v>16707989.710251033</v>
      </c>
      <c r="D146" s="36">
        <v>20229088.961110801</v>
      </c>
      <c r="E146" s="36">
        <v>15792047.994677901</v>
      </c>
      <c r="F146" s="36">
        <v>3583962.5956677049</v>
      </c>
      <c r="G146" s="36">
        <v>12361473.40625456</v>
      </c>
      <c r="H146" s="36">
        <v>-4478992.330373764</v>
      </c>
      <c r="I146" s="36">
        <v>9918482.2192626894</v>
      </c>
    </row>
    <row r="147" spans="2:9">
      <c r="B147" s="36">
        <v>139</v>
      </c>
      <c r="C147" s="36">
        <v>18795589.184950069</v>
      </c>
      <c r="D147" s="36">
        <v>12760419.658013955</v>
      </c>
      <c r="E147" s="36">
        <v>15847120.533493862</v>
      </c>
      <c r="F147" s="36">
        <v>1107296.9332626611</v>
      </c>
      <c r="G147" s="36">
        <v>5537198.421282053</v>
      </c>
      <c r="H147" s="36">
        <v>10483277.566368893</v>
      </c>
      <c r="I147" s="36">
        <v>196283.17968945205</v>
      </c>
    </row>
    <row r="148" spans="2:9">
      <c r="B148" s="36">
        <v>140</v>
      </c>
      <c r="C148" s="36">
        <v>4695769.5646291673</v>
      </c>
      <c r="D148" s="36">
        <v>20234042.529950902</v>
      </c>
      <c r="E148" s="36">
        <v>13652227.552134991</v>
      </c>
      <c r="F148" s="36">
        <v>15344789.785281658</v>
      </c>
      <c r="G148" s="36">
        <v>17812595.845429018</v>
      </c>
      <c r="H148" s="36">
        <v>-2626876.812986359</v>
      </c>
      <c r="I148" s="36">
        <v>5023565.8272357285</v>
      </c>
    </row>
    <row r="149" spans="2:9">
      <c r="B149" s="36">
        <v>141</v>
      </c>
      <c r="C149" s="36">
        <v>11928868.243274748</v>
      </c>
      <c r="D149" s="36">
        <v>12838376.886037692</v>
      </c>
      <c r="E149" s="36">
        <v>4503578.850234434</v>
      </c>
      <c r="F149" s="36">
        <v>13769363.209661037</v>
      </c>
      <c r="G149" s="36">
        <v>9215741.317808032</v>
      </c>
      <c r="H149" s="36">
        <v>-5076112.4858595878</v>
      </c>
      <c r="I149" s="36">
        <v>8011753.8552538306</v>
      </c>
    </row>
    <row r="150" spans="2:9">
      <c r="B150" s="36">
        <v>142</v>
      </c>
      <c r="C150" s="36">
        <v>10306738.563492939</v>
      </c>
      <c r="D150" s="36">
        <v>9834261.4877223819</v>
      </c>
      <c r="E150" s="36">
        <v>5028770.082016781</v>
      </c>
      <c r="F150" s="36">
        <v>1588380.2352303565</v>
      </c>
      <c r="G150" s="36">
        <v>1462776.6704028398</v>
      </c>
      <c r="H150" s="36">
        <v>8644869.5347899199</v>
      </c>
      <c r="I150" s="36">
        <v>453705.93162046373</v>
      </c>
    </row>
    <row r="151" spans="2:9">
      <c r="B151" s="36">
        <v>143</v>
      </c>
      <c r="C151" s="36">
        <v>20061908.510253862</v>
      </c>
      <c r="D151" s="36">
        <v>7523796.5486097336</v>
      </c>
      <c r="E151" s="36">
        <v>13761150.688019052</v>
      </c>
      <c r="F151" s="36">
        <v>10508583.013320863</v>
      </c>
      <c r="G151" s="36">
        <v>10759429.723039001</v>
      </c>
      <c r="H151" s="36">
        <v>4076171.801801458</v>
      </c>
      <c r="I151" s="36">
        <v>2395961.8065204173</v>
      </c>
    </row>
    <row r="152" spans="2:9">
      <c r="B152" s="36">
        <v>144</v>
      </c>
      <c r="C152" s="36">
        <v>18865533.434328482</v>
      </c>
      <c r="D152" s="36">
        <v>16550336.098892897</v>
      </c>
      <c r="E152" s="36">
        <v>16684479.006793246</v>
      </c>
      <c r="F152" s="36">
        <v>471140.15260352194</v>
      </c>
      <c r="G152" s="36">
        <v>16475828.613617688</v>
      </c>
      <c r="H152" s="36">
        <v>4246303.3285232037</v>
      </c>
      <c r="I152" s="36">
        <v>3425315.3237854093</v>
      </c>
    </row>
    <row r="153" spans="2:9">
      <c r="B153" s="36">
        <v>145</v>
      </c>
      <c r="C153" s="36">
        <v>10400610.220716327</v>
      </c>
      <c r="D153" s="36">
        <v>7956475.2279256731</v>
      </c>
      <c r="E153" s="36">
        <v>20648404.412060305</v>
      </c>
      <c r="F153" s="36">
        <v>7756812.7233341485</v>
      </c>
      <c r="G153" s="36">
        <v>889689.27295155823</v>
      </c>
      <c r="H153" s="36">
        <v>4019494.6829482913</v>
      </c>
      <c r="I153" s="36">
        <v>10007256.284512281</v>
      </c>
    </row>
    <row r="154" spans="2:9">
      <c r="B154" s="36">
        <v>146</v>
      </c>
      <c r="C154" s="36">
        <v>24028886.383528024</v>
      </c>
      <c r="D154" s="36">
        <v>14089163.281328216</v>
      </c>
      <c r="E154" s="36">
        <v>9428695.091817379</v>
      </c>
      <c r="F154" s="36">
        <v>-1635798.5568014681</v>
      </c>
      <c r="G154" s="36">
        <v>-1562269.5711217821</v>
      </c>
      <c r="H154" s="36">
        <v>-6650575.016361177</v>
      </c>
      <c r="I154" s="36">
        <v>-8058665.8281446397</v>
      </c>
    </row>
    <row r="155" spans="2:9">
      <c r="B155" s="36">
        <v>147</v>
      </c>
      <c r="C155" s="36">
        <v>22931327.190652519</v>
      </c>
      <c r="D155" s="36">
        <v>8945778.9011374563</v>
      </c>
      <c r="E155" s="36">
        <v>13047129.261591673</v>
      </c>
      <c r="F155" s="36">
        <v>11707025.970744878</v>
      </c>
      <c r="G155" s="36">
        <v>4827963.6345013827</v>
      </c>
      <c r="H155" s="36">
        <v>4128408.5853851438</v>
      </c>
      <c r="I155" s="36">
        <v>-3992336.5631009489</v>
      </c>
    </row>
    <row r="156" spans="2:9">
      <c r="B156" s="36">
        <v>148</v>
      </c>
      <c r="C156" s="36">
        <v>14549659.340802714</v>
      </c>
      <c r="D156" s="36">
        <v>11700736.746918038</v>
      </c>
      <c r="E156" s="36">
        <v>8041618.3272320628</v>
      </c>
      <c r="F156" s="36">
        <v>14895097.193796352</v>
      </c>
      <c r="G156" s="36">
        <v>4038954.5601682663</v>
      </c>
      <c r="H156" s="36">
        <v>1252370.5263705552</v>
      </c>
      <c r="I156" s="36">
        <v>14306427.167201683</v>
      </c>
    </row>
    <row r="157" spans="2:9">
      <c r="B157" s="36">
        <v>149</v>
      </c>
      <c r="C157" s="36">
        <v>11398450.111196473</v>
      </c>
      <c r="D157" s="36">
        <v>9022925.4930309057</v>
      </c>
      <c r="E157" s="36">
        <v>10241199.604080647</v>
      </c>
      <c r="F157" s="36">
        <v>12138903.188483462</v>
      </c>
      <c r="G157" s="36">
        <v>-3235967.7157247365</v>
      </c>
      <c r="H157" s="36">
        <v>4146548.136510089</v>
      </c>
      <c r="I157" s="36">
        <v>-801613.66338889301</v>
      </c>
    </row>
    <row r="158" spans="2:9">
      <c r="B158" s="36">
        <v>150</v>
      </c>
      <c r="C158" s="36">
        <v>15468198.189043745</v>
      </c>
      <c r="D158" s="36">
        <v>15601496.465213493</v>
      </c>
      <c r="E158" s="36">
        <v>8811678.5566696823</v>
      </c>
      <c r="F158" s="36">
        <v>10383546.216420949</v>
      </c>
      <c r="G158" s="36">
        <v>9072627.7673091292</v>
      </c>
      <c r="H158" s="36">
        <v>-8017271.1677747518</v>
      </c>
      <c r="I158" s="36">
        <v>-5389591.4572274983</v>
      </c>
    </row>
    <row r="159" spans="2:9">
      <c r="B159" s="36">
        <v>151</v>
      </c>
      <c r="C159" s="36">
        <v>16232172.036984131</v>
      </c>
      <c r="D159" s="36">
        <v>13288686.604730248</v>
      </c>
      <c r="E159" s="36">
        <v>16737183.671294853</v>
      </c>
      <c r="F159" s="36">
        <v>9704538.8518752307</v>
      </c>
      <c r="G159" s="36">
        <v>5664199.2053595185</v>
      </c>
      <c r="H159" s="36">
        <v>1853399.9704118967</v>
      </c>
      <c r="I159" s="36">
        <v>1493118.9918341339</v>
      </c>
    </row>
    <row r="160" spans="2:9">
      <c r="B160" s="36">
        <v>152</v>
      </c>
      <c r="C160" s="36">
        <v>10629763.317223877</v>
      </c>
      <c r="D160" s="36">
        <v>12985529.80389744</v>
      </c>
      <c r="E160" s="36">
        <v>7799354.1507630497</v>
      </c>
      <c r="F160" s="36">
        <v>8835255.5736641586</v>
      </c>
      <c r="G160" s="36">
        <v>9625699.582688421</v>
      </c>
      <c r="H160" s="36">
        <v>8374130.2632074952</v>
      </c>
      <c r="I160" s="36">
        <v>-2454470.2504752576</v>
      </c>
    </row>
    <row r="161" spans="2:9">
      <c r="B161" s="36">
        <v>153</v>
      </c>
      <c r="C161" s="36">
        <v>3682485.4969423562</v>
      </c>
      <c r="D161" s="36">
        <v>-988373.44845837355</v>
      </c>
      <c r="E161" s="36">
        <v>7929487.4295864552</v>
      </c>
      <c r="F161" s="36">
        <v>4495622.1534323245</v>
      </c>
      <c r="G161" s="36">
        <v>-2940774.2210652381</v>
      </c>
      <c r="H161" s="36">
        <v>-2634761.6785511523</v>
      </c>
      <c r="I161" s="36">
        <v>10831517.374835595</v>
      </c>
    </row>
    <row r="162" spans="2:9">
      <c r="B162" s="36">
        <v>154</v>
      </c>
      <c r="C162" s="36">
        <v>14893601.277864501</v>
      </c>
      <c r="D162" s="36">
        <v>4808973.6418075264</v>
      </c>
      <c r="E162" s="36">
        <v>6021853.3200578094</v>
      </c>
      <c r="F162" s="36">
        <v>3885943.0053448528</v>
      </c>
      <c r="G162" s="36">
        <v>-575619.09355406463</v>
      </c>
      <c r="H162" s="36">
        <v>-2984236.270338282</v>
      </c>
      <c r="I162" s="36">
        <v>-5760836.0181841999</v>
      </c>
    </row>
    <row r="163" spans="2:9">
      <c r="B163" s="36">
        <v>155</v>
      </c>
      <c r="C163" s="36">
        <v>16989419.0074469</v>
      </c>
      <c r="D163" s="36">
        <v>16908046.067461029</v>
      </c>
      <c r="E163" s="36">
        <v>12790613.869008958</v>
      </c>
      <c r="F163" s="36">
        <v>4043638.7809208632</v>
      </c>
      <c r="G163" s="36">
        <v>4205708.0955924839</v>
      </c>
      <c r="H163" s="36">
        <v>14654495.298275158</v>
      </c>
      <c r="I163" s="36">
        <v>8126142.2646423876</v>
      </c>
    </row>
    <row r="164" spans="2:9">
      <c r="B164" s="36">
        <v>156</v>
      </c>
      <c r="C164" s="36">
        <v>18729097.164715603</v>
      </c>
      <c r="D164" s="36">
        <v>2481927.7587979585</v>
      </c>
      <c r="E164" s="36">
        <v>14857132.88370806</v>
      </c>
      <c r="F164" s="36">
        <v>15277472.260012001</v>
      </c>
      <c r="G164" s="36">
        <v>8415466.0125812292</v>
      </c>
      <c r="H164" s="36">
        <v>4026321.9749284983</v>
      </c>
      <c r="I164" s="36">
        <v>-9443518.8692282885</v>
      </c>
    </row>
    <row r="165" spans="2:9">
      <c r="B165" s="36">
        <v>157</v>
      </c>
      <c r="C165" s="36">
        <v>13555744.640980691</v>
      </c>
      <c r="D165" s="36">
        <v>18630917.017404482</v>
      </c>
      <c r="E165" s="36">
        <v>7138177.1124997586</v>
      </c>
      <c r="F165" s="36">
        <v>2884614.7428707182</v>
      </c>
      <c r="G165" s="36">
        <v>13817110.005897239</v>
      </c>
      <c r="H165" s="36">
        <v>4576292.4908738136</v>
      </c>
      <c r="I165" s="36">
        <v>-746363.46870172024</v>
      </c>
    </row>
    <row r="166" spans="2:9">
      <c r="B166" s="36">
        <v>158</v>
      </c>
      <c r="C166" s="36">
        <v>10649451.405071646</v>
      </c>
      <c r="D166" s="36">
        <v>9596157.0508401841</v>
      </c>
      <c r="E166" s="36">
        <v>9761099.0656862706</v>
      </c>
      <c r="F166" s="36">
        <v>8858882.8256836832</v>
      </c>
      <c r="G166" s="36">
        <v>2492046.3163664192</v>
      </c>
      <c r="H166" s="36">
        <v>-2747655.5264555067</v>
      </c>
      <c r="I166" s="36">
        <v>3662939.6787222773</v>
      </c>
    </row>
    <row r="167" spans="2:9">
      <c r="B167" s="36">
        <v>159</v>
      </c>
      <c r="C167" s="36">
        <v>15470158.730936736</v>
      </c>
      <c r="D167" s="36">
        <v>15128668.431389377</v>
      </c>
      <c r="E167" s="36">
        <v>6302183.0447984338</v>
      </c>
      <c r="F167" s="36">
        <v>374740.96594280005</v>
      </c>
      <c r="G167" s="36">
        <v>5331857.828015238</v>
      </c>
      <c r="H167" s="36">
        <v>-1896145.2515168488</v>
      </c>
      <c r="I167" s="36">
        <v>8294163.6165655553</v>
      </c>
    </row>
    <row r="168" spans="2:9">
      <c r="B168" s="36">
        <v>160</v>
      </c>
      <c r="C168" s="36">
        <v>11872433.666281894</v>
      </c>
      <c r="D168" s="36">
        <v>14581575.302919775</v>
      </c>
      <c r="E168" s="36">
        <v>16686472.51326783</v>
      </c>
      <c r="F168" s="36">
        <v>10772148.857504323</v>
      </c>
      <c r="G168" s="36">
        <v>6131172.8270308524</v>
      </c>
      <c r="H168" s="36">
        <v>4459367.9444683194</v>
      </c>
      <c r="I168" s="36">
        <v>13107350.403439075</v>
      </c>
    </row>
    <row r="169" spans="2:9">
      <c r="B169" s="36">
        <v>161</v>
      </c>
      <c r="C169" s="36">
        <v>14013819.908182159</v>
      </c>
      <c r="D169" s="36">
        <v>11422251.152456582</v>
      </c>
      <c r="E169" s="36">
        <v>16074436.515580997</v>
      </c>
      <c r="F169" s="36">
        <v>1491439.1126749665</v>
      </c>
      <c r="G169" s="36">
        <v>10814915.051506549</v>
      </c>
      <c r="H169" s="36">
        <v>7497173.3459327221</v>
      </c>
      <c r="I169" s="36">
        <v>-1126804.192516312</v>
      </c>
    </row>
    <row r="170" spans="2:9">
      <c r="B170" s="36">
        <v>162</v>
      </c>
      <c r="C170" s="36">
        <v>10377716.55823046</v>
      </c>
      <c r="D170" s="36">
        <v>16711866.945912033</v>
      </c>
      <c r="E170" s="36">
        <v>7430855.5135290325</v>
      </c>
      <c r="F170" s="36">
        <v>13367312.609857902</v>
      </c>
      <c r="G170" s="36">
        <v>5578677.66022183</v>
      </c>
      <c r="H170" s="36">
        <v>4930338.6964178979</v>
      </c>
      <c r="I170" s="36">
        <v>-7657973.6373969316</v>
      </c>
    </row>
    <row r="171" spans="2:9">
      <c r="B171" s="36">
        <v>163</v>
      </c>
      <c r="C171" s="36">
        <v>13962818.717235297</v>
      </c>
      <c r="D171" s="36">
        <v>12128831.605706796</v>
      </c>
      <c r="E171" s="36">
        <v>12878966.728832975</v>
      </c>
      <c r="F171" s="36">
        <v>10329524.812423363</v>
      </c>
      <c r="G171" s="36">
        <v>9508485.0975358635</v>
      </c>
      <c r="H171" s="36">
        <v>1493174.5932076722</v>
      </c>
      <c r="I171" s="36">
        <v>14389398.345689461</v>
      </c>
    </row>
    <row r="172" spans="2:9">
      <c r="B172" s="36">
        <v>164</v>
      </c>
      <c r="C172" s="36">
        <v>25233864.224537879</v>
      </c>
      <c r="D172" s="36">
        <v>12290308.825735822</v>
      </c>
      <c r="E172" s="36">
        <v>4461018.6296531111</v>
      </c>
      <c r="F172" s="36">
        <v>15998027.645313784</v>
      </c>
      <c r="G172" s="36">
        <v>4028508.7441407442</v>
      </c>
      <c r="H172" s="36">
        <v>3707297.6685859263</v>
      </c>
      <c r="I172" s="36">
        <v>4338517.7660535872</v>
      </c>
    </row>
    <row r="173" spans="2:9">
      <c r="B173" s="36">
        <v>165</v>
      </c>
      <c r="C173" s="36">
        <v>5498959.20157893</v>
      </c>
      <c r="D173" s="36">
        <v>12946457.354514673</v>
      </c>
      <c r="E173" s="36">
        <v>6645840.8495193422</v>
      </c>
      <c r="F173" s="36">
        <v>4254381.0018745214</v>
      </c>
      <c r="G173" s="36">
        <v>4628908.9994258881</v>
      </c>
      <c r="H173" s="36">
        <v>4254920.346233055</v>
      </c>
      <c r="I173" s="36">
        <v>-5439040.1647313535</v>
      </c>
    </row>
    <row r="174" spans="2:9">
      <c r="B174" s="36">
        <v>166</v>
      </c>
      <c r="C174" s="36">
        <v>848099.46581675112</v>
      </c>
      <c r="D174" s="36">
        <v>21112798.010605216</v>
      </c>
      <c r="E174" s="36">
        <v>8953538.7506183386</v>
      </c>
      <c r="F174" s="36">
        <v>6147696.3925011158</v>
      </c>
      <c r="G174" s="36">
        <v>11796261.414870918</v>
      </c>
      <c r="H174" s="36">
        <v>5958558.3678092808</v>
      </c>
      <c r="I174" s="36">
        <v>7821439.2766045928</v>
      </c>
    </row>
    <row r="175" spans="2:9">
      <c r="B175" s="36">
        <v>167</v>
      </c>
      <c r="C175" s="36">
        <v>19199927.181120917</v>
      </c>
      <c r="D175" s="36">
        <v>12915112.738479614</v>
      </c>
      <c r="E175" s="36">
        <v>7498655.4071430862</v>
      </c>
      <c r="F175" s="36">
        <v>4044864.2093865871</v>
      </c>
      <c r="G175" s="36">
        <v>4166438.057004407</v>
      </c>
      <c r="H175" s="36">
        <v>12602005.932464421</v>
      </c>
      <c r="I175" s="36">
        <v>2137481.6474002898</v>
      </c>
    </row>
    <row r="176" spans="2:9">
      <c r="B176" s="36">
        <v>168</v>
      </c>
      <c r="C176" s="36">
        <v>16118277.140595213</v>
      </c>
      <c r="D176" s="36">
        <v>5170300.3093200177</v>
      </c>
      <c r="E176" s="36">
        <v>10261413.99526155</v>
      </c>
      <c r="F176" s="36">
        <v>7733288.290093109</v>
      </c>
      <c r="G176" s="36">
        <v>8079956.4120478779</v>
      </c>
      <c r="H176" s="36">
        <v>6151078.8555395156</v>
      </c>
      <c r="I176" s="36">
        <v>2919734.6625791043</v>
      </c>
    </row>
    <row r="177" spans="2:9">
      <c r="B177" s="36">
        <v>169</v>
      </c>
      <c r="C177" s="36">
        <v>2938074.97915636</v>
      </c>
      <c r="D177" s="36">
        <v>22097925.839867935</v>
      </c>
      <c r="E177" s="36">
        <v>3747771.6774878502</v>
      </c>
      <c r="F177" s="36">
        <v>9578022.8070189208</v>
      </c>
      <c r="G177" s="36">
        <v>17810341.444030896</v>
      </c>
      <c r="H177" s="36">
        <v>8403014.3014327139</v>
      </c>
      <c r="I177" s="36">
        <v>-10548325.207905948</v>
      </c>
    </row>
    <row r="178" spans="2:9">
      <c r="B178" s="36">
        <v>170</v>
      </c>
      <c r="C178" s="36">
        <v>10095684.938664198</v>
      </c>
      <c r="D178" s="36">
        <v>15936017.200038955</v>
      </c>
      <c r="E178" s="36">
        <v>14603361.866007209</v>
      </c>
      <c r="F178" s="36">
        <v>13433733.004270464</v>
      </c>
      <c r="G178" s="36">
        <v>4753501.7865393311</v>
      </c>
      <c r="H178" s="36">
        <v>4815110.1950469911</v>
      </c>
      <c r="I178" s="36">
        <v>-1725408.8886154145</v>
      </c>
    </row>
    <row r="179" spans="2:9">
      <c r="B179" s="36">
        <v>171</v>
      </c>
      <c r="C179" s="36">
        <v>21818873.971273839</v>
      </c>
      <c r="D179" s="36">
        <v>11057709.796904698</v>
      </c>
      <c r="E179" s="36">
        <v>15737519.929684117</v>
      </c>
      <c r="F179" s="36">
        <v>4247325.654516831</v>
      </c>
      <c r="G179" s="36">
        <v>10984429.03755939</v>
      </c>
      <c r="H179" s="36">
        <v>10731877.465458438</v>
      </c>
      <c r="I179" s="36">
        <v>-17871385.193744525</v>
      </c>
    </row>
    <row r="180" spans="2:9">
      <c r="B180" s="36">
        <v>172</v>
      </c>
      <c r="C180" s="36">
        <v>13837113.257874995</v>
      </c>
      <c r="D180" s="36">
        <v>16046454.010517597</v>
      </c>
      <c r="E180" s="36">
        <v>6104039.4475125968</v>
      </c>
      <c r="F180" s="36">
        <v>11375188.223781437</v>
      </c>
      <c r="G180" s="36">
        <v>6591629.0864203572</v>
      </c>
      <c r="H180" s="36">
        <v>374440.39069856703</v>
      </c>
      <c r="I180" s="36">
        <v>4290448.1403987855</v>
      </c>
    </row>
    <row r="181" spans="2:9">
      <c r="B181" s="36">
        <v>173</v>
      </c>
      <c r="C181" s="36">
        <v>1996728.0549533963</v>
      </c>
      <c r="D181" s="36">
        <v>8341705.1130986512</v>
      </c>
      <c r="E181" s="36">
        <v>2083031.8012367934</v>
      </c>
      <c r="F181" s="36">
        <v>8570944.7402516007</v>
      </c>
      <c r="G181" s="36">
        <v>8118472.0354043096</v>
      </c>
      <c r="H181" s="36">
        <v>1396654.4513596892</v>
      </c>
      <c r="I181" s="36">
        <v>2312083.1260521859</v>
      </c>
    </row>
    <row r="182" spans="2:9">
      <c r="B182" s="36">
        <v>174</v>
      </c>
      <c r="C182" s="36">
        <v>16773491.779708475</v>
      </c>
      <c r="D182" s="36">
        <v>16233689.167723656</v>
      </c>
      <c r="E182" s="36">
        <v>6763876.752154097</v>
      </c>
      <c r="F182" s="36">
        <v>4534476.7853014767</v>
      </c>
      <c r="G182" s="36">
        <v>-12197761.059050471</v>
      </c>
      <c r="H182" s="36">
        <v>12794092.729938969</v>
      </c>
      <c r="I182" s="36">
        <v>-3013846.259610191</v>
      </c>
    </row>
    <row r="183" spans="2:9">
      <c r="B183" s="36">
        <v>175</v>
      </c>
      <c r="C183" s="36">
        <v>14393374.888332292</v>
      </c>
      <c r="D183" s="36">
        <v>6653626.2736976892</v>
      </c>
      <c r="E183" s="36">
        <v>15034921.271743804</v>
      </c>
      <c r="F183" s="36">
        <v>4979019.8588546067</v>
      </c>
      <c r="G183" s="36">
        <v>-2766724.8007768393</v>
      </c>
      <c r="H183" s="36">
        <v>10804899.990165904</v>
      </c>
      <c r="I183" s="36">
        <v>-9620660.3354350775</v>
      </c>
    </row>
    <row r="184" spans="2:9">
      <c r="B184" s="36">
        <v>176</v>
      </c>
      <c r="C184" s="36">
        <v>25919317.321346715</v>
      </c>
      <c r="D184" s="36">
        <v>12616890.939012021</v>
      </c>
      <c r="E184" s="36">
        <v>9122991.938290894</v>
      </c>
      <c r="F184" s="36">
        <v>5537207.0141135454</v>
      </c>
      <c r="G184" s="36">
        <v>10579754.782766894</v>
      </c>
      <c r="H184" s="36">
        <v>-6232673.1520172507</v>
      </c>
      <c r="I184" s="36">
        <v>-4232503.9190362245</v>
      </c>
    </row>
    <row r="185" spans="2:9">
      <c r="B185" s="36">
        <v>177</v>
      </c>
      <c r="C185" s="36">
        <v>8125437.6653648913</v>
      </c>
      <c r="D185" s="36">
        <v>10438978.3914987</v>
      </c>
      <c r="E185" s="36">
        <v>5425130.3895022273</v>
      </c>
      <c r="F185" s="36">
        <v>4293978.7619014382</v>
      </c>
      <c r="G185" s="36">
        <v>12707482.602560312</v>
      </c>
      <c r="H185" s="36">
        <v>-3488002.7966699302</v>
      </c>
      <c r="I185" s="36">
        <v>552359.33745351434</v>
      </c>
    </row>
    <row r="186" spans="2:9">
      <c r="B186" s="36">
        <v>178</v>
      </c>
      <c r="C186" s="36">
        <v>20025207.438109308</v>
      </c>
      <c r="D186" s="36">
        <v>13590208.582389385</v>
      </c>
      <c r="E186" s="36">
        <v>14843247.579204738</v>
      </c>
      <c r="F186" s="36">
        <v>3108710.0778995752</v>
      </c>
      <c r="G186" s="36">
        <v>3471625.4664118588</v>
      </c>
      <c r="H186" s="36">
        <v>-4472516.2812898308</v>
      </c>
      <c r="I186" s="36">
        <v>-2134423.6743715256</v>
      </c>
    </row>
    <row r="187" spans="2:9">
      <c r="B187" s="36">
        <v>179</v>
      </c>
      <c r="C187" s="36">
        <v>-5050194.6869009882</v>
      </c>
      <c r="D187" s="36">
        <v>13473162.247512594</v>
      </c>
      <c r="E187" s="36">
        <v>7324660.6201966256</v>
      </c>
      <c r="F187" s="36">
        <v>19496975.248047873</v>
      </c>
      <c r="G187" s="36">
        <v>5708225.3425580263</v>
      </c>
      <c r="H187" s="36">
        <v>9584887.3897944391</v>
      </c>
      <c r="I187" s="36">
        <v>609239.22653725743</v>
      </c>
    </row>
    <row r="188" spans="2:9">
      <c r="B188" s="36">
        <v>180</v>
      </c>
      <c r="C188" s="36">
        <v>18138610.954385102</v>
      </c>
      <c r="D188" s="36">
        <v>10155909.752098963</v>
      </c>
      <c r="E188" s="36">
        <v>10808779.29498814</v>
      </c>
      <c r="F188" s="36">
        <v>3412311.1609488577</v>
      </c>
      <c r="G188" s="36">
        <v>-3878100.8754094094</v>
      </c>
      <c r="H188" s="36">
        <v>3101318.5026596934</v>
      </c>
      <c r="I188" s="36">
        <v>884924.80898191035</v>
      </c>
    </row>
    <row r="189" spans="2:9">
      <c r="B189" s="36">
        <v>181</v>
      </c>
      <c r="C189" s="36">
        <v>21256310.013164207</v>
      </c>
      <c r="D189" s="36">
        <v>11407693.020048559</v>
      </c>
      <c r="E189" s="36">
        <v>11686695.189319208</v>
      </c>
      <c r="F189" s="36">
        <v>11446892.316948846</v>
      </c>
      <c r="G189" s="36">
        <v>-10462397.123671427</v>
      </c>
      <c r="H189" s="36">
        <v>-204802.19279570878</v>
      </c>
      <c r="I189" s="36">
        <v>-3065671.2649987489</v>
      </c>
    </row>
    <row r="190" spans="2:9">
      <c r="B190" s="36">
        <v>182</v>
      </c>
      <c r="C190" s="36">
        <v>16815837.564854383</v>
      </c>
      <c r="D190" s="36">
        <v>15250851.722568065</v>
      </c>
      <c r="E190" s="36">
        <v>11177660.589104503</v>
      </c>
      <c r="F190" s="36">
        <v>8512085.8436501324</v>
      </c>
      <c r="G190" s="36">
        <v>8737191.4037558436</v>
      </c>
      <c r="H190" s="36">
        <v>1603080.6448464841</v>
      </c>
      <c r="I190" s="36">
        <v>-4213354.2922453731</v>
      </c>
    </row>
    <row r="191" spans="2:9">
      <c r="B191" s="36">
        <v>183</v>
      </c>
      <c r="C191" s="36">
        <v>10098974.787889317</v>
      </c>
      <c r="D191" s="36">
        <v>19448596.771441892</v>
      </c>
      <c r="E191" s="36">
        <v>6323807.27119115</v>
      </c>
      <c r="F191" s="36">
        <v>13531799.426854223</v>
      </c>
      <c r="G191" s="36">
        <v>4273452.3185480535</v>
      </c>
      <c r="H191" s="36">
        <v>-468316.8912858963</v>
      </c>
      <c r="I191" s="36">
        <v>4355481.4009580463</v>
      </c>
    </row>
    <row r="192" spans="2:9">
      <c r="B192" s="36">
        <v>184</v>
      </c>
      <c r="C192" s="36">
        <v>17872778.065819368</v>
      </c>
      <c r="D192" s="36">
        <v>23122898.153736502</v>
      </c>
      <c r="E192" s="36">
        <v>5031030.935310632</v>
      </c>
      <c r="F192" s="36">
        <v>-3842524.9656095058</v>
      </c>
      <c r="G192" s="36">
        <v>11528116.112769723</v>
      </c>
      <c r="H192" s="36">
        <v>3587112.4954116344</v>
      </c>
      <c r="I192" s="36">
        <v>-10721658.753195435</v>
      </c>
    </row>
    <row r="193" spans="2:9">
      <c r="B193" s="36">
        <v>185</v>
      </c>
      <c r="C193" s="36">
        <v>7422675.8375812173</v>
      </c>
      <c r="D193" s="36">
        <v>7923144.9855707288</v>
      </c>
      <c r="E193" s="36">
        <v>21990260.820262328</v>
      </c>
      <c r="F193" s="36">
        <v>6193421.7917869687</v>
      </c>
      <c r="G193" s="36">
        <v>649619.89680626988</v>
      </c>
      <c r="H193" s="36">
        <v>2917751.6538297534</v>
      </c>
      <c r="I193" s="36">
        <v>-6971870.6618372649</v>
      </c>
    </row>
    <row r="194" spans="2:9">
      <c r="B194" s="36">
        <v>186</v>
      </c>
      <c r="C194" s="36">
        <v>6523409.7255679965</v>
      </c>
      <c r="D194" s="36">
        <v>9449275.2734195739</v>
      </c>
      <c r="E194" s="36">
        <v>10379598.186197072</v>
      </c>
      <c r="F194" s="36">
        <v>7157075.2594132423</v>
      </c>
      <c r="G194" s="36">
        <v>14663042.803670287</v>
      </c>
      <c r="H194" s="36">
        <v>4615434.4623749703</v>
      </c>
      <c r="I194" s="36">
        <v>7702934.4276351184</v>
      </c>
    </row>
    <row r="195" spans="2:9">
      <c r="B195" s="36">
        <v>187</v>
      </c>
      <c r="C195" s="36">
        <v>13180549.208073899</v>
      </c>
      <c r="D195" s="36">
        <v>2010620.4118366688</v>
      </c>
      <c r="E195" s="36">
        <v>8912600.9906872064</v>
      </c>
      <c r="F195" s="36">
        <v>5174169.2677245736</v>
      </c>
      <c r="G195" s="36">
        <v>3440984.2400797457</v>
      </c>
      <c r="H195" s="36">
        <v>6611948.4424278736</v>
      </c>
      <c r="I195" s="36">
        <v>5809708.5080949962</v>
      </c>
    </row>
    <row r="196" spans="2:9">
      <c r="B196" s="36">
        <v>188</v>
      </c>
      <c r="C196" s="36">
        <v>13871028.796165094</v>
      </c>
      <c r="D196" s="36">
        <v>23957085.390211761</v>
      </c>
      <c r="E196" s="36">
        <v>9493760.1609592587</v>
      </c>
      <c r="F196" s="36">
        <v>13056877.369738355</v>
      </c>
      <c r="G196" s="36">
        <v>1817262.8441220522</v>
      </c>
      <c r="H196" s="36">
        <v>3878016.3326663673</v>
      </c>
      <c r="I196" s="36">
        <v>523895.07382135093</v>
      </c>
    </row>
    <row r="197" spans="2:9">
      <c r="B197" s="36">
        <v>189</v>
      </c>
      <c r="C197" s="36">
        <v>16700026.521740258</v>
      </c>
      <c r="D197" s="36">
        <v>27837730.944573984</v>
      </c>
      <c r="E197" s="36">
        <v>17558448.85513933</v>
      </c>
      <c r="F197" s="36">
        <v>15602733.361196607</v>
      </c>
      <c r="G197" s="36">
        <v>1420761.6333418041</v>
      </c>
      <c r="H197" s="36">
        <v>-8044093.9886681437</v>
      </c>
      <c r="I197" s="36">
        <v>4902666.9024306834</v>
      </c>
    </row>
    <row r="198" spans="2:9">
      <c r="B198" s="36">
        <v>190</v>
      </c>
      <c r="C198" s="36">
        <v>16728444.304753825</v>
      </c>
      <c r="D198" s="36">
        <v>20315985.914161503</v>
      </c>
      <c r="E198" s="36">
        <v>185600.69655306637</v>
      </c>
      <c r="F198" s="36">
        <v>8595123.5352459103</v>
      </c>
      <c r="G198" s="36">
        <v>19396994.167276368</v>
      </c>
      <c r="H198" s="36">
        <v>11099645.535613731</v>
      </c>
      <c r="I198" s="36">
        <v>2363858.9420733005</v>
      </c>
    </row>
    <row r="199" spans="2:9">
      <c r="B199" s="36">
        <v>191</v>
      </c>
      <c r="C199" s="36">
        <v>17385602.382974505</v>
      </c>
      <c r="D199" s="36">
        <v>16413513.833567023</v>
      </c>
      <c r="E199" s="36">
        <v>13502426.848435417</v>
      </c>
      <c r="F199" s="36">
        <v>-3089213.2739158422</v>
      </c>
      <c r="G199" s="36">
        <v>8221370.1224209219</v>
      </c>
      <c r="H199" s="36">
        <v>4223936.859407112</v>
      </c>
      <c r="I199" s="36">
        <v>8091283.4392198622</v>
      </c>
    </row>
    <row r="200" spans="2:9">
      <c r="B200" s="36">
        <v>192</v>
      </c>
      <c r="C200" s="36">
        <v>24341054.105076283</v>
      </c>
      <c r="D200" s="36">
        <v>20287481.054707393</v>
      </c>
      <c r="E200" s="36">
        <v>11113820.339226022</v>
      </c>
      <c r="F200" s="36">
        <v>4574101.3679786175</v>
      </c>
      <c r="G200" s="36">
        <v>-5912019.6678356826</v>
      </c>
      <c r="H200" s="36">
        <v>1793201.8513367623</v>
      </c>
      <c r="I200" s="36">
        <v>1511758.6523480415</v>
      </c>
    </row>
    <row r="201" spans="2:9">
      <c r="B201" s="36">
        <v>193</v>
      </c>
      <c r="C201" s="36">
        <v>25128678.500999868</v>
      </c>
      <c r="D201" s="36">
        <v>20916645.71645017</v>
      </c>
      <c r="E201" s="36">
        <v>16265554.186355501</v>
      </c>
      <c r="F201" s="36">
        <v>6179897.77616328</v>
      </c>
      <c r="G201" s="36">
        <v>7654443.1879960895</v>
      </c>
      <c r="H201" s="36">
        <v>11215020.789216533</v>
      </c>
      <c r="I201" s="36">
        <v>891287.55203458667</v>
      </c>
    </row>
    <row r="202" spans="2:9">
      <c r="B202" s="36">
        <v>194</v>
      </c>
      <c r="C202" s="36">
        <v>10650543.651292324</v>
      </c>
      <c r="D202" s="36">
        <v>14510584.466351017</v>
      </c>
      <c r="E202" s="36">
        <v>6132887.627539292</v>
      </c>
      <c r="F202" s="36">
        <v>5671927.891868636</v>
      </c>
      <c r="G202" s="36">
        <v>1811694.7614709288</v>
      </c>
      <c r="H202" s="36">
        <v>894240.31231145561</v>
      </c>
      <c r="I202" s="36">
        <v>1866398.2152538151</v>
      </c>
    </row>
    <row r="203" spans="2:9">
      <c r="B203" s="36">
        <v>195</v>
      </c>
      <c r="C203" s="36">
        <v>16026818.81158635</v>
      </c>
      <c r="D203" s="36">
        <v>11007469.944336787</v>
      </c>
      <c r="E203" s="36">
        <v>10155934.296373665</v>
      </c>
      <c r="F203" s="36">
        <v>4015401.7016083449</v>
      </c>
      <c r="G203" s="36">
        <v>2865653.619691506</v>
      </c>
      <c r="H203" s="36">
        <v>5103491.6095810682</v>
      </c>
      <c r="I203" s="36">
        <v>5609687.0051929653</v>
      </c>
    </row>
    <row r="204" spans="2:9">
      <c r="B204" s="36">
        <v>196</v>
      </c>
      <c r="C204" s="36">
        <v>19025294.843114048</v>
      </c>
      <c r="D204" s="36">
        <v>755449.20938405395</v>
      </c>
      <c r="E204" s="36">
        <v>10260985.849581167</v>
      </c>
      <c r="F204" s="36">
        <v>9913487.758270219</v>
      </c>
      <c r="G204" s="36">
        <v>-3448600.1643487811</v>
      </c>
      <c r="H204" s="36">
        <v>2117829.9955320358</v>
      </c>
      <c r="I204" s="36">
        <v>2162332.1952833384</v>
      </c>
    </row>
    <row r="205" spans="2:9">
      <c r="B205" s="36">
        <v>197</v>
      </c>
      <c r="C205" s="36">
        <v>10784727.331648946</v>
      </c>
      <c r="D205" s="36">
        <v>8918429.6309673935</v>
      </c>
      <c r="E205" s="36">
        <v>12848390.182141021</v>
      </c>
      <c r="F205" s="36">
        <v>15075553.78662084</v>
      </c>
      <c r="G205" s="36">
        <v>6208587.8174474835</v>
      </c>
      <c r="H205" s="36">
        <v>9185064.9491988271</v>
      </c>
      <c r="I205" s="36">
        <v>-6773704.0332193226</v>
      </c>
    </row>
    <row r="206" spans="2:9">
      <c r="B206" s="36">
        <v>198</v>
      </c>
      <c r="C206" s="36">
        <v>20990365.44336848</v>
      </c>
      <c r="D206" s="36">
        <v>13012672.681931511</v>
      </c>
      <c r="E206" s="36">
        <v>11753982.975214034</v>
      </c>
      <c r="F206" s="36">
        <v>6664490.0596089214</v>
      </c>
      <c r="G206" s="36">
        <v>4992871.9300669134</v>
      </c>
      <c r="H206" s="36">
        <v>14884573.640286997</v>
      </c>
      <c r="I206" s="36">
        <v>4119436.6936739683</v>
      </c>
    </row>
    <row r="207" spans="2:9">
      <c r="B207" s="36">
        <v>199</v>
      </c>
      <c r="C207" s="36">
        <v>19341727.612765491</v>
      </c>
      <c r="D207" s="36">
        <v>2453474.5461456627</v>
      </c>
      <c r="E207" s="36">
        <v>6893832.2403014153</v>
      </c>
      <c r="F207" s="36">
        <v>14697017.986625418</v>
      </c>
      <c r="G207" s="36">
        <v>3814557.6170818806</v>
      </c>
      <c r="H207" s="36">
        <v>-775798.04669211805</v>
      </c>
      <c r="I207" s="36">
        <v>-5948366.7460704893</v>
      </c>
    </row>
    <row r="208" spans="2:9">
      <c r="B208" s="36">
        <v>200</v>
      </c>
      <c r="C208" s="36">
        <v>6991685.0873920172</v>
      </c>
      <c r="D208" s="36">
        <v>4683821.2221293151</v>
      </c>
      <c r="E208" s="36">
        <v>8041253.3792603761</v>
      </c>
      <c r="F208" s="36">
        <v>13554771.24195832</v>
      </c>
      <c r="G208" s="36">
        <v>17415304.278432131</v>
      </c>
      <c r="H208" s="36">
        <v>542532.88137237728</v>
      </c>
      <c r="I208" s="36">
        <v>5636697.9015298039</v>
      </c>
    </row>
  </sheetData>
  <mergeCells count="1">
    <mergeCell ref="C6:I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3915B-1731-7C4C-AE31-B696FA605BD7}">
  <sheetPr codeName="Arkusz30">
    <tabColor theme="0" tint="-0.499984740745262"/>
  </sheetPr>
  <dimension ref="A1:I207"/>
  <sheetViews>
    <sheetView workbookViewId="0">
      <selection activeCell="M38" sqref="M38"/>
    </sheetView>
  </sheetViews>
  <sheetFormatPr defaultColWidth="10.77734375" defaultRowHeight="13.2"/>
  <cols>
    <col min="1" max="1" width="10.77734375" style="36"/>
    <col min="2" max="2" width="15.109375" style="36" customWidth="1"/>
    <col min="3" max="3" width="19.33203125" style="36" customWidth="1"/>
    <col min="4" max="4" width="22.109375" style="36" customWidth="1"/>
    <col min="5" max="5" width="18" style="36" customWidth="1"/>
    <col min="6" max="6" width="18.109375" style="36" customWidth="1"/>
    <col min="7" max="7" width="14.109375" style="36" customWidth="1"/>
    <col min="8" max="8" width="16.6640625" style="36" customWidth="1"/>
    <col min="9" max="9" width="15" style="36" customWidth="1"/>
    <col min="10" max="16384" width="10.77734375" style="36"/>
  </cols>
  <sheetData>
    <row r="1" spans="1:9">
      <c r="A1" s="73" t="s">
        <v>125</v>
      </c>
    </row>
    <row r="2" spans="1:9">
      <c r="A2" s="73"/>
    </row>
    <row r="3" spans="1:9">
      <c r="A3" s="73"/>
      <c r="B3" s="73" t="s">
        <v>122</v>
      </c>
      <c r="C3" s="97">
        <f>AVERAGE(C8:C207)</f>
        <v>10845728.580447052</v>
      </c>
      <c r="D3" s="97">
        <f t="shared" ref="D3:I3" si="0">AVERAGE(D8:D207)</f>
        <v>8079364.9312934391</v>
      </c>
      <c r="E3" s="97">
        <f t="shared" si="0"/>
        <v>6146881.5209989138</v>
      </c>
      <c r="F3" s="97">
        <f t="shared" si="0"/>
        <v>3984837.4207949131</v>
      </c>
      <c r="G3" s="97">
        <f t="shared" si="0"/>
        <v>2003816.0172679168</v>
      </c>
      <c r="H3" s="97">
        <f t="shared" si="0"/>
        <v>-578252.36446826172</v>
      </c>
      <c r="I3" s="97">
        <f t="shared" si="0"/>
        <v>-1829872.9311187861</v>
      </c>
    </row>
    <row r="4" spans="1:9">
      <c r="A4" s="73"/>
    </row>
    <row r="5" spans="1:9" ht="15.6">
      <c r="C5" s="211" t="s">
        <v>134</v>
      </c>
      <c r="D5" s="211"/>
      <c r="E5" s="211"/>
      <c r="F5" s="211"/>
      <c r="G5" s="211"/>
      <c r="H5" s="211"/>
      <c r="I5" s="211"/>
    </row>
    <row r="6" spans="1:9">
      <c r="B6" s="75" t="s">
        <v>10</v>
      </c>
      <c r="C6" s="98">
        <v>-0.15</v>
      </c>
      <c r="D6" s="98">
        <v>-0.1</v>
      </c>
      <c r="E6" s="98">
        <v>-0.05</v>
      </c>
      <c r="F6" s="98">
        <v>0</v>
      </c>
      <c r="G6" s="99">
        <v>0.05</v>
      </c>
      <c r="H6" s="98">
        <v>0.1</v>
      </c>
      <c r="I6" s="98">
        <v>0.15</v>
      </c>
    </row>
    <row r="7" spans="1:9">
      <c r="B7" s="101">
        <v>-2229009.3493806869</v>
      </c>
      <c r="C7" s="102">
        <v>36341606.868500002</v>
      </c>
      <c r="D7" s="102">
        <v>38479348.449000001</v>
      </c>
      <c r="E7" s="102">
        <v>40617090.0295</v>
      </c>
      <c r="F7" s="103">
        <v>42754831.609999999</v>
      </c>
      <c r="G7" s="102">
        <v>44892573.190499999</v>
      </c>
      <c r="H7" s="102">
        <v>47030314.771000005</v>
      </c>
      <c r="I7" s="102">
        <v>49168056.351499997</v>
      </c>
    </row>
    <row r="8" spans="1:9">
      <c r="B8" s="36">
        <v>1</v>
      </c>
      <c r="C8" s="36">
        <v>1441535.8579991907</v>
      </c>
      <c r="D8" s="36">
        <v>14930714.180406108</v>
      </c>
      <c r="E8" s="36">
        <v>8018994.1893467009</v>
      </c>
      <c r="F8" s="36">
        <v>-3429359.8546636403</v>
      </c>
      <c r="G8" s="36">
        <v>1781467.6841614991</v>
      </c>
      <c r="H8" s="36">
        <v>-1176570.9691330045</v>
      </c>
      <c r="I8" s="36">
        <v>-3391457.8411523998</v>
      </c>
    </row>
    <row r="9" spans="1:9">
      <c r="B9" s="36">
        <v>2</v>
      </c>
      <c r="C9" s="36">
        <v>1234128.9413668066</v>
      </c>
      <c r="D9" s="36">
        <v>-1547397.5834507346</v>
      </c>
      <c r="E9" s="36">
        <v>-2140351.8079208732</v>
      </c>
      <c r="F9" s="36">
        <v>4081946.6273156703</v>
      </c>
      <c r="G9" s="36">
        <v>-3478622.7822352499</v>
      </c>
      <c r="H9" s="36">
        <v>-6915940.677508533</v>
      </c>
      <c r="I9" s="36">
        <v>-9380227.3104133904</v>
      </c>
    </row>
    <row r="10" spans="1:9">
      <c r="B10" s="36">
        <v>3</v>
      </c>
      <c r="C10" s="36">
        <v>24862395.557195544</v>
      </c>
      <c r="D10" s="36">
        <v>6073643.4266836494</v>
      </c>
      <c r="E10" s="36">
        <v>7663953.0737969279</v>
      </c>
      <c r="F10" s="36">
        <v>6122236.3409458846</v>
      </c>
      <c r="G10" s="36">
        <v>4164379.2698596716</v>
      </c>
      <c r="H10" s="36">
        <v>-4628873.1689803451</v>
      </c>
      <c r="I10" s="36">
        <v>-8128636.0440237522</v>
      </c>
    </row>
    <row r="11" spans="1:9">
      <c r="B11" s="36">
        <v>4</v>
      </c>
      <c r="C11" s="36">
        <v>6568056.9003311992</v>
      </c>
      <c r="D11" s="36">
        <v>405206.92033031583</v>
      </c>
      <c r="E11" s="36">
        <v>-5063445.6988499463</v>
      </c>
      <c r="F11" s="36">
        <v>10543827.162059173</v>
      </c>
      <c r="G11" s="36">
        <v>-3811603.8801266551</v>
      </c>
      <c r="H11" s="36">
        <v>8879590.3111305684</v>
      </c>
      <c r="I11" s="36">
        <v>-4671959.2102192491</v>
      </c>
    </row>
    <row r="12" spans="1:9">
      <c r="B12" s="36">
        <v>5</v>
      </c>
      <c r="C12" s="73">
        <v>2668002.0608106256</v>
      </c>
      <c r="D12" s="73">
        <v>18135564.995703086</v>
      </c>
      <c r="E12" s="36">
        <v>9489962.754835397</v>
      </c>
      <c r="F12" s="36">
        <v>-1735664.7159350216</v>
      </c>
      <c r="G12" s="36">
        <v>-1799794.9093100131</v>
      </c>
      <c r="H12" s="36">
        <v>-4438209.8816580176</v>
      </c>
      <c r="I12" s="36">
        <v>782151.07031710446</v>
      </c>
    </row>
    <row r="13" spans="1:9">
      <c r="B13" s="36">
        <v>6</v>
      </c>
      <c r="C13" s="36">
        <v>4670317.8433326781</v>
      </c>
      <c r="D13" s="36">
        <v>9353772.7854312956</v>
      </c>
      <c r="E13" s="36">
        <v>14883159.19306089</v>
      </c>
      <c r="F13" s="36">
        <v>6388311.209176749</v>
      </c>
      <c r="G13" s="36">
        <v>6671548.0399384797</v>
      </c>
      <c r="H13" s="36">
        <v>-2699592.7077939957</v>
      </c>
      <c r="I13" s="36">
        <v>-6924350.7130753696</v>
      </c>
    </row>
    <row r="14" spans="1:9">
      <c r="B14" s="36">
        <v>7</v>
      </c>
      <c r="C14" s="36">
        <v>9801491.0276768804</v>
      </c>
      <c r="D14" s="36">
        <v>4338535.2046948522</v>
      </c>
      <c r="E14" s="36">
        <v>2103550.6942902505</v>
      </c>
      <c r="F14" s="36">
        <v>6706290.1528854966</v>
      </c>
      <c r="G14" s="36">
        <v>4491561.0456586182</v>
      </c>
      <c r="H14" s="36">
        <v>-2159650.0962703228</v>
      </c>
      <c r="I14" s="36">
        <v>4578243.5187912285</v>
      </c>
    </row>
    <row r="15" spans="1:9">
      <c r="B15" s="36">
        <v>8</v>
      </c>
      <c r="C15" s="36">
        <v>9029408.8929296583</v>
      </c>
      <c r="D15" s="36">
        <v>1465988.2119492441</v>
      </c>
      <c r="E15" s="36">
        <v>5677422.7967374921</v>
      </c>
      <c r="F15" s="36">
        <v>3544303.9271402061</v>
      </c>
      <c r="G15" s="36">
        <v>2992625.1863002628</v>
      </c>
      <c r="H15" s="36">
        <v>-5669335.7412594855</v>
      </c>
      <c r="I15" s="36">
        <v>-3201306.2478646338</v>
      </c>
    </row>
    <row r="16" spans="1:9">
      <c r="B16" s="36">
        <v>9</v>
      </c>
      <c r="C16" s="36">
        <v>17344972.50026536</v>
      </c>
      <c r="D16" s="36">
        <v>12785570.078167245</v>
      </c>
      <c r="E16" s="36">
        <v>4217599.2952598482</v>
      </c>
      <c r="F16" s="36">
        <v>1324970.4793533087</v>
      </c>
      <c r="G16" s="36">
        <v>2164789.6461598575</v>
      </c>
      <c r="H16" s="36">
        <v>7045615.8526842445</v>
      </c>
      <c r="I16" s="36">
        <v>163543.87532618642</v>
      </c>
    </row>
    <row r="17" spans="2:9">
      <c r="B17" s="36">
        <v>10</v>
      </c>
      <c r="C17" s="36">
        <v>8048094.8121216595</v>
      </c>
      <c r="D17" s="36">
        <v>8508220.964944303</v>
      </c>
      <c r="E17" s="36">
        <v>-6652161.2684813887</v>
      </c>
      <c r="F17" s="36">
        <v>3055064.3555681258</v>
      </c>
      <c r="G17" s="36">
        <v>-11677588.503000095</v>
      </c>
      <c r="H17" s="36">
        <v>-2315547.032067284</v>
      </c>
      <c r="I17" s="36">
        <v>4489720.7043293715</v>
      </c>
    </row>
    <row r="18" spans="2:9">
      <c r="B18" s="36">
        <v>11</v>
      </c>
      <c r="C18" s="36">
        <v>14628677.312291712</v>
      </c>
      <c r="D18" s="36">
        <v>10359167.925436676</v>
      </c>
      <c r="E18" s="36">
        <v>636894.68386177719</v>
      </c>
      <c r="F18" s="36">
        <v>4941140.1127183735</v>
      </c>
      <c r="G18" s="36">
        <v>-2358364.2233355492</v>
      </c>
      <c r="H18" s="36">
        <v>-4799711.7261295617</v>
      </c>
      <c r="I18" s="36">
        <v>1426358.4260445386</v>
      </c>
    </row>
    <row r="19" spans="2:9">
      <c r="B19" s="36">
        <v>12</v>
      </c>
      <c r="C19" s="36">
        <v>10835708.134192482</v>
      </c>
      <c r="D19" s="36">
        <v>14813334.869077057</v>
      </c>
      <c r="E19" s="36">
        <v>-439979.15125259757</v>
      </c>
      <c r="F19" s="36">
        <v>2407265.1290062815</v>
      </c>
      <c r="G19" s="36">
        <v>453181.480762586</v>
      </c>
      <c r="H19" s="36">
        <v>-4479289.8922356814</v>
      </c>
      <c r="I19" s="36">
        <v>-2255313.6379566938</v>
      </c>
    </row>
    <row r="20" spans="2:9">
      <c r="B20" s="36">
        <v>13</v>
      </c>
      <c r="C20" s="36">
        <v>2015110.909085229</v>
      </c>
      <c r="D20" s="36">
        <v>16926890.39358297</v>
      </c>
      <c r="E20" s="36">
        <v>8094024.4620181024</v>
      </c>
      <c r="F20" s="36">
        <v>2350289.6383732259</v>
      </c>
      <c r="G20" s="36">
        <v>6405536.0410795063</v>
      </c>
      <c r="H20" s="36">
        <v>-4318590.6865306199</v>
      </c>
      <c r="I20" s="36">
        <v>-5614032.7728201896</v>
      </c>
    </row>
    <row r="21" spans="2:9">
      <c r="B21" s="36">
        <v>14</v>
      </c>
      <c r="C21" s="36">
        <v>18777747.531417489</v>
      </c>
      <c r="D21" s="36">
        <v>13348529.86442551</v>
      </c>
      <c r="E21" s="36">
        <v>557130.80658072233</v>
      </c>
      <c r="F21" s="36">
        <v>690347.91885274649</v>
      </c>
      <c r="G21" s="36">
        <v>7504353.2420592755</v>
      </c>
      <c r="H21" s="36">
        <v>-4165819.1998837888</v>
      </c>
      <c r="I21" s="36">
        <v>1463809.1700628549</v>
      </c>
    </row>
    <row r="22" spans="2:9">
      <c r="B22" s="36">
        <v>15</v>
      </c>
      <c r="C22" s="36">
        <v>11006853.893906415</v>
      </c>
      <c r="D22" s="36">
        <v>11613647.063161567</v>
      </c>
      <c r="E22" s="36">
        <v>2406920.9663005471</v>
      </c>
      <c r="F22" s="36">
        <v>5840923.1160133928</v>
      </c>
      <c r="G22" s="36">
        <v>6049107.1113941371</v>
      </c>
      <c r="H22" s="36">
        <v>-683058.68829408288</v>
      </c>
      <c r="I22" s="36">
        <v>-2212318.8490958959</v>
      </c>
    </row>
    <row r="23" spans="2:9">
      <c r="B23" s="36">
        <v>16</v>
      </c>
      <c r="C23" s="36">
        <v>11700974.009906799</v>
      </c>
      <c r="D23" s="36">
        <v>4239990.0231033862</v>
      </c>
      <c r="E23" s="36">
        <v>13815359.72420609</v>
      </c>
      <c r="F23" s="36">
        <v>1254717.1863138378</v>
      </c>
      <c r="G23" s="36">
        <v>4643920.999015227</v>
      </c>
      <c r="H23" s="36">
        <v>-3091865.2996211648</v>
      </c>
      <c r="I23" s="36">
        <v>2083115.6298485845</v>
      </c>
    </row>
    <row r="24" spans="2:9">
      <c r="B24" s="36">
        <v>17</v>
      </c>
      <c r="C24" s="36">
        <v>13139086.197968259</v>
      </c>
      <c r="D24" s="36">
        <v>403907.87538033724</v>
      </c>
      <c r="E24" s="36">
        <v>1763467.914528966</v>
      </c>
      <c r="F24" s="36">
        <v>7047836.9526345134</v>
      </c>
      <c r="G24" s="36">
        <v>-9362434.4792159796</v>
      </c>
      <c r="H24" s="36">
        <v>4038203.5643951297</v>
      </c>
      <c r="I24" s="36">
        <v>4074344.8319904357</v>
      </c>
    </row>
    <row r="25" spans="2:9">
      <c r="B25" s="36">
        <v>18</v>
      </c>
      <c r="C25" s="36">
        <v>-136605.21570202708</v>
      </c>
      <c r="D25" s="36">
        <v>10950909.382912606</v>
      </c>
      <c r="E25" s="36">
        <v>9394635.455104202</v>
      </c>
      <c r="F25" s="36">
        <v>6013798.3913276047</v>
      </c>
      <c r="G25" s="36">
        <v>-4191286.8774992526</v>
      </c>
      <c r="H25" s="36">
        <v>-10489207.76076135</v>
      </c>
      <c r="I25" s="36">
        <v>1359071.6027544439</v>
      </c>
    </row>
    <row r="26" spans="2:9">
      <c r="B26" s="36">
        <v>19</v>
      </c>
      <c r="C26" s="36">
        <v>17423888.845902756</v>
      </c>
      <c r="D26" s="36">
        <v>19560405.248466998</v>
      </c>
      <c r="E26" s="36">
        <v>11153139.145116121</v>
      </c>
      <c r="F26" s="36">
        <v>9790375.762029469</v>
      </c>
      <c r="G26" s="36">
        <v>2497432.814725861</v>
      </c>
      <c r="H26" s="36">
        <v>-570580.09369470179</v>
      </c>
      <c r="I26" s="36">
        <v>152413.43931630254</v>
      </c>
    </row>
    <row r="27" spans="2:9">
      <c r="B27" s="36">
        <v>20</v>
      </c>
      <c r="C27" s="36">
        <v>15658508.431978494</v>
      </c>
      <c r="D27" s="36">
        <v>4483451.8777938187</v>
      </c>
      <c r="E27" s="36">
        <v>4882167.5528032184</v>
      </c>
      <c r="F27" s="36">
        <v>8334459.3560098708</v>
      </c>
      <c r="G27" s="36">
        <v>8401558.2947922796</v>
      </c>
      <c r="H27" s="36">
        <v>2173042.2986734658</v>
      </c>
      <c r="I27" s="36">
        <v>-3152594.9979728013</v>
      </c>
    </row>
    <row r="28" spans="2:9">
      <c r="B28" s="36">
        <v>21</v>
      </c>
      <c r="C28" s="36">
        <v>2925584.6421400607</v>
      </c>
      <c r="D28" s="36">
        <v>7044054.9140892923</v>
      </c>
      <c r="E28" s="36">
        <v>3982216.6367353201</v>
      </c>
      <c r="F28" s="36">
        <v>328866.56676578522</v>
      </c>
      <c r="G28" s="36">
        <v>10067116.130769938</v>
      </c>
      <c r="H28" s="36">
        <v>-1079722.0957274139</v>
      </c>
      <c r="I28" s="36">
        <v>-2131096.4065165073</v>
      </c>
    </row>
    <row r="29" spans="2:9">
      <c r="B29" s="36">
        <v>22</v>
      </c>
      <c r="C29" s="36">
        <v>3928439.4328923523</v>
      </c>
      <c r="D29" s="36">
        <v>2254719.1409877986</v>
      </c>
      <c r="E29" s="36">
        <v>-430230.89201340079</v>
      </c>
      <c r="F29" s="36">
        <v>1731811.9516021013</v>
      </c>
      <c r="G29" s="36">
        <v>1569814.5037276</v>
      </c>
      <c r="H29" s="36">
        <v>-6028129.5467548668</v>
      </c>
      <c r="I29" s="36">
        <v>3017526.0649411827</v>
      </c>
    </row>
    <row r="30" spans="2:9">
      <c r="B30" s="36">
        <v>23</v>
      </c>
      <c r="C30" s="36">
        <v>4014727.9646904916</v>
      </c>
      <c r="D30" s="36">
        <v>6496881.8413992077</v>
      </c>
      <c r="E30" s="36">
        <v>7690131.5303667188</v>
      </c>
      <c r="F30" s="36">
        <v>1768055.8484999537</v>
      </c>
      <c r="G30" s="36">
        <v>14522026.367523819</v>
      </c>
      <c r="H30" s="36">
        <v>-1965997.101927191</v>
      </c>
      <c r="I30" s="36">
        <v>-2267954.4006601423</v>
      </c>
    </row>
    <row r="31" spans="2:9">
      <c r="B31" s="36">
        <v>24</v>
      </c>
      <c r="C31" s="36">
        <v>9358054.9615491331</v>
      </c>
      <c r="D31" s="36">
        <v>6104569.6650210023</v>
      </c>
      <c r="E31" s="36">
        <v>1036196.4960640818</v>
      </c>
      <c r="F31" s="36">
        <v>4880136.5338304937</v>
      </c>
      <c r="G31" s="36">
        <v>1037196.3148270994</v>
      </c>
      <c r="H31" s="36">
        <v>-11212772.629800886</v>
      </c>
      <c r="I31" s="36">
        <v>-7840711.8507409692</v>
      </c>
    </row>
    <row r="32" spans="2:9">
      <c r="B32" s="36">
        <v>25</v>
      </c>
      <c r="C32" s="36">
        <v>5885258.8704907298</v>
      </c>
      <c r="D32" s="36">
        <v>6581987.4349196702</v>
      </c>
      <c r="E32" s="36">
        <v>14819708.64226599</v>
      </c>
      <c r="F32" s="36">
        <v>-1666217.8219023347</v>
      </c>
      <c r="G32" s="36">
        <v>6141144.5004930645</v>
      </c>
      <c r="H32" s="36">
        <v>-2649359.3086259812</v>
      </c>
      <c r="I32" s="36">
        <v>2975333.5795073211</v>
      </c>
    </row>
    <row r="33" spans="2:9">
      <c r="B33" s="36">
        <v>26</v>
      </c>
      <c r="C33" s="36">
        <v>14252515.555833936</v>
      </c>
      <c r="D33" s="36">
        <v>-2908424.0477968603</v>
      </c>
      <c r="E33" s="36">
        <v>6414809.3867361695</v>
      </c>
      <c r="F33" s="36">
        <v>10375670.58095254</v>
      </c>
      <c r="G33" s="36">
        <v>7725885.5493192822</v>
      </c>
      <c r="H33" s="36">
        <v>-4887376.1649263948</v>
      </c>
      <c r="I33" s="36">
        <v>-5301483.6318159252</v>
      </c>
    </row>
    <row r="34" spans="2:9">
      <c r="B34" s="36">
        <v>27</v>
      </c>
      <c r="C34" s="36">
        <v>11465546.817672133</v>
      </c>
      <c r="D34" s="36">
        <v>5155956.0456937551</v>
      </c>
      <c r="E34" s="36">
        <v>12027151.150342003</v>
      </c>
      <c r="F34" s="36">
        <v>4526122.6263873577</v>
      </c>
      <c r="G34" s="36">
        <v>-6312905.5962126553</v>
      </c>
      <c r="H34" s="36">
        <v>2938891.0060601979</v>
      </c>
      <c r="I34" s="36">
        <v>-5124600.6198322773</v>
      </c>
    </row>
    <row r="35" spans="2:9">
      <c r="B35" s="36">
        <v>28</v>
      </c>
      <c r="C35" s="36">
        <v>6402864.2142024636</v>
      </c>
      <c r="D35" s="36">
        <v>-460625.99586704373</v>
      </c>
      <c r="E35" s="36">
        <v>13988127.869850367</v>
      </c>
      <c r="F35" s="36">
        <v>1571044.0476272851</v>
      </c>
      <c r="G35" s="36">
        <v>56781.224445551634</v>
      </c>
      <c r="H35" s="36">
        <v>-22118.670593574643</v>
      </c>
      <c r="I35" s="36">
        <v>-2835127.552654475</v>
      </c>
    </row>
    <row r="36" spans="2:9">
      <c r="B36" s="36">
        <v>29</v>
      </c>
      <c r="C36" s="36">
        <v>9030655.0745697618</v>
      </c>
      <c r="D36" s="36">
        <v>9929591.6640288979</v>
      </c>
      <c r="E36" s="36">
        <v>5256762.3846170753</v>
      </c>
      <c r="F36" s="36">
        <v>13881653.035268575</v>
      </c>
      <c r="G36" s="36">
        <v>4859419.7660570741</v>
      </c>
      <c r="H36" s="36">
        <v>-7690865.5656358004</v>
      </c>
      <c r="I36" s="36">
        <v>-1890477.9649249613</v>
      </c>
    </row>
    <row r="37" spans="2:9">
      <c r="B37" s="36">
        <v>30</v>
      </c>
      <c r="C37" s="36">
        <v>11155008.225356176</v>
      </c>
      <c r="D37" s="36">
        <v>4060528.1340505779</v>
      </c>
      <c r="E37" s="36">
        <v>15056187.752045825</v>
      </c>
      <c r="F37" s="36">
        <v>3450274.9088831842</v>
      </c>
      <c r="G37" s="36">
        <v>198644.54555808008</v>
      </c>
      <c r="H37" s="36">
        <v>1399284.5886752158</v>
      </c>
      <c r="I37" s="36">
        <v>11992441.821639165</v>
      </c>
    </row>
    <row r="38" spans="2:9">
      <c r="B38" s="36">
        <v>31</v>
      </c>
      <c r="C38" s="36">
        <v>25390693.958260745</v>
      </c>
      <c r="D38" s="36">
        <v>8938006.3321839124</v>
      </c>
      <c r="E38" s="36">
        <v>6509264.1167557538</v>
      </c>
      <c r="F38" s="36">
        <v>3573417.0081091225</v>
      </c>
      <c r="G38" s="36">
        <v>6228274.1466365755</v>
      </c>
      <c r="H38" s="36">
        <v>2389110.7347095013</v>
      </c>
      <c r="I38" s="36">
        <v>-6021503.6571243852</v>
      </c>
    </row>
    <row r="39" spans="2:9">
      <c r="B39" s="36">
        <v>32</v>
      </c>
      <c r="C39" s="36">
        <v>15713200.890796617</v>
      </c>
      <c r="D39" s="36">
        <v>-16260.54755461216</v>
      </c>
      <c r="E39" s="36">
        <v>-1706960.281848371</v>
      </c>
      <c r="F39" s="36">
        <v>-3670457.06502828</v>
      </c>
      <c r="G39" s="36">
        <v>5515842.6173024774</v>
      </c>
      <c r="H39" s="36">
        <v>12371059.718833774</v>
      </c>
      <c r="I39" s="36">
        <v>7557833.1206371039</v>
      </c>
    </row>
    <row r="40" spans="2:9">
      <c r="B40" s="36">
        <v>33</v>
      </c>
      <c r="C40" s="36">
        <v>3607771.8174828887</v>
      </c>
      <c r="D40" s="36">
        <v>-2932429.2966160774</v>
      </c>
      <c r="E40" s="36">
        <v>16463939.318299592</v>
      </c>
      <c r="F40" s="36">
        <v>-3478143.9406780601</v>
      </c>
      <c r="G40" s="36">
        <v>-5107435.8215129077</v>
      </c>
      <c r="H40" s="36">
        <v>2079463.7085382044</v>
      </c>
      <c r="I40" s="36">
        <v>-1486502.0301783085</v>
      </c>
    </row>
    <row r="41" spans="2:9">
      <c r="B41" s="36">
        <v>34</v>
      </c>
      <c r="C41" s="36">
        <v>14102689.254418015</v>
      </c>
      <c r="D41" s="36">
        <v>-3769213.5932889879</v>
      </c>
      <c r="E41" s="36">
        <v>2988416.0726334155</v>
      </c>
      <c r="F41" s="36">
        <v>7780554.3945190012</v>
      </c>
      <c r="G41" s="36">
        <v>399248.51836407185</v>
      </c>
      <c r="H41" s="36">
        <v>528748.30255673826</v>
      </c>
      <c r="I41" s="36">
        <v>7109993.2267796397</v>
      </c>
    </row>
    <row r="42" spans="2:9">
      <c r="B42" s="36">
        <v>35</v>
      </c>
      <c r="C42" s="36">
        <v>9511363.0646426082</v>
      </c>
      <c r="D42" s="36">
        <v>1322040.6635362655</v>
      </c>
      <c r="E42" s="36">
        <v>4766760.0725556761</v>
      </c>
      <c r="F42" s="36">
        <v>3889863.5053783804</v>
      </c>
      <c r="G42" s="36">
        <v>-9172864.9744553715</v>
      </c>
      <c r="H42" s="36">
        <v>-1296962.0117296875</v>
      </c>
      <c r="I42" s="36">
        <v>10745425.269528046</v>
      </c>
    </row>
    <row r="43" spans="2:9">
      <c r="B43" s="36">
        <v>36</v>
      </c>
      <c r="C43" s="36">
        <v>10458371.206804425</v>
      </c>
      <c r="D43" s="36">
        <v>7239824.9744453728</v>
      </c>
      <c r="E43" s="36">
        <v>5699337.7096566111</v>
      </c>
      <c r="F43" s="36">
        <v>-4495157.5466738194</v>
      </c>
      <c r="G43" s="36">
        <v>6901126.7314495444</v>
      </c>
      <c r="H43" s="36">
        <v>2338496.2560512275</v>
      </c>
      <c r="I43" s="36">
        <v>-1676867.0035109073</v>
      </c>
    </row>
    <row r="44" spans="2:9">
      <c r="B44" s="36">
        <v>37</v>
      </c>
      <c r="C44" s="36">
        <v>13232709.278750017</v>
      </c>
      <c r="D44" s="36">
        <v>18513675.931283534</v>
      </c>
      <c r="E44" s="36">
        <v>-2174006.2543818653</v>
      </c>
      <c r="F44" s="36">
        <v>2438596.953117609</v>
      </c>
      <c r="G44" s="36">
        <v>-11229941.127461493</v>
      </c>
      <c r="H44" s="36">
        <v>3574826.2489775568</v>
      </c>
      <c r="I44" s="36">
        <v>-13264811.644302368</v>
      </c>
    </row>
    <row r="45" spans="2:9">
      <c r="B45" s="36">
        <v>38</v>
      </c>
      <c r="C45" s="36">
        <v>8361564.3372726291</v>
      </c>
      <c r="D45" s="36">
        <v>5601225.1414163262</v>
      </c>
      <c r="E45" s="36">
        <v>566460.07775878906</v>
      </c>
      <c r="F45" s="36">
        <v>3103353.5424274653</v>
      </c>
      <c r="G45" s="36">
        <v>2963152.9858558476</v>
      </c>
      <c r="H45" s="36">
        <v>-6361726.289177075</v>
      </c>
      <c r="I45" s="36">
        <v>230876.54218201339</v>
      </c>
    </row>
    <row r="46" spans="2:9">
      <c r="B46" s="36">
        <v>39</v>
      </c>
      <c r="C46" s="36">
        <v>4065981.0971813202</v>
      </c>
      <c r="D46" s="36">
        <v>8668491.7784825563</v>
      </c>
      <c r="E46" s="36">
        <v>-3522189.9161973149</v>
      </c>
      <c r="F46" s="36">
        <v>-4225639.8396582603</v>
      </c>
      <c r="G46" s="36">
        <v>3139589.5002574623</v>
      </c>
      <c r="H46" s="36">
        <v>5443416.1818764061</v>
      </c>
      <c r="I46" s="36">
        <v>1371314.8654691875</v>
      </c>
    </row>
    <row r="47" spans="2:9">
      <c r="B47" s="36">
        <v>40</v>
      </c>
      <c r="C47" s="36">
        <v>16867287.360519245</v>
      </c>
      <c r="D47" s="36">
        <v>2508159.0982673615</v>
      </c>
      <c r="E47" s="36">
        <v>9158601.6758944392</v>
      </c>
      <c r="F47" s="36">
        <v>3123094.8672495633</v>
      </c>
      <c r="G47" s="36">
        <v>1586468.7523012608</v>
      </c>
      <c r="H47" s="36">
        <v>-1677454.2434845269</v>
      </c>
      <c r="I47" s="36">
        <v>1762611.2445499003</v>
      </c>
    </row>
    <row r="48" spans="2:9">
      <c r="B48" s="36">
        <v>41</v>
      </c>
      <c r="C48" s="36">
        <v>7208099.1317942888</v>
      </c>
      <c r="D48" s="36">
        <v>15814111.224736914</v>
      </c>
      <c r="E48" s="36">
        <v>-3766737.1961933821</v>
      </c>
      <c r="F48" s="36">
        <v>685710.64625933766</v>
      </c>
      <c r="G48" s="36">
        <v>6654337.1473288983</v>
      </c>
      <c r="H48" s="36">
        <v>11282003.663073212</v>
      </c>
      <c r="I48" s="36">
        <v>-6091327.5040091574</v>
      </c>
    </row>
    <row r="49" spans="2:9">
      <c r="B49" s="36">
        <v>42</v>
      </c>
      <c r="C49" s="36">
        <v>20993740.817093194</v>
      </c>
      <c r="D49" s="36">
        <v>10476778.704433858</v>
      </c>
      <c r="E49" s="36">
        <v>5190310.6181252003</v>
      </c>
      <c r="F49" s="36">
        <v>10817748.486353412</v>
      </c>
      <c r="G49" s="36">
        <v>-6230099.8754057437</v>
      </c>
      <c r="H49" s="36">
        <v>4819808.8111784011</v>
      </c>
      <c r="I49" s="36">
        <v>-8147006.396621272</v>
      </c>
    </row>
    <row r="50" spans="2:9">
      <c r="B50" s="36">
        <v>43</v>
      </c>
      <c r="C50" s="36">
        <v>9005535.4974117279</v>
      </c>
      <c r="D50" s="36">
        <v>11921208.805034906</v>
      </c>
      <c r="E50" s="36">
        <v>4272073.0709275901</v>
      </c>
      <c r="F50" s="36">
        <v>-269072.0452529192</v>
      </c>
      <c r="G50" s="36">
        <v>5775771.7459657788</v>
      </c>
      <c r="H50" s="36">
        <v>-6954907.1560768485</v>
      </c>
      <c r="I50" s="36">
        <v>1256573.9191715866</v>
      </c>
    </row>
    <row r="51" spans="2:9">
      <c r="B51" s="36">
        <v>44</v>
      </c>
      <c r="C51" s="36">
        <v>19127396.31191504</v>
      </c>
      <c r="D51" s="36">
        <v>7386632.2825780213</v>
      </c>
      <c r="E51" s="36">
        <v>1931642.8073745519</v>
      </c>
      <c r="F51" s="36">
        <v>6117004.8124839813</v>
      </c>
      <c r="G51" s="36">
        <v>124211.26124583185</v>
      </c>
      <c r="H51" s="36">
        <v>4405247.4626383334</v>
      </c>
      <c r="I51" s="36">
        <v>2468404.1440684199</v>
      </c>
    </row>
    <row r="52" spans="2:9">
      <c r="B52" s="36">
        <v>45</v>
      </c>
      <c r="C52" s="36">
        <v>14731718.867575109</v>
      </c>
      <c r="D52" s="36">
        <v>5746771.9136306047</v>
      </c>
      <c r="E52" s="36">
        <v>-3421725.9643805474</v>
      </c>
      <c r="F52" s="36">
        <v>7775968.9414873421</v>
      </c>
      <c r="G52" s="36">
        <v>15658600.181707799</v>
      </c>
      <c r="H52" s="36">
        <v>-9602174.1818366051</v>
      </c>
      <c r="I52" s="36">
        <v>3517133.3788198233</v>
      </c>
    </row>
    <row r="53" spans="2:9">
      <c r="B53" s="36">
        <v>46</v>
      </c>
      <c r="C53" s="36">
        <v>17181462.51442872</v>
      </c>
      <c r="D53" s="36">
        <v>4619095.139823094</v>
      </c>
      <c r="E53" s="36">
        <v>-1608628.5489485413</v>
      </c>
      <c r="F53" s="36">
        <v>9401952.5194971859</v>
      </c>
      <c r="G53" s="36">
        <v>6467245.7679761648</v>
      </c>
      <c r="H53" s="36">
        <v>1927086.363281399</v>
      </c>
      <c r="I53" s="36">
        <v>-4609587.6850234419</v>
      </c>
    </row>
    <row r="54" spans="2:9">
      <c r="B54" s="36">
        <v>47</v>
      </c>
      <c r="C54" s="36">
        <v>5757632.2092416883</v>
      </c>
      <c r="D54" s="36">
        <v>-371715.11582285166</v>
      </c>
      <c r="E54" s="36">
        <v>2358186.0682857931</v>
      </c>
      <c r="F54" s="36">
        <v>18685029.868477643</v>
      </c>
      <c r="G54" s="36">
        <v>8540043.8307383657</v>
      </c>
      <c r="H54" s="36">
        <v>-2944190.9346048534</v>
      </c>
      <c r="I54" s="36">
        <v>-6106004.2620365471</v>
      </c>
    </row>
    <row r="55" spans="2:9">
      <c r="B55" s="36">
        <v>48</v>
      </c>
      <c r="C55" s="36">
        <v>15346894.235811993</v>
      </c>
      <c r="D55" s="36">
        <v>16908563.484883547</v>
      </c>
      <c r="E55" s="36">
        <v>6615623.5587008893</v>
      </c>
      <c r="F55" s="36">
        <v>5623298.3951237649</v>
      </c>
      <c r="G55" s="36">
        <v>3761442.644029066</v>
      </c>
      <c r="H55" s="36">
        <v>-1014679.6618667394</v>
      </c>
      <c r="I55" s="36">
        <v>-5845906.8415249884</v>
      </c>
    </row>
    <row r="56" spans="2:9">
      <c r="B56" s="36">
        <v>49</v>
      </c>
      <c r="C56" s="36">
        <v>18542260.021512687</v>
      </c>
      <c r="D56" s="36">
        <v>10359873.387766048</v>
      </c>
      <c r="E56" s="36">
        <v>9855707.0431227833</v>
      </c>
      <c r="F56" s="36">
        <v>10709113.39884083</v>
      </c>
      <c r="G56" s="36">
        <v>5072329.7806871384</v>
      </c>
      <c r="H56" s="36">
        <v>-2682565.8620958328</v>
      </c>
      <c r="I56" s="36">
        <v>-5524203.5660500079</v>
      </c>
    </row>
    <row r="57" spans="2:9">
      <c r="B57" s="36">
        <v>50</v>
      </c>
      <c r="C57" s="36">
        <v>12864254.975331038</v>
      </c>
      <c r="D57" s="36">
        <v>14886573.881284952</v>
      </c>
      <c r="E57" s="36">
        <v>13783000.962899476</v>
      </c>
      <c r="F57" s="36">
        <v>12324025.823127031</v>
      </c>
      <c r="G57" s="36">
        <v>-7956137.1649327278</v>
      </c>
      <c r="H57" s="36">
        <v>-10616636.789354622</v>
      </c>
      <c r="I57" s="36">
        <v>38735.022949367762</v>
      </c>
    </row>
    <row r="58" spans="2:9">
      <c r="B58" s="36">
        <v>51</v>
      </c>
      <c r="C58" s="36">
        <v>9312011.6641414762</v>
      </c>
      <c r="D58" s="36">
        <v>9156655.7733221948</v>
      </c>
      <c r="E58" s="36">
        <v>4239857.6065431237</v>
      </c>
      <c r="F58" s="36">
        <v>6786075.9746933579</v>
      </c>
      <c r="G58" s="36">
        <v>6372484.345440954</v>
      </c>
      <c r="H58" s="36">
        <v>2616101.9223141074</v>
      </c>
      <c r="I58" s="36">
        <v>-5713096.7684274316</v>
      </c>
    </row>
    <row r="59" spans="2:9">
      <c r="B59" s="36">
        <v>52</v>
      </c>
      <c r="C59" s="36">
        <v>20284589.793889984</v>
      </c>
      <c r="D59" s="36">
        <v>11247317.579012141</v>
      </c>
      <c r="E59" s="36">
        <v>5946279.1679938436</v>
      </c>
      <c r="F59" s="36">
        <v>-763796.82399746776</v>
      </c>
      <c r="G59" s="36">
        <v>-4026811.9786467552</v>
      </c>
      <c r="H59" s="36">
        <v>2572243.8167082816</v>
      </c>
      <c r="I59" s="36">
        <v>-6349664.2246698141</v>
      </c>
    </row>
    <row r="60" spans="2:9">
      <c r="B60" s="36">
        <v>53</v>
      </c>
      <c r="C60" s="36">
        <v>1813522.2067983001</v>
      </c>
      <c r="D60" s="36">
        <v>4274279.9320202768</v>
      </c>
      <c r="E60" s="36">
        <v>14662578.578605697</v>
      </c>
      <c r="F60" s="36">
        <v>6921529.4098984599</v>
      </c>
      <c r="G60" s="36">
        <v>332764.56130370498</v>
      </c>
      <c r="H60" s="36">
        <v>-6666520.8082559258</v>
      </c>
      <c r="I60" s="36">
        <v>-10544772.481549725</v>
      </c>
    </row>
    <row r="61" spans="2:9">
      <c r="B61" s="36">
        <v>54</v>
      </c>
      <c r="C61" s="36">
        <v>10931906.754018307</v>
      </c>
      <c r="D61" s="36">
        <v>-3401060.642543003</v>
      </c>
      <c r="E61" s="36">
        <v>-343123.16093093157</v>
      </c>
      <c r="F61" s="36">
        <v>6970327.3183463663</v>
      </c>
      <c r="G61" s="36">
        <v>-1573182.0402670205</v>
      </c>
      <c r="H61" s="36">
        <v>1596042.6427804977</v>
      </c>
      <c r="I61" s="36">
        <v>2334007.6520991623</v>
      </c>
    </row>
    <row r="62" spans="2:9">
      <c r="B62" s="36">
        <v>55</v>
      </c>
      <c r="C62" s="36">
        <v>11175594.649326459</v>
      </c>
      <c r="D62" s="36">
        <v>13892654.951114699</v>
      </c>
      <c r="E62" s="36">
        <v>5602127.2031619698</v>
      </c>
      <c r="F62" s="36">
        <v>-8234384.3686815053</v>
      </c>
      <c r="G62" s="36">
        <v>-2574312.9552695751</v>
      </c>
      <c r="H62" s="36">
        <v>6962413.8609320521</v>
      </c>
      <c r="I62" s="36">
        <v>-6618129.9814107567</v>
      </c>
    </row>
    <row r="63" spans="2:9">
      <c r="B63" s="36">
        <v>56</v>
      </c>
      <c r="C63" s="36">
        <v>10439863.62557362</v>
      </c>
      <c r="D63" s="36">
        <v>12902643.995094001</v>
      </c>
      <c r="E63" s="36">
        <v>8688893.4158121794</v>
      </c>
      <c r="F63" s="36">
        <v>979492.72408035398</v>
      </c>
      <c r="G63" s="36">
        <v>4274315.1193992943</v>
      </c>
      <c r="H63" s="36">
        <v>-8494065.1714085937</v>
      </c>
      <c r="I63" s="36">
        <v>60398.341059207916</v>
      </c>
    </row>
    <row r="64" spans="2:9">
      <c r="B64" s="36">
        <v>57</v>
      </c>
      <c r="C64" s="36">
        <v>13070043.325871512</v>
      </c>
      <c r="D64" s="36">
        <v>5169498.4358986616</v>
      </c>
      <c r="E64" s="36">
        <v>14400408.429144979</v>
      </c>
      <c r="F64" s="36">
        <v>2432418.8452720642</v>
      </c>
      <c r="G64" s="36">
        <v>919484.03462862968</v>
      </c>
      <c r="H64" s="36">
        <v>1227802.0657535046</v>
      </c>
      <c r="I64" s="36">
        <v>5357578.3939826638</v>
      </c>
    </row>
    <row r="65" spans="2:9">
      <c r="B65" s="36">
        <v>58</v>
      </c>
      <c r="C65" s="36">
        <v>15752650.842328727</v>
      </c>
      <c r="D65" s="36">
        <v>-2865988.5848722607</v>
      </c>
      <c r="E65" s="36">
        <v>10733731.199217737</v>
      </c>
      <c r="F65" s="36">
        <v>7992883.0539866984</v>
      </c>
      <c r="G65" s="36">
        <v>4575869.7319672704</v>
      </c>
      <c r="H65" s="36">
        <v>11285348.529895708</v>
      </c>
      <c r="I65" s="36">
        <v>-7542778.9648514092</v>
      </c>
    </row>
    <row r="66" spans="2:9">
      <c r="B66" s="36">
        <v>59</v>
      </c>
      <c r="C66" s="36">
        <v>17759326.477201939</v>
      </c>
      <c r="D66" s="36">
        <v>5776268.7709005177</v>
      </c>
      <c r="E66" s="36">
        <v>13600069.460660696</v>
      </c>
      <c r="F66" s="36">
        <v>-783423.3028948307</v>
      </c>
      <c r="G66" s="36">
        <v>-3902260.3187811077</v>
      </c>
      <c r="H66" s="36">
        <v>215374.11457234621</v>
      </c>
      <c r="I66" s="36">
        <v>4145289.1310415119</v>
      </c>
    </row>
    <row r="67" spans="2:9">
      <c r="B67" s="36">
        <v>60</v>
      </c>
      <c r="C67" s="36">
        <v>9912245.7493112683</v>
      </c>
      <c r="D67" s="36">
        <v>6079146.506827116</v>
      </c>
      <c r="E67" s="36">
        <v>6700486.5484023243</v>
      </c>
      <c r="F67" s="36">
        <v>3157504.6284007132</v>
      </c>
      <c r="G67" s="36">
        <v>2807158.5241418183</v>
      </c>
      <c r="H67" s="36">
        <v>1910407.0204353631</v>
      </c>
      <c r="I67" s="36">
        <v>-8481563.3403184414</v>
      </c>
    </row>
    <row r="68" spans="2:9">
      <c r="B68" s="36">
        <v>61</v>
      </c>
      <c r="C68" s="36">
        <v>11300536.469071284</v>
      </c>
      <c r="D68" s="36">
        <v>15459050.798995584</v>
      </c>
      <c r="E68" s="36">
        <v>6136556.6863818169</v>
      </c>
      <c r="F68" s="36">
        <v>5746985.57190229</v>
      </c>
      <c r="G68" s="36">
        <v>-3670413.8774370253</v>
      </c>
      <c r="H68" s="36">
        <v>3437117.2495286018</v>
      </c>
      <c r="I68" s="36">
        <v>3530792.0214374959</v>
      </c>
    </row>
    <row r="69" spans="2:9">
      <c r="B69" s="36">
        <v>62</v>
      </c>
      <c r="C69" s="36">
        <v>7994787.1068191826</v>
      </c>
      <c r="D69" s="36">
        <v>8214060.8841395527</v>
      </c>
      <c r="E69" s="36">
        <v>264956.78329183161</v>
      </c>
      <c r="F69" s="36">
        <v>13885413.773730293</v>
      </c>
      <c r="G69" s="36">
        <v>5737914.5130987465</v>
      </c>
      <c r="H69" s="36">
        <v>-3255517.4007193446</v>
      </c>
      <c r="I69" s="36">
        <v>-8215556.7880718261</v>
      </c>
    </row>
    <row r="70" spans="2:9">
      <c r="B70" s="36">
        <v>63</v>
      </c>
      <c r="C70" s="36">
        <v>19363739.597053453</v>
      </c>
      <c r="D70" s="36">
        <v>19848095.073347777</v>
      </c>
      <c r="E70" s="36">
        <v>6556315.6690375507</v>
      </c>
      <c r="F70" s="36">
        <v>1197691.6268330663</v>
      </c>
      <c r="G70" s="36">
        <v>211351.33377587795</v>
      </c>
      <c r="H70" s="36">
        <v>-298087.53919652104</v>
      </c>
      <c r="I70" s="36">
        <v>-4221275.4320528209</v>
      </c>
    </row>
    <row r="71" spans="2:9">
      <c r="B71" s="36">
        <v>64</v>
      </c>
      <c r="C71" s="36">
        <v>17876910.504926458</v>
      </c>
      <c r="D71" s="36">
        <v>5796817.5515848547</v>
      </c>
      <c r="E71" s="36">
        <v>10332215.984731376</v>
      </c>
      <c r="F71" s="36">
        <v>8576799.1641487777</v>
      </c>
      <c r="G71" s="36">
        <v>-12831181.106855363</v>
      </c>
      <c r="H71" s="36">
        <v>1256528.413914144</v>
      </c>
      <c r="I71" s="36">
        <v>-1176085.7412324399</v>
      </c>
    </row>
    <row r="72" spans="2:9">
      <c r="B72" s="36">
        <v>65</v>
      </c>
      <c r="C72" s="36">
        <v>9185560.7204614431</v>
      </c>
      <c r="D72" s="36">
        <v>16145298.855711773</v>
      </c>
      <c r="E72" s="36">
        <v>11316893.104063034</v>
      </c>
      <c r="F72" s="36">
        <v>-6841271.8718563914</v>
      </c>
      <c r="G72" s="36">
        <v>2124749.7920549363</v>
      </c>
      <c r="H72" s="36">
        <v>3062111.4656918943</v>
      </c>
      <c r="I72" s="36">
        <v>3923675.4972054213</v>
      </c>
    </row>
    <row r="73" spans="2:9">
      <c r="B73" s="36">
        <v>66</v>
      </c>
      <c r="C73" s="36">
        <v>7553797.1504660249</v>
      </c>
      <c r="D73" s="36">
        <v>-2733792.7994579673</v>
      </c>
      <c r="E73" s="36">
        <v>7723317.4673609287</v>
      </c>
      <c r="F73" s="36">
        <v>-597237.05940237641</v>
      </c>
      <c r="G73" s="36">
        <v>-2173205.3959927261</v>
      </c>
      <c r="H73" s="36">
        <v>-12435085.796100169</v>
      </c>
      <c r="I73" s="36">
        <v>4244461.8254129291</v>
      </c>
    </row>
    <row r="74" spans="2:9">
      <c r="B74" s="36">
        <v>67</v>
      </c>
      <c r="C74" s="36">
        <v>13465000.229255855</v>
      </c>
      <c r="D74" s="36">
        <v>5920551.9234358519</v>
      </c>
      <c r="E74" s="36">
        <v>14987058.983565435</v>
      </c>
      <c r="F74" s="36">
        <v>8192380.5188823044</v>
      </c>
      <c r="G74" s="36">
        <v>2853389.3593570888</v>
      </c>
      <c r="H74" s="36">
        <v>-3696505.0765527934</v>
      </c>
      <c r="I74" s="36">
        <v>-5219296.8171762526</v>
      </c>
    </row>
    <row r="75" spans="2:9">
      <c r="B75" s="36">
        <v>68</v>
      </c>
      <c r="C75" s="36">
        <v>17656731.883760929</v>
      </c>
      <c r="D75" s="36">
        <v>8644375.6918288022</v>
      </c>
      <c r="E75" s="36">
        <v>-6397073.0053724498</v>
      </c>
      <c r="F75" s="36">
        <v>8024808.6671734899</v>
      </c>
      <c r="G75" s="36">
        <v>1276559.9828421324</v>
      </c>
      <c r="H75" s="36">
        <v>550066.42804992199</v>
      </c>
      <c r="I75" s="36">
        <v>5683569.6223520637</v>
      </c>
    </row>
    <row r="76" spans="2:9">
      <c r="B76" s="36">
        <v>69</v>
      </c>
      <c r="C76" s="36">
        <v>4314376.1576780677</v>
      </c>
      <c r="D76" s="36">
        <v>2028273.0643699467</v>
      </c>
      <c r="E76" s="36">
        <v>8284706.8693657517</v>
      </c>
      <c r="F76" s="36">
        <v>-994141.2865306139</v>
      </c>
      <c r="G76" s="36">
        <v>12280310.176897749</v>
      </c>
      <c r="H76" s="36">
        <v>-5241547.005582124</v>
      </c>
      <c r="I76" s="36">
        <v>-8076936.0395862162</v>
      </c>
    </row>
    <row r="77" spans="2:9">
      <c r="B77" s="36">
        <v>70</v>
      </c>
      <c r="C77" s="36">
        <v>9324566.7123598754</v>
      </c>
      <c r="D77" s="36">
        <v>10866457.222281992</v>
      </c>
      <c r="E77" s="36">
        <v>11067446.930601656</v>
      </c>
      <c r="F77" s="36">
        <v>3189223.9196624011</v>
      </c>
      <c r="G77" s="36">
        <v>-11975343.946945503</v>
      </c>
      <c r="H77" s="36">
        <v>-335703.32007329166</v>
      </c>
      <c r="I77" s="36">
        <v>1913851.6178904623</v>
      </c>
    </row>
    <row r="78" spans="2:9">
      <c r="B78" s="36">
        <v>71</v>
      </c>
      <c r="C78" s="36">
        <v>4805081.9408643693</v>
      </c>
      <c r="D78" s="36">
        <v>584417.08985742927</v>
      </c>
      <c r="E78" s="36">
        <v>16551830.739135906</v>
      </c>
      <c r="F78" s="36">
        <v>6337504.0983920097</v>
      </c>
      <c r="G78" s="36">
        <v>6819684.2938077748</v>
      </c>
      <c r="H78" s="36">
        <v>6491167.415496707</v>
      </c>
      <c r="I78" s="36">
        <v>-6957933.9788666815</v>
      </c>
    </row>
    <row r="79" spans="2:9">
      <c r="B79" s="36">
        <v>72</v>
      </c>
      <c r="C79" s="36">
        <v>8870391.4919402599</v>
      </c>
      <c r="D79" s="36">
        <v>15591635.177738369</v>
      </c>
      <c r="E79" s="36">
        <v>14656084.539276421</v>
      </c>
      <c r="F79" s="36">
        <v>1853994.2033824772</v>
      </c>
      <c r="G79" s="36">
        <v>3034761.7398886085</v>
      </c>
      <c r="H79" s="36">
        <v>-340201.49482880533</v>
      </c>
      <c r="I79" s="36">
        <v>-466148.06726872921</v>
      </c>
    </row>
    <row r="80" spans="2:9">
      <c r="B80" s="36">
        <v>73</v>
      </c>
      <c r="C80" s="36">
        <v>11386876.732959032</v>
      </c>
      <c r="D80" s="36">
        <v>7849129.9595958889</v>
      </c>
      <c r="E80" s="36">
        <v>3743331.3912296295</v>
      </c>
      <c r="F80" s="36">
        <v>-2019086.9841767401</v>
      </c>
      <c r="G80" s="36">
        <v>-3908608.6179697216</v>
      </c>
      <c r="H80" s="36">
        <v>10272337.153795466</v>
      </c>
      <c r="I80" s="36">
        <v>1453016.8112918288</v>
      </c>
    </row>
    <row r="81" spans="2:9">
      <c r="B81" s="36">
        <v>74</v>
      </c>
      <c r="C81" s="36">
        <v>28205.449353680015</v>
      </c>
      <c r="D81" s="36">
        <v>9562630.0171874017</v>
      </c>
      <c r="E81" s="36">
        <v>12211866.142788365</v>
      </c>
      <c r="F81" s="36">
        <v>-670651.64663790166</v>
      </c>
      <c r="G81" s="36">
        <v>-1567936.7089235634</v>
      </c>
      <c r="H81" s="36">
        <v>12381105.259809628</v>
      </c>
      <c r="I81" s="36">
        <v>-3449626.9394366592</v>
      </c>
    </row>
    <row r="82" spans="2:9">
      <c r="B82" s="36">
        <v>75</v>
      </c>
      <c r="C82" s="36">
        <v>14636638.350302756</v>
      </c>
      <c r="D82" s="36">
        <v>7583679.8313929588</v>
      </c>
      <c r="E82" s="36">
        <v>4136881.6771618128</v>
      </c>
      <c r="F82" s="36">
        <v>3267974.7672175765</v>
      </c>
      <c r="G82" s="36">
        <v>4660988.3141089231</v>
      </c>
      <c r="H82" s="36">
        <v>8188293.335825786</v>
      </c>
      <c r="I82" s="36">
        <v>-10334156.882560268</v>
      </c>
    </row>
    <row r="83" spans="2:9">
      <c r="B83" s="36">
        <v>76</v>
      </c>
      <c r="C83" s="36">
        <v>-4829371.7855190039</v>
      </c>
      <c r="D83" s="36">
        <v>2272526.5943626165</v>
      </c>
      <c r="E83" s="36">
        <v>409960.16600005329</v>
      </c>
      <c r="F83" s="36">
        <v>22730.839345887303</v>
      </c>
      <c r="G83" s="36">
        <v>9209665.9988330007</v>
      </c>
      <c r="H83" s="36">
        <v>-9686422.1657341719</v>
      </c>
      <c r="I83" s="36">
        <v>-2123076.0304599255</v>
      </c>
    </row>
    <row r="84" spans="2:9">
      <c r="B84" s="36">
        <v>77</v>
      </c>
      <c r="C84" s="36">
        <v>6456002.6374602765</v>
      </c>
      <c r="D84" s="36">
        <v>16327183.219529748</v>
      </c>
      <c r="E84" s="36">
        <v>10978382.673289135</v>
      </c>
      <c r="F84" s="36">
        <v>4130776.3949466944</v>
      </c>
      <c r="G84" s="36">
        <v>3550629.0744532198</v>
      </c>
      <c r="H84" s="36">
        <v>-3141983.3387289941</v>
      </c>
      <c r="I84" s="36">
        <v>1885405.5068365932</v>
      </c>
    </row>
    <row r="85" spans="2:9">
      <c r="B85" s="36">
        <v>78</v>
      </c>
      <c r="C85" s="36">
        <v>12440742.821920648</v>
      </c>
      <c r="D85" s="36">
        <v>16116530.788775727</v>
      </c>
      <c r="E85" s="36">
        <v>13315501.562768266</v>
      </c>
      <c r="F85" s="36">
        <v>10400726.514308304</v>
      </c>
      <c r="G85" s="36">
        <v>-1853167.6903855801</v>
      </c>
      <c r="H85" s="36">
        <v>8303945.287501201</v>
      </c>
      <c r="I85" s="36">
        <v>-3007526.7861062884</v>
      </c>
    </row>
    <row r="86" spans="2:9">
      <c r="B86" s="36">
        <v>79</v>
      </c>
      <c r="C86" s="36">
        <v>16212049.8802481</v>
      </c>
      <c r="D86" s="36">
        <v>3575635.9361799955</v>
      </c>
      <c r="E86" s="36">
        <v>15306688.453892231</v>
      </c>
      <c r="F86" s="36">
        <v>955383.12057697773</v>
      </c>
      <c r="G86" s="36">
        <v>5266644.9625296146</v>
      </c>
      <c r="H86" s="36">
        <v>-2516604.6232743561</v>
      </c>
      <c r="I86" s="36">
        <v>904036.28068013489</v>
      </c>
    </row>
    <row r="87" spans="2:9">
      <c r="B87" s="36">
        <v>80</v>
      </c>
      <c r="C87" s="36">
        <v>6272833.494670257</v>
      </c>
      <c r="D87" s="36">
        <v>1433448.4592031986</v>
      </c>
      <c r="E87" s="36">
        <v>769396.67370340228</v>
      </c>
      <c r="F87" s="36">
        <v>7574493.6153534502</v>
      </c>
      <c r="G87" s="36">
        <v>-222354.40944236517</v>
      </c>
      <c r="H87" s="36">
        <v>7492038.7226921469</v>
      </c>
      <c r="I87" s="36">
        <v>-1104713.133417055</v>
      </c>
    </row>
    <row r="88" spans="2:9">
      <c r="B88" s="36">
        <v>81</v>
      </c>
      <c r="C88" s="36">
        <v>5060366.40776968</v>
      </c>
      <c r="D88" s="36">
        <v>-385866.9102730751</v>
      </c>
      <c r="E88" s="36">
        <v>718479.99878175557</v>
      </c>
      <c r="F88" s="36">
        <v>-2816718.4198943377</v>
      </c>
      <c r="G88" s="36">
        <v>5523559.2278650105</v>
      </c>
      <c r="H88" s="36">
        <v>5247730.5479056239</v>
      </c>
      <c r="I88" s="36">
        <v>-5558670.9859360754</v>
      </c>
    </row>
    <row r="89" spans="2:9">
      <c r="B89" s="36">
        <v>82</v>
      </c>
      <c r="C89" s="36">
        <v>-209179.68002003431</v>
      </c>
      <c r="D89" s="36">
        <v>2060600.1370274723</v>
      </c>
      <c r="E89" s="36">
        <v>7437334.5864703804</v>
      </c>
      <c r="F89" s="36">
        <v>-2304331.4687888175</v>
      </c>
      <c r="G89" s="36">
        <v>5892953.9165961146</v>
      </c>
      <c r="H89" s="36">
        <v>3612076.3250659108</v>
      </c>
      <c r="I89" s="36">
        <v>-11881653.785776079</v>
      </c>
    </row>
    <row r="90" spans="2:9">
      <c r="B90" s="36">
        <v>83</v>
      </c>
      <c r="C90" s="36">
        <v>5301213.3378922939</v>
      </c>
      <c r="D90" s="36">
        <v>7474313.2901856154</v>
      </c>
      <c r="E90" s="36">
        <v>6457983.4526954591</v>
      </c>
      <c r="F90" s="36">
        <v>-1857304.3472761512</v>
      </c>
      <c r="G90" s="36">
        <v>319691.25031451881</v>
      </c>
      <c r="H90" s="36">
        <v>-2208259.1062274724</v>
      </c>
      <c r="I90" s="36">
        <v>-9833564.2379097044</v>
      </c>
    </row>
    <row r="91" spans="2:9">
      <c r="B91" s="36">
        <v>84</v>
      </c>
      <c r="C91" s="36">
        <v>22987463.925841719</v>
      </c>
      <c r="D91" s="36">
        <v>7736939.7257268429</v>
      </c>
      <c r="E91" s="36">
        <v>8256842.4196297824</v>
      </c>
      <c r="F91" s="36">
        <v>6161882.9755986929</v>
      </c>
      <c r="G91" s="36">
        <v>-8084153.9103516787</v>
      </c>
      <c r="H91" s="36">
        <v>10440257.994624823</v>
      </c>
      <c r="I91" s="36">
        <v>4213135.4474858493</v>
      </c>
    </row>
    <row r="92" spans="2:9">
      <c r="B92" s="36">
        <v>85</v>
      </c>
      <c r="C92" s="36">
        <v>5761935.0209516138</v>
      </c>
      <c r="D92" s="36">
        <v>5265626.3471551538</v>
      </c>
      <c r="E92" s="36">
        <v>649948.90836495161</v>
      </c>
      <c r="F92" s="36">
        <v>2919355.8549586236</v>
      </c>
      <c r="G92" s="36">
        <v>2229333.2950756103</v>
      </c>
      <c r="H92" s="36">
        <v>718051.17674602568</v>
      </c>
      <c r="I92" s="36">
        <v>-7971739.6936544478</v>
      </c>
    </row>
    <row r="93" spans="2:9">
      <c r="B93" s="36">
        <v>86</v>
      </c>
      <c r="C93" s="36">
        <v>9307865.4366599023</v>
      </c>
      <c r="D93" s="36">
        <v>8940809.443305254</v>
      </c>
      <c r="E93" s="36">
        <v>11629628.579535827</v>
      </c>
      <c r="F93" s="36">
        <v>1132530.1315956712</v>
      </c>
      <c r="G93" s="36">
        <v>249244.09211657941</v>
      </c>
      <c r="H93" s="36">
        <v>-2673400.0203496367</v>
      </c>
      <c r="I93" s="36">
        <v>-5087285.6852187812</v>
      </c>
    </row>
    <row r="94" spans="2:9">
      <c r="B94" s="36">
        <v>87</v>
      </c>
      <c r="C94" s="36">
        <v>9106214.3914561868</v>
      </c>
      <c r="D94" s="36">
        <v>7745275.8859445751</v>
      </c>
      <c r="E94" s="36">
        <v>13983064.933033317</v>
      </c>
      <c r="F94" s="36">
        <v>892450.55894581974</v>
      </c>
      <c r="G94" s="36">
        <v>2390289.7077522576</v>
      </c>
      <c r="H94" s="36">
        <v>8691008.7723723054</v>
      </c>
      <c r="I94" s="36">
        <v>3819325.2971104085</v>
      </c>
    </row>
    <row r="95" spans="2:9">
      <c r="B95" s="36">
        <v>88</v>
      </c>
      <c r="C95" s="36">
        <v>17882319.6049252</v>
      </c>
      <c r="D95" s="36">
        <v>9997965.605584234</v>
      </c>
      <c r="E95" s="36">
        <v>909086.97350157797</v>
      </c>
      <c r="F95" s="36">
        <v>1533635.0287059695</v>
      </c>
      <c r="G95" s="36">
        <v>14473144.602476627</v>
      </c>
      <c r="H95" s="36">
        <v>-1430619.6359663904</v>
      </c>
      <c r="I95" s="36">
        <v>-3000973.9692851901</v>
      </c>
    </row>
    <row r="96" spans="2:9">
      <c r="B96" s="36">
        <v>89</v>
      </c>
      <c r="C96" s="36">
        <v>11886219.448767886</v>
      </c>
      <c r="D96" s="36">
        <v>11552683.569408327</v>
      </c>
      <c r="E96" s="36">
        <v>7390287.0253009796</v>
      </c>
      <c r="F96" s="36">
        <v>9629136.3266219199</v>
      </c>
      <c r="G96" s="36">
        <v>-5829907.1932355762</v>
      </c>
      <c r="H96" s="36">
        <v>6935889.4419058561</v>
      </c>
      <c r="I96" s="36">
        <v>1057407.4527074397</v>
      </c>
    </row>
    <row r="97" spans="2:9">
      <c r="B97" s="36">
        <v>90</v>
      </c>
      <c r="C97" s="36">
        <v>2065364.3035350442</v>
      </c>
      <c r="D97" s="36">
        <v>12618591.353049636</v>
      </c>
      <c r="E97" s="36">
        <v>-79150.191310152411</v>
      </c>
      <c r="F97" s="36">
        <v>5976659.2464561164</v>
      </c>
      <c r="G97" s="36">
        <v>11235330.159382522</v>
      </c>
      <c r="H97" s="36">
        <v>-2899668.1955845356</v>
      </c>
      <c r="I97" s="36">
        <v>1234319.8407180458</v>
      </c>
    </row>
    <row r="98" spans="2:9">
      <c r="B98" s="36">
        <v>91</v>
      </c>
      <c r="C98" s="36">
        <v>22430229.1250844</v>
      </c>
      <c r="D98" s="36">
        <v>13506661.515652031</v>
      </c>
      <c r="E98" s="36">
        <v>7862778.9594164789</v>
      </c>
      <c r="F98" s="36">
        <v>2402505.4478042722</v>
      </c>
      <c r="G98" s="36">
        <v>3491684.9239737093</v>
      </c>
      <c r="H98" s="36">
        <v>8094269.7825817466</v>
      </c>
      <c r="I98" s="36">
        <v>5289235.3912928253</v>
      </c>
    </row>
    <row r="99" spans="2:9">
      <c r="B99" s="36">
        <v>92</v>
      </c>
      <c r="C99" s="36">
        <v>17973004.508870393</v>
      </c>
      <c r="D99" s="36">
        <v>11374018.961627319</v>
      </c>
      <c r="E99" s="36">
        <v>19751360.505787119</v>
      </c>
      <c r="F99" s="36">
        <v>7504902.6514609307</v>
      </c>
      <c r="G99" s="36">
        <v>-6159231.0036080182</v>
      </c>
      <c r="H99" s="36">
        <v>5928106.7333737165</v>
      </c>
      <c r="I99" s="36">
        <v>3534953.0295377076</v>
      </c>
    </row>
    <row r="100" spans="2:9">
      <c r="B100" s="36">
        <v>93</v>
      </c>
      <c r="C100" s="36">
        <v>9450133.4989803135</v>
      </c>
      <c r="D100" s="36">
        <v>3552276.2674935758</v>
      </c>
      <c r="E100" s="36">
        <v>-1801523.0320029408</v>
      </c>
      <c r="F100" s="36">
        <v>2287033.4034144431</v>
      </c>
      <c r="G100" s="36">
        <v>3339829.789331302</v>
      </c>
      <c r="H100" s="36">
        <v>-3228763.9833199382</v>
      </c>
      <c r="I100" s="36">
        <v>-5846390.1549571604</v>
      </c>
    </row>
    <row r="101" spans="2:9">
      <c r="B101" s="36">
        <v>94</v>
      </c>
      <c r="C101" s="36">
        <v>5658911.3685113788</v>
      </c>
      <c r="D101" s="36">
        <v>11887871.238465443</v>
      </c>
      <c r="E101" s="36">
        <v>11870961.516956329</v>
      </c>
      <c r="F101" s="36">
        <v>-9837854.7718621343</v>
      </c>
      <c r="G101" s="36">
        <v>1676211.1204182804</v>
      </c>
      <c r="H101" s="36">
        <v>-1160528.2775546908</v>
      </c>
      <c r="I101" s="36">
        <v>-6481601.6622935832</v>
      </c>
    </row>
    <row r="102" spans="2:9">
      <c r="B102" s="36">
        <v>95</v>
      </c>
      <c r="C102" s="36">
        <v>7412030.0472953171</v>
      </c>
      <c r="D102" s="36">
        <v>5971631.8472789377</v>
      </c>
      <c r="E102" s="36">
        <v>6496091.0387469381</v>
      </c>
      <c r="F102" s="36">
        <v>5640576.6964872181</v>
      </c>
      <c r="G102" s="36">
        <v>-2540336.9776837379</v>
      </c>
      <c r="H102" s="36">
        <v>-2729216.5990012437</v>
      </c>
      <c r="I102" s="36">
        <v>1516706.4484555423</v>
      </c>
    </row>
    <row r="103" spans="2:9">
      <c r="B103" s="36">
        <v>96</v>
      </c>
      <c r="C103" s="36">
        <v>7042404.9396879524</v>
      </c>
      <c r="D103" s="36">
        <v>1250692.2764187157</v>
      </c>
      <c r="E103" s="36">
        <v>6159922.2862587273</v>
      </c>
      <c r="F103" s="36">
        <v>-2469670.3871658444</v>
      </c>
      <c r="G103" s="36">
        <v>-1038218.7684034407</v>
      </c>
      <c r="H103" s="36">
        <v>-1433723.5213498175</v>
      </c>
      <c r="I103" s="36">
        <v>2051838.6528691202</v>
      </c>
    </row>
    <row r="104" spans="2:9">
      <c r="B104" s="36">
        <v>97</v>
      </c>
      <c r="C104" s="36">
        <v>11971760.725450829</v>
      </c>
      <c r="D104" s="36">
        <v>10795410.719278961</v>
      </c>
      <c r="E104" s="36">
        <v>-3388196.3245686591</v>
      </c>
      <c r="F104" s="36">
        <v>-7105736.9815016091</v>
      </c>
      <c r="G104" s="36">
        <v>2173037.1062595993</v>
      </c>
      <c r="H104" s="36">
        <v>4755236.5748758763</v>
      </c>
      <c r="I104" s="36">
        <v>25732.925921157002</v>
      </c>
    </row>
    <row r="105" spans="2:9">
      <c r="B105" s="36">
        <v>98</v>
      </c>
      <c r="C105" s="36">
        <v>22424241.397283375</v>
      </c>
      <c r="D105" s="36">
        <v>3282555.9158347249</v>
      </c>
      <c r="E105" s="36">
        <v>16827362.461880282</v>
      </c>
      <c r="F105" s="36">
        <v>1554073.3134375513</v>
      </c>
      <c r="G105" s="36">
        <v>-10778304.073905751</v>
      </c>
      <c r="H105" s="36">
        <v>-4241821.1238072813</v>
      </c>
      <c r="I105" s="36">
        <v>247503.52847716212</v>
      </c>
    </row>
    <row r="106" spans="2:9">
      <c r="B106" s="36">
        <v>99</v>
      </c>
      <c r="C106" s="36">
        <v>15718791.280866981</v>
      </c>
      <c r="D106" s="36">
        <v>1424815.548699826</v>
      </c>
      <c r="E106" s="36">
        <v>4217880.627988711</v>
      </c>
      <c r="F106" s="36">
        <v>4248692.4865261465</v>
      </c>
      <c r="G106" s="36">
        <v>4557879.0556082129</v>
      </c>
      <c r="H106" s="36">
        <v>-5448756.0957611054</v>
      </c>
      <c r="I106" s="36">
        <v>4522032.3490996063</v>
      </c>
    </row>
    <row r="107" spans="2:9">
      <c r="B107" s="36">
        <v>100</v>
      </c>
      <c r="C107" s="36">
        <v>17569421.158542931</v>
      </c>
      <c r="D107" s="36">
        <v>173501.76959809661</v>
      </c>
      <c r="E107" s="36">
        <v>8456947.7242969573</v>
      </c>
      <c r="F107" s="36">
        <v>7460679.4509569108</v>
      </c>
      <c r="G107" s="36">
        <v>4699218.8544634283</v>
      </c>
      <c r="H107" s="36">
        <v>-2586062.4331931472</v>
      </c>
      <c r="I107" s="36">
        <v>-7856501.035456717</v>
      </c>
    </row>
    <row r="108" spans="2:9">
      <c r="B108" s="36">
        <v>101</v>
      </c>
      <c r="C108" s="36">
        <v>15473787.757822216</v>
      </c>
      <c r="D108" s="36">
        <v>5958410.5725470781</v>
      </c>
      <c r="E108" s="36">
        <v>7422892.9144411832</v>
      </c>
      <c r="F108" s="36">
        <v>7727385.3153925091</v>
      </c>
      <c r="G108" s="36">
        <v>-874750.80426819623</v>
      </c>
      <c r="H108" s="36">
        <v>-6271118.9891710281</v>
      </c>
      <c r="I108" s="36">
        <v>6535412.793117702</v>
      </c>
    </row>
    <row r="109" spans="2:9">
      <c r="B109" s="36">
        <v>102</v>
      </c>
      <c r="C109" s="36">
        <v>19258563.385479599</v>
      </c>
      <c r="D109" s="36">
        <v>5187076.8240529448</v>
      </c>
      <c r="E109" s="36">
        <v>17200843.666128203</v>
      </c>
      <c r="F109" s="36">
        <v>5760927.0610878915</v>
      </c>
      <c r="G109" s="36">
        <v>4696255.3750213832</v>
      </c>
      <c r="H109" s="36">
        <v>2824380.1429575086</v>
      </c>
      <c r="I109" s="36">
        <v>2902278.7302668691</v>
      </c>
    </row>
    <row r="110" spans="2:9">
      <c r="B110" s="36">
        <v>103</v>
      </c>
      <c r="C110" s="36">
        <v>10987962.766139179</v>
      </c>
      <c r="D110" s="36">
        <v>10833213.834234789</v>
      </c>
      <c r="E110" s="36">
        <v>7966858.7446522415</v>
      </c>
      <c r="F110" s="36">
        <v>4236748.4331277609</v>
      </c>
      <c r="G110" s="36">
        <v>-2170497.2283932567</v>
      </c>
      <c r="H110" s="36">
        <v>-4817075.6934605688</v>
      </c>
      <c r="I110" s="36">
        <v>-307506.59760184586</v>
      </c>
    </row>
    <row r="111" spans="2:9">
      <c r="B111" s="36">
        <v>104</v>
      </c>
      <c r="C111" s="36">
        <v>3340787.2799478173</v>
      </c>
      <c r="D111" s="36">
        <v>9034427.6179456115</v>
      </c>
      <c r="E111" s="36">
        <v>-4577825.6712821275</v>
      </c>
      <c r="F111" s="36">
        <v>8264520.6933980882</v>
      </c>
      <c r="G111" s="36">
        <v>1289937.1359445602</v>
      </c>
      <c r="H111" s="36">
        <v>-3664684.6116715372</v>
      </c>
      <c r="I111" s="36">
        <v>1444137.8485705554</v>
      </c>
    </row>
    <row r="112" spans="2:9">
      <c r="B112" s="36">
        <v>105</v>
      </c>
      <c r="C112" s="36">
        <v>7600360.5510814786</v>
      </c>
      <c r="D112" s="36">
        <v>10458643.611994952</v>
      </c>
      <c r="E112" s="36">
        <v>8551613.3544034064</v>
      </c>
      <c r="F112" s="36">
        <v>-4630559.1260011941</v>
      </c>
      <c r="G112" s="36">
        <v>8473152.7755544484</v>
      </c>
      <c r="H112" s="36">
        <v>2908986.7090160549</v>
      </c>
      <c r="I112" s="36">
        <v>-1249721.2594969571</v>
      </c>
    </row>
    <row r="113" spans="2:9">
      <c r="B113" s="36">
        <v>106</v>
      </c>
      <c r="C113" s="36">
        <v>14196601.374296769</v>
      </c>
      <c r="D113" s="36">
        <v>14485272.098874211</v>
      </c>
      <c r="E113" s="36">
        <v>5046845.4361569136</v>
      </c>
      <c r="F113" s="36">
        <v>4484351.1026379466</v>
      </c>
      <c r="G113" s="36">
        <v>329201.30405470729</v>
      </c>
      <c r="H113" s="36">
        <v>-2020415.4710212052</v>
      </c>
      <c r="I113" s="36">
        <v>-1349357.0731925219</v>
      </c>
    </row>
    <row r="114" spans="2:9">
      <c r="B114" s="36">
        <v>107</v>
      </c>
      <c r="C114" s="36">
        <v>12768304.899501428</v>
      </c>
      <c r="D114" s="36">
        <v>8839066.4798560143</v>
      </c>
      <c r="E114" s="36">
        <v>-1244961.7648369819</v>
      </c>
      <c r="F114" s="36">
        <v>3689153.5332358927</v>
      </c>
      <c r="G114" s="36">
        <v>9261037.6029521525</v>
      </c>
      <c r="H114" s="36">
        <v>2141329.4296311736</v>
      </c>
      <c r="I114" s="36">
        <v>-3386304.7648794055</v>
      </c>
    </row>
    <row r="115" spans="2:9">
      <c r="B115" s="36">
        <v>108</v>
      </c>
      <c r="C115" s="36">
        <v>11889686.557413101</v>
      </c>
      <c r="D115" s="36">
        <v>10441469.820153788</v>
      </c>
      <c r="E115" s="36">
        <v>-3495346.8807628751</v>
      </c>
      <c r="F115" s="36">
        <v>4878277.3850191832</v>
      </c>
      <c r="G115" s="36">
        <v>6917045.4945090711</v>
      </c>
      <c r="H115" s="36">
        <v>-5772440.0382596999</v>
      </c>
      <c r="I115" s="36">
        <v>-5896913.7512392998</v>
      </c>
    </row>
    <row r="116" spans="2:9">
      <c r="B116" s="36">
        <v>109</v>
      </c>
      <c r="C116" s="36">
        <v>3560855.4195974469</v>
      </c>
      <c r="D116" s="36">
        <v>-1254529.5159846097</v>
      </c>
      <c r="E116" s="36">
        <v>8292041.1772902608</v>
      </c>
      <c r="F116" s="36">
        <v>452252.15214890242</v>
      </c>
      <c r="G116" s="36">
        <v>8750420.5375870019</v>
      </c>
      <c r="H116" s="36">
        <v>6814006.3725508749</v>
      </c>
      <c r="I116" s="36">
        <v>882786.67477986217</v>
      </c>
    </row>
    <row r="117" spans="2:9">
      <c r="B117" s="36">
        <v>110</v>
      </c>
      <c r="C117" s="36">
        <v>21812934.749792695</v>
      </c>
      <c r="D117" s="36">
        <v>12021710.736722246</v>
      </c>
      <c r="E117" s="36">
        <v>14218633.713609904</v>
      </c>
      <c r="F117" s="36">
        <v>6939927.0625822842</v>
      </c>
      <c r="G117" s="36">
        <v>14469446.141635239</v>
      </c>
      <c r="H117" s="36">
        <v>2985633.6564804912</v>
      </c>
      <c r="I117" s="36">
        <v>-1032501.694262743</v>
      </c>
    </row>
    <row r="118" spans="2:9">
      <c r="B118" s="36">
        <v>111</v>
      </c>
      <c r="C118" s="36">
        <v>11237384.758865327</v>
      </c>
      <c r="D118" s="36">
        <v>10989557.525670409</v>
      </c>
      <c r="E118" s="36">
        <v>9825200.2410520017</v>
      </c>
      <c r="F118" s="36">
        <v>4854849.9542595744</v>
      </c>
      <c r="G118" s="36">
        <v>2984702.620890215</v>
      </c>
      <c r="H118" s="36">
        <v>-7739777.7448409498</v>
      </c>
      <c r="I118" s="36">
        <v>-1154630.7864219844</v>
      </c>
    </row>
    <row r="119" spans="2:9">
      <c r="B119" s="36">
        <v>112</v>
      </c>
      <c r="C119" s="36">
        <v>19081822.36660257</v>
      </c>
      <c r="D119" s="36">
        <v>10882492.598943919</v>
      </c>
      <c r="E119" s="36">
        <v>4606091.7007618695</v>
      </c>
      <c r="F119" s="36">
        <v>8870650.4862572402</v>
      </c>
      <c r="G119" s="36">
        <v>-157316.35888600349</v>
      </c>
      <c r="H119" s="36">
        <v>7685231.2570996881</v>
      </c>
      <c r="I119" s="36">
        <v>575481.93574783206</v>
      </c>
    </row>
    <row r="120" spans="2:9">
      <c r="B120" s="36">
        <v>113</v>
      </c>
      <c r="C120" s="36">
        <v>13089237.856511906</v>
      </c>
      <c r="D120" s="36">
        <v>3559461.0300004929</v>
      </c>
      <c r="E120" s="36">
        <v>15271865.970053345</v>
      </c>
      <c r="F120" s="36">
        <v>-2117107.5490102321</v>
      </c>
      <c r="G120" s="36">
        <v>-12834439.183841482</v>
      </c>
      <c r="H120" s="36">
        <v>-2113412.9518344402</v>
      </c>
      <c r="I120" s="36">
        <v>3892549.7792980373</v>
      </c>
    </row>
    <row r="121" spans="2:9">
      <c r="B121" s="36">
        <v>114</v>
      </c>
      <c r="C121" s="36">
        <v>8803016.8539314419</v>
      </c>
      <c r="D121" s="36">
        <v>8681997.1336495876</v>
      </c>
      <c r="E121" s="36">
        <v>5014973.0567463338</v>
      </c>
      <c r="F121" s="36">
        <v>3468236.2335452437</v>
      </c>
      <c r="G121" s="36">
        <v>6430782.8318359852</v>
      </c>
      <c r="H121" s="36">
        <v>-3355483.797927916</v>
      </c>
      <c r="I121" s="36">
        <v>-15331416.619050026</v>
      </c>
    </row>
    <row r="122" spans="2:9">
      <c r="B122" s="36">
        <v>115</v>
      </c>
      <c r="C122" s="36">
        <v>12438820.24932453</v>
      </c>
      <c r="D122" s="36">
        <v>6762711.4758242667</v>
      </c>
      <c r="E122" s="36">
        <v>889431.40087452531</v>
      </c>
      <c r="F122" s="36">
        <v>-3182037.5090302378</v>
      </c>
      <c r="G122" s="36">
        <v>7398794.3068318367</v>
      </c>
      <c r="H122" s="36">
        <v>407376.97334039211</v>
      </c>
      <c r="I122" s="36">
        <v>2930149.6468301713</v>
      </c>
    </row>
    <row r="123" spans="2:9">
      <c r="B123" s="36">
        <v>116</v>
      </c>
      <c r="C123" s="36">
        <v>7195542.4039595872</v>
      </c>
      <c r="D123" s="36">
        <v>12989383.194451302</v>
      </c>
      <c r="E123" s="36">
        <v>9313865.6580533385</v>
      </c>
      <c r="F123" s="36">
        <v>1928357.8172076046</v>
      </c>
      <c r="G123" s="36">
        <v>498032.2539678812</v>
      </c>
      <c r="H123" s="36">
        <v>-4711220.9586144537</v>
      </c>
      <c r="I123" s="36">
        <v>2329384.9946244955</v>
      </c>
    </row>
    <row r="124" spans="2:9">
      <c r="B124" s="36">
        <v>117</v>
      </c>
      <c r="C124" s="36">
        <v>18027152.79625003</v>
      </c>
      <c r="D124" s="36">
        <v>2221747.0895429105</v>
      </c>
      <c r="E124" s="36">
        <v>5202476.1777307838</v>
      </c>
      <c r="F124" s="36">
        <v>9404170.8913380653</v>
      </c>
      <c r="G124" s="36">
        <v>8247255.8717695624</v>
      </c>
      <c r="H124" s="36">
        <v>13657223.198478431</v>
      </c>
      <c r="I124" s="36">
        <v>-4114233.2012635767</v>
      </c>
    </row>
    <row r="125" spans="2:9">
      <c r="B125" s="36">
        <v>118</v>
      </c>
      <c r="C125" s="36">
        <v>9009452.8943835646</v>
      </c>
      <c r="D125" s="36">
        <v>8785059.7562123388</v>
      </c>
      <c r="E125" s="36">
        <v>558233.73510792851</v>
      </c>
      <c r="F125" s="36">
        <v>4268284.5605263114</v>
      </c>
      <c r="G125" s="36">
        <v>-1160591.8975579441</v>
      </c>
      <c r="H125" s="36">
        <v>-7717520.2419513762</v>
      </c>
      <c r="I125" s="36">
        <v>2521918.9056401998</v>
      </c>
    </row>
    <row r="126" spans="2:9">
      <c r="B126" s="36">
        <v>119</v>
      </c>
      <c r="C126" s="36">
        <v>2506445.4855054021</v>
      </c>
      <c r="D126" s="36">
        <v>13478960.480438039</v>
      </c>
      <c r="E126" s="36">
        <v>2898996.7981563807</v>
      </c>
      <c r="F126" s="36">
        <v>3338346.1894439012</v>
      </c>
      <c r="G126" s="36">
        <v>798665.66231478751</v>
      </c>
      <c r="H126" s="36">
        <v>-5819451.2045518309</v>
      </c>
      <c r="I126" s="36">
        <v>2243881.8010421991</v>
      </c>
    </row>
    <row r="127" spans="2:9">
      <c r="B127" s="36">
        <v>120</v>
      </c>
      <c r="C127" s="36">
        <v>10067451.933987811</v>
      </c>
      <c r="D127" s="36">
        <v>871509.07010425627</v>
      </c>
      <c r="E127" s="36">
        <v>4534417.5310767591</v>
      </c>
      <c r="F127" s="36">
        <v>6797725.9766211212</v>
      </c>
      <c r="G127" s="36">
        <v>12252401.271730915</v>
      </c>
      <c r="H127" s="36">
        <v>8262381.3166346252</v>
      </c>
      <c r="I127" s="36">
        <v>563332.1607580781</v>
      </c>
    </row>
    <row r="128" spans="2:9">
      <c r="B128" s="36">
        <v>121</v>
      </c>
      <c r="C128" s="36">
        <v>15944535.209306449</v>
      </c>
      <c r="D128" s="36">
        <v>4692892.7964926362</v>
      </c>
      <c r="E128" s="36">
        <v>13178603.79382208</v>
      </c>
      <c r="F128" s="36">
        <v>-605054.67129302025</v>
      </c>
      <c r="G128" s="36">
        <v>3962384.5340904891</v>
      </c>
      <c r="H128" s="36">
        <v>-5567549.2461323142</v>
      </c>
      <c r="I128" s="36">
        <v>-5098006.4556785226</v>
      </c>
    </row>
    <row r="129" spans="2:9">
      <c r="B129" s="36">
        <v>122</v>
      </c>
      <c r="C129" s="36">
        <v>11754381.93972604</v>
      </c>
      <c r="D129" s="36">
        <v>17559590.946244121</v>
      </c>
      <c r="E129" s="36">
        <v>-7937340.7479553223</v>
      </c>
      <c r="F129" s="36">
        <v>-2494911.8684882522</v>
      </c>
      <c r="G129" s="36">
        <v>3838561.6803493798</v>
      </c>
      <c r="H129" s="36">
        <v>-1050511.5851784647</v>
      </c>
      <c r="I129" s="36">
        <v>-5543864.2168064117</v>
      </c>
    </row>
    <row r="130" spans="2:9">
      <c r="B130" s="36">
        <v>123</v>
      </c>
      <c r="C130" s="36">
        <v>8539162.6082823128</v>
      </c>
      <c r="D130" s="36">
        <v>12460802.223510355</v>
      </c>
      <c r="E130" s="36">
        <v>4397005.5199223757</v>
      </c>
      <c r="F130" s="36">
        <v>-5694392.9310935587</v>
      </c>
      <c r="G130" s="36">
        <v>-7266420.3401203156</v>
      </c>
      <c r="H130" s="36">
        <v>-3919872.4947297275</v>
      </c>
      <c r="I130" s="36">
        <v>310279.00750304759</v>
      </c>
    </row>
    <row r="131" spans="2:9">
      <c r="B131" s="36">
        <v>124</v>
      </c>
      <c r="C131" s="36">
        <v>12918641.137440622</v>
      </c>
      <c r="D131" s="36">
        <v>-1017931.2579150945</v>
      </c>
      <c r="E131" s="36">
        <v>-330960.24252845347</v>
      </c>
      <c r="F131" s="36">
        <v>6117693.637290746</v>
      </c>
      <c r="G131" s="36">
        <v>12469890.253940031</v>
      </c>
      <c r="H131" s="36">
        <v>3033276.7681166828</v>
      </c>
      <c r="I131" s="36">
        <v>-2297407.9697074741</v>
      </c>
    </row>
    <row r="132" spans="2:9">
      <c r="B132" s="36">
        <v>125</v>
      </c>
      <c r="C132" s="36">
        <v>-1594057.5187120736</v>
      </c>
      <c r="D132" s="36">
        <v>14243263.880281791</v>
      </c>
      <c r="E132" s="36">
        <v>-368038.66631941497</v>
      </c>
      <c r="F132" s="36">
        <v>6012924.8635857999</v>
      </c>
      <c r="G132" s="36">
        <v>9347139.895596087</v>
      </c>
      <c r="H132" s="36">
        <v>5337638.0798804462</v>
      </c>
      <c r="I132" s="36">
        <v>53964.46021464467</v>
      </c>
    </row>
    <row r="133" spans="2:9">
      <c r="B133" s="36">
        <v>126</v>
      </c>
      <c r="C133" s="36">
        <v>8669186.7703344971</v>
      </c>
      <c r="D133" s="36">
        <v>16425662.703332126</v>
      </c>
      <c r="E133" s="36">
        <v>537978.91800320148</v>
      </c>
      <c r="F133" s="36">
        <v>5799592.0340091884</v>
      </c>
      <c r="G133" s="36">
        <v>-11673985.46225208</v>
      </c>
      <c r="H133" s="36">
        <v>5749057.3021591604</v>
      </c>
      <c r="I133" s="36">
        <v>7055902.7348809391</v>
      </c>
    </row>
    <row r="134" spans="2:9">
      <c r="B134" s="36">
        <v>127</v>
      </c>
      <c r="C134" s="36">
        <v>3387952.0369087458</v>
      </c>
      <c r="D134" s="36">
        <v>10363781.704484373</v>
      </c>
      <c r="E134" s="36">
        <v>8398174.7961279154</v>
      </c>
      <c r="F134" s="36">
        <v>2485736.6308196187</v>
      </c>
      <c r="G134" s="36">
        <v>-2385225.5036111325</v>
      </c>
      <c r="H134" s="36">
        <v>-8041207.9512421638</v>
      </c>
      <c r="I134" s="36">
        <v>-11864853.844847694</v>
      </c>
    </row>
    <row r="135" spans="2:9">
      <c r="B135" s="36">
        <v>128</v>
      </c>
      <c r="C135" s="36">
        <v>7374393.4338690788</v>
      </c>
      <c r="D135" s="36">
        <v>18169846.436350018</v>
      </c>
      <c r="E135" s="36">
        <v>10567723.880931675</v>
      </c>
      <c r="F135" s="36">
        <v>4183169.9156447798</v>
      </c>
      <c r="G135" s="36">
        <v>4379902.387718454</v>
      </c>
      <c r="H135" s="36">
        <v>1028935.4155072868</v>
      </c>
      <c r="I135" s="36">
        <v>-7932561.7902851403</v>
      </c>
    </row>
    <row r="136" spans="2:9">
      <c r="B136" s="36">
        <v>129</v>
      </c>
      <c r="C136" s="36">
        <v>10075836.636349365</v>
      </c>
      <c r="D136" s="36">
        <v>-5655740.6775550395</v>
      </c>
      <c r="E136" s="36">
        <v>9565437.0487198681</v>
      </c>
      <c r="F136" s="36">
        <v>2303974.9952186644</v>
      </c>
      <c r="G136" s="36">
        <v>-633163.50139051676</v>
      </c>
      <c r="H136" s="36">
        <v>1907043.3079215288</v>
      </c>
      <c r="I136" s="36">
        <v>-13102816.802060679</v>
      </c>
    </row>
    <row r="137" spans="2:9">
      <c r="B137" s="36">
        <v>130</v>
      </c>
      <c r="C137" s="36">
        <v>10851260.340553343</v>
      </c>
      <c r="D137" s="36">
        <v>5211459.8081402034</v>
      </c>
      <c r="E137" s="36">
        <v>6497222.5073033273</v>
      </c>
      <c r="F137" s="36">
        <v>2840829.8007553071</v>
      </c>
      <c r="G137" s="36">
        <v>2096574.0555694997</v>
      </c>
      <c r="H137" s="36">
        <v>-5205909.5131060779</v>
      </c>
      <c r="I137" s="36">
        <v>3267967.2435113043</v>
      </c>
    </row>
    <row r="138" spans="2:9">
      <c r="B138" s="36">
        <v>131</v>
      </c>
      <c r="C138" s="36">
        <v>12724726.032807827</v>
      </c>
      <c r="D138" s="36">
        <v>5240998.746722132</v>
      </c>
      <c r="E138" s="36">
        <v>12255099.631822333</v>
      </c>
      <c r="F138" s="36">
        <v>7255967.9929600358</v>
      </c>
      <c r="G138" s="36">
        <v>1398008.3972428441</v>
      </c>
      <c r="H138" s="36">
        <v>-14756764.878379107</v>
      </c>
      <c r="I138" s="36">
        <v>2324641.1858099997</v>
      </c>
    </row>
    <row r="139" spans="2:9">
      <c r="B139" s="36">
        <v>132</v>
      </c>
      <c r="C139" s="36">
        <v>11586579.619964242</v>
      </c>
      <c r="D139" s="36">
        <v>4176989.9123276621</v>
      </c>
      <c r="E139" s="36">
        <v>10852265.471970171</v>
      </c>
      <c r="F139" s="36">
        <v>6632913.4818347394</v>
      </c>
      <c r="G139" s="36">
        <v>313249.75984242558</v>
      </c>
      <c r="H139" s="36">
        <v>-2920232.8165582716</v>
      </c>
      <c r="I139" s="36">
        <v>5453576.8996890783</v>
      </c>
    </row>
    <row r="140" spans="2:9">
      <c r="B140" s="36">
        <v>133</v>
      </c>
      <c r="C140" s="36">
        <v>10177194.870742783</v>
      </c>
      <c r="D140" s="36">
        <v>15591501.925693661</v>
      </c>
      <c r="E140" s="36">
        <v>5678437.4716613591</v>
      </c>
      <c r="F140" s="36">
        <v>8217280.612061277</v>
      </c>
      <c r="G140" s="36">
        <v>1865257.7277768701</v>
      </c>
      <c r="H140" s="36">
        <v>-975192.99275770783</v>
      </c>
      <c r="I140" s="36">
        <v>-2351054.8310405165</v>
      </c>
    </row>
    <row r="141" spans="2:9">
      <c r="B141" s="36">
        <v>134</v>
      </c>
      <c r="C141" s="36">
        <v>16603119.876444027</v>
      </c>
      <c r="D141" s="36">
        <v>5562216.6017003506</v>
      </c>
      <c r="E141" s="36">
        <v>1456363.8610793948</v>
      </c>
      <c r="F141" s="36">
        <v>6241551.9291464239</v>
      </c>
      <c r="G141" s="36">
        <v>-7742704.0957027972</v>
      </c>
      <c r="H141" s="36">
        <v>-3650498.4299001396</v>
      </c>
      <c r="I141" s="36">
        <v>251140.67917571962</v>
      </c>
    </row>
    <row r="142" spans="2:9">
      <c r="B142" s="36">
        <v>135</v>
      </c>
      <c r="C142" s="36">
        <v>18458394.326235488</v>
      </c>
      <c r="D142" s="36">
        <v>-7792266.8774121404</v>
      </c>
      <c r="E142" s="36">
        <v>15027970.63295649</v>
      </c>
      <c r="F142" s="36">
        <v>6956647.6932827979</v>
      </c>
      <c r="G142" s="36">
        <v>9650346.9650148749</v>
      </c>
      <c r="H142" s="36">
        <v>-14055080.859629482</v>
      </c>
      <c r="I142" s="36">
        <v>-918107.44366650283</v>
      </c>
    </row>
    <row r="143" spans="2:9">
      <c r="B143" s="36">
        <v>136</v>
      </c>
      <c r="C143" s="36">
        <v>8685640.4736316502</v>
      </c>
      <c r="D143" s="36">
        <v>12500982.403673008</v>
      </c>
      <c r="E143" s="36">
        <v>10787126.682017416</v>
      </c>
      <c r="F143" s="36">
        <v>-967848.94037370384</v>
      </c>
      <c r="G143" s="36">
        <v>4329571.5667995811</v>
      </c>
      <c r="H143" s="36">
        <v>-417216.18183080852</v>
      </c>
      <c r="I143" s="36">
        <v>-1329878.8648396879</v>
      </c>
    </row>
    <row r="144" spans="2:9">
      <c r="B144" s="36">
        <v>137</v>
      </c>
      <c r="C144" s="36">
        <v>8134068.5446431935</v>
      </c>
      <c r="D144" s="36">
        <v>5257438.0080129504</v>
      </c>
      <c r="E144" s="36">
        <v>16105921.571263433</v>
      </c>
      <c r="F144" s="36">
        <v>9688735.4492680877</v>
      </c>
      <c r="G144" s="36">
        <v>-2266096.4329845011</v>
      </c>
      <c r="H144" s="36">
        <v>-14825185.591985106</v>
      </c>
      <c r="I144" s="36">
        <v>-5186790.3813053817</v>
      </c>
    </row>
    <row r="145" spans="2:9">
      <c r="B145" s="36">
        <v>138</v>
      </c>
      <c r="C145" s="36">
        <v>11145855.409266263</v>
      </c>
      <c r="D145" s="36">
        <v>5567907.7544962466</v>
      </c>
      <c r="E145" s="36">
        <v>894662.85077360272</v>
      </c>
      <c r="F145" s="36">
        <v>6316377.5469865203</v>
      </c>
      <c r="G145" s="36">
        <v>8059505.2078744024</v>
      </c>
      <c r="H145" s="36">
        <v>5620193.2458007634</v>
      </c>
      <c r="I145" s="36">
        <v>-2902232.7998624593</v>
      </c>
    </row>
    <row r="146" spans="2:9">
      <c r="B146" s="36">
        <v>139</v>
      </c>
      <c r="C146" s="36">
        <v>13487823.421844468</v>
      </c>
      <c r="D146" s="36">
        <v>15942623.484152108</v>
      </c>
      <c r="E146" s="36">
        <v>6179594.559148401</v>
      </c>
      <c r="F146" s="36">
        <v>-3999846.2808305323</v>
      </c>
      <c r="G146" s="36">
        <v>2513523.2980972826</v>
      </c>
      <c r="H146" s="36">
        <v>-1228182.4492490739</v>
      </c>
      <c r="I146" s="36">
        <v>3556125.4439324439</v>
      </c>
    </row>
    <row r="147" spans="2:9">
      <c r="B147" s="36">
        <v>140</v>
      </c>
      <c r="C147" s="36">
        <v>7347259.3457889855</v>
      </c>
      <c r="D147" s="36">
        <v>6560757.7994188815</v>
      </c>
      <c r="E147" s="36">
        <v>-1466076.7752633691</v>
      </c>
      <c r="F147" s="36">
        <v>8724043.5389464349</v>
      </c>
      <c r="G147" s="36">
        <v>5559848.5664832592</v>
      </c>
      <c r="H147" s="36">
        <v>-7966374.9272659272</v>
      </c>
      <c r="I147" s="36">
        <v>-1924552.9128843546</v>
      </c>
    </row>
    <row r="148" spans="2:9">
      <c r="B148" s="36">
        <v>141</v>
      </c>
      <c r="C148" s="36">
        <v>12195414.172449052</v>
      </c>
      <c r="D148" s="36">
        <v>867556.74173338711</v>
      </c>
      <c r="E148" s="36">
        <v>-1343008.8368161172</v>
      </c>
      <c r="F148" s="36">
        <v>12564584.416990101</v>
      </c>
      <c r="G148" s="36">
        <v>7248331.6381818652</v>
      </c>
      <c r="H148" s="36">
        <v>-1652638.2467180938</v>
      </c>
      <c r="I148" s="36">
        <v>4242395.5373355597</v>
      </c>
    </row>
    <row r="149" spans="2:9">
      <c r="B149" s="36">
        <v>142</v>
      </c>
      <c r="C149" s="36">
        <v>2081274.7478238046</v>
      </c>
      <c r="D149" s="36">
        <v>4286744.9933207631</v>
      </c>
      <c r="E149" s="36">
        <v>7722437.3073866218</v>
      </c>
      <c r="F149" s="36">
        <v>-3130403.3856076747</v>
      </c>
      <c r="G149" s="36">
        <v>8992353.5743413419</v>
      </c>
      <c r="H149" s="36">
        <v>-1744236.8254924715</v>
      </c>
      <c r="I149" s="36">
        <v>1605110.5238535255</v>
      </c>
    </row>
    <row r="150" spans="2:9">
      <c r="B150" s="36">
        <v>143</v>
      </c>
      <c r="C150" s="36">
        <v>16255176.70630613</v>
      </c>
      <c r="D150" s="36">
        <v>8530752.179939419</v>
      </c>
      <c r="E150" s="36">
        <v>9099232.5230544806</v>
      </c>
      <c r="F150" s="36">
        <v>2243178.6506798267</v>
      </c>
      <c r="G150" s="36">
        <v>6570701.7164859772</v>
      </c>
      <c r="H150" s="36">
        <v>-3693673.375021562</v>
      </c>
      <c r="I150" s="36">
        <v>-322393.55373199284</v>
      </c>
    </row>
    <row r="151" spans="2:9">
      <c r="B151" s="36">
        <v>144</v>
      </c>
      <c r="C151" s="36">
        <v>12865367.013893411</v>
      </c>
      <c r="D151" s="36">
        <v>17447236.27527304</v>
      </c>
      <c r="E151" s="36">
        <v>9658269.4966356456</v>
      </c>
      <c r="F151" s="36">
        <v>4684331.7628077567</v>
      </c>
      <c r="G151" s="36">
        <v>10485786.999966681</v>
      </c>
      <c r="H151" s="36">
        <v>-19053802.575202778</v>
      </c>
      <c r="I151" s="36">
        <v>105205.85731388628</v>
      </c>
    </row>
    <row r="152" spans="2:9">
      <c r="B152" s="36">
        <v>145</v>
      </c>
      <c r="C152" s="36">
        <v>6759487.5535392314</v>
      </c>
      <c r="D152" s="36">
        <v>17361314.54257597</v>
      </c>
      <c r="E152" s="36">
        <v>-1349767.6911340207</v>
      </c>
      <c r="F152" s="36">
        <v>5914942.932338655</v>
      </c>
      <c r="G152" s="36">
        <v>-7181580.1349897832</v>
      </c>
      <c r="H152" s="36">
        <v>-1036498.8309276402</v>
      </c>
      <c r="I152" s="36">
        <v>-3765985.5650208294</v>
      </c>
    </row>
    <row r="153" spans="2:9">
      <c r="B153" s="36">
        <v>146</v>
      </c>
      <c r="C153" s="36">
        <v>20190077.577782735</v>
      </c>
      <c r="D153" s="36">
        <v>12413385.361510634</v>
      </c>
      <c r="E153" s="36">
        <v>12947228.41346024</v>
      </c>
      <c r="F153" s="36">
        <v>-3173828.6642158926</v>
      </c>
      <c r="G153" s="36">
        <v>1367068.6721524</v>
      </c>
      <c r="H153" s="36">
        <v>2087448.6928096712</v>
      </c>
      <c r="I153" s="36">
        <v>7931174.536661908</v>
      </c>
    </row>
    <row r="154" spans="2:9">
      <c r="B154" s="36">
        <v>147</v>
      </c>
      <c r="C154" s="36">
        <v>6176839.0283307284</v>
      </c>
      <c r="D154" s="36">
        <v>-415489.11797726154</v>
      </c>
      <c r="E154" s="36">
        <v>13466986.746403545</v>
      </c>
      <c r="F154" s="36">
        <v>-4658306.8217789084</v>
      </c>
      <c r="G154" s="36">
        <v>10703770.090407729</v>
      </c>
      <c r="H154" s="36">
        <v>-5633604.6230451167</v>
      </c>
      <c r="I154" s="36">
        <v>-6541685.4730899334</v>
      </c>
    </row>
    <row r="155" spans="2:9">
      <c r="B155" s="36">
        <v>148</v>
      </c>
      <c r="C155" s="36">
        <v>15671438.926626086</v>
      </c>
      <c r="D155" s="36">
        <v>22185048.329636499</v>
      </c>
      <c r="E155" s="36">
        <v>7358886.5892421305</v>
      </c>
      <c r="F155" s="36">
        <v>2092856.1966165751</v>
      </c>
      <c r="G155" s="36">
        <v>-1944038.3127685338</v>
      </c>
      <c r="H155" s="36">
        <v>1281507.3669986129</v>
      </c>
      <c r="I155" s="36">
        <v>-745059.1918245703</v>
      </c>
    </row>
    <row r="156" spans="2:9">
      <c r="B156" s="36">
        <v>149</v>
      </c>
      <c r="C156" s="36">
        <v>8054164.5284292698</v>
      </c>
      <c r="D156" s="36">
        <v>13440417.730391487</v>
      </c>
      <c r="E156" s="36">
        <v>1075692.314770177</v>
      </c>
      <c r="F156" s="36">
        <v>11267013.688829988</v>
      </c>
      <c r="G156" s="36">
        <v>4165043.9099211395</v>
      </c>
      <c r="H156" s="36">
        <v>4810555.9664576352</v>
      </c>
      <c r="I156" s="36">
        <v>-7521497.6111114323</v>
      </c>
    </row>
    <row r="157" spans="2:9">
      <c r="B157" s="36">
        <v>150</v>
      </c>
      <c r="C157" s="36">
        <v>19926102.118119776</v>
      </c>
      <c r="D157" s="36">
        <v>-1046628.1704490185</v>
      </c>
      <c r="E157" s="36">
        <v>12972586.237785608</v>
      </c>
      <c r="F157" s="36">
        <v>7835068.1805753708</v>
      </c>
      <c r="G157" s="36">
        <v>-2365432.6205037534</v>
      </c>
      <c r="H157" s="36">
        <v>3998887.6554548442</v>
      </c>
      <c r="I157" s="36">
        <v>-2154616.4756803811</v>
      </c>
    </row>
    <row r="158" spans="2:9">
      <c r="B158" s="36">
        <v>151</v>
      </c>
      <c r="C158" s="36">
        <v>15528419.823440313</v>
      </c>
      <c r="D158" s="36">
        <v>13109046.502140343</v>
      </c>
      <c r="E158" s="36">
        <v>3863747.4134577513</v>
      </c>
      <c r="F158" s="36">
        <v>1361344.0764058381</v>
      </c>
      <c r="G158" s="36">
        <v>5508091.3482697606</v>
      </c>
      <c r="H158" s="36">
        <v>3351520.4799241424</v>
      </c>
      <c r="I158" s="36">
        <v>-6157748.3807854652</v>
      </c>
    </row>
    <row r="159" spans="2:9">
      <c r="B159" s="36">
        <v>152</v>
      </c>
      <c r="C159" s="36">
        <v>14893192.35566695</v>
      </c>
      <c r="D159" s="36">
        <v>6119504.4651299119</v>
      </c>
      <c r="E159" s="36">
        <v>8510135.4681337476</v>
      </c>
      <c r="F159" s="36">
        <v>-3935993.243187055</v>
      </c>
      <c r="G159" s="36">
        <v>-2516280.5667973012</v>
      </c>
      <c r="H159" s="36">
        <v>-3481233.1590740532</v>
      </c>
      <c r="I159" s="36">
        <v>-9607596.5320528001</v>
      </c>
    </row>
    <row r="160" spans="2:9">
      <c r="B160" s="36">
        <v>153</v>
      </c>
      <c r="C160" s="36">
        <v>9801500.506601274</v>
      </c>
      <c r="D160" s="36">
        <v>15254209.886625037</v>
      </c>
      <c r="E160" s="36">
        <v>10769013.657460064</v>
      </c>
      <c r="F160" s="36">
        <v>7262727.9054507166</v>
      </c>
      <c r="G160" s="36">
        <v>2251911.3894545436</v>
      </c>
      <c r="H160" s="36">
        <v>-1468983.9895368516</v>
      </c>
      <c r="I160" s="36">
        <v>-6927788.3085412979</v>
      </c>
    </row>
    <row r="161" spans="2:9">
      <c r="B161" s="36">
        <v>154</v>
      </c>
      <c r="C161" s="36">
        <v>9340492.9563720822</v>
      </c>
      <c r="D161" s="36">
        <v>6329548.9653640389</v>
      </c>
      <c r="E161" s="36">
        <v>-12121063.300083891</v>
      </c>
      <c r="F161" s="36">
        <v>2561677.1376473159</v>
      </c>
      <c r="G161" s="36">
        <v>11836776.720641553</v>
      </c>
      <c r="H161" s="36">
        <v>2024635.5921800137</v>
      </c>
      <c r="I161" s="36">
        <v>-7901668.430041641</v>
      </c>
    </row>
    <row r="162" spans="2:9">
      <c r="B162" s="36">
        <v>155</v>
      </c>
      <c r="C162" s="36">
        <v>12689069.477362037</v>
      </c>
      <c r="D162" s="36">
        <v>8705835.6330443472</v>
      </c>
      <c r="E162" s="36">
        <v>1798848.0224455893</v>
      </c>
      <c r="F162" s="36">
        <v>9698106.5621933043</v>
      </c>
      <c r="G162" s="36">
        <v>-4190525.8423633724</v>
      </c>
      <c r="H162" s="36">
        <v>-4805868.1386038959</v>
      </c>
      <c r="I162" s="36">
        <v>-2891832.5166571736</v>
      </c>
    </row>
    <row r="163" spans="2:9">
      <c r="B163" s="36">
        <v>156</v>
      </c>
      <c r="C163" s="36">
        <v>14502168.132098407</v>
      </c>
      <c r="D163" s="36">
        <v>8062244.4264224768</v>
      </c>
      <c r="E163" s="36">
        <v>16869150.303830564</v>
      </c>
      <c r="F163" s="36">
        <v>8557049.2517366707</v>
      </c>
      <c r="G163" s="36">
        <v>2407420.5323799551</v>
      </c>
      <c r="H163" s="36">
        <v>7510893.5157453716</v>
      </c>
      <c r="I163" s="36">
        <v>4064246.8473706096</v>
      </c>
    </row>
    <row r="164" spans="2:9">
      <c r="B164" s="36">
        <v>157</v>
      </c>
      <c r="C164" s="36">
        <v>9572410.595788464</v>
      </c>
      <c r="D164" s="36">
        <v>6698557.3368329108</v>
      </c>
      <c r="E164" s="36">
        <v>3237619.7383833975</v>
      </c>
      <c r="F164" s="36">
        <v>-938146.19186849892</v>
      </c>
      <c r="G164" s="36">
        <v>-931224.82233186066</v>
      </c>
      <c r="H164" s="36">
        <v>5076955.1638156176</v>
      </c>
      <c r="I164" s="36">
        <v>3002864.8611336648</v>
      </c>
    </row>
    <row r="165" spans="2:9">
      <c r="B165" s="36">
        <v>158</v>
      </c>
      <c r="C165" s="36">
        <v>4687060.1124548614</v>
      </c>
      <c r="D165" s="36">
        <v>14802530.823323697</v>
      </c>
      <c r="E165" s="36">
        <v>744367.30709046125</v>
      </c>
      <c r="F165" s="36">
        <v>7992199.7721025795</v>
      </c>
      <c r="G165" s="36">
        <v>9435730.5889382958</v>
      </c>
      <c r="H165" s="36">
        <v>-6480392.556493327</v>
      </c>
      <c r="I165" s="36">
        <v>-5105816.9812710136</v>
      </c>
    </row>
    <row r="166" spans="2:9">
      <c r="B166" s="36">
        <v>159</v>
      </c>
      <c r="C166" s="36">
        <v>1712671.9516897798</v>
      </c>
      <c r="D166" s="36">
        <v>22885249.741608545</v>
      </c>
      <c r="E166" s="36">
        <v>3950002.3522880375</v>
      </c>
      <c r="F166" s="36">
        <v>9726343.3777549118</v>
      </c>
      <c r="G166" s="36">
        <v>6905739.2777519226</v>
      </c>
      <c r="H166" s="36">
        <v>7511098.4660466462</v>
      </c>
      <c r="I166" s="36">
        <v>2013500.5777204633</v>
      </c>
    </row>
    <row r="167" spans="2:9">
      <c r="B167" s="36">
        <v>160</v>
      </c>
      <c r="C167" s="36">
        <v>7264090.3892714828</v>
      </c>
      <c r="D167" s="36">
        <v>3068349.6959739923</v>
      </c>
      <c r="E167" s="36">
        <v>16496815.467339396</v>
      </c>
      <c r="F167" s="36">
        <v>15049087.830752805</v>
      </c>
      <c r="G167" s="36">
        <v>4774758.2649934292</v>
      </c>
      <c r="H167" s="36">
        <v>-2316172.6457452476</v>
      </c>
      <c r="I167" s="36">
        <v>-3314587.1187993884</v>
      </c>
    </row>
    <row r="168" spans="2:9">
      <c r="B168" s="36">
        <v>161</v>
      </c>
      <c r="C168" s="36">
        <v>13840579.514153719</v>
      </c>
      <c r="D168" s="36">
        <v>12055690.739233866</v>
      </c>
      <c r="E168" s="36">
        <v>1865213.410146147</v>
      </c>
      <c r="F168" s="36">
        <v>4948128.0858989805</v>
      </c>
      <c r="G168" s="36">
        <v>-5643409.4054796398</v>
      </c>
      <c r="H168" s="36">
        <v>2802342.6660548747</v>
      </c>
      <c r="I168" s="36">
        <v>-5413462.295822829</v>
      </c>
    </row>
    <row r="169" spans="2:9">
      <c r="B169" s="36">
        <v>162</v>
      </c>
      <c r="C169" s="36">
        <v>3800107.3680375665</v>
      </c>
      <c r="D169" s="36">
        <v>6834757.6576185822</v>
      </c>
      <c r="E169" s="36">
        <v>3215619.6763741672</v>
      </c>
      <c r="F169" s="36">
        <v>13627348.292972416</v>
      </c>
      <c r="G169" s="36">
        <v>9441724.2297932804</v>
      </c>
      <c r="H169" s="36">
        <v>5763043.0693463087</v>
      </c>
      <c r="I169" s="36">
        <v>-10653370.205359071</v>
      </c>
    </row>
    <row r="170" spans="2:9">
      <c r="B170" s="36">
        <v>163</v>
      </c>
      <c r="C170" s="36">
        <v>13809488.919910461</v>
      </c>
      <c r="D170" s="36">
        <v>10010882.1831626</v>
      </c>
      <c r="E170" s="36">
        <v>8860886.2474233359</v>
      </c>
      <c r="F170" s="36">
        <v>14121644.974542275</v>
      </c>
      <c r="G170" s="36">
        <v>2676057.8593412638</v>
      </c>
      <c r="H170" s="36">
        <v>4156578.0212349445</v>
      </c>
      <c r="I170" s="36">
        <v>-9013370.8113109618</v>
      </c>
    </row>
    <row r="171" spans="2:9">
      <c r="B171" s="36">
        <v>164</v>
      </c>
      <c r="C171" s="36">
        <v>2562693.7138694078</v>
      </c>
      <c r="D171" s="36">
        <v>6260529.5206407011</v>
      </c>
      <c r="E171" s="36">
        <v>13437016.87620303</v>
      </c>
      <c r="F171" s="36">
        <v>-1402155.2186095566</v>
      </c>
      <c r="G171" s="36">
        <v>2220446.3330333084</v>
      </c>
      <c r="H171" s="36">
        <v>-2860174.071915105</v>
      </c>
      <c r="I171" s="36">
        <v>753171.3274461478</v>
      </c>
    </row>
    <row r="172" spans="2:9">
      <c r="B172" s="36">
        <v>165</v>
      </c>
      <c r="C172" s="36">
        <v>12323373.598787755</v>
      </c>
      <c r="D172" s="36">
        <v>6365009.0690657496</v>
      </c>
      <c r="E172" s="36">
        <v>10689734.741873533</v>
      </c>
      <c r="F172" s="36">
        <v>7521144.6507487446</v>
      </c>
      <c r="G172" s="36">
        <v>2826100.0639593899</v>
      </c>
      <c r="H172" s="36">
        <v>-141756.78273941576</v>
      </c>
      <c r="I172" s="36">
        <v>-6177974.357557103</v>
      </c>
    </row>
    <row r="173" spans="2:9">
      <c r="B173" s="36">
        <v>166</v>
      </c>
      <c r="C173" s="36">
        <v>6278670.0501749367</v>
      </c>
      <c r="D173" s="36">
        <v>-1188218.5739635527</v>
      </c>
      <c r="E173" s="36">
        <v>-1445133.0400567949</v>
      </c>
      <c r="F173" s="36">
        <v>513690.06852792203</v>
      </c>
      <c r="G173" s="36">
        <v>196751.02369357646</v>
      </c>
      <c r="H173" s="36">
        <v>-8057889.3824336529</v>
      </c>
      <c r="I173" s="36">
        <v>-4723344.5831663609</v>
      </c>
    </row>
    <row r="174" spans="2:9">
      <c r="B174" s="36">
        <v>167</v>
      </c>
      <c r="C174" s="36">
        <v>12348780.516704813</v>
      </c>
      <c r="D174" s="36">
        <v>12050838.820228174</v>
      </c>
      <c r="E174" s="36">
        <v>5837362.9797773659</v>
      </c>
      <c r="F174" s="36">
        <v>7853298.0972393602</v>
      </c>
      <c r="G174" s="36">
        <v>501960.41232766211</v>
      </c>
      <c r="H174" s="36">
        <v>-493119.39005714655</v>
      </c>
      <c r="I174" s="36">
        <v>-1853636.7774323672</v>
      </c>
    </row>
    <row r="175" spans="2:9">
      <c r="B175" s="36">
        <v>168</v>
      </c>
      <c r="C175" s="36">
        <v>14110795.407623321</v>
      </c>
      <c r="D175" s="36">
        <v>8975062.6956711262</v>
      </c>
      <c r="E175" s="36">
        <v>14708587.961335465</v>
      </c>
      <c r="F175" s="36">
        <v>12386739.861282155</v>
      </c>
      <c r="G175" s="36">
        <v>-3087427.3127596825</v>
      </c>
      <c r="H175" s="36">
        <v>-10513814.879861295</v>
      </c>
      <c r="I175" s="36">
        <v>-9533869.9772109091</v>
      </c>
    </row>
    <row r="176" spans="2:9">
      <c r="B176" s="36">
        <v>169</v>
      </c>
      <c r="C176" s="36">
        <v>15732193.997592047</v>
      </c>
      <c r="D176" s="36">
        <v>-865415.35126534104</v>
      </c>
      <c r="E176" s="36">
        <v>5633686.8872969598</v>
      </c>
      <c r="F176" s="36">
        <v>6436002.5648075193</v>
      </c>
      <c r="G176" s="36">
        <v>-238282.17335575819</v>
      </c>
      <c r="H176" s="36">
        <v>-7274840.1707335263</v>
      </c>
      <c r="I176" s="36">
        <v>-4072799.7665738165</v>
      </c>
    </row>
    <row r="177" spans="2:9">
      <c r="B177" s="36">
        <v>170</v>
      </c>
      <c r="C177" s="36">
        <v>11659388.412188441</v>
      </c>
      <c r="D177" s="36">
        <v>16011397.188577637</v>
      </c>
      <c r="E177" s="36">
        <v>562235.66964444518</v>
      </c>
      <c r="F177" s="36">
        <v>1742105.2780593932</v>
      </c>
      <c r="G177" s="36">
        <v>2431399.5266702771</v>
      </c>
      <c r="H177" s="36">
        <v>909976.86708813906</v>
      </c>
      <c r="I177" s="36">
        <v>1783933.7574425638</v>
      </c>
    </row>
    <row r="178" spans="2:9">
      <c r="B178" s="36">
        <v>171</v>
      </c>
      <c r="C178" s="36">
        <v>8885290.1890609562</v>
      </c>
      <c r="D178" s="36">
        <v>7686880.6602387428</v>
      </c>
      <c r="E178" s="36">
        <v>14696143.500767678</v>
      </c>
      <c r="F178" s="36">
        <v>-686875.11859543622</v>
      </c>
      <c r="G178" s="36">
        <v>-86085.194177672267</v>
      </c>
      <c r="H178" s="36">
        <v>-1549451.7893998325</v>
      </c>
      <c r="I178" s="36">
        <v>-626153.69131860137</v>
      </c>
    </row>
    <row r="179" spans="2:9">
      <c r="B179" s="36">
        <v>172</v>
      </c>
      <c r="C179" s="36">
        <v>17248049.254045099</v>
      </c>
      <c r="D179" s="36">
        <v>11800433.290992767</v>
      </c>
      <c r="E179" s="36">
        <v>12577587.956380785</v>
      </c>
      <c r="F179" s="36">
        <v>6766318.2738845348</v>
      </c>
      <c r="G179" s="36">
        <v>8465405.1118667871</v>
      </c>
      <c r="H179" s="36">
        <v>-6423753.221241653</v>
      </c>
      <c r="I179" s="36">
        <v>-4021116.7325949818</v>
      </c>
    </row>
    <row r="180" spans="2:9">
      <c r="B180" s="36">
        <v>173</v>
      </c>
      <c r="C180" s="36">
        <v>7256257.4910164177</v>
      </c>
      <c r="D180" s="36">
        <v>3074258.0549214333</v>
      </c>
      <c r="E180" s="36">
        <v>-442923.59945224226</v>
      </c>
      <c r="F180" s="36">
        <v>-5019782.8318064809</v>
      </c>
      <c r="G180" s="36">
        <v>-6519223.2151712924</v>
      </c>
      <c r="H180" s="36">
        <v>2994139.8955737948</v>
      </c>
      <c r="I180" s="36">
        <v>1419226.4878265262</v>
      </c>
    </row>
    <row r="181" spans="2:9">
      <c r="B181" s="36">
        <v>174</v>
      </c>
      <c r="C181" s="36">
        <v>7489654.5926660299</v>
      </c>
      <c r="D181" s="36">
        <v>13108871.734366119</v>
      </c>
      <c r="E181" s="36">
        <v>5902913.5219419748</v>
      </c>
      <c r="F181" s="36">
        <v>3581441.13894324</v>
      </c>
      <c r="G181" s="36">
        <v>-957419.33537107706</v>
      </c>
      <c r="H181" s="36">
        <v>2141456.6362039298</v>
      </c>
      <c r="I181" s="36">
        <v>-13375859.025309876</v>
      </c>
    </row>
    <row r="182" spans="2:9">
      <c r="B182" s="36">
        <v>175</v>
      </c>
      <c r="C182" s="36">
        <v>3298179.3078984618</v>
      </c>
      <c r="D182" s="36">
        <v>4053460.4556854218</v>
      </c>
      <c r="E182" s="36">
        <v>11927211.523912475</v>
      </c>
      <c r="F182" s="36">
        <v>9518460.2970703989</v>
      </c>
      <c r="G182" s="36">
        <v>6656337.1366428882</v>
      </c>
      <c r="H182" s="36">
        <v>-4517632.3324280977</v>
      </c>
      <c r="I182" s="36">
        <v>2032043.1868903339</v>
      </c>
    </row>
    <row r="183" spans="2:9">
      <c r="B183" s="36">
        <v>176</v>
      </c>
      <c r="C183" s="36">
        <v>8066828.7465939522</v>
      </c>
      <c r="D183" s="36">
        <v>1635258.2201326489</v>
      </c>
      <c r="E183" s="36">
        <v>13835622.17252484</v>
      </c>
      <c r="F183" s="36">
        <v>9519394.7312144786</v>
      </c>
      <c r="G183" s="36">
        <v>6143821.3941370398</v>
      </c>
      <c r="H183" s="36">
        <v>-4413511.8509337008</v>
      </c>
      <c r="I183" s="36">
        <v>-2128864.0369650722</v>
      </c>
    </row>
    <row r="184" spans="2:9">
      <c r="B184" s="36">
        <v>177</v>
      </c>
      <c r="C184" s="36">
        <v>8660497.3921827972</v>
      </c>
      <c r="D184" s="36">
        <v>14571878.900489062</v>
      </c>
      <c r="E184" s="36">
        <v>11828090.107109487</v>
      </c>
      <c r="F184" s="36">
        <v>184592.17619650066</v>
      </c>
      <c r="G184" s="36">
        <v>4804771.0727686286</v>
      </c>
      <c r="H184" s="36">
        <v>-295733.73010793328</v>
      </c>
      <c r="I184" s="36">
        <v>-4401282.4263572395</v>
      </c>
    </row>
    <row r="185" spans="2:9">
      <c r="B185" s="36">
        <v>178</v>
      </c>
      <c r="C185" s="36">
        <v>10743073.798643246</v>
      </c>
      <c r="D185" s="36">
        <v>10132366.599826813</v>
      </c>
      <c r="E185" s="36">
        <v>9254070.2560407221</v>
      </c>
      <c r="F185" s="36">
        <v>8901702.4633435011</v>
      </c>
      <c r="G185" s="36">
        <v>-1348681.2381186038</v>
      </c>
      <c r="H185" s="36">
        <v>3032037.8861428052</v>
      </c>
      <c r="I185" s="36">
        <v>-2686060.6287973821</v>
      </c>
    </row>
    <row r="186" spans="2:9">
      <c r="B186" s="36">
        <v>179</v>
      </c>
      <c r="C186" s="36">
        <v>14586802.555555299</v>
      </c>
      <c r="D186" s="36">
        <v>15157548.639698759</v>
      </c>
      <c r="E186" s="36">
        <v>3724777.3841520548</v>
      </c>
      <c r="F186" s="36">
        <v>-5050326.0778878331</v>
      </c>
      <c r="G186" s="36">
        <v>9904894.9486688823</v>
      </c>
      <c r="H186" s="36">
        <v>5133306.9156047553</v>
      </c>
      <c r="I186" s="36">
        <v>-2088728.4828992486</v>
      </c>
    </row>
    <row r="187" spans="2:9">
      <c r="B187" s="36">
        <v>180</v>
      </c>
      <c r="C187" s="36">
        <v>10927874.184617966</v>
      </c>
      <c r="D187" s="36">
        <v>1365855.6503478438</v>
      </c>
      <c r="E187" s="36">
        <v>4934419.1807600409</v>
      </c>
      <c r="F187" s="36">
        <v>12422525.849163115</v>
      </c>
      <c r="G187" s="36">
        <v>3569778.3860355914</v>
      </c>
      <c r="H187" s="36">
        <v>-11440552.122417316</v>
      </c>
      <c r="I187" s="36">
        <v>-6256995.4581646174</v>
      </c>
    </row>
    <row r="188" spans="2:9">
      <c r="B188" s="36">
        <v>181</v>
      </c>
      <c r="C188" s="36">
        <v>1634559.4130128771</v>
      </c>
      <c r="D188" s="36">
        <v>8645450.0963854194</v>
      </c>
      <c r="E188" s="36">
        <v>6992212.8238467425</v>
      </c>
      <c r="F188" s="36">
        <v>1094382.4213592857</v>
      </c>
      <c r="G188" s="36">
        <v>-3460566.6497870982</v>
      </c>
      <c r="H188" s="36">
        <v>845781.53912602365</v>
      </c>
      <c r="I188" s="36">
        <v>-4703561.5164539963</v>
      </c>
    </row>
    <row r="189" spans="2:9">
      <c r="B189" s="36">
        <v>182</v>
      </c>
      <c r="C189" s="36">
        <v>18436540.996597633</v>
      </c>
      <c r="D189" s="36">
        <v>9155834.2931145877</v>
      </c>
      <c r="E189" s="36">
        <v>3468544.2860701382</v>
      </c>
      <c r="F189" s="36">
        <v>9668486.7654700428</v>
      </c>
      <c r="G189" s="36">
        <v>5979385.0575156957</v>
      </c>
      <c r="H189" s="36">
        <v>-1448327.0303795189</v>
      </c>
      <c r="I189" s="36">
        <v>-2313611.5372886956</v>
      </c>
    </row>
    <row r="190" spans="2:9">
      <c r="B190" s="36">
        <v>183</v>
      </c>
      <c r="C190" s="36">
        <v>18914540.603452235</v>
      </c>
      <c r="D190" s="36">
        <v>8822386.4088677168</v>
      </c>
      <c r="E190" s="36">
        <v>5236338.0918277055</v>
      </c>
      <c r="F190" s="36">
        <v>7404363.246832937</v>
      </c>
      <c r="G190" s="36">
        <v>-13433517.977194414</v>
      </c>
      <c r="H190" s="36">
        <v>7003664.4681182057</v>
      </c>
      <c r="I190" s="36">
        <v>7043003.1187221259</v>
      </c>
    </row>
    <row r="191" spans="2:9">
      <c r="B191" s="36">
        <v>184</v>
      </c>
      <c r="C191" s="36">
        <v>14311985.554952323</v>
      </c>
      <c r="D191" s="36">
        <v>11979221.727241784</v>
      </c>
      <c r="E191" s="36">
        <v>6590446.945155412</v>
      </c>
      <c r="F191" s="36">
        <v>4619262.1247088313</v>
      </c>
      <c r="G191" s="36">
        <v>741230.24232551455</v>
      </c>
      <c r="H191" s="36">
        <v>6345682.1907041818</v>
      </c>
      <c r="I191" s="36">
        <v>-7181376.6621800959</v>
      </c>
    </row>
    <row r="192" spans="2:9">
      <c r="B192" s="36">
        <v>185</v>
      </c>
      <c r="C192" s="36">
        <v>15098289.195674136</v>
      </c>
      <c r="D192" s="36">
        <v>7424590.5051924586</v>
      </c>
      <c r="E192" s="36">
        <v>6735985.4832088798</v>
      </c>
      <c r="F192" s="36">
        <v>1031188.8680415452</v>
      </c>
      <c r="G192" s="36">
        <v>11699982.05383566</v>
      </c>
      <c r="H192" s="36">
        <v>-3465873.7560419887</v>
      </c>
      <c r="I192" s="36">
        <v>1039328.0024352223</v>
      </c>
    </row>
    <row r="193" spans="2:9">
      <c r="B193" s="36">
        <v>186</v>
      </c>
      <c r="C193" s="36">
        <v>-2312989.7299769521</v>
      </c>
      <c r="D193" s="36">
        <v>4710034.8908578306</v>
      </c>
      <c r="E193" s="36">
        <v>7714442.7678966075</v>
      </c>
      <c r="F193" s="36">
        <v>92197.857325866818</v>
      </c>
      <c r="G193" s="36">
        <v>-5634187.3204530478</v>
      </c>
      <c r="H193" s="36">
        <v>-6364684.1057778001</v>
      </c>
      <c r="I193" s="36">
        <v>522977.04658535123</v>
      </c>
    </row>
    <row r="194" spans="2:9">
      <c r="B194" s="36">
        <v>187</v>
      </c>
      <c r="C194" s="36">
        <v>17237926.476179391</v>
      </c>
      <c r="D194" s="36">
        <v>6871949.5787768513</v>
      </c>
      <c r="E194" s="36">
        <v>-2925800.2069801688</v>
      </c>
      <c r="F194" s="36">
        <v>2761575.5965248644</v>
      </c>
      <c r="G194" s="36">
        <v>-70946.439616084099</v>
      </c>
      <c r="H194" s="36">
        <v>6612067.8617309779</v>
      </c>
      <c r="I194" s="36">
        <v>-7644114.5494833142</v>
      </c>
    </row>
    <row r="195" spans="2:9">
      <c r="B195" s="36">
        <v>188</v>
      </c>
      <c r="C195" s="36">
        <v>14640616.030180573</v>
      </c>
      <c r="D195" s="36">
        <v>6393566.2073740065</v>
      </c>
      <c r="E195" s="36">
        <v>-265878.04552590847</v>
      </c>
      <c r="F195" s="36">
        <v>3393961.4747314304</v>
      </c>
      <c r="G195" s="36">
        <v>6240642.0830273777</v>
      </c>
      <c r="H195" s="36">
        <v>5942990.8304487765</v>
      </c>
      <c r="I195" s="36">
        <v>-2348807.9914926887</v>
      </c>
    </row>
    <row r="196" spans="2:9">
      <c r="B196" s="36">
        <v>189</v>
      </c>
      <c r="C196" s="36">
        <v>16096064.435518175</v>
      </c>
      <c r="D196" s="36">
        <v>3910650.3061068803</v>
      </c>
      <c r="E196" s="36">
        <v>-1365262.8831905872</v>
      </c>
      <c r="F196" s="36">
        <v>1854826.1550241262</v>
      </c>
      <c r="G196" s="36">
        <v>-4837910.761357218</v>
      </c>
      <c r="H196" s="36">
        <v>2824834.1279762387</v>
      </c>
      <c r="I196" s="36">
        <v>7195924.2433124483</v>
      </c>
    </row>
    <row r="197" spans="2:9">
      <c r="B197" s="36">
        <v>190</v>
      </c>
      <c r="C197" s="36">
        <v>7261053.4601199031</v>
      </c>
      <c r="D197" s="36">
        <v>3982527.1795441061</v>
      </c>
      <c r="E197" s="36">
        <v>12906178.361261576</v>
      </c>
      <c r="F197" s="36">
        <v>10832696.465923354</v>
      </c>
      <c r="G197" s="36">
        <v>7783954.17608504</v>
      </c>
      <c r="H197" s="36">
        <v>-3166490.99642694</v>
      </c>
      <c r="I197" s="36">
        <v>2116052.3627542704</v>
      </c>
    </row>
    <row r="198" spans="2:9">
      <c r="B198" s="36">
        <v>191</v>
      </c>
      <c r="C198" s="36">
        <v>9391249.9004025459</v>
      </c>
      <c r="D198" s="36">
        <v>10472029.691291705</v>
      </c>
      <c r="E198" s="36">
        <v>16974729.35152559</v>
      </c>
      <c r="F198" s="36">
        <v>4001368.8166501671</v>
      </c>
      <c r="G198" s="36">
        <v>6324646.5855613351</v>
      </c>
      <c r="H198" s="36">
        <v>-2064823.4824234843</v>
      </c>
      <c r="I198" s="36">
        <v>-2901451.3537794054</v>
      </c>
    </row>
    <row r="199" spans="2:9">
      <c r="B199" s="36">
        <v>192</v>
      </c>
      <c r="C199" s="36">
        <v>6591728.9515779465</v>
      </c>
      <c r="D199" s="36">
        <v>24201639.595600456</v>
      </c>
      <c r="E199" s="36">
        <v>-1013473.460102722</v>
      </c>
      <c r="F199" s="36">
        <v>7346922.7230549604</v>
      </c>
      <c r="G199" s="36">
        <v>-6631755.2954307348</v>
      </c>
      <c r="H199" s="36">
        <v>4535960.1289714575</v>
      </c>
      <c r="I199" s="36">
        <v>-10443389.179154724</v>
      </c>
    </row>
    <row r="200" spans="2:9">
      <c r="B200" s="36">
        <v>193</v>
      </c>
      <c r="C200" s="36">
        <v>11081199.230621934</v>
      </c>
      <c r="D200" s="36">
        <v>12967540.233758822</v>
      </c>
      <c r="E200" s="36">
        <v>-1958944.6247417331</v>
      </c>
      <c r="F200" s="36">
        <v>8051583.270968169</v>
      </c>
      <c r="G200" s="36">
        <v>4276846.9085644484</v>
      </c>
      <c r="H200" s="36">
        <v>4465745.4780048728</v>
      </c>
      <c r="I200" s="36">
        <v>-10762448.780918553</v>
      </c>
    </row>
    <row r="201" spans="2:9">
      <c r="B201" s="36">
        <v>194</v>
      </c>
      <c r="C201" s="36">
        <v>9760186.2894238532</v>
      </c>
      <c r="D201" s="36">
        <v>15878116.456378132</v>
      </c>
      <c r="E201" s="36">
        <v>2245712.4331105649</v>
      </c>
      <c r="F201" s="36">
        <v>6922317.4191315174</v>
      </c>
      <c r="G201" s="36">
        <v>-940023.25466603041</v>
      </c>
      <c r="H201" s="36">
        <v>-6057409.8767701238</v>
      </c>
      <c r="I201" s="36">
        <v>-2074510.9885103852</v>
      </c>
    </row>
    <row r="202" spans="2:9">
      <c r="B202" s="36">
        <v>195</v>
      </c>
      <c r="C202" s="36">
        <v>10385107.060296774</v>
      </c>
      <c r="D202" s="36">
        <v>8054947.666802451</v>
      </c>
      <c r="E202" s="36">
        <v>6022154.027433604</v>
      </c>
      <c r="F202" s="36">
        <v>4924823.4138931185</v>
      </c>
      <c r="G202" s="36">
        <v>1562140.2604069114</v>
      </c>
      <c r="H202" s="36">
        <v>-2713353.0469986647</v>
      </c>
      <c r="I202" s="36">
        <v>1788191.5685996711</v>
      </c>
    </row>
    <row r="203" spans="2:9">
      <c r="B203" s="36">
        <v>196</v>
      </c>
      <c r="C203" s="36">
        <v>10968015.157816485</v>
      </c>
      <c r="D203" s="36">
        <v>6115816.3477406502</v>
      </c>
      <c r="E203" s="36">
        <v>-1170349.4004889429</v>
      </c>
      <c r="F203" s="36">
        <v>4283617.9785919935</v>
      </c>
      <c r="G203" s="36">
        <v>-1777401.7350329608</v>
      </c>
      <c r="H203" s="36">
        <v>2073351.9053970575</v>
      </c>
      <c r="I203" s="36">
        <v>2280973.1488210261</v>
      </c>
    </row>
    <row r="204" spans="2:9">
      <c r="B204" s="36">
        <v>197</v>
      </c>
      <c r="C204" s="36">
        <v>10241419.955912471</v>
      </c>
      <c r="D204" s="36">
        <v>5499330.1540175974</v>
      </c>
      <c r="E204" s="36">
        <v>12709288.011684433</v>
      </c>
      <c r="F204" s="36">
        <v>5180741.918166101</v>
      </c>
      <c r="G204" s="36">
        <v>5320815.6206989288</v>
      </c>
      <c r="H204" s="36">
        <v>-7340560.2274303436</v>
      </c>
      <c r="I204" s="36">
        <v>-8268954.7630905658</v>
      </c>
    </row>
    <row r="205" spans="2:9">
      <c r="B205" s="36">
        <v>198</v>
      </c>
      <c r="C205" s="36">
        <v>8938696.5168078542</v>
      </c>
      <c r="D205" s="36">
        <v>18122837.602223366</v>
      </c>
      <c r="E205" s="36">
        <v>1132366.2765757143</v>
      </c>
      <c r="F205" s="36">
        <v>2339495.3163694143</v>
      </c>
      <c r="G205" s="36">
        <v>1717612.4996296912</v>
      </c>
      <c r="H205" s="36">
        <v>-6289854.6815848798</v>
      </c>
      <c r="I205" s="36">
        <v>2988246.379345268</v>
      </c>
    </row>
    <row r="206" spans="2:9">
      <c r="B206" s="36">
        <v>199</v>
      </c>
      <c r="C206" s="36">
        <v>19761847.686582237</v>
      </c>
      <c r="D206" s="36">
        <v>5996005.3580642939</v>
      </c>
      <c r="E206" s="36">
        <v>-1041463.7656684518</v>
      </c>
      <c r="F206" s="36">
        <v>199386.07716400921</v>
      </c>
      <c r="G206" s="36">
        <v>-2390900.2908161879</v>
      </c>
      <c r="H206" s="36">
        <v>6979406.183574453</v>
      </c>
      <c r="I206" s="36">
        <v>-9900674.3210324347</v>
      </c>
    </row>
    <row r="207" spans="2:9">
      <c r="B207" s="36">
        <v>200</v>
      </c>
      <c r="C207" s="36">
        <v>5518994.4275819957</v>
      </c>
      <c r="D207" s="36">
        <v>12400826.444345176</v>
      </c>
      <c r="E207" s="36">
        <v>8631153.9156850278</v>
      </c>
      <c r="F207" s="36">
        <v>7978826.3092738837</v>
      </c>
      <c r="G207" s="36">
        <v>5044833.8258327842</v>
      </c>
      <c r="H207" s="36">
        <v>-5824364.684620589</v>
      </c>
      <c r="I207" s="36">
        <v>4458555.2945888638</v>
      </c>
    </row>
  </sheetData>
  <mergeCells count="1">
    <mergeCell ref="C5:I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7A207-F043-D940-A5A3-B6F67A3D5533}">
  <sheetPr codeName="Arkusz32">
    <tabColor theme="0" tint="-0.499984740745262"/>
  </sheetPr>
  <dimension ref="A4:I208"/>
  <sheetViews>
    <sheetView workbookViewId="0">
      <selection activeCell="M38" sqref="M38"/>
    </sheetView>
  </sheetViews>
  <sheetFormatPr defaultColWidth="10.77734375" defaultRowHeight="13.2"/>
  <cols>
    <col min="1" max="1" width="10.77734375" style="36"/>
    <col min="2" max="9" width="14.33203125" style="36" customWidth="1"/>
    <col min="10" max="16384" width="10.77734375" style="36"/>
  </cols>
  <sheetData>
    <row r="4" spans="1:9">
      <c r="B4" s="73" t="s">
        <v>122</v>
      </c>
      <c r="C4" s="97">
        <f>AVERAGE(C9:C208)</f>
        <v>5357002.7293606158</v>
      </c>
      <c r="D4" s="97">
        <f t="shared" ref="D4:I4" si="0">AVERAGE(D9:D208)</f>
        <v>3515624.3899903516</v>
      </c>
      <c r="E4" s="97">
        <f t="shared" si="0"/>
        <v>1352191.1770123385</v>
      </c>
      <c r="F4" s="97">
        <f t="shared" si="0"/>
        <v>-1177276.2979717252</v>
      </c>
      <c r="G4" s="97">
        <f t="shared" si="0"/>
        <v>-2598178.8699924694</v>
      </c>
      <c r="H4" s="97">
        <f t="shared" si="0"/>
        <v>-5247436.7304428546</v>
      </c>
      <c r="I4" s="97">
        <f t="shared" si="0"/>
        <v>-7044778.5969415847</v>
      </c>
    </row>
    <row r="6" spans="1:9" ht="15.6">
      <c r="C6" s="211" t="s">
        <v>134</v>
      </c>
      <c r="D6" s="211"/>
      <c r="E6" s="211"/>
      <c r="F6" s="211"/>
      <c r="G6" s="211"/>
      <c r="H6" s="211"/>
      <c r="I6" s="211"/>
    </row>
    <row r="7" spans="1:9">
      <c r="B7" s="104" t="s">
        <v>10</v>
      </c>
      <c r="C7" s="106">
        <v>-0.15</v>
      </c>
      <c r="D7" s="106">
        <v>-0.1</v>
      </c>
      <c r="E7" s="106">
        <v>-0.05</v>
      </c>
      <c r="F7" s="106">
        <v>0</v>
      </c>
      <c r="G7" s="106">
        <v>0.05</v>
      </c>
      <c r="H7" s="106">
        <v>0.1</v>
      </c>
      <c r="I7" s="106">
        <v>0.15</v>
      </c>
    </row>
    <row r="8" spans="1:9">
      <c r="A8" s="73" t="s">
        <v>135</v>
      </c>
      <c r="B8" s="108">
        <v>2736843.4748380333</v>
      </c>
      <c r="C8" s="109">
        <v>36341606.868500002</v>
      </c>
      <c r="D8" s="109">
        <v>38479348.449000001</v>
      </c>
      <c r="E8" s="109">
        <v>40617090.0295</v>
      </c>
      <c r="F8" s="109">
        <v>42754831.609999999</v>
      </c>
      <c r="G8" s="109">
        <v>44892573.190499999</v>
      </c>
      <c r="H8" s="109">
        <v>47030314.771000005</v>
      </c>
      <c r="I8" s="109">
        <v>49168056.351499997</v>
      </c>
    </row>
    <row r="9" spans="1:9">
      <c r="B9" s="105">
        <v>1</v>
      </c>
      <c r="C9" s="107">
        <v>10910533.519947156</v>
      </c>
      <c r="D9" s="107">
        <v>368324.71752229333</v>
      </c>
      <c r="E9" s="107">
        <v>2840050.8156577647</v>
      </c>
      <c r="F9" s="107">
        <v>4009088.0124400258</v>
      </c>
      <c r="G9" s="107">
        <v>-1477461.0512275994</v>
      </c>
      <c r="H9" s="107">
        <v>-12044967.277235255</v>
      </c>
      <c r="I9" s="107">
        <v>-201312.92304471135</v>
      </c>
    </row>
    <row r="10" spans="1:9">
      <c r="B10" s="105">
        <v>2</v>
      </c>
      <c r="C10" s="107">
        <v>6281189.071718514</v>
      </c>
      <c r="D10" s="107">
        <v>-886434.51444213092</v>
      </c>
      <c r="E10" s="107">
        <v>836692.81784179807</v>
      </c>
      <c r="F10" s="107">
        <v>3385633.541103363</v>
      </c>
      <c r="G10" s="107">
        <v>-6582846.3146501482</v>
      </c>
      <c r="H10" s="107">
        <v>-5918444.1605034769</v>
      </c>
      <c r="I10" s="107">
        <v>-5888316.1515520811</v>
      </c>
    </row>
    <row r="11" spans="1:9">
      <c r="B11" s="105">
        <v>3</v>
      </c>
      <c r="C11" s="107">
        <v>8855961.8993676305</v>
      </c>
      <c r="D11" s="107">
        <v>2162773.9186685383</v>
      </c>
      <c r="E11" s="107">
        <v>2943376.99770087</v>
      </c>
      <c r="F11" s="107">
        <v>-831888.41442601383</v>
      </c>
      <c r="G11" s="107">
        <v>-2928867.3954272419</v>
      </c>
      <c r="H11" s="107">
        <v>-9185407.7758330256</v>
      </c>
      <c r="I11" s="107">
        <v>-1942653.6525434554</v>
      </c>
    </row>
    <row r="12" spans="1:9">
      <c r="B12" s="105">
        <v>4</v>
      </c>
      <c r="C12" s="107">
        <v>7279479.9836428612</v>
      </c>
      <c r="D12" s="107">
        <v>8521187.5899747014</v>
      </c>
      <c r="E12" s="107">
        <v>115183.88012991846</v>
      </c>
      <c r="F12" s="107">
        <v>10555985.910668656</v>
      </c>
      <c r="G12" s="107">
        <v>-3570626.9138304442</v>
      </c>
      <c r="H12" s="107">
        <v>-6909349.988942191</v>
      </c>
      <c r="I12" s="107">
        <v>-5746511.7629842013</v>
      </c>
    </row>
    <row r="13" spans="1:9">
      <c r="B13" s="105">
        <v>5</v>
      </c>
      <c r="C13" s="107">
        <v>4788329.2830690742</v>
      </c>
      <c r="D13" s="107">
        <v>5569110.8598273546</v>
      </c>
      <c r="E13" s="107">
        <v>-372857.35671035945</v>
      </c>
      <c r="F13" s="107">
        <v>-204959.17550046742</v>
      </c>
      <c r="G13" s="107">
        <v>-11704734.458344251</v>
      </c>
      <c r="H13" s="107">
        <v>-12066865.554372773</v>
      </c>
      <c r="I13" s="107">
        <v>-10162560.868249193</v>
      </c>
    </row>
    <row r="14" spans="1:9">
      <c r="B14" s="105">
        <v>6</v>
      </c>
      <c r="C14" s="107">
        <v>-1317871.5409492999</v>
      </c>
      <c r="D14" s="107">
        <v>9936460.9812020659</v>
      </c>
      <c r="E14" s="107">
        <v>-3643973.1161043495</v>
      </c>
      <c r="F14" s="107">
        <v>2333880.9246176034</v>
      </c>
      <c r="G14" s="107">
        <v>-2806975.4379158169</v>
      </c>
      <c r="H14" s="107">
        <v>-11330851.513387561</v>
      </c>
      <c r="I14" s="107">
        <v>-19771013.152531475</v>
      </c>
    </row>
    <row r="15" spans="1:9">
      <c r="B15" s="105">
        <v>7</v>
      </c>
      <c r="C15" s="107">
        <v>7899102.523361519</v>
      </c>
      <c r="D15" s="107">
        <v>3138626.4603483975</v>
      </c>
      <c r="E15" s="107">
        <v>-3957225.2656178325</v>
      </c>
      <c r="F15" s="107">
        <v>8611333.7148220837</v>
      </c>
      <c r="G15" s="107">
        <v>-6074737.975631088</v>
      </c>
      <c r="H15" s="107">
        <v>-4493915.9727690518</v>
      </c>
      <c r="I15" s="107">
        <v>-7214159.3827573508</v>
      </c>
    </row>
    <row r="16" spans="1:9">
      <c r="B16" s="105">
        <v>8</v>
      </c>
      <c r="C16" s="107">
        <v>4771739.4320187122</v>
      </c>
      <c r="D16" s="107">
        <v>-4830571.5460098684</v>
      </c>
      <c r="E16" s="107">
        <v>-2869059.7443220019</v>
      </c>
      <c r="F16" s="107">
        <v>3475733.7762468606</v>
      </c>
      <c r="G16" s="107">
        <v>12663770.53095977</v>
      </c>
      <c r="H16" s="107">
        <v>-16594491.065989077</v>
      </c>
      <c r="I16" s="107">
        <v>-12302631.316942453</v>
      </c>
    </row>
    <row r="17" spans="2:9">
      <c r="B17" s="105">
        <v>9</v>
      </c>
      <c r="C17" s="107">
        <v>9812977.581140995</v>
      </c>
      <c r="D17" s="107">
        <v>88339.123333707452</v>
      </c>
      <c r="E17" s="107">
        <v>-9526119.1492668837</v>
      </c>
      <c r="F17" s="107">
        <v>2967338.0453736782</v>
      </c>
      <c r="G17" s="107">
        <v>-6290387.4324302822</v>
      </c>
      <c r="H17" s="107">
        <v>-5078210.1929727048</v>
      </c>
      <c r="I17" s="107">
        <v>-3019818.9325965792</v>
      </c>
    </row>
    <row r="18" spans="2:9">
      <c r="B18" s="105">
        <v>10</v>
      </c>
      <c r="C18" s="107">
        <v>2099326.9187238514</v>
      </c>
      <c r="D18" s="107">
        <v>-8062280.2796985209</v>
      </c>
      <c r="E18" s="107">
        <v>11196556.704914212</v>
      </c>
      <c r="F18" s="107">
        <v>-2860274.8562792242</v>
      </c>
      <c r="G18" s="107">
        <v>-3708705.8120161444</v>
      </c>
      <c r="H18" s="107">
        <v>-8960084.2629112303</v>
      </c>
      <c r="I18" s="107">
        <v>-1763020.6959106624</v>
      </c>
    </row>
    <row r="19" spans="2:9">
      <c r="B19" s="105">
        <v>11</v>
      </c>
      <c r="C19" s="107">
        <v>-459207.51374530792</v>
      </c>
      <c r="D19" s="107">
        <v>-7723607.2914757729</v>
      </c>
      <c r="E19" s="107">
        <v>-6573232.0526798815</v>
      </c>
      <c r="F19" s="107">
        <v>-11068481.820989773</v>
      </c>
      <c r="G19" s="107">
        <v>-3016721.383869186</v>
      </c>
      <c r="H19" s="107">
        <v>-8416340.4338864833</v>
      </c>
      <c r="I19" s="107">
        <v>-2851932.7569503784</v>
      </c>
    </row>
    <row r="20" spans="2:9">
      <c r="B20" s="105">
        <v>12</v>
      </c>
      <c r="C20" s="107">
        <v>12339307.582284003</v>
      </c>
      <c r="D20" s="107">
        <v>876273.61899882555</v>
      </c>
      <c r="E20" s="107">
        <v>-6923631.4818884581</v>
      </c>
      <c r="F20" s="107">
        <v>-5292896.5648669749</v>
      </c>
      <c r="G20" s="107">
        <v>-10949702.719577834</v>
      </c>
      <c r="H20" s="107">
        <v>-9755651.455973804</v>
      </c>
      <c r="I20" s="107">
        <v>-9938869.0283607543</v>
      </c>
    </row>
    <row r="21" spans="2:9">
      <c r="B21" s="105">
        <v>13</v>
      </c>
      <c r="C21" s="107">
        <v>-2821559.9583651572</v>
      </c>
      <c r="D21" s="107">
        <v>2903448.1852258295</v>
      </c>
      <c r="E21" s="107">
        <v>7580644.597709626</v>
      </c>
      <c r="F21" s="107">
        <v>-1313018.2967255414</v>
      </c>
      <c r="G21" s="107">
        <v>-1515536.0588262975</v>
      </c>
      <c r="H21" s="107">
        <v>-446035.67932023108</v>
      </c>
      <c r="I21" s="107">
        <v>-4894420.9638721794</v>
      </c>
    </row>
    <row r="22" spans="2:9">
      <c r="B22" s="105">
        <v>14</v>
      </c>
      <c r="C22" s="107">
        <v>1564508.4562751651</v>
      </c>
      <c r="D22" s="107">
        <v>-390185.82114163041</v>
      </c>
      <c r="E22" s="107">
        <v>8700118.1558692008</v>
      </c>
      <c r="F22" s="107">
        <v>2646929.2592261732</v>
      </c>
      <c r="G22" s="107">
        <v>228417.36340115964</v>
      </c>
      <c r="H22" s="107">
        <v>-2289407.6817238927</v>
      </c>
      <c r="I22" s="107">
        <v>-11532890.149372965</v>
      </c>
    </row>
    <row r="23" spans="2:9">
      <c r="B23" s="105">
        <v>15</v>
      </c>
      <c r="C23" s="107">
        <v>5978516.8826864362</v>
      </c>
      <c r="D23" s="107">
        <v>8183436.7430824488</v>
      </c>
      <c r="E23" s="107">
        <v>-2383058.5047502369</v>
      </c>
      <c r="F23" s="107">
        <v>8672382.9485746771</v>
      </c>
      <c r="G23" s="107">
        <v>-4513038.4908867925</v>
      </c>
      <c r="H23" s="107">
        <v>-7050724.9112922996</v>
      </c>
      <c r="I23" s="107">
        <v>-5856681.635710746</v>
      </c>
    </row>
    <row r="24" spans="2:9">
      <c r="B24" s="105">
        <v>16</v>
      </c>
      <c r="C24" s="107">
        <v>2504038.9417987615</v>
      </c>
      <c r="D24" s="107">
        <v>3234216.0194787383</v>
      </c>
      <c r="E24" s="107">
        <v>-2935507.7729836702</v>
      </c>
      <c r="F24" s="107">
        <v>-5823585.1600396633</v>
      </c>
      <c r="G24" s="107">
        <v>-6236148.1005457193</v>
      </c>
      <c r="H24" s="107">
        <v>-5801928.1669729799</v>
      </c>
      <c r="I24" s="107">
        <v>-8193368.3715459108</v>
      </c>
    </row>
    <row r="25" spans="2:9">
      <c r="B25" s="105">
        <v>17</v>
      </c>
      <c r="C25" s="107">
        <v>1500200.3275175691</v>
      </c>
      <c r="D25" s="107">
        <v>-250527.29507279396</v>
      </c>
      <c r="E25" s="107">
        <v>5164446.5487331003</v>
      </c>
      <c r="F25" s="107">
        <v>-11079806.78610681</v>
      </c>
      <c r="G25" s="107">
        <v>-9641288.920316115</v>
      </c>
      <c r="H25" s="107">
        <v>-1512963.51539886</v>
      </c>
      <c r="I25" s="107">
        <v>-3814498.7017500401</v>
      </c>
    </row>
    <row r="26" spans="2:9">
      <c r="B26" s="105">
        <v>18</v>
      </c>
      <c r="C26" s="107">
        <v>4939964.5532618165</v>
      </c>
      <c r="D26" s="107">
        <v>5056340.5416365117</v>
      </c>
      <c r="E26" s="107">
        <v>13286765.746955231</v>
      </c>
      <c r="F26" s="107">
        <v>4846023.1629734784</v>
      </c>
      <c r="G26" s="107">
        <v>5976303.8927206993</v>
      </c>
      <c r="H26" s="107">
        <v>-1262541.2729820609</v>
      </c>
      <c r="I26" s="107">
        <v>7008682.4333444387</v>
      </c>
    </row>
    <row r="27" spans="2:9">
      <c r="B27" s="105">
        <v>19</v>
      </c>
      <c r="C27" s="107">
        <v>8545368.0503755212</v>
      </c>
      <c r="D27" s="107">
        <v>-726931.00973564386</v>
      </c>
      <c r="E27" s="107">
        <v>3057868.8775969595</v>
      </c>
      <c r="F27" s="107">
        <v>-2846059.7494272441</v>
      </c>
      <c r="G27" s="107">
        <v>-8485466.9262638986</v>
      </c>
      <c r="H27" s="107">
        <v>-11177868.869836509</v>
      </c>
      <c r="I27" s="107">
        <v>-11705351.688547939</v>
      </c>
    </row>
    <row r="28" spans="2:9">
      <c r="B28" s="105">
        <v>20</v>
      </c>
      <c r="C28" s="107">
        <v>8297101.2837028652</v>
      </c>
      <c r="D28" s="107">
        <v>-5286383.3101241738</v>
      </c>
      <c r="E28" s="107">
        <v>992882.18023338914</v>
      </c>
      <c r="F28" s="107">
        <v>-6272383.3665019721</v>
      </c>
      <c r="G28" s="107">
        <v>-6034551.8937056512</v>
      </c>
      <c r="H28" s="107">
        <v>-10759988.447042957</v>
      </c>
      <c r="I28" s="107">
        <v>-18844820.708055824</v>
      </c>
    </row>
    <row r="29" spans="2:9">
      <c r="B29" s="105">
        <v>21</v>
      </c>
      <c r="C29" s="107">
        <v>6866421.5973044336</v>
      </c>
      <c r="D29" s="107">
        <v>6047316.1811605543</v>
      </c>
      <c r="E29" s="107">
        <v>3275790.5524322093</v>
      </c>
      <c r="F29" s="107">
        <v>1383378.8818204701</v>
      </c>
      <c r="G29" s="107">
        <v>-688872.35652400553</v>
      </c>
      <c r="H29" s="107">
        <v>-2961706.0248246342</v>
      </c>
      <c r="I29" s="107">
        <v>-746064.08684544265</v>
      </c>
    </row>
    <row r="30" spans="2:9">
      <c r="B30" s="105">
        <v>22</v>
      </c>
      <c r="C30" s="107">
        <v>11824487.391756237</v>
      </c>
      <c r="D30" s="107">
        <v>13637983.267849475</v>
      </c>
      <c r="E30" s="107">
        <v>3649360.1689581871</v>
      </c>
      <c r="F30" s="107">
        <v>-9587614.7567076385</v>
      </c>
      <c r="G30" s="107">
        <v>1175858.190949738</v>
      </c>
      <c r="H30" s="107">
        <v>-4024278.9550311118</v>
      </c>
      <c r="I30" s="107">
        <v>-7245775.7840939611</v>
      </c>
    </row>
    <row r="31" spans="2:9">
      <c r="B31" s="105">
        <v>23</v>
      </c>
      <c r="C31" s="107">
        <v>3726931.9915703833</v>
      </c>
      <c r="D31" s="107">
        <v>5041573.2038400322</v>
      </c>
      <c r="E31" s="107">
        <v>-8848304.5964802653</v>
      </c>
      <c r="F31" s="107">
        <v>-7109485.0116673261</v>
      </c>
      <c r="G31" s="107">
        <v>-2648440.487019822</v>
      </c>
      <c r="H31" s="107">
        <v>-10728583.668439746</v>
      </c>
      <c r="I31" s="107">
        <v>-17649694.496766001</v>
      </c>
    </row>
    <row r="32" spans="2:9">
      <c r="B32" s="105">
        <v>24</v>
      </c>
      <c r="C32" s="107">
        <v>8467478.5602112859</v>
      </c>
      <c r="D32" s="107">
        <v>16771341.557971045</v>
      </c>
      <c r="E32" s="107">
        <v>3664935.7158450931</v>
      </c>
      <c r="F32" s="107">
        <v>-12615316.539327055</v>
      </c>
      <c r="G32" s="107">
        <v>-5438647.3158109486</v>
      </c>
      <c r="H32" s="107">
        <v>-14288923.994264737</v>
      </c>
      <c r="I32" s="107">
        <v>-15848059.420052707</v>
      </c>
    </row>
    <row r="33" spans="2:9">
      <c r="B33" s="105">
        <v>25</v>
      </c>
      <c r="C33" s="107">
        <v>14219369.561365008</v>
      </c>
      <c r="D33" s="107">
        <v>7729673.0073000193</v>
      </c>
      <c r="E33" s="107">
        <v>6903080.0259617567</v>
      </c>
      <c r="F33" s="107">
        <v>520594.03578844666</v>
      </c>
      <c r="G33" s="107">
        <v>-2736773.9906446189</v>
      </c>
      <c r="H33" s="107">
        <v>-6442517.1100783497</v>
      </c>
      <c r="I33" s="107">
        <v>-12992266.140709713</v>
      </c>
    </row>
    <row r="34" spans="2:9">
      <c r="B34" s="105">
        <v>26</v>
      </c>
      <c r="C34" s="107">
        <v>9011019.6014395356</v>
      </c>
      <c r="D34" s="107">
        <v>-759025.91959437728</v>
      </c>
      <c r="E34" s="107">
        <v>7867141.798531577</v>
      </c>
      <c r="F34" s="107">
        <v>-3867746.4744345248</v>
      </c>
      <c r="G34" s="107">
        <v>255043.19701510668</v>
      </c>
      <c r="H34" s="107">
        <v>-12416495.913784489</v>
      </c>
      <c r="I34" s="107">
        <v>-10528628.128654808</v>
      </c>
    </row>
    <row r="35" spans="2:9">
      <c r="B35" s="105">
        <v>27</v>
      </c>
      <c r="C35" s="107">
        <v>-11690101.898404673</v>
      </c>
      <c r="D35" s="107">
        <v>6985375.3862209767</v>
      </c>
      <c r="E35" s="107">
        <v>5601699.2773837149</v>
      </c>
      <c r="F35" s="107">
        <v>1169742.8678643107</v>
      </c>
      <c r="G35" s="107">
        <v>-2565969.2587710917</v>
      </c>
      <c r="H35" s="107">
        <v>-11447985.725776896</v>
      </c>
      <c r="I35" s="107">
        <v>2047815.0033787489</v>
      </c>
    </row>
    <row r="36" spans="2:9">
      <c r="B36" s="105">
        <v>28</v>
      </c>
      <c r="C36" s="107">
        <v>8443145.3644255102</v>
      </c>
      <c r="D36" s="107">
        <v>4857778.0408544242</v>
      </c>
      <c r="E36" s="107">
        <v>6195485.5106121004</v>
      </c>
      <c r="F36" s="107">
        <v>287986.76287913322</v>
      </c>
      <c r="G36" s="107">
        <v>-10820073.833344102</v>
      </c>
      <c r="H36" s="107">
        <v>551161.6086922437</v>
      </c>
      <c r="I36" s="107">
        <v>-2186546.3800093085</v>
      </c>
    </row>
    <row r="37" spans="2:9">
      <c r="B37" s="105">
        <v>29</v>
      </c>
      <c r="C37" s="107">
        <v>-2245525.6496325582</v>
      </c>
      <c r="D37" s="107">
        <v>4663367.2533046454</v>
      </c>
      <c r="E37" s="107">
        <v>-4557382.6045611203</v>
      </c>
      <c r="F37" s="107">
        <v>-1508673.8393047601</v>
      </c>
      <c r="G37" s="107">
        <v>-1733627.2244786918</v>
      </c>
      <c r="H37" s="107">
        <v>-463547.74756443501</v>
      </c>
      <c r="I37" s="107">
        <v>-14185489.873187751</v>
      </c>
    </row>
    <row r="38" spans="2:9">
      <c r="B38" s="105">
        <v>30</v>
      </c>
      <c r="C38" s="107">
        <v>2449574.5976431817</v>
      </c>
      <c r="D38" s="107">
        <v>8329437.1861607432</v>
      </c>
      <c r="E38" s="107">
        <v>4506985.8910768926</v>
      </c>
      <c r="F38" s="107">
        <v>-8458274.6429438144</v>
      </c>
      <c r="G38" s="107">
        <v>1662655.4455557019</v>
      </c>
      <c r="H38" s="107">
        <v>-2838929.5642079115</v>
      </c>
      <c r="I38" s="107">
        <v>-5946856.1758179963</v>
      </c>
    </row>
    <row r="39" spans="2:9">
      <c r="B39" s="105">
        <v>31</v>
      </c>
      <c r="C39" s="107">
        <v>3259677.1594022065</v>
      </c>
      <c r="D39" s="107">
        <v>2734669.272841692</v>
      </c>
      <c r="E39" s="107">
        <v>2224572.921055764</v>
      </c>
      <c r="F39" s="107">
        <v>-10820091.83438471</v>
      </c>
      <c r="G39" s="107">
        <v>-7560281.7959922701</v>
      </c>
      <c r="H39" s="107">
        <v>2471235.2067048401</v>
      </c>
      <c r="I39" s="107">
        <v>-13216476.23680456</v>
      </c>
    </row>
    <row r="40" spans="2:9">
      <c r="B40" s="105">
        <v>32</v>
      </c>
      <c r="C40" s="107">
        <v>12254297.417941868</v>
      </c>
      <c r="D40" s="107">
        <v>4124405.1354242563</v>
      </c>
      <c r="E40" s="107">
        <v>7250028.1682615131</v>
      </c>
      <c r="F40" s="107">
        <v>-588298.09803552926</v>
      </c>
      <c r="G40" s="107">
        <v>-11214733.123414367</v>
      </c>
      <c r="H40" s="107">
        <v>-10726941.749559328</v>
      </c>
      <c r="I40" s="107">
        <v>-13739399.766301125</v>
      </c>
    </row>
    <row r="41" spans="2:9">
      <c r="B41" s="105">
        <v>33</v>
      </c>
      <c r="C41" s="107">
        <v>12624176.64241223</v>
      </c>
      <c r="D41" s="107">
        <v>1421505.8300977498</v>
      </c>
      <c r="E41" s="107">
        <v>1498149.1719721407</v>
      </c>
      <c r="F41" s="107">
        <v>6454354.812707454</v>
      </c>
      <c r="G41" s="107">
        <v>-5145151.716666773</v>
      </c>
      <c r="H41" s="107">
        <v>-14035660.755491436</v>
      </c>
      <c r="I41" s="107">
        <v>-9728966.9598039538</v>
      </c>
    </row>
    <row r="42" spans="2:9">
      <c r="B42" s="105">
        <v>34</v>
      </c>
      <c r="C42" s="107">
        <v>6051132.6230041832</v>
      </c>
      <c r="D42" s="107">
        <v>4022558.3866500258</v>
      </c>
      <c r="E42" s="107">
        <v>12515654.416138306</v>
      </c>
      <c r="F42" s="107">
        <v>-3958209.3484849334</v>
      </c>
      <c r="G42" s="107">
        <v>5679318.265131712</v>
      </c>
      <c r="H42" s="107">
        <v>-11278158.061640874</v>
      </c>
      <c r="I42" s="107">
        <v>-316776.43976695836</v>
      </c>
    </row>
    <row r="43" spans="2:9">
      <c r="B43" s="105">
        <v>35</v>
      </c>
      <c r="C43" s="107">
        <v>671154.38529895246</v>
      </c>
      <c r="D43" s="107">
        <v>6349782.3981644362</v>
      </c>
      <c r="E43" s="107">
        <v>-8326635.7806062251</v>
      </c>
      <c r="F43" s="107">
        <v>-9566543.5095040053</v>
      </c>
      <c r="G43" s="107">
        <v>-771371.03324973583</v>
      </c>
      <c r="H43" s="107">
        <v>-8317578.4023393244</v>
      </c>
      <c r="I43" s="107">
        <v>-12880618.13182345</v>
      </c>
    </row>
    <row r="44" spans="2:9">
      <c r="B44" s="105">
        <v>36</v>
      </c>
      <c r="C44" s="107">
        <v>5717265.0297593772</v>
      </c>
      <c r="D44" s="107">
        <v>4110064.8937555104</v>
      </c>
      <c r="E44" s="107">
        <v>-860161.28873817623</v>
      </c>
      <c r="F44" s="107">
        <v>2003322.8685136288</v>
      </c>
      <c r="G44" s="107">
        <v>9136278.1748261005</v>
      </c>
      <c r="H44" s="107">
        <v>-4991282.2370324582</v>
      </c>
      <c r="I44" s="107">
        <v>-7426494.0241110474</v>
      </c>
    </row>
    <row r="45" spans="2:9">
      <c r="B45" s="105">
        <v>37</v>
      </c>
      <c r="C45" s="107">
        <v>16013646.601158828</v>
      </c>
      <c r="D45" s="107">
        <v>8666880.1041519195</v>
      </c>
      <c r="E45" s="107">
        <v>-5484568.3928081691</v>
      </c>
      <c r="F45" s="107">
        <v>-1265510.1662840992</v>
      </c>
      <c r="G45" s="107">
        <v>-4018046.9361894429</v>
      </c>
      <c r="H45" s="107">
        <v>2073760.272426188</v>
      </c>
      <c r="I45" s="107">
        <v>-9458345.0450692475</v>
      </c>
    </row>
    <row r="46" spans="2:9">
      <c r="B46" s="105">
        <v>38</v>
      </c>
      <c r="C46" s="107">
        <v>-1427701.0940022022</v>
      </c>
      <c r="D46" s="107">
        <v>-4260531.4489702284</v>
      </c>
      <c r="E46" s="107">
        <v>-2188805.3922716677</v>
      </c>
      <c r="F46" s="107">
        <v>-3202600.1913158447</v>
      </c>
      <c r="G46" s="107">
        <v>-18094765.053519323</v>
      </c>
      <c r="H46" s="107">
        <v>-7773097.8408977538</v>
      </c>
      <c r="I46" s="107">
        <v>-5857352.1641077697</v>
      </c>
    </row>
    <row r="47" spans="2:9">
      <c r="B47" s="105">
        <v>39</v>
      </c>
      <c r="C47" s="107">
        <v>8730301.483797431</v>
      </c>
      <c r="D47" s="107">
        <v>-2162455.2148249894</v>
      </c>
      <c r="E47" s="107">
        <v>-2107937.759591043</v>
      </c>
      <c r="F47" s="107">
        <v>-4863215.0089144558</v>
      </c>
      <c r="G47" s="107">
        <v>-13044505.947406411</v>
      </c>
      <c r="H47" s="107">
        <v>-4650912.5689247996</v>
      </c>
      <c r="I47" s="107">
        <v>-12097563.353132993</v>
      </c>
    </row>
    <row r="48" spans="2:9">
      <c r="B48" s="105">
        <v>40</v>
      </c>
      <c r="C48" s="107">
        <v>-1248122.5730785131</v>
      </c>
      <c r="D48" s="107">
        <v>-4814620.4208420068</v>
      </c>
      <c r="E48" s="107">
        <v>6669333.7602013648</v>
      </c>
      <c r="F48" s="107">
        <v>-3761133.4711463451</v>
      </c>
      <c r="G48" s="107">
        <v>-4003315.6923021078</v>
      </c>
      <c r="H48" s="107">
        <v>-2300219.0595739633</v>
      </c>
      <c r="I48" s="107">
        <v>-6071412.0522511899</v>
      </c>
    </row>
    <row r="49" spans="2:9">
      <c r="B49" s="105">
        <v>41</v>
      </c>
      <c r="C49" s="107">
        <v>278305.19894629717</v>
      </c>
      <c r="D49" s="107">
        <v>4694532.7591817528</v>
      </c>
      <c r="E49" s="107">
        <v>15964926.076128244</v>
      </c>
      <c r="F49" s="107">
        <v>-8199196.9918636382</v>
      </c>
      <c r="G49" s="107">
        <v>-10420374.146808222</v>
      </c>
      <c r="H49" s="107">
        <v>-7724405.8158690482</v>
      </c>
      <c r="I49" s="107">
        <v>-19191781.05114156</v>
      </c>
    </row>
    <row r="50" spans="2:9">
      <c r="B50" s="105">
        <v>42</v>
      </c>
      <c r="C50" s="107">
        <v>12903972.763526469</v>
      </c>
      <c r="D50" s="107">
        <v>5124889.2618704587</v>
      </c>
      <c r="E50" s="107">
        <v>1804444.4764078408</v>
      </c>
      <c r="F50" s="107">
        <v>-2173520.2010515183</v>
      </c>
      <c r="G50" s="107">
        <v>-4579346.9782382548</v>
      </c>
      <c r="H50" s="107">
        <v>-4072010.2064137012</v>
      </c>
      <c r="I50" s="107">
        <v>-8703567.2394627631</v>
      </c>
    </row>
    <row r="51" spans="2:9">
      <c r="B51" s="105">
        <v>43</v>
      </c>
      <c r="C51" s="107">
        <v>16431035.830220401</v>
      </c>
      <c r="D51" s="107">
        <v>6183253.2561901361</v>
      </c>
      <c r="E51" s="107">
        <v>-3212972.5359884351</v>
      </c>
      <c r="F51" s="107">
        <v>2373150.8047080338</v>
      </c>
      <c r="G51" s="107">
        <v>3780314.8694040328</v>
      </c>
      <c r="H51" s="107">
        <v>-11762555.528785482</v>
      </c>
      <c r="I51" s="107">
        <v>-10346937.604155123</v>
      </c>
    </row>
    <row r="52" spans="2:9">
      <c r="B52" s="105">
        <v>44</v>
      </c>
      <c r="C52" s="107">
        <v>5605921.9931480885</v>
      </c>
      <c r="D52" s="107">
        <v>8542793.516406849</v>
      </c>
      <c r="E52" s="107">
        <v>-3774130.6903817505</v>
      </c>
      <c r="F52" s="107">
        <v>4805150.176562354</v>
      </c>
      <c r="G52" s="107">
        <v>4892974.2233571857</v>
      </c>
      <c r="H52" s="107">
        <v>-1078634.0239156485</v>
      </c>
      <c r="I52" s="107">
        <v>-4872180.584006086</v>
      </c>
    </row>
    <row r="53" spans="2:9">
      <c r="B53" s="105">
        <v>45</v>
      </c>
      <c r="C53" s="107">
        <v>13123843.393704459</v>
      </c>
      <c r="D53" s="107">
        <v>2649058.4025972933</v>
      </c>
      <c r="E53" s="107">
        <v>-12230451.412162095</v>
      </c>
      <c r="F53" s="107">
        <v>-1963207.3170202076</v>
      </c>
      <c r="G53" s="107">
        <v>-4217777.4380889982</v>
      </c>
      <c r="H53" s="107">
        <v>-9629556.6134896725</v>
      </c>
      <c r="I53" s="107">
        <v>-3168504.0099329799</v>
      </c>
    </row>
    <row r="54" spans="2:9">
      <c r="B54" s="105">
        <v>46</v>
      </c>
      <c r="C54" s="107">
        <v>2526449.9158039391</v>
      </c>
      <c r="D54" s="107">
        <v>-330587.89482739568</v>
      </c>
      <c r="E54" s="107">
        <v>-1614964.9600064903</v>
      </c>
      <c r="F54" s="107">
        <v>-3151344.8475242853</v>
      </c>
      <c r="G54" s="107">
        <v>-4374983.2394175678</v>
      </c>
      <c r="H54" s="107">
        <v>-1656534.9519156814</v>
      </c>
      <c r="I54" s="107">
        <v>-3980000.686320588</v>
      </c>
    </row>
    <row r="55" spans="2:9">
      <c r="B55" s="105">
        <v>47</v>
      </c>
      <c r="C55" s="107">
        <v>4377116.7030728757</v>
      </c>
      <c r="D55" s="107">
        <v>1795319.8335589916</v>
      </c>
      <c r="E55" s="107">
        <v>6039817.1792896688</v>
      </c>
      <c r="F55" s="107">
        <v>4884499.2315201759</v>
      </c>
      <c r="G55" s="107">
        <v>4719462.5727567673</v>
      </c>
      <c r="H55" s="107">
        <v>-5679159.7845498174</v>
      </c>
      <c r="I55" s="107">
        <v>-1288119.4203675091</v>
      </c>
    </row>
    <row r="56" spans="2:9">
      <c r="B56" s="105">
        <v>48</v>
      </c>
      <c r="C56" s="107">
        <v>-1403324.0444821864</v>
      </c>
      <c r="D56" s="107">
        <v>4226693.5987746716</v>
      </c>
      <c r="E56" s="107">
        <v>2527887.1909887642</v>
      </c>
      <c r="F56" s="107">
        <v>8527657.7983690798</v>
      </c>
      <c r="G56" s="107">
        <v>-5528917.6842404753</v>
      </c>
      <c r="H56" s="107">
        <v>-14495664.365917161</v>
      </c>
      <c r="I56" s="107">
        <v>-1449855.7768108994</v>
      </c>
    </row>
    <row r="57" spans="2:9">
      <c r="B57" s="105">
        <v>49</v>
      </c>
      <c r="C57" s="107">
        <v>4462257.0086585134</v>
      </c>
      <c r="D57" s="107">
        <v>-3760349.7155335397</v>
      </c>
      <c r="E57" s="107">
        <v>2400103.1537752002</v>
      </c>
      <c r="F57" s="107">
        <v>-6165577.0980581343</v>
      </c>
      <c r="G57" s="107">
        <v>-8250198.5129659921</v>
      </c>
      <c r="H57" s="107">
        <v>-12370045.023540169</v>
      </c>
      <c r="I57" s="107">
        <v>-754464.823044613</v>
      </c>
    </row>
    <row r="58" spans="2:9">
      <c r="B58" s="105">
        <v>50</v>
      </c>
      <c r="C58" s="107">
        <v>2752095.7651016414</v>
      </c>
      <c r="D58" s="107">
        <v>3029176.6213790625</v>
      </c>
      <c r="E58" s="107">
        <v>-5885340.8105475307</v>
      </c>
      <c r="F58" s="107">
        <v>19440460.201873749</v>
      </c>
      <c r="G58" s="107">
        <v>-10915916.82719475</v>
      </c>
      <c r="H58" s="107">
        <v>-4941631.1443085521</v>
      </c>
      <c r="I58" s="107">
        <v>-8211010.4416604638</v>
      </c>
    </row>
    <row r="59" spans="2:9">
      <c r="B59" s="105">
        <v>51</v>
      </c>
      <c r="C59" s="107">
        <v>2059795.7908418477</v>
      </c>
      <c r="D59" s="107">
        <v>-3599401.9513245821</v>
      </c>
      <c r="E59" s="107">
        <v>2134432.797791943</v>
      </c>
      <c r="F59" s="107">
        <v>-8450155.0017206073</v>
      </c>
      <c r="G59" s="107">
        <v>-6491993.1286854446</v>
      </c>
      <c r="H59" s="107">
        <v>1138607.4479309618</v>
      </c>
      <c r="I59" s="107">
        <v>-17393531.838992655</v>
      </c>
    </row>
    <row r="60" spans="2:9">
      <c r="B60" s="105">
        <v>52</v>
      </c>
      <c r="C60" s="107">
        <v>8471726.0265108049</v>
      </c>
      <c r="D60" s="107">
        <v>-1439850.1331044883</v>
      </c>
      <c r="E60" s="107">
        <v>12061425.783044264</v>
      </c>
      <c r="F60" s="107">
        <v>-5685036.2129918486</v>
      </c>
      <c r="G60" s="107">
        <v>-5870064.8245347887</v>
      </c>
      <c r="H60" s="107">
        <v>-5660956.736191079</v>
      </c>
      <c r="I60" s="107">
        <v>-8952353.2376724929</v>
      </c>
    </row>
    <row r="61" spans="2:9">
      <c r="B61" s="105">
        <v>53</v>
      </c>
      <c r="C61" s="107">
        <v>2663590.0123326927</v>
      </c>
      <c r="D61" s="107">
        <v>12096963.337692499</v>
      </c>
      <c r="E61" s="107">
        <v>3742822.7447485626</v>
      </c>
      <c r="F61" s="107">
        <v>6401847.1624391526</v>
      </c>
      <c r="G61" s="107">
        <v>-2266909.5373788476</v>
      </c>
      <c r="H61" s="107">
        <v>-5672202.4440870583</v>
      </c>
      <c r="I61" s="107">
        <v>-4706848.1602191031</v>
      </c>
    </row>
    <row r="62" spans="2:9">
      <c r="B62" s="105">
        <v>54</v>
      </c>
      <c r="C62" s="107">
        <v>7655088.5913232118</v>
      </c>
      <c r="D62" s="107">
        <v>552600.3308801949</v>
      </c>
      <c r="E62" s="107">
        <v>1952538.1731813848</v>
      </c>
      <c r="F62" s="107">
        <v>-2263488.1814876795</v>
      </c>
      <c r="G62" s="107">
        <v>-1449282.3459323943</v>
      </c>
      <c r="H62" s="107">
        <v>6453028.0551944226</v>
      </c>
      <c r="I62" s="107">
        <v>-5456958.8469657153</v>
      </c>
    </row>
    <row r="63" spans="2:9">
      <c r="B63" s="105">
        <v>55</v>
      </c>
      <c r="C63" s="107">
        <v>15852443.813229308</v>
      </c>
      <c r="D63" s="107">
        <v>4444416.5773695558</v>
      </c>
      <c r="E63" s="107">
        <v>-5260822.6367976665</v>
      </c>
      <c r="F63" s="107">
        <v>261327.41667865217</v>
      </c>
      <c r="G63" s="107">
        <v>-461403.6078120172</v>
      </c>
      <c r="H63" s="107">
        <v>-9730286.7961065173</v>
      </c>
      <c r="I63" s="107">
        <v>-2281268.8342273384</v>
      </c>
    </row>
    <row r="64" spans="2:9">
      <c r="B64" s="105">
        <v>56</v>
      </c>
      <c r="C64" s="107">
        <v>10427381.101282641</v>
      </c>
      <c r="D64" s="107">
        <v>3914697.6647050083</v>
      </c>
      <c r="E64" s="107">
        <v>-213292.20932273567</v>
      </c>
      <c r="F64" s="107">
        <v>12042629.716991946</v>
      </c>
      <c r="G64" s="107">
        <v>1982625.2152144015</v>
      </c>
      <c r="H64" s="107">
        <v>-5347667.0686659366</v>
      </c>
      <c r="I64" s="107">
        <v>-3225309.5267429054</v>
      </c>
    </row>
    <row r="65" spans="2:9">
      <c r="B65" s="105">
        <v>57</v>
      </c>
      <c r="C65" s="107">
        <v>190370.8472238332</v>
      </c>
      <c r="D65" s="107">
        <v>10074147.338755175</v>
      </c>
      <c r="E65" s="107">
        <v>-7693658.8772036284</v>
      </c>
      <c r="F65" s="107">
        <v>-13440603.846715003</v>
      </c>
      <c r="G65" s="107">
        <v>-6882549.0845828205</v>
      </c>
      <c r="H65" s="107">
        <v>490511.58934155107</v>
      </c>
      <c r="I65" s="107">
        <v>-2354648.3619458228</v>
      </c>
    </row>
    <row r="66" spans="2:9">
      <c r="B66" s="105">
        <v>58</v>
      </c>
      <c r="C66" s="107">
        <v>5472916.0200265944</v>
      </c>
      <c r="D66" s="107">
        <v>-568601.78434705734</v>
      </c>
      <c r="E66" s="107">
        <v>-8710453.236107856</v>
      </c>
      <c r="F66" s="107">
        <v>7269526.2705596089</v>
      </c>
      <c r="G66" s="107">
        <v>-1321991.156010136</v>
      </c>
      <c r="H66" s="107">
        <v>-3437609.6270041466</v>
      </c>
      <c r="I66" s="107">
        <v>-11887572.582540497</v>
      </c>
    </row>
    <row r="67" spans="2:9">
      <c r="B67" s="105">
        <v>59</v>
      </c>
      <c r="C67" s="107">
        <v>4421062.9894804657</v>
      </c>
      <c r="D67" s="107">
        <v>1286511.6393648684</v>
      </c>
      <c r="E67" s="107">
        <v>4517132.6868375838</v>
      </c>
      <c r="F67" s="107">
        <v>2323641.1190111637</v>
      </c>
      <c r="G67" s="107">
        <v>2929321.7681930363</v>
      </c>
      <c r="H67" s="107">
        <v>-2041705.5980162323</v>
      </c>
      <c r="I67" s="107">
        <v>-12678849.095058367</v>
      </c>
    </row>
    <row r="68" spans="2:9">
      <c r="B68" s="105">
        <v>60</v>
      </c>
      <c r="C68" s="107">
        <v>13532462.425297707</v>
      </c>
      <c r="D68" s="107">
        <v>3924487.1840598732</v>
      </c>
      <c r="E68" s="107">
        <v>597996.42425847054</v>
      </c>
      <c r="F68" s="107">
        <v>2987008.6307254732</v>
      </c>
      <c r="G68" s="107">
        <v>-7552134.2400309592</v>
      </c>
      <c r="H68" s="107">
        <v>-11161470.14532344</v>
      </c>
      <c r="I68" s="107">
        <v>1309184.9720698893</v>
      </c>
    </row>
    <row r="69" spans="2:9">
      <c r="B69" s="105">
        <v>61</v>
      </c>
      <c r="C69" s="107">
        <v>6772478.1119990051</v>
      </c>
      <c r="D69" s="107">
        <v>1031010.9841759503</v>
      </c>
      <c r="E69" s="107">
        <v>6684126.8337990195</v>
      </c>
      <c r="F69" s="107">
        <v>-1808249.1069194078</v>
      </c>
      <c r="G69" s="107">
        <v>-3863739.3133587241</v>
      </c>
      <c r="H69" s="107">
        <v>-19316819.288399667</v>
      </c>
      <c r="I69" s="107">
        <v>-7009387.9976380169</v>
      </c>
    </row>
    <row r="70" spans="2:9">
      <c r="B70" s="105">
        <v>62</v>
      </c>
      <c r="C70" s="107">
        <v>2008371.8362203091</v>
      </c>
      <c r="D70" s="107">
        <v>-4665798.4403182715</v>
      </c>
      <c r="E70" s="107">
        <v>9187128.2128377855</v>
      </c>
      <c r="F70" s="107">
        <v>-7840815.3539610207</v>
      </c>
      <c r="G70" s="107">
        <v>-4286797.8119347394</v>
      </c>
      <c r="H70" s="107">
        <v>-16757481.402418837</v>
      </c>
      <c r="I70" s="107">
        <v>7429569.4156716615</v>
      </c>
    </row>
    <row r="71" spans="2:9">
      <c r="B71" s="105">
        <v>63</v>
      </c>
      <c r="C71" s="107">
        <v>20140275.629320651</v>
      </c>
      <c r="D71" s="107">
        <v>-3308292.302296564</v>
      </c>
      <c r="E71" s="107">
        <v>9356216.3419886976</v>
      </c>
      <c r="F71" s="107">
        <v>2743291.1071157753</v>
      </c>
      <c r="G71" s="107">
        <v>-226092.75795969367</v>
      </c>
      <c r="H71" s="107">
        <v>-911730.97526887059</v>
      </c>
      <c r="I71" s="107">
        <v>-4904772.5527207106</v>
      </c>
    </row>
    <row r="72" spans="2:9">
      <c r="B72" s="105">
        <v>64</v>
      </c>
      <c r="C72" s="107">
        <v>988915.95402359962</v>
      </c>
      <c r="D72" s="107">
        <v>1966810.7081081569</v>
      </c>
      <c r="E72" s="107">
        <v>1675429.2494228929</v>
      </c>
      <c r="F72" s="107">
        <v>-8631671.2125466317</v>
      </c>
      <c r="G72" s="107">
        <v>-652003.16161048412</v>
      </c>
      <c r="H72" s="107">
        <v>-6262420.7598411143</v>
      </c>
      <c r="I72" s="107">
        <v>-13705401.745351911</v>
      </c>
    </row>
    <row r="73" spans="2:9">
      <c r="B73" s="105">
        <v>65</v>
      </c>
      <c r="C73" s="107">
        <v>2067864.1377479881</v>
      </c>
      <c r="D73" s="107">
        <v>8166483.682330668</v>
      </c>
      <c r="E73" s="107">
        <v>7044271.1522162557</v>
      </c>
      <c r="F73" s="107">
        <v>3176319.9904648215</v>
      </c>
      <c r="G73" s="107">
        <v>-493779.66190262139</v>
      </c>
      <c r="H73" s="107">
        <v>-1524979.9455332756</v>
      </c>
      <c r="I73" s="107">
        <v>-15247615.017929867</v>
      </c>
    </row>
    <row r="74" spans="2:9">
      <c r="B74" s="105">
        <v>66</v>
      </c>
      <c r="C74" s="107">
        <v>212742.60218723118</v>
      </c>
      <c r="D74" s="107">
        <v>-766707.85935115814</v>
      </c>
      <c r="E74" s="107">
        <v>194666.6890000701</v>
      </c>
      <c r="F74" s="107">
        <v>11207953.962722406</v>
      </c>
      <c r="G74" s="107">
        <v>-1096333.4097676575</v>
      </c>
      <c r="H74" s="107">
        <v>-3243735.2265732288</v>
      </c>
      <c r="I74" s="107">
        <v>-23454001.747730136</v>
      </c>
    </row>
    <row r="75" spans="2:9">
      <c r="B75" s="105">
        <v>67</v>
      </c>
      <c r="C75" s="107">
        <v>4761268.489577204</v>
      </c>
      <c r="D75" s="107">
        <v>3749676.2344333231</v>
      </c>
      <c r="E75" s="107">
        <v>8466819.5249675214</v>
      </c>
      <c r="F75" s="107">
        <v>3438391.8164856434</v>
      </c>
      <c r="G75" s="107">
        <v>-2321752.3761872351</v>
      </c>
      <c r="H75" s="107">
        <v>3312645.7030354142</v>
      </c>
      <c r="I75" s="107">
        <v>-2406987.874497816</v>
      </c>
    </row>
    <row r="76" spans="2:9">
      <c r="B76" s="105">
        <v>68</v>
      </c>
      <c r="C76" s="107">
        <v>-4256248.1251714975</v>
      </c>
      <c r="D76" s="107">
        <v>10956021.204662919</v>
      </c>
      <c r="E76" s="107">
        <v>6753485.656993404</v>
      </c>
      <c r="F76" s="107">
        <v>-11881009.907285452</v>
      </c>
      <c r="G76" s="107">
        <v>916641.23800116777</v>
      </c>
      <c r="H76" s="107">
        <v>-8510975.4991556108</v>
      </c>
      <c r="I76" s="107">
        <v>-14134923.04921031</v>
      </c>
    </row>
    <row r="77" spans="2:9">
      <c r="B77" s="105">
        <v>69</v>
      </c>
      <c r="C77" s="107">
        <v>-2747387.1333182454</v>
      </c>
      <c r="D77" s="107">
        <v>2897589.7799012065</v>
      </c>
      <c r="E77" s="107">
        <v>3342035.7973863333</v>
      </c>
      <c r="F77" s="107">
        <v>-10341977.016769215</v>
      </c>
      <c r="G77" s="107">
        <v>4083759.5524573475</v>
      </c>
      <c r="H77" s="107">
        <v>-18053302.351826325</v>
      </c>
      <c r="I77" s="107">
        <v>-4102828.5785364956</v>
      </c>
    </row>
    <row r="78" spans="2:9">
      <c r="B78" s="105">
        <v>70</v>
      </c>
      <c r="C78" s="107">
        <v>7335367.0045661926</v>
      </c>
      <c r="D78" s="107">
        <v>12547812.204684168</v>
      </c>
      <c r="E78" s="107">
        <v>7721568.582223922</v>
      </c>
      <c r="F78" s="107">
        <v>-12612550.742045313</v>
      </c>
      <c r="G78" s="107">
        <v>-6874623.9615488052</v>
      </c>
      <c r="H78" s="107">
        <v>-5534479.2291842848</v>
      </c>
      <c r="I78" s="107">
        <v>-7674452.2611006647</v>
      </c>
    </row>
    <row r="79" spans="2:9">
      <c r="B79" s="105">
        <v>71</v>
      </c>
      <c r="C79" s="107">
        <v>9276250.8702228367</v>
      </c>
      <c r="D79" s="107">
        <v>6032757.151293382</v>
      </c>
      <c r="E79" s="107">
        <v>6505886.4631632715</v>
      </c>
      <c r="F79" s="107">
        <v>-3825138.7225820869</v>
      </c>
      <c r="G79" s="107">
        <v>-708906.87984627485</v>
      </c>
      <c r="H79" s="107">
        <v>1278550.6226952821</v>
      </c>
      <c r="I79" s="107">
        <v>-5837668.0995356143</v>
      </c>
    </row>
    <row r="80" spans="2:9">
      <c r="B80" s="105">
        <v>72</v>
      </c>
      <c r="C80" s="107">
        <v>6513622.048845768</v>
      </c>
      <c r="D80" s="107">
        <v>6448032.9384434521</v>
      </c>
      <c r="E80" s="107">
        <v>8287415.6589544863</v>
      </c>
      <c r="F80" s="107">
        <v>-10758113.50231497</v>
      </c>
      <c r="G80" s="107">
        <v>-4055716.449699223</v>
      </c>
      <c r="H80" s="107">
        <v>3987575.8338593692</v>
      </c>
      <c r="I80" s="107">
        <v>-9358171.1687911153</v>
      </c>
    </row>
    <row r="81" spans="2:9">
      <c r="B81" s="105">
        <v>73</v>
      </c>
      <c r="C81" s="107">
        <v>930242.21618042886</v>
      </c>
      <c r="D81" s="107">
        <v>-4876876.2633854598</v>
      </c>
      <c r="E81" s="107">
        <v>3582854.242884621</v>
      </c>
      <c r="F81" s="107">
        <v>2729657.9145807475</v>
      </c>
      <c r="G81" s="107">
        <v>-4400114.0979872942</v>
      </c>
      <c r="H81" s="107">
        <v>6247956.98936598</v>
      </c>
      <c r="I81" s="107">
        <v>1060868.4209711999</v>
      </c>
    </row>
    <row r="82" spans="2:9">
      <c r="B82" s="105">
        <v>74</v>
      </c>
      <c r="C82" s="107">
        <v>-3196592.6284494698</v>
      </c>
      <c r="D82" s="107">
        <v>-2420829.9364413917</v>
      </c>
      <c r="E82" s="107">
        <v>-1838985.6068844348</v>
      </c>
      <c r="F82" s="107">
        <v>-1585729.2074289918</v>
      </c>
      <c r="G82" s="107">
        <v>-1126238.8360564858</v>
      </c>
      <c r="H82" s="107">
        <v>-11058606.644052178</v>
      </c>
      <c r="I82" s="107">
        <v>-9988717.4034544975</v>
      </c>
    </row>
    <row r="83" spans="2:9">
      <c r="B83" s="105">
        <v>75</v>
      </c>
      <c r="C83" s="107">
        <v>7549071.3879085779</v>
      </c>
      <c r="D83" s="107">
        <v>14576477.620988265</v>
      </c>
      <c r="E83" s="107">
        <v>7703683.3497442007</v>
      </c>
      <c r="F83" s="107">
        <v>1282113.7402656823</v>
      </c>
      <c r="G83" s="107">
        <v>1085765.5638598651</v>
      </c>
      <c r="H83" s="107">
        <v>-1554523.6095873564</v>
      </c>
      <c r="I83" s="107">
        <v>-5186637.1918216199</v>
      </c>
    </row>
    <row r="84" spans="2:9">
      <c r="B84" s="105">
        <v>76</v>
      </c>
      <c r="C84" s="107">
        <v>5237387.9440710694</v>
      </c>
      <c r="D84" s="107">
        <v>10321621.170829087</v>
      </c>
      <c r="E84" s="107">
        <v>-5560438.7045555264</v>
      </c>
      <c r="F84" s="107">
        <v>-9072824.2018882036</v>
      </c>
      <c r="G84" s="107">
        <v>5304136.2868205458</v>
      </c>
      <c r="H84" s="107">
        <v>2286108.4423668236</v>
      </c>
      <c r="I84" s="107">
        <v>-17134136.08816658</v>
      </c>
    </row>
    <row r="85" spans="2:9">
      <c r="B85" s="105">
        <v>77</v>
      </c>
      <c r="C85" s="107">
        <v>2004448.9419419765</v>
      </c>
      <c r="D85" s="107">
        <v>3124440.466125682</v>
      </c>
      <c r="E85" s="107">
        <v>-2697464.6151895821</v>
      </c>
      <c r="F85" s="107">
        <v>-1788788.3875884712</v>
      </c>
      <c r="G85" s="107">
        <v>-6251230.6838933378</v>
      </c>
      <c r="H85" s="107">
        <v>-8903550.7752354443</v>
      </c>
      <c r="I85" s="107">
        <v>-176828.77163402736</v>
      </c>
    </row>
    <row r="86" spans="2:9">
      <c r="B86" s="105">
        <v>78</v>
      </c>
      <c r="C86" s="107">
        <v>3226082.2122984231</v>
      </c>
      <c r="D86" s="107">
        <v>-1026443.3862118572</v>
      </c>
      <c r="E86" s="107">
        <v>1286560.3862882555</v>
      </c>
      <c r="F86" s="107">
        <v>6195830.462708205</v>
      </c>
      <c r="G86" s="107">
        <v>-3958325.4772301912</v>
      </c>
      <c r="H86" s="107">
        <v>-8449782.3714659512</v>
      </c>
      <c r="I86" s="107">
        <v>-23755192.615308657</v>
      </c>
    </row>
    <row r="87" spans="2:9">
      <c r="B87" s="105">
        <v>79</v>
      </c>
      <c r="C87" s="107">
        <v>10979497.4038551</v>
      </c>
      <c r="D87" s="107">
        <v>3032561.2718692571</v>
      </c>
      <c r="E87" s="107">
        <v>7658319.9692706764</v>
      </c>
      <c r="F87" s="107">
        <v>2063620.2693993896</v>
      </c>
      <c r="G87" s="107">
        <v>3182267.8829043061</v>
      </c>
      <c r="H87" s="107">
        <v>-9542255.7235985398</v>
      </c>
      <c r="I87" s="107">
        <v>-11671429.03057225</v>
      </c>
    </row>
    <row r="88" spans="2:9">
      <c r="B88" s="105">
        <v>80</v>
      </c>
      <c r="C88" s="107">
        <v>1211545.2148275524</v>
      </c>
      <c r="D88" s="107">
        <v>4879243.401145041</v>
      </c>
      <c r="E88" s="107">
        <v>-1295165.3769633323</v>
      </c>
      <c r="F88" s="107">
        <v>-2964820.2155299783</v>
      </c>
      <c r="G88" s="107">
        <v>-10136993.646527544</v>
      </c>
      <c r="H88" s="107">
        <v>3743735.6471042484</v>
      </c>
      <c r="I88" s="107">
        <v>-1657014.9520097077</v>
      </c>
    </row>
    <row r="89" spans="2:9">
      <c r="B89" s="105">
        <v>81</v>
      </c>
      <c r="C89" s="107">
        <v>6892797.5764787942</v>
      </c>
      <c r="D89" s="107">
        <v>6958922.2910393178</v>
      </c>
      <c r="E89" s="107">
        <v>2774854.3701693118</v>
      </c>
      <c r="F89" s="107">
        <v>-8075566.2159609348</v>
      </c>
      <c r="G89" s="107">
        <v>-4310013.7124123126</v>
      </c>
      <c r="H89" s="107">
        <v>-9757296.3353130668</v>
      </c>
      <c r="I89" s="107">
        <v>-6213732.9331819713</v>
      </c>
    </row>
    <row r="90" spans="2:9">
      <c r="B90" s="105">
        <v>82</v>
      </c>
      <c r="C90" s="107">
        <v>5116946.7424474806</v>
      </c>
      <c r="D90" s="107">
        <v>2994652.1219339669</v>
      </c>
      <c r="E90" s="107">
        <v>-3991021.1675085574</v>
      </c>
      <c r="F90" s="107">
        <v>3068600.2157248408</v>
      </c>
      <c r="G90" s="107">
        <v>-1384209.520813182</v>
      </c>
      <c r="H90" s="107">
        <v>-14754635.477092192</v>
      </c>
      <c r="I90" s="107">
        <v>-10462630.009864405</v>
      </c>
    </row>
    <row r="91" spans="2:9">
      <c r="B91" s="105">
        <v>83</v>
      </c>
      <c r="C91" s="107">
        <v>6334072.001955539</v>
      </c>
      <c r="D91" s="107">
        <v>6007262.96299389</v>
      </c>
      <c r="E91" s="107">
        <v>-1886118.7366999239</v>
      </c>
      <c r="F91" s="107">
        <v>-5121264.5280328691</v>
      </c>
      <c r="G91" s="107">
        <v>-1429495.5256512165</v>
      </c>
      <c r="H91" s="107">
        <v>-15431745.163069576</v>
      </c>
      <c r="I91" s="107">
        <v>-2118505.9211345762</v>
      </c>
    </row>
    <row r="92" spans="2:9">
      <c r="B92" s="105">
        <v>84</v>
      </c>
      <c r="C92" s="107">
        <v>6558669.5856382549</v>
      </c>
      <c r="D92" s="107">
        <v>4716800.8840594143</v>
      </c>
      <c r="E92" s="107">
        <v>-2504189.034504205</v>
      </c>
      <c r="F92" s="107">
        <v>-554728.06680987775</v>
      </c>
      <c r="G92" s="107">
        <v>1621135.8500610292</v>
      </c>
      <c r="H92" s="107">
        <v>-1880902.2340057194</v>
      </c>
      <c r="I92" s="107">
        <v>-7891210.9989330918</v>
      </c>
    </row>
    <row r="93" spans="2:9">
      <c r="B93" s="105">
        <v>85</v>
      </c>
      <c r="C93" s="107">
        <v>10165810.496626973</v>
      </c>
      <c r="D93" s="107">
        <v>1019262.9971876442</v>
      </c>
      <c r="E93" s="107">
        <v>1375840.7203989476</v>
      </c>
      <c r="F93" s="107">
        <v>8057675.7428284585</v>
      </c>
      <c r="G93" s="107">
        <v>-9357857.8946282566</v>
      </c>
      <c r="H93" s="107">
        <v>-9265183.3213499188</v>
      </c>
      <c r="I93" s="107">
        <v>-10996894.595741391</v>
      </c>
    </row>
    <row r="94" spans="2:9">
      <c r="B94" s="105">
        <v>86</v>
      </c>
      <c r="C94" s="107">
        <v>8985447.9737327695</v>
      </c>
      <c r="D94" s="107">
        <v>4734264.8073571324</v>
      </c>
      <c r="E94" s="107">
        <v>7859334.0204835534</v>
      </c>
      <c r="F94" s="107">
        <v>-4428076.9993693084</v>
      </c>
      <c r="G94" s="107">
        <v>4977046.4026770443</v>
      </c>
      <c r="H94" s="107">
        <v>-2310103.1200059652</v>
      </c>
      <c r="I94" s="107">
        <v>-7692314.0939101577</v>
      </c>
    </row>
    <row r="95" spans="2:9">
      <c r="B95" s="105">
        <v>87</v>
      </c>
      <c r="C95" s="107">
        <v>4544770.2120514214</v>
      </c>
      <c r="D95" s="107">
        <v>-2407179.8526095599</v>
      </c>
      <c r="E95" s="107">
        <v>-4160208.2945264578</v>
      </c>
      <c r="F95" s="107">
        <v>-7884658.8741210997</v>
      </c>
      <c r="G95" s="107">
        <v>1077125.3374055028</v>
      </c>
      <c r="H95" s="107">
        <v>-22699.905549511313</v>
      </c>
      <c r="I95" s="107">
        <v>-4141306.995636493</v>
      </c>
    </row>
    <row r="96" spans="2:9">
      <c r="B96" s="105">
        <v>88</v>
      </c>
      <c r="C96" s="107">
        <v>8112988.6393450797</v>
      </c>
      <c r="D96" s="107">
        <v>4209493.8149208874</v>
      </c>
      <c r="E96" s="107">
        <v>8483079.0754977912</v>
      </c>
      <c r="F96" s="107">
        <v>-1747880.4780639708</v>
      </c>
      <c r="G96" s="107">
        <v>-3153512.5112561733</v>
      </c>
      <c r="H96" s="107">
        <v>720582.29501861334</v>
      </c>
      <c r="I96" s="107">
        <v>-3060167.7035582513</v>
      </c>
    </row>
    <row r="97" spans="2:9">
      <c r="B97" s="105">
        <v>89</v>
      </c>
      <c r="C97" s="107">
        <v>-10212409.868789077</v>
      </c>
      <c r="D97" s="107">
        <v>16566126.819920033</v>
      </c>
      <c r="E97" s="107">
        <v>9004776.2641738951</v>
      </c>
      <c r="F97" s="107">
        <v>4632859.3484247923</v>
      </c>
      <c r="G97" s="107">
        <v>-6053924.8472865373</v>
      </c>
      <c r="H97" s="107">
        <v>-6864041.4882207215</v>
      </c>
      <c r="I97" s="107">
        <v>-1175198.606108278</v>
      </c>
    </row>
    <row r="98" spans="2:9">
      <c r="B98" s="105">
        <v>90</v>
      </c>
      <c r="C98" s="107">
        <v>-2196853.7244644016</v>
      </c>
      <c r="D98" s="107">
        <v>930814.6431389153</v>
      </c>
      <c r="E98" s="107">
        <v>6717375.3813392669</v>
      </c>
      <c r="F98" s="107">
        <v>-4484753.1673541665</v>
      </c>
      <c r="G98" s="107">
        <v>76744.12990732491</v>
      </c>
      <c r="H98" s="107">
        <v>-5702249.6804586202</v>
      </c>
      <c r="I98" s="107">
        <v>-854003.16344042122</v>
      </c>
    </row>
    <row r="99" spans="2:9">
      <c r="B99" s="105">
        <v>91</v>
      </c>
      <c r="C99" s="107">
        <v>382073.65523196757</v>
      </c>
      <c r="D99" s="107">
        <v>8905967.6569069177</v>
      </c>
      <c r="E99" s="107">
        <v>11406939.231535405</v>
      </c>
      <c r="F99" s="107">
        <v>-4595922.5433073938</v>
      </c>
      <c r="G99" s="107">
        <v>3047216.4413143843</v>
      </c>
      <c r="H99" s="107">
        <v>-1532553.5814947933</v>
      </c>
      <c r="I99" s="107">
        <v>-3090086.5456808805</v>
      </c>
    </row>
    <row r="100" spans="2:9">
      <c r="B100" s="105">
        <v>92</v>
      </c>
      <c r="C100" s="107">
        <v>-3984677.4823967814</v>
      </c>
      <c r="D100" s="107">
        <v>5164804.8019950688</v>
      </c>
      <c r="E100" s="107">
        <v>-2148935.9523955882</v>
      </c>
      <c r="F100" s="107">
        <v>-6788187.8118706942</v>
      </c>
      <c r="G100" s="107">
        <v>600984.67831529677</v>
      </c>
      <c r="H100" s="107">
        <v>-3162488.5899663419</v>
      </c>
      <c r="I100" s="107">
        <v>-10809952.334166557</v>
      </c>
    </row>
    <row r="101" spans="2:9">
      <c r="B101" s="105">
        <v>93</v>
      </c>
      <c r="C101" s="107">
        <v>6075341.5444455445</v>
      </c>
      <c r="D101" s="107">
        <v>768820.02199669182</v>
      </c>
      <c r="E101" s="107">
        <v>-6127412.7871240079</v>
      </c>
      <c r="F101" s="107">
        <v>-2803813.4659806043</v>
      </c>
      <c r="G101" s="107">
        <v>-9589903.9093123674</v>
      </c>
      <c r="H101" s="107">
        <v>-5464597.45791547</v>
      </c>
      <c r="I101" s="107">
        <v>-9371069.9596007615</v>
      </c>
    </row>
    <row r="102" spans="2:9">
      <c r="B102" s="105">
        <v>94</v>
      </c>
      <c r="C102" s="107">
        <v>2430605.2304033041</v>
      </c>
      <c r="D102" s="107">
        <v>-3537771.0839328915</v>
      </c>
      <c r="E102" s="107">
        <v>-7600081.734719798</v>
      </c>
      <c r="F102" s="107">
        <v>3696903.4592698216</v>
      </c>
      <c r="G102" s="107">
        <v>-2667407.4702771753</v>
      </c>
      <c r="H102" s="107">
        <v>-5410571.7649186254</v>
      </c>
      <c r="I102" s="107">
        <v>-7877320.76958552</v>
      </c>
    </row>
    <row r="103" spans="2:9">
      <c r="B103" s="105">
        <v>95</v>
      </c>
      <c r="C103" s="107">
        <v>10067813.929871961</v>
      </c>
      <c r="D103" s="107">
        <v>-5637852.9180237055</v>
      </c>
      <c r="E103" s="107">
        <v>6716228.185370639</v>
      </c>
      <c r="F103" s="107">
        <v>-8764987.247088328</v>
      </c>
      <c r="G103" s="107">
        <v>-5422772.7056624144</v>
      </c>
      <c r="H103" s="107">
        <v>-3858868.0614940524</v>
      </c>
      <c r="I103" s="107">
        <v>983123.23460826278</v>
      </c>
    </row>
    <row r="104" spans="2:9">
      <c r="B104" s="105">
        <v>96</v>
      </c>
      <c r="C104" s="107">
        <v>4601783.594457984</v>
      </c>
      <c r="D104" s="107">
        <v>3106652.8631073236</v>
      </c>
      <c r="E104" s="107">
        <v>-3436872.1729185879</v>
      </c>
      <c r="F104" s="107">
        <v>-958517.33575704694</v>
      </c>
      <c r="G104" s="107">
        <v>-14778325.294866219</v>
      </c>
      <c r="H104" s="107">
        <v>-1708048.9711613506</v>
      </c>
      <c r="I104" s="107">
        <v>-6418384.4684965909</v>
      </c>
    </row>
    <row r="105" spans="2:9">
      <c r="B105" s="105">
        <v>97</v>
      </c>
      <c r="C105" s="107">
        <v>18985545.105333075</v>
      </c>
      <c r="D105" s="107">
        <v>2016767.5159740448</v>
      </c>
      <c r="E105" s="107">
        <v>8450989.6865014434</v>
      </c>
      <c r="F105" s="107">
        <v>1998509.9463709742</v>
      </c>
      <c r="G105" s="107">
        <v>-12016414.039157137</v>
      </c>
      <c r="H105" s="107">
        <v>715336.60795210302</v>
      </c>
      <c r="I105" s="107">
        <v>1258254.0205290318</v>
      </c>
    </row>
    <row r="106" spans="2:9">
      <c r="B106" s="105">
        <v>98</v>
      </c>
      <c r="C106" s="107">
        <v>-2142215.0452891737</v>
      </c>
      <c r="D106" s="107">
        <v>4114664.6508359611</v>
      </c>
      <c r="E106" s="107">
        <v>-875960.85736234486</v>
      </c>
      <c r="F106" s="107">
        <v>2329771.1062180996</v>
      </c>
      <c r="G106" s="107">
        <v>4302355.5013616383</v>
      </c>
      <c r="H106" s="107">
        <v>-8083604.7409667373</v>
      </c>
      <c r="I106" s="107">
        <v>-10979539.450999901</v>
      </c>
    </row>
    <row r="107" spans="2:9">
      <c r="B107" s="105">
        <v>99</v>
      </c>
      <c r="C107" s="107">
        <v>12344501.703007549</v>
      </c>
      <c r="D107" s="107">
        <v>-1810515.6999448389</v>
      </c>
      <c r="E107" s="107">
        <v>4354909.265903011</v>
      </c>
      <c r="F107" s="107">
        <v>-149936.70744989812</v>
      </c>
      <c r="G107" s="107">
        <v>728010.56472414732</v>
      </c>
      <c r="H107" s="107">
        <v>-3478246.2349670678</v>
      </c>
      <c r="I107" s="107">
        <v>-7578839.2759528905</v>
      </c>
    </row>
    <row r="108" spans="2:9">
      <c r="B108" s="105">
        <v>100</v>
      </c>
      <c r="C108" s="107">
        <v>6041763.6789799333</v>
      </c>
      <c r="D108" s="107">
        <v>1858246.9701806009</v>
      </c>
      <c r="E108" s="107">
        <v>-3992643.9477466345</v>
      </c>
      <c r="F108" s="107">
        <v>-645615.3713234067</v>
      </c>
      <c r="G108" s="107">
        <v>1488878.1391347051</v>
      </c>
      <c r="H108" s="107">
        <v>-9277523.1426886171</v>
      </c>
      <c r="I108" s="107">
        <v>-9111105.4688846469</v>
      </c>
    </row>
    <row r="109" spans="2:9">
      <c r="B109" s="105">
        <v>101</v>
      </c>
      <c r="C109" s="107">
        <v>9644759.6574838758</v>
      </c>
      <c r="D109" s="107">
        <v>14106953.126515687</v>
      </c>
      <c r="E109" s="107">
        <v>-2609198.2997856736</v>
      </c>
      <c r="F109" s="107">
        <v>4726296.2126669735</v>
      </c>
      <c r="G109" s="107">
        <v>-8630875.5319029391</v>
      </c>
      <c r="H109" s="107">
        <v>-7277965.3613014966</v>
      </c>
      <c r="I109" s="107">
        <v>-11028142.010085866</v>
      </c>
    </row>
    <row r="110" spans="2:9">
      <c r="B110" s="105">
        <v>102</v>
      </c>
      <c r="C110" s="107">
        <v>8285068.3743907213</v>
      </c>
      <c r="D110" s="107">
        <v>255720.32908603549</v>
      </c>
      <c r="E110" s="107">
        <v>4304092.5820449144</v>
      </c>
      <c r="F110" s="107">
        <v>1027558.8705516309</v>
      </c>
      <c r="G110" s="107">
        <v>-100719.39944568276</v>
      </c>
      <c r="H110" s="107">
        <v>-11157497.262408927</v>
      </c>
      <c r="I110" s="107">
        <v>-16600549.15417549</v>
      </c>
    </row>
    <row r="111" spans="2:9">
      <c r="B111" s="105">
        <v>103</v>
      </c>
      <c r="C111" s="107">
        <v>5371485.3584317863</v>
      </c>
      <c r="D111" s="107">
        <v>9650211.9497532547</v>
      </c>
      <c r="E111" s="107">
        <v>-1722075.9514510185</v>
      </c>
      <c r="F111" s="107">
        <v>-2847662.4441562593</v>
      </c>
      <c r="G111" s="107">
        <v>-2039954.4608157575</v>
      </c>
      <c r="H111" s="107">
        <v>-10907207.855944753</v>
      </c>
      <c r="I111" s="107">
        <v>-14744550.360345349</v>
      </c>
    </row>
    <row r="112" spans="2:9">
      <c r="B112" s="105">
        <v>104</v>
      </c>
      <c r="C112" s="107">
        <v>6540631.922215268</v>
      </c>
      <c r="D112" s="107">
        <v>1806445.1277768612</v>
      </c>
      <c r="E112" s="107">
        <v>11056600.432387277</v>
      </c>
      <c r="F112" s="107">
        <v>-3677679.4579075575</v>
      </c>
      <c r="G112" s="107">
        <v>3047820.1514039338</v>
      </c>
      <c r="H112" s="107">
        <v>6378918.7782186717</v>
      </c>
      <c r="I112" s="107">
        <v>5801167.9046023488</v>
      </c>
    </row>
    <row r="113" spans="2:9">
      <c r="B113" s="105">
        <v>105</v>
      </c>
      <c r="C113" s="107">
        <v>5439224.9480889589</v>
      </c>
      <c r="D113" s="107">
        <v>8552977.3545297235</v>
      </c>
      <c r="E113" s="107">
        <v>-4465637.3967538029</v>
      </c>
      <c r="F113" s="107">
        <v>-6809562.5130911469</v>
      </c>
      <c r="G113" s="107">
        <v>750539.14393407106</v>
      </c>
      <c r="H113" s="107">
        <v>-4126882.4764599055</v>
      </c>
      <c r="I113" s="107">
        <v>-5175375.370701462</v>
      </c>
    </row>
    <row r="114" spans="2:9">
      <c r="B114" s="105">
        <v>106</v>
      </c>
      <c r="C114" s="107">
        <v>7667264.5569374859</v>
      </c>
      <c r="D114" s="107">
        <v>10115231.261153236</v>
      </c>
      <c r="E114" s="107">
        <v>-181307.61808225513</v>
      </c>
      <c r="F114" s="107">
        <v>1840281.5676355958</v>
      </c>
      <c r="G114" s="107">
        <v>-2432574.2830944806</v>
      </c>
      <c r="H114" s="107">
        <v>-2532251.1702278852</v>
      </c>
      <c r="I114" s="107">
        <v>-6408329.9973020256</v>
      </c>
    </row>
    <row r="115" spans="2:9">
      <c r="B115" s="105">
        <v>107</v>
      </c>
      <c r="C115" s="107">
        <v>15871744.799838424</v>
      </c>
      <c r="D115" s="107">
        <v>3847482.2861856818</v>
      </c>
      <c r="E115" s="107">
        <v>-4491353.6872043014</v>
      </c>
      <c r="F115" s="107">
        <v>3096054.3692611158</v>
      </c>
      <c r="G115" s="107">
        <v>-2146222.9576507807</v>
      </c>
      <c r="H115" s="107">
        <v>-8567923.756784305</v>
      </c>
      <c r="I115" s="107">
        <v>-4133881.3186608404</v>
      </c>
    </row>
    <row r="116" spans="2:9">
      <c r="B116" s="105">
        <v>108</v>
      </c>
      <c r="C116" s="107">
        <v>7712642.1366527826</v>
      </c>
      <c r="D116" s="107">
        <v>6734213.2043015808</v>
      </c>
      <c r="E116" s="107">
        <v>-175270.76242302358</v>
      </c>
      <c r="F116" s="107">
        <v>-7651648.1708559841</v>
      </c>
      <c r="G116" s="107">
        <v>-1856999.2680598795</v>
      </c>
      <c r="H116" s="107">
        <v>1885327.4763461947</v>
      </c>
      <c r="I116" s="107">
        <v>-5584756.0453451872</v>
      </c>
    </row>
    <row r="117" spans="2:9">
      <c r="B117" s="105">
        <v>109</v>
      </c>
      <c r="C117" s="107">
        <v>12299324.964995861</v>
      </c>
      <c r="D117" s="107">
        <v>5541550.6763295084</v>
      </c>
      <c r="E117" s="107">
        <v>1567666.0534750372</v>
      </c>
      <c r="F117" s="107">
        <v>2208161.1388406008</v>
      </c>
      <c r="G117" s="107">
        <v>-13358365.118995205</v>
      </c>
      <c r="H117" s="107">
        <v>-11431426.487269551</v>
      </c>
      <c r="I117" s="107">
        <v>-13268932.223522648</v>
      </c>
    </row>
    <row r="118" spans="2:9">
      <c r="B118" s="105">
        <v>110</v>
      </c>
      <c r="C118" s="107">
        <v>1856311.5597602576</v>
      </c>
      <c r="D118" s="107">
        <v>-2380090.5333743095</v>
      </c>
      <c r="E118" s="107">
        <v>2344505.4265867025</v>
      </c>
      <c r="F118" s="107">
        <v>-4792890.2200734168</v>
      </c>
      <c r="G118" s="107">
        <v>5682569.8837753534</v>
      </c>
      <c r="H118" s="107">
        <v>-9178473.5234852433</v>
      </c>
      <c r="I118" s="107">
        <v>-12460897.289600715</v>
      </c>
    </row>
    <row r="119" spans="2:9">
      <c r="B119" s="105">
        <v>111</v>
      </c>
      <c r="C119" s="107">
        <v>10303496.392234042</v>
      </c>
      <c r="D119" s="107">
        <v>8150239.1938510537</v>
      </c>
      <c r="E119" s="107">
        <v>-1090693.4636645913</v>
      </c>
      <c r="F119" s="107">
        <v>-1491043.0614170432</v>
      </c>
      <c r="G119" s="107">
        <v>11204709.063280642</v>
      </c>
      <c r="H119" s="107">
        <v>1354199.8126243353</v>
      </c>
      <c r="I119" s="107">
        <v>-1641074.6197674572</v>
      </c>
    </row>
    <row r="120" spans="2:9">
      <c r="B120" s="105">
        <v>112</v>
      </c>
      <c r="C120" s="107">
        <v>4045872.0389466733</v>
      </c>
      <c r="D120" s="107">
        <v>8190979.2167379707</v>
      </c>
      <c r="E120" s="107">
        <v>5138265.859522149</v>
      </c>
      <c r="F120" s="107">
        <v>-4028908.3921752423</v>
      </c>
      <c r="G120" s="107">
        <v>3879591.7954421192</v>
      </c>
      <c r="H120" s="107">
        <v>-20122291.361920878</v>
      </c>
      <c r="I120" s="107">
        <v>-6084219.4465569407</v>
      </c>
    </row>
    <row r="121" spans="2:9">
      <c r="B121" s="105">
        <v>113</v>
      </c>
      <c r="C121" s="107">
        <v>4606961.710646227</v>
      </c>
      <c r="D121" s="107">
        <v>11016519.089959994</v>
      </c>
      <c r="E121" s="107">
        <v>-3798442.2906596363</v>
      </c>
      <c r="F121" s="107">
        <v>-10108966.245680749</v>
      </c>
      <c r="G121" s="107">
        <v>-552231.60911743343</v>
      </c>
      <c r="H121" s="107">
        <v>-2221689.9548062533</v>
      </c>
      <c r="I121" s="107">
        <v>-20165599.857524022</v>
      </c>
    </row>
    <row r="122" spans="2:9">
      <c r="B122" s="105">
        <v>114</v>
      </c>
      <c r="C122" s="107">
        <v>-2783763.5111014545</v>
      </c>
      <c r="D122" s="107">
        <v>-242800.43258324265</v>
      </c>
      <c r="E122" s="107">
        <v>261682.4109852016</v>
      </c>
      <c r="F122" s="107">
        <v>4209822.8259554058</v>
      </c>
      <c r="G122" s="107">
        <v>-8902674.9149305522</v>
      </c>
      <c r="H122" s="107">
        <v>-11059086.08928746</v>
      </c>
      <c r="I122" s="107">
        <v>-14324653.857426465</v>
      </c>
    </row>
    <row r="123" spans="2:9">
      <c r="B123" s="105">
        <v>115</v>
      </c>
      <c r="C123" s="107">
        <v>3279621.3856032342</v>
      </c>
      <c r="D123" s="107">
        <v>-583296.76292046905</v>
      </c>
      <c r="E123" s="107">
        <v>3232624.9596178085</v>
      </c>
      <c r="F123" s="107">
        <v>-7654554.1284850091</v>
      </c>
      <c r="G123" s="107">
        <v>-12496215.919185698</v>
      </c>
      <c r="H123" s="107">
        <v>-4364390.7357523739</v>
      </c>
      <c r="I123" s="107">
        <v>4737694.1274255961</v>
      </c>
    </row>
    <row r="124" spans="2:9">
      <c r="B124" s="105">
        <v>116</v>
      </c>
      <c r="C124" s="107">
        <v>2146383.5555212796</v>
      </c>
      <c r="D124" s="107">
        <v>13925910.798444837</v>
      </c>
      <c r="E124" s="107">
        <v>8922187.8545395732</v>
      </c>
      <c r="F124" s="107">
        <v>-294119.86111430824</v>
      </c>
      <c r="G124" s="107">
        <v>-15049713.861028701</v>
      </c>
      <c r="H124" s="107">
        <v>945205.07447105646</v>
      </c>
      <c r="I124" s="107">
        <v>-10189429.955627739</v>
      </c>
    </row>
    <row r="125" spans="2:9">
      <c r="B125" s="105">
        <v>117</v>
      </c>
      <c r="C125" s="107">
        <v>-947225.81642091274</v>
      </c>
      <c r="D125" s="107">
        <v>7335834.2192508727</v>
      </c>
      <c r="E125" s="107">
        <v>-1461991.5814245641</v>
      </c>
      <c r="F125" s="107">
        <v>-5262075.8264333755</v>
      </c>
      <c r="G125" s="107">
        <v>-13871382.70271866</v>
      </c>
      <c r="H125" s="107">
        <v>-9014036.8834920079</v>
      </c>
      <c r="I125" s="107">
        <v>-12625506.035169095</v>
      </c>
    </row>
    <row r="126" spans="2:9">
      <c r="B126" s="105">
        <v>118</v>
      </c>
      <c r="C126" s="107">
        <v>2529960.0074720383</v>
      </c>
      <c r="D126" s="107">
        <v>1260705.5490768105</v>
      </c>
      <c r="E126" s="107">
        <v>-2289369.1474478245</v>
      </c>
      <c r="F126" s="107">
        <v>2123322.237351045</v>
      </c>
      <c r="G126" s="107">
        <v>1010378.2992223799</v>
      </c>
      <c r="H126" s="107">
        <v>-11109427.990239382</v>
      </c>
      <c r="I126" s="107">
        <v>-8283436.2947436869</v>
      </c>
    </row>
    <row r="127" spans="2:9">
      <c r="B127" s="105">
        <v>119</v>
      </c>
      <c r="C127" s="107">
        <v>5776319.906009838</v>
      </c>
      <c r="D127" s="107">
        <v>4043940.8267457336</v>
      </c>
      <c r="E127" s="107">
        <v>1855201.1554030776</v>
      </c>
      <c r="F127" s="107">
        <v>-3839499.6212607324</v>
      </c>
      <c r="G127" s="107">
        <v>-458728.14305432141</v>
      </c>
      <c r="H127" s="107">
        <v>-2508037.1698157489</v>
      </c>
      <c r="I127" s="107">
        <v>-9289396.3059608638</v>
      </c>
    </row>
    <row r="128" spans="2:9">
      <c r="B128" s="105">
        <v>120</v>
      </c>
      <c r="C128" s="107">
        <v>5596109.0206594169</v>
      </c>
      <c r="D128" s="107">
        <v>1738893.4555152953</v>
      </c>
      <c r="E128" s="107">
        <v>-5049500.78296417</v>
      </c>
      <c r="F128" s="107">
        <v>-1829825.5161170959</v>
      </c>
      <c r="G128" s="107">
        <v>-6540944.5593098998</v>
      </c>
      <c r="H128" s="107">
        <v>318459.37865777314</v>
      </c>
      <c r="I128" s="107">
        <v>-3644449.278278172</v>
      </c>
    </row>
    <row r="129" spans="2:9">
      <c r="B129" s="105">
        <v>121</v>
      </c>
      <c r="C129" s="107">
        <v>13976951.222219497</v>
      </c>
      <c r="D129" s="107">
        <v>2072335.9854329973</v>
      </c>
      <c r="E129" s="107">
        <v>-6705.440973341465</v>
      </c>
      <c r="F129" s="107">
        <v>4931590.3304762542</v>
      </c>
      <c r="G129" s="107">
        <v>356279.95060569048</v>
      </c>
      <c r="H129" s="107">
        <v>-6403304.7664742172</v>
      </c>
      <c r="I129" s="107">
        <v>-15311135.133982003</v>
      </c>
    </row>
    <row r="130" spans="2:9">
      <c r="B130" s="105">
        <v>122</v>
      </c>
      <c r="C130" s="107">
        <v>12864622.311013222</v>
      </c>
      <c r="D130" s="107">
        <v>-398203.80795063078</v>
      </c>
      <c r="E130" s="107">
        <v>-3434676.50228329</v>
      </c>
      <c r="F130" s="107">
        <v>-883054.21698012948</v>
      </c>
      <c r="G130" s="107">
        <v>-1726360.720389694</v>
      </c>
      <c r="H130" s="107">
        <v>-1156186.1919394732</v>
      </c>
      <c r="I130" s="107">
        <v>-6844584.5598000884</v>
      </c>
    </row>
    <row r="131" spans="2:9">
      <c r="B131" s="105">
        <v>123</v>
      </c>
      <c r="C131" s="107">
        <v>5163341.9851934165</v>
      </c>
      <c r="D131" s="107">
        <v>676067.94401086867</v>
      </c>
      <c r="E131" s="107">
        <v>-4983196.597674951</v>
      </c>
      <c r="F131" s="107">
        <v>3104235.3755177855</v>
      </c>
      <c r="G131" s="107">
        <v>-5929078.5845563859</v>
      </c>
      <c r="H131" s="107">
        <v>-3755752.402050063</v>
      </c>
      <c r="I131" s="107">
        <v>-12391926.916685343</v>
      </c>
    </row>
    <row r="132" spans="2:9">
      <c r="B132" s="105">
        <v>124</v>
      </c>
      <c r="C132" s="107">
        <v>6214606.7512104362</v>
      </c>
      <c r="D132" s="107">
        <v>-3061553.2217493802</v>
      </c>
      <c r="E132" s="107">
        <v>-994281.54406543076</v>
      </c>
      <c r="F132" s="107">
        <v>4458532.578551963</v>
      </c>
      <c r="G132" s="107">
        <v>-1555183.0158107281</v>
      </c>
      <c r="H132" s="107">
        <v>-6153486.6337268203</v>
      </c>
      <c r="I132" s="107">
        <v>-8363576.5929704159</v>
      </c>
    </row>
    <row r="133" spans="2:9">
      <c r="B133" s="105">
        <v>125</v>
      </c>
      <c r="C133" s="107">
        <v>3918689.3364498913</v>
      </c>
      <c r="D133" s="107">
        <v>2336991.5166485906</v>
      </c>
      <c r="E133" s="107">
        <v>-6110101.865411073</v>
      </c>
      <c r="F133" s="107">
        <v>-7072523.6989390701</v>
      </c>
      <c r="G133" s="107">
        <v>-16588901.291183025</v>
      </c>
      <c r="H133" s="107">
        <v>-5285227.4176588953</v>
      </c>
      <c r="I133" s="107">
        <v>-11002977.786201984</v>
      </c>
    </row>
    <row r="134" spans="2:9">
      <c r="B134" s="105">
        <v>126</v>
      </c>
      <c r="C134" s="107">
        <v>-5529818.1586473733</v>
      </c>
      <c r="D134" s="107">
        <v>-6505501.4838499427</v>
      </c>
      <c r="E134" s="107">
        <v>2402196.6499065608</v>
      </c>
      <c r="F134" s="107">
        <v>-4874513.7374956459</v>
      </c>
      <c r="G134" s="107">
        <v>970516.81504708529</v>
      </c>
      <c r="H134" s="107">
        <v>-1816221.2800897509</v>
      </c>
      <c r="I134" s="107">
        <v>-4145732.2414826006</v>
      </c>
    </row>
    <row r="135" spans="2:9">
      <c r="B135" s="105">
        <v>127</v>
      </c>
      <c r="C135" s="107">
        <v>5894102.1653616577</v>
      </c>
      <c r="D135" s="107">
        <v>1260781.839642033</v>
      </c>
      <c r="E135" s="107">
        <v>3974880.7877871543</v>
      </c>
      <c r="F135" s="107">
        <v>-1119703.4618573338</v>
      </c>
      <c r="G135" s="107">
        <v>218254.86991539598</v>
      </c>
      <c r="H135" s="107">
        <v>-15204471.398412883</v>
      </c>
      <c r="I135" s="107">
        <v>-1572126.6187268198</v>
      </c>
    </row>
    <row r="136" spans="2:9">
      <c r="B136" s="105">
        <v>128</v>
      </c>
      <c r="C136" s="107">
        <v>-680226.84838694334</v>
      </c>
      <c r="D136" s="107">
        <v>12667339.326856792</v>
      </c>
      <c r="E136" s="107">
        <v>7881277.3503757417</v>
      </c>
      <c r="F136" s="107">
        <v>-9984911.4795421362</v>
      </c>
      <c r="G136" s="107">
        <v>-7041321.5251718163</v>
      </c>
      <c r="H136" s="107">
        <v>-5904825.1431281716</v>
      </c>
      <c r="I136" s="107">
        <v>-3709169.4550547749</v>
      </c>
    </row>
    <row r="137" spans="2:9">
      <c r="B137" s="105">
        <v>129</v>
      </c>
      <c r="C137" s="107">
        <v>12105967.581440315</v>
      </c>
      <c r="D137" s="107">
        <v>-2529903.5826841444</v>
      </c>
      <c r="E137" s="107">
        <v>-3417139.9615181088</v>
      </c>
      <c r="F137" s="107">
        <v>-2179446.2055556476</v>
      </c>
      <c r="G137" s="107">
        <v>283597.90113636851</v>
      </c>
      <c r="H137" s="107">
        <v>-10773207.855643287</v>
      </c>
      <c r="I137" s="107">
        <v>467040.99994207919</v>
      </c>
    </row>
    <row r="138" spans="2:9">
      <c r="B138" s="105">
        <v>130</v>
      </c>
      <c r="C138" s="107">
        <v>1641180.621967569</v>
      </c>
      <c r="D138" s="107">
        <v>7312774.5916763246</v>
      </c>
      <c r="E138" s="107">
        <v>11269339.974445656</v>
      </c>
      <c r="F138" s="107">
        <v>-4248559.6416393071</v>
      </c>
      <c r="G138" s="107">
        <v>441536.88653567433</v>
      </c>
      <c r="H138" s="107">
        <v>-2126717.6279275417</v>
      </c>
      <c r="I138" s="107">
        <v>-6061817.5966937393</v>
      </c>
    </row>
    <row r="139" spans="2:9">
      <c r="B139" s="105">
        <v>131</v>
      </c>
      <c r="C139" s="107">
        <v>12050031.684302121</v>
      </c>
      <c r="D139" s="107">
        <v>4512333.8227260262</v>
      </c>
      <c r="E139" s="107">
        <v>836162.79287287593</v>
      </c>
      <c r="F139" s="107">
        <v>-2790479.8252652735</v>
      </c>
      <c r="G139" s="107">
        <v>-5003604.1280294359</v>
      </c>
      <c r="H139" s="107">
        <v>-4890923.7016574591</v>
      </c>
      <c r="I139" s="107">
        <v>-1708696.4722274244</v>
      </c>
    </row>
    <row r="140" spans="2:9">
      <c r="B140" s="105">
        <v>132</v>
      </c>
      <c r="C140" s="107">
        <v>6557698.4767946154</v>
      </c>
      <c r="D140" s="107">
        <v>8302838.2634700388</v>
      </c>
      <c r="E140" s="107">
        <v>-4349983.1581047773</v>
      </c>
      <c r="F140" s="107">
        <v>335905.87159051001</v>
      </c>
      <c r="G140" s="107">
        <v>-877804.38078963757</v>
      </c>
      <c r="H140" s="107">
        <v>-4215273.0285612643</v>
      </c>
      <c r="I140" s="107">
        <v>-6341626.4137305617</v>
      </c>
    </row>
    <row r="141" spans="2:9">
      <c r="B141" s="105">
        <v>133</v>
      </c>
      <c r="C141" s="107">
        <v>4038831.2225389034</v>
      </c>
      <c r="D141" s="107">
        <v>-4364867.1468612254</v>
      </c>
      <c r="E141" s="107">
        <v>782057.80138842762</v>
      </c>
      <c r="F141" s="107">
        <v>-3332490.5039795637</v>
      </c>
      <c r="G141" s="107">
        <v>610270.36851245165</v>
      </c>
      <c r="H141" s="107">
        <v>-3395211.7653044611</v>
      </c>
      <c r="I141" s="107">
        <v>-3632325.1778142601</v>
      </c>
    </row>
    <row r="142" spans="2:9">
      <c r="B142" s="105">
        <v>134</v>
      </c>
      <c r="C142" s="107">
        <v>6049843.2471581697</v>
      </c>
      <c r="D142" s="107">
        <v>8389151.0523153394</v>
      </c>
      <c r="E142" s="107">
        <v>-7612540.7996503413</v>
      </c>
      <c r="F142" s="107">
        <v>455932.98883095384</v>
      </c>
      <c r="G142" s="107">
        <v>-2863712.6328549236</v>
      </c>
      <c r="H142" s="107">
        <v>-6978595.597001493</v>
      </c>
      <c r="I142" s="107">
        <v>-8285409.1661626101</v>
      </c>
    </row>
    <row r="143" spans="2:9">
      <c r="B143" s="105">
        <v>135</v>
      </c>
      <c r="C143" s="107">
        <v>2062152.3914775699</v>
      </c>
      <c r="D143" s="107">
        <v>2097732.4978367537</v>
      </c>
      <c r="E143" s="107">
        <v>-206175.49903559685</v>
      </c>
      <c r="F143" s="107">
        <v>1752214.922190249</v>
      </c>
      <c r="G143" s="107">
        <v>-4165308.9044556022</v>
      </c>
      <c r="H143" s="107">
        <v>-7675965.1042839587</v>
      </c>
      <c r="I143" s="107">
        <v>-3644740.9299454093</v>
      </c>
    </row>
    <row r="144" spans="2:9">
      <c r="B144" s="105">
        <v>136</v>
      </c>
      <c r="C144" s="107">
        <v>-6453154.5994222909</v>
      </c>
      <c r="D144" s="107">
        <v>7438091.5917003155</v>
      </c>
      <c r="E144" s="107">
        <v>5645427.5343389362</v>
      </c>
      <c r="F144" s="107">
        <v>229818.14379528165</v>
      </c>
      <c r="G144" s="107">
        <v>-7062722.2028751671</v>
      </c>
      <c r="H144" s="107">
        <v>-4874586.0715022981</v>
      </c>
      <c r="I144" s="107">
        <v>-12272240.623169988</v>
      </c>
    </row>
    <row r="145" spans="2:9">
      <c r="B145" s="105">
        <v>137</v>
      </c>
      <c r="C145" s="107">
        <v>6821995.3081360608</v>
      </c>
      <c r="D145" s="107">
        <v>9027799.366971761</v>
      </c>
      <c r="E145" s="107">
        <v>-2817786.3149156123</v>
      </c>
      <c r="F145" s="107">
        <v>-3390968.4000060707</v>
      </c>
      <c r="G145" s="107">
        <v>8525337.3053453118</v>
      </c>
      <c r="H145" s="107">
        <v>-5084308.0550921857</v>
      </c>
      <c r="I145" s="107">
        <v>-8389529.2418203503</v>
      </c>
    </row>
    <row r="146" spans="2:9">
      <c r="B146" s="105">
        <v>138</v>
      </c>
      <c r="C146" s="107">
        <v>6205575.4507686198</v>
      </c>
      <c r="D146" s="107">
        <v>-1013467.6633935571</v>
      </c>
      <c r="E146" s="107">
        <v>-7440525.3468058407</v>
      </c>
      <c r="F146" s="107">
        <v>-5607234.8698196113</v>
      </c>
      <c r="G146" s="107">
        <v>-2914713.5773552954</v>
      </c>
      <c r="H146" s="107">
        <v>7740336.6272301525</v>
      </c>
      <c r="I146" s="107">
        <v>-14857256.912876964</v>
      </c>
    </row>
    <row r="147" spans="2:9">
      <c r="B147" s="105">
        <v>139</v>
      </c>
      <c r="C147" s="107">
        <v>1728339.5560464114</v>
      </c>
      <c r="D147" s="107">
        <v>16197188.655976027</v>
      </c>
      <c r="E147" s="107">
        <v>4631798.7235258967</v>
      </c>
      <c r="F147" s="107">
        <v>-3927893.56312114</v>
      </c>
      <c r="G147" s="107">
        <v>-1520471.9766845256</v>
      </c>
      <c r="H147" s="107">
        <v>-2511984.773083061</v>
      </c>
      <c r="I147" s="107">
        <v>-7957379.4293978065</v>
      </c>
    </row>
    <row r="148" spans="2:9">
      <c r="B148" s="105">
        <v>140</v>
      </c>
      <c r="C148" s="107">
        <v>2708880.0371744782</v>
      </c>
      <c r="D148" s="107">
        <v>8360844.2014493048</v>
      </c>
      <c r="E148" s="107">
        <v>3670544.4607549906</v>
      </c>
      <c r="F148" s="107">
        <v>-2044543.7213300467</v>
      </c>
      <c r="G148" s="107">
        <v>-329784.34891289473</v>
      </c>
      <c r="H148" s="107">
        <v>-1978134.6728243381</v>
      </c>
      <c r="I148" s="107">
        <v>-2504006.5492164493</v>
      </c>
    </row>
    <row r="149" spans="2:9">
      <c r="B149" s="105">
        <v>141</v>
      </c>
      <c r="C149" s="107">
        <v>15164987.115101248</v>
      </c>
      <c r="D149" s="107">
        <v>1286579.622419402</v>
      </c>
      <c r="E149" s="107">
        <v>-8059908.4520887136</v>
      </c>
      <c r="F149" s="107">
        <v>-2230522.0107811987</v>
      </c>
      <c r="G149" s="107">
        <v>-11932608.995433211</v>
      </c>
      <c r="H149" s="107">
        <v>-6282893.0137703568</v>
      </c>
      <c r="I149" s="107">
        <v>-6635502.8249723017</v>
      </c>
    </row>
    <row r="150" spans="2:9">
      <c r="B150" s="105">
        <v>142</v>
      </c>
      <c r="C150" s="107">
        <v>3341432.9446585923</v>
      </c>
      <c r="D150" s="107">
        <v>2003999.0148280561</v>
      </c>
      <c r="E150" s="107">
        <v>2475946.1801154315</v>
      </c>
      <c r="F150" s="107">
        <v>1238133.5769513249</v>
      </c>
      <c r="G150" s="107">
        <v>-5243758.4911362976</v>
      </c>
      <c r="H150" s="107">
        <v>1199273.2691042721</v>
      </c>
      <c r="I150" s="107">
        <v>-12494879.429546639</v>
      </c>
    </row>
    <row r="151" spans="2:9">
      <c r="B151" s="105">
        <v>143</v>
      </c>
      <c r="C151" s="107">
        <v>6871489.7587613314</v>
      </c>
      <c r="D151" s="107">
        <v>-1427969.846978426</v>
      </c>
      <c r="E151" s="107">
        <v>12714800.451290265</v>
      </c>
      <c r="F151" s="107">
        <v>-2942306.5131729394</v>
      </c>
      <c r="G151" s="107">
        <v>-1498969.4792615473</v>
      </c>
      <c r="H151" s="107">
        <v>-10993716.586457282</v>
      </c>
      <c r="I151" s="107">
        <v>-4993509.0974180996</v>
      </c>
    </row>
    <row r="152" spans="2:9">
      <c r="B152" s="105">
        <v>144</v>
      </c>
      <c r="C152" s="107">
        <v>14978097.861203432</v>
      </c>
      <c r="D152" s="107">
        <v>-4683956.2554519922</v>
      </c>
      <c r="E152" s="107">
        <v>-2249590.1875778288</v>
      </c>
      <c r="F152" s="107">
        <v>-914562.68349578977</v>
      </c>
      <c r="G152" s="107">
        <v>-11885228.267869398</v>
      </c>
      <c r="H152" s="107">
        <v>-8746904.1357035935</v>
      </c>
      <c r="I152" s="107">
        <v>-17451788.427137092</v>
      </c>
    </row>
    <row r="153" spans="2:9">
      <c r="B153" s="105">
        <v>145</v>
      </c>
      <c r="C153" s="107">
        <v>8318756.412128076</v>
      </c>
      <c r="D153" s="107">
        <v>455794.17250202596</v>
      </c>
      <c r="E153" s="107">
        <v>6855056.1571317911</v>
      </c>
      <c r="F153" s="107">
        <v>-8158658.0371943712</v>
      </c>
      <c r="G153" s="107">
        <v>3900691.4918850511</v>
      </c>
      <c r="H153" s="107">
        <v>-5227905.1193314791</v>
      </c>
      <c r="I153" s="107">
        <v>-6296392.8345274627</v>
      </c>
    </row>
    <row r="154" spans="2:9">
      <c r="B154" s="105">
        <v>146</v>
      </c>
      <c r="C154" s="107">
        <v>14900333.18657288</v>
      </c>
      <c r="D154" s="107">
        <v>9352520.1918634772</v>
      </c>
      <c r="E154" s="107">
        <v>4531962.8331373185</v>
      </c>
      <c r="F154" s="107">
        <v>5371630.6666374356</v>
      </c>
      <c r="G154" s="107">
        <v>6569585.7156222165</v>
      </c>
      <c r="H154" s="107">
        <v>-9994124.7188802212</v>
      </c>
      <c r="I154" s="107">
        <v>-4099111.3310506791</v>
      </c>
    </row>
    <row r="155" spans="2:9">
      <c r="B155" s="105">
        <v>147</v>
      </c>
      <c r="C155" s="107">
        <v>17665700.230035663</v>
      </c>
      <c r="D155" s="107">
        <v>2937510.4695757478</v>
      </c>
      <c r="E155" s="107">
        <v>3915443.7138537467</v>
      </c>
      <c r="F155" s="107">
        <v>143760.48242528737</v>
      </c>
      <c r="G155" s="107">
        <v>-710742.91087424755</v>
      </c>
      <c r="H155" s="107">
        <v>-5290548.3391591758</v>
      </c>
      <c r="I155" s="107">
        <v>-2532099.5635066926</v>
      </c>
    </row>
    <row r="156" spans="2:9">
      <c r="B156" s="105">
        <v>148</v>
      </c>
      <c r="C156" s="107">
        <v>-2964655.891504392</v>
      </c>
      <c r="D156" s="107">
        <v>-1121981.8291890323</v>
      </c>
      <c r="E156" s="107">
        <v>5327886.4341098219</v>
      </c>
      <c r="F156" s="107">
        <v>-2330838.9564931691</v>
      </c>
      <c r="G156" s="107">
        <v>-9971175.1205689013</v>
      </c>
      <c r="H156" s="107">
        <v>-4889269.6730800867</v>
      </c>
      <c r="I156" s="107">
        <v>-6208621.6057342738</v>
      </c>
    </row>
    <row r="157" spans="2:9">
      <c r="B157" s="105">
        <v>149</v>
      </c>
      <c r="C157" s="107">
        <v>3789544.7316504419</v>
      </c>
      <c r="D157" s="107">
        <v>6663899.7577152103</v>
      </c>
      <c r="E157" s="107">
        <v>5094441.6005618423</v>
      </c>
      <c r="F157" s="107">
        <v>-3630371.0893762708</v>
      </c>
      <c r="G157" s="107">
        <v>-4700569.8465905041</v>
      </c>
      <c r="H157" s="107">
        <v>-12901186.491798073</v>
      </c>
      <c r="I157" s="107">
        <v>-12770215.363253891</v>
      </c>
    </row>
    <row r="158" spans="2:9">
      <c r="B158" s="105">
        <v>150</v>
      </c>
      <c r="C158" s="107">
        <v>5713270.3188215345</v>
      </c>
      <c r="D158" s="107">
        <v>-1356570.6530863643</v>
      </c>
      <c r="E158" s="107">
        <v>4552137.6720765978</v>
      </c>
      <c r="F158" s="107">
        <v>720248.14343270659</v>
      </c>
      <c r="G158" s="107">
        <v>5762538.8187268674</v>
      </c>
      <c r="H158" s="107">
        <v>-10099605.951742232</v>
      </c>
      <c r="I158" s="107">
        <v>-10418442.278883353</v>
      </c>
    </row>
    <row r="159" spans="2:9">
      <c r="B159" s="105">
        <v>151</v>
      </c>
      <c r="C159" s="107">
        <v>1259089.956289202</v>
      </c>
      <c r="D159" s="107">
        <v>1048369.1420311481</v>
      </c>
      <c r="E159" s="107">
        <v>3941704.7954130322</v>
      </c>
      <c r="F159" s="107">
        <v>6421526.0180363953</v>
      </c>
      <c r="G159" s="107">
        <v>-9849075.2093432993</v>
      </c>
      <c r="H159" s="107">
        <v>-4206673.3772706538</v>
      </c>
      <c r="I159" s="107">
        <v>-8033792.5453911126</v>
      </c>
    </row>
    <row r="160" spans="2:9">
      <c r="B160" s="105">
        <v>152</v>
      </c>
      <c r="C160" s="107">
        <v>8078615.264160037</v>
      </c>
      <c r="D160" s="107">
        <v>14150080.277305409</v>
      </c>
      <c r="E160" s="107">
        <v>5782460.7336851209</v>
      </c>
      <c r="F160" s="107">
        <v>-11375642.086042911</v>
      </c>
      <c r="G160" s="107">
        <v>-2539325.2721752673</v>
      </c>
      <c r="H160" s="107">
        <v>-5505135.3603764772</v>
      </c>
      <c r="I160" s="107">
        <v>-5099038.5047188252</v>
      </c>
    </row>
    <row r="161" spans="2:9">
      <c r="B161" s="105">
        <v>153</v>
      </c>
      <c r="C161" s="107">
        <v>6474101.8739078641</v>
      </c>
      <c r="D161" s="107">
        <v>3825250.6408525109</v>
      </c>
      <c r="E161" s="107">
        <v>-5891386.3638216853</v>
      </c>
      <c r="F161" s="107">
        <v>-9456591.8127708137</v>
      </c>
      <c r="G161" s="107">
        <v>-4646714.371235162</v>
      </c>
      <c r="H161" s="107">
        <v>-7470439.9746263176</v>
      </c>
      <c r="I161" s="107">
        <v>-387748.4860663563</v>
      </c>
    </row>
    <row r="162" spans="2:9">
      <c r="B162" s="105">
        <v>154</v>
      </c>
      <c r="C162" s="107">
        <v>7098704.7569449693</v>
      </c>
      <c r="D162" s="107">
        <v>1559306.8185299486</v>
      </c>
      <c r="E162" s="107">
        <v>-2971510.1382342875</v>
      </c>
      <c r="F162" s="107">
        <v>-1003989.9655237198</v>
      </c>
      <c r="G162" s="107">
        <v>-8264904.7440682352</v>
      </c>
      <c r="H162" s="107">
        <v>-5119069.3572015315</v>
      </c>
      <c r="I162" s="107">
        <v>-17282881.776297063</v>
      </c>
    </row>
    <row r="163" spans="2:9">
      <c r="B163" s="105">
        <v>155</v>
      </c>
      <c r="C163" s="107">
        <v>8084544.3440840989</v>
      </c>
      <c r="D163" s="107">
        <v>-1814180.2498435527</v>
      </c>
      <c r="E163" s="107">
        <v>-2838257.4035835266</v>
      </c>
      <c r="F163" s="107">
        <v>-4355947.5550749898</v>
      </c>
      <c r="G163" s="107">
        <v>-5890177.3023807853</v>
      </c>
      <c r="H163" s="107">
        <v>-7921767.4003164172</v>
      </c>
      <c r="I163" s="107">
        <v>-10330125.000444829</v>
      </c>
    </row>
    <row r="164" spans="2:9">
      <c r="B164" s="105">
        <v>156</v>
      </c>
      <c r="C164" s="107">
        <v>-3833787.1890380532</v>
      </c>
      <c r="D164" s="107">
        <v>758896.01054771245</v>
      </c>
      <c r="E164" s="107">
        <v>3311561.9366528988</v>
      </c>
      <c r="F164" s="107">
        <v>3178023.6363677233</v>
      </c>
      <c r="G164" s="107">
        <v>-1327574.4955533594</v>
      </c>
      <c r="H164" s="107">
        <v>-1636479.4889538586</v>
      </c>
      <c r="I164" s="107">
        <v>-4884358.5201120675</v>
      </c>
    </row>
    <row r="165" spans="2:9">
      <c r="B165" s="105">
        <v>157</v>
      </c>
      <c r="C165" s="107">
        <v>14893637.293891028</v>
      </c>
      <c r="D165" s="107">
        <v>2110917.8754261881</v>
      </c>
      <c r="E165" s="107">
        <v>-4736598.7158127725</v>
      </c>
      <c r="F165" s="107">
        <v>-550263.1713026464</v>
      </c>
      <c r="G165" s="107">
        <v>-7384773.2524635941</v>
      </c>
      <c r="H165" s="107">
        <v>-2528435.8941892236</v>
      </c>
      <c r="I165" s="107">
        <v>-16381903.047807053</v>
      </c>
    </row>
    <row r="166" spans="2:9">
      <c r="B166" s="105">
        <v>158</v>
      </c>
      <c r="C166" s="107">
        <v>8796261.4816842824</v>
      </c>
      <c r="D166" s="107">
        <v>-6066091.6545897573</v>
      </c>
      <c r="E166" s="107">
        <v>2881731.3579985201</v>
      </c>
      <c r="F166" s="107">
        <v>-3867809.6641814858</v>
      </c>
      <c r="G166" s="107">
        <v>8575188.3482158184</v>
      </c>
      <c r="H166" s="107">
        <v>1386033.7949685603</v>
      </c>
      <c r="I166" s="107">
        <v>-4006718.6358154118</v>
      </c>
    </row>
    <row r="167" spans="2:9">
      <c r="B167" s="105">
        <v>159</v>
      </c>
      <c r="C167" s="107">
        <v>2420311.8355337083</v>
      </c>
      <c r="D167" s="107">
        <v>11230845.110415235</v>
      </c>
      <c r="E167" s="107">
        <v>3855765.2641927153</v>
      </c>
      <c r="F167" s="107">
        <v>-4213865.8993019313</v>
      </c>
      <c r="G167" s="107">
        <v>5750326.9266978651</v>
      </c>
      <c r="H167" s="107">
        <v>-6591136.6926506162</v>
      </c>
      <c r="I167" s="107">
        <v>-6834992.6005641669</v>
      </c>
    </row>
    <row r="168" spans="2:9">
      <c r="B168" s="105">
        <v>160</v>
      </c>
      <c r="C168" s="107">
        <v>-4095681.8262557089</v>
      </c>
      <c r="D168" s="107">
        <v>-200762.65214733779</v>
      </c>
      <c r="E168" s="107">
        <v>-3128293.2478434592</v>
      </c>
      <c r="F168" s="107">
        <v>6585967.8320050836</v>
      </c>
      <c r="G168" s="107">
        <v>-5281738.9111312181</v>
      </c>
      <c r="H168" s="107">
        <v>-1028801.3495843709</v>
      </c>
      <c r="I168" s="107">
        <v>-8138872.0894673616</v>
      </c>
    </row>
    <row r="169" spans="2:9">
      <c r="B169" s="105">
        <v>161</v>
      </c>
      <c r="C169" s="107">
        <v>2074435.0618182272</v>
      </c>
      <c r="D169" s="107">
        <v>-5410864.7725422084</v>
      </c>
      <c r="E169" s="107">
        <v>-3498909.981723845</v>
      </c>
      <c r="F169" s="107">
        <v>8342420.3816243112</v>
      </c>
      <c r="G169" s="107">
        <v>-864976.83109602332</v>
      </c>
      <c r="H169" s="107">
        <v>-5944112.8766563684</v>
      </c>
      <c r="I169" s="107">
        <v>-10013173.680404276</v>
      </c>
    </row>
    <row r="170" spans="2:9">
      <c r="B170" s="105">
        <v>162</v>
      </c>
      <c r="C170" s="107">
        <v>5341998.9599511623</v>
      </c>
      <c r="D170" s="107">
        <v>-115543.74257677794</v>
      </c>
      <c r="E170" s="107">
        <v>-2695636.3575168848</v>
      </c>
      <c r="F170" s="107">
        <v>8248390.9374468327</v>
      </c>
      <c r="G170" s="107">
        <v>15803792.845476061</v>
      </c>
      <c r="H170" s="107">
        <v>-10122923.400077</v>
      </c>
      <c r="I170" s="107">
        <v>1338905.7437938303</v>
      </c>
    </row>
    <row r="171" spans="2:9">
      <c r="B171" s="105">
        <v>163</v>
      </c>
      <c r="C171" s="107">
        <v>3649350.5459027737</v>
      </c>
      <c r="D171" s="107">
        <v>3836124.5093756169</v>
      </c>
      <c r="E171" s="107">
        <v>349443.25678026676</v>
      </c>
      <c r="F171" s="107">
        <v>5237842.9538583905</v>
      </c>
      <c r="G171" s="107">
        <v>-8196891.9793399274</v>
      </c>
      <c r="H171" s="107">
        <v>-8147642.874952957</v>
      </c>
      <c r="I171" s="107">
        <v>-6825461.1585193425</v>
      </c>
    </row>
    <row r="172" spans="2:9">
      <c r="B172" s="105">
        <v>164</v>
      </c>
      <c r="C172" s="107">
        <v>6090045.086721614</v>
      </c>
      <c r="D172" s="107">
        <v>228244.61484500766</v>
      </c>
      <c r="E172" s="107">
        <v>-11137950.949891701</v>
      </c>
      <c r="F172" s="107">
        <v>2110792.0332672745</v>
      </c>
      <c r="G172" s="107">
        <v>-3962265.9830508828</v>
      </c>
      <c r="H172" s="107">
        <v>918174.22236037254</v>
      </c>
      <c r="I172" s="107">
        <v>-8760296.0261809826</v>
      </c>
    </row>
    <row r="173" spans="2:9">
      <c r="B173" s="105">
        <v>165</v>
      </c>
      <c r="C173" s="107">
        <v>5200500.8713807464</v>
      </c>
      <c r="D173" s="107">
        <v>654720.34552778304</v>
      </c>
      <c r="E173" s="107">
        <v>4764556.045544818</v>
      </c>
      <c r="F173" s="107">
        <v>-5632657.1935470998</v>
      </c>
      <c r="G173" s="107">
        <v>-11249915.227354228</v>
      </c>
      <c r="H173" s="107">
        <v>-2134681.9669917077</v>
      </c>
      <c r="I173" s="107">
        <v>-848132.94252102077</v>
      </c>
    </row>
    <row r="174" spans="2:9">
      <c r="B174" s="105">
        <v>166</v>
      </c>
      <c r="C174" s="107">
        <v>4279658.6303071827</v>
      </c>
      <c r="D174" s="107">
        <v>13689103.951616526</v>
      </c>
      <c r="E174" s="107">
        <v>1660547.5293515623</v>
      </c>
      <c r="F174" s="107">
        <v>8014913.1458502561</v>
      </c>
      <c r="G174" s="107">
        <v>-329758.42960226536</v>
      </c>
      <c r="H174" s="107">
        <v>5414572.1022894531</v>
      </c>
      <c r="I174" s="107">
        <v>2532757.3128112853</v>
      </c>
    </row>
    <row r="175" spans="2:9">
      <c r="B175" s="105">
        <v>167</v>
      </c>
      <c r="C175" s="107">
        <v>11610046.606224492</v>
      </c>
      <c r="D175" s="107">
        <v>245668.39638291299</v>
      </c>
      <c r="E175" s="107">
        <v>4170051.3323358595</v>
      </c>
      <c r="F175" s="107">
        <v>8766515.3927437961</v>
      </c>
      <c r="G175" s="107">
        <v>-11317711.09237279</v>
      </c>
      <c r="H175" s="107">
        <v>-6670976.111903891</v>
      </c>
      <c r="I175" s="107">
        <v>-3446046.2708418965</v>
      </c>
    </row>
    <row r="176" spans="2:9">
      <c r="B176" s="105">
        <v>168</v>
      </c>
      <c r="C176" s="107">
        <v>507544.94214428961</v>
      </c>
      <c r="D176" s="107">
        <v>8853764.6541279256</v>
      </c>
      <c r="E176" s="107">
        <v>5756069.7399419546</v>
      </c>
      <c r="F176" s="107">
        <v>3456013.4678493589</v>
      </c>
      <c r="G176" s="107">
        <v>-6291369.7659059912</v>
      </c>
      <c r="H176" s="107">
        <v>3044420.8526552916</v>
      </c>
      <c r="I176" s="107">
        <v>-9579265.5733819455</v>
      </c>
    </row>
    <row r="177" spans="2:9">
      <c r="B177" s="105">
        <v>169</v>
      </c>
      <c r="C177" s="107">
        <v>5316893.3407160491</v>
      </c>
      <c r="D177" s="107">
        <v>4749466.8852391243</v>
      </c>
      <c r="E177" s="107">
        <v>6935104.6123254746</v>
      </c>
      <c r="F177" s="107">
        <v>-4770814.8906392306</v>
      </c>
      <c r="G177" s="107">
        <v>-8218411.6088784784</v>
      </c>
      <c r="H177" s="107">
        <v>-5168142.3899046034</v>
      </c>
      <c r="I177" s="107">
        <v>1435834.9403966069</v>
      </c>
    </row>
    <row r="178" spans="2:9">
      <c r="B178" s="105">
        <v>170</v>
      </c>
      <c r="C178" s="107">
        <v>6899257.0315515995</v>
      </c>
      <c r="D178" s="107">
        <v>3077463.4650745392</v>
      </c>
      <c r="E178" s="107">
        <v>2268937.8772480488</v>
      </c>
      <c r="F178" s="107">
        <v>-3470464.9901978374</v>
      </c>
      <c r="G178" s="107">
        <v>4617335.8847889304</v>
      </c>
      <c r="H178" s="107">
        <v>-4066094.3645867556</v>
      </c>
      <c r="I178" s="107">
        <v>-9524860.3796787709</v>
      </c>
    </row>
    <row r="179" spans="2:9">
      <c r="B179" s="105">
        <v>171</v>
      </c>
      <c r="C179" s="107">
        <v>1666313.0646437705</v>
      </c>
      <c r="D179" s="107">
        <v>2588962.313635394</v>
      </c>
      <c r="E179" s="107">
        <v>5042243.3642046154</v>
      </c>
      <c r="F179" s="107">
        <v>-172077.37891979516</v>
      </c>
      <c r="G179" s="107">
        <v>905347.99539802969</v>
      </c>
      <c r="H179" s="107">
        <v>-6397531.6234285384</v>
      </c>
      <c r="I179" s="107">
        <v>-2452982.3983876109</v>
      </c>
    </row>
    <row r="180" spans="2:9">
      <c r="B180" s="105">
        <v>172</v>
      </c>
      <c r="C180" s="107">
        <v>-6284848.9401710331</v>
      </c>
      <c r="D180" s="107">
        <v>5609955.2370646</v>
      </c>
      <c r="E180" s="107">
        <v>4445652.6841608882</v>
      </c>
      <c r="F180" s="107">
        <v>5206302.7775185406</v>
      </c>
      <c r="G180" s="107">
        <v>-6933264.9548227042</v>
      </c>
      <c r="H180" s="107">
        <v>1530045.3454642892</v>
      </c>
      <c r="I180" s="107">
        <v>2263796.2763761729</v>
      </c>
    </row>
    <row r="181" spans="2:9">
      <c r="B181" s="105">
        <v>173</v>
      </c>
      <c r="C181" s="107">
        <v>4098570.9247063398</v>
      </c>
      <c r="D181" s="107">
        <v>12045444.440096647</v>
      </c>
      <c r="E181" s="107">
        <v>7699126.0942219049</v>
      </c>
      <c r="F181" s="107">
        <v>-3956446.6515519023</v>
      </c>
      <c r="G181" s="107">
        <v>-1071720.1124370396</v>
      </c>
      <c r="H181" s="107">
        <v>-3244372.1270005554</v>
      </c>
      <c r="I181" s="107">
        <v>-4240396.4364243299</v>
      </c>
    </row>
    <row r="182" spans="2:9">
      <c r="B182" s="105">
        <v>174</v>
      </c>
      <c r="C182" s="107">
        <v>9609784.6964380741</v>
      </c>
      <c r="D182" s="107">
        <v>6057047.5844049901</v>
      </c>
      <c r="E182" s="107">
        <v>-4230317.7595828772</v>
      </c>
      <c r="F182" s="107">
        <v>2607022.1543373764</v>
      </c>
      <c r="G182" s="107">
        <v>676416.67469236255</v>
      </c>
      <c r="H182" s="107">
        <v>-2825675.4584910423</v>
      </c>
      <c r="I182" s="107">
        <v>-7290090.2438870519</v>
      </c>
    </row>
    <row r="183" spans="2:9">
      <c r="B183" s="105">
        <v>175</v>
      </c>
      <c r="C183" s="107">
        <v>8281164.8919341415</v>
      </c>
      <c r="D183" s="107">
        <v>-2855674.3940512836</v>
      </c>
      <c r="E183" s="107">
        <v>2431121.5443241298</v>
      </c>
      <c r="F183" s="107">
        <v>-5350975.2983882427</v>
      </c>
      <c r="G183" s="107">
        <v>-77778.141113340855</v>
      </c>
      <c r="H183" s="107">
        <v>2142604.2506928295</v>
      </c>
      <c r="I183" s="107">
        <v>-7296796.060566619</v>
      </c>
    </row>
    <row r="184" spans="2:9">
      <c r="B184" s="105">
        <v>176</v>
      </c>
      <c r="C184" s="107">
        <v>2553095.1138387173</v>
      </c>
      <c r="D184" s="107">
        <v>20237166.868262649</v>
      </c>
      <c r="E184" s="107">
        <v>-1056340.160530746</v>
      </c>
      <c r="F184" s="107">
        <v>1702847.8674189597</v>
      </c>
      <c r="G184" s="107">
        <v>-3389283.1654143035</v>
      </c>
      <c r="H184" s="107">
        <v>-298245.53946186602</v>
      </c>
      <c r="I184" s="107">
        <v>910201.58535534143</v>
      </c>
    </row>
    <row r="185" spans="2:9">
      <c r="B185" s="105">
        <v>177</v>
      </c>
      <c r="C185" s="107">
        <v>10763247.451541319</v>
      </c>
      <c r="D185" s="107">
        <v>993934.24087385833</v>
      </c>
      <c r="E185" s="107">
        <v>9191644.3593008667</v>
      </c>
      <c r="F185" s="107">
        <v>-3864251.8665114343</v>
      </c>
      <c r="G185" s="107">
        <v>2679978.037089929</v>
      </c>
      <c r="H185" s="107">
        <v>-3432190.9229892641</v>
      </c>
      <c r="I185" s="107">
        <v>-7802869.1818173379</v>
      </c>
    </row>
    <row r="186" spans="2:9">
      <c r="B186" s="105">
        <v>178</v>
      </c>
      <c r="C186" s="107">
        <v>-1422262.4991026372</v>
      </c>
      <c r="D186" s="107">
        <v>1527358.4106887877</v>
      </c>
      <c r="E186" s="107">
        <v>-8340454.20033364</v>
      </c>
      <c r="F186" s="107">
        <v>1714829.9668330997</v>
      </c>
      <c r="G186" s="107">
        <v>-3949427.9117836952</v>
      </c>
      <c r="H186" s="107">
        <v>-1563873.1235628575</v>
      </c>
      <c r="I186" s="107">
        <v>-2260816.7379078865</v>
      </c>
    </row>
    <row r="187" spans="2:9">
      <c r="B187" s="105">
        <v>179</v>
      </c>
      <c r="C187" s="107">
        <v>2505673.9612361789</v>
      </c>
      <c r="D187" s="107">
        <v>-7964890.7098206878</v>
      </c>
      <c r="E187" s="107">
        <v>839934.98293784261</v>
      </c>
      <c r="F187" s="107">
        <v>1275006.4724869877</v>
      </c>
      <c r="G187" s="107">
        <v>5662214.7037635893</v>
      </c>
      <c r="H187" s="107">
        <v>-3189700.3478042036</v>
      </c>
      <c r="I187" s="107">
        <v>-7828667.7070353925</v>
      </c>
    </row>
    <row r="188" spans="2:9">
      <c r="B188" s="105">
        <v>180</v>
      </c>
      <c r="C188" s="107">
        <v>881143.59308977425</v>
      </c>
      <c r="D188" s="107">
        <v>836597.39806054533</v>
      </c>
      <c r="E188" s="107">
        <v>6988144.8005301952</v>
      </c>
      <c r="F188" s="107">
        <v>-5107370.379039973</v>
      </c>
      <c r="G188" s="107">
        <v>-3452061.868762821</v>
      </c>
      <c r="H188" s="107">
        <v>-8607689.7640930265</v>
      </c>
      <c r="I188" s="107">
        <v>-5790476.050126493</v>
      </c>
    </row>
    <row r="189" spans="2:9">
      <c r="B189" s="105">
        <v>181</v>
      </c>
      <c r="C189" s="107">
        <v>8737191.2582840919</v>
      </c>
      <c r="D189" s="107">
        <v>10477259.455859929</v>
      </c>
      <c r="E189" s="107">
        <v>8460230.1159817576</v>
      </c>
      <c r="F189" s="107">
        <v>-4676455.8114936501</v>
      </c>
      <c r="G189" s="107">
        <v>8391853.1711313576</v>
      </c>
      <c r="H189" s="107">
        <v>-6150898.4075102657</v>
      </c>
      <c r="I189" s="107">
        <v>-8799646.3901697695</v>
      </c>
    </row>
    <row r="190" spans="2:9">
      <c r="B190" s="105">
        <v>182</v>
      </c>
      <c r="C190" s="107">
        <v>6056699.1942439675</v>
      </c>
      <c r="D190" s="107">
        <v>4091153.467669189</v>
      </c>
      <c r="E190" s="107">
        <v>-1292970.8885165006</v>
      </c>
      <c r="F190" s="107">
        <v>-7352465.3671805412</v>
      </c>
      <c r="G190" s="107">
        <v>383556.21984371543</v>
      </c>
      <c r="H190" s="107">
        <v>-9629013.3575469702</v>
      </c>
      <c r="I190" s="107">
        <v>3794932.6345331371</v>
      </c>
    </row>
    <row r="191" spans="2:9">
      <c r="B191" s="105">
        <v>183</v>
      </c>
      <c r="C191" s="107">
        <v>7855310.5582185537</v>
      </c>
      <c r="D191" s="107">
        <v>4818570.7056688964</v>
      </c>
      <c r="E191" s="107">
        <v>1188617.8082654774</v>
      </c>
      <c r="F191" s="107">
        <v>1294535.9807217419</v>
      </c>
      <c r="G191" s="107">
        <v>6580116.3487523347</v>
      </c>
      <c r="H191" s="107">
        <v>-9697684.7134113908</v>
      </c>
      <c r="I191" s="107">
        <v>-4507615.4020478725</v>
      </c>
    </row>
    <row r="192" spans="2:9">
      <c r="B192" s="105">
        <v>184</v>
      </c>
      <c r="C192" s="107">
        <v>5424681.4765084237</v>
      </c>
      <c r="D192" s="107">
        <v>791831.61669799685</v>
      </c>
      <c r="E192" s="107">
        <v>4216808.3704399765</v>
      </c>
      <c r="F192" s="107">
        <v>-2758978.8307688385</v>
      </c>
      <c r="G192" s="107">
        <v>-8091102.6282714903</v>
      </c>
      <c r="H192" s="107">
        <v>-3758167.6845095158</v>
      </c>
      <c r="I192" s="107">
        <v>-20737411.821793094</v>
      </c>
    </row>
    <row r="193" spans="2:9">
      <c r="B193" s="105">
        <v>185</v>
      </c>
      <c r="C193" s="107">
        <v>-3502696.3545412421</v>
      </c>
      <c r="D193" s="107">
        <v>9889862.5038257837</v>
      </c>
      <c r="E193" s="107">
        <v>1632341.6875600517</v>
      </c>
      <c r="F193" s="107">
        <v>4861635.8029893786</v>
      </c>
      <c r="G193" s="107">
        <v>-2694889.0705909878</v>
      </c>
      <c r="H193" s="107">
        <v>-1504785.9302868098</v>
      </c>
      <c r="I193" s="107">
        <v>4912249.6502399892</v>
      </c>
    </row>
    <row r="194" spans="2:9">
      <c r="B194" s="105">
        <v>186</v>
      </c>
      <c r="C194" s="107">
        <v>-748724.59866485</v>
      </c>
      <c r="D194" s="107">
        <v>7700167.7122868598</v>
      </c>
      <c r="E194" s="107">
        <v>-5840033.7058032751</v>
      </c>
      <c r="F194" s="107">
        <v>-8486819.4072047323</v>
      </c>
      <c r="G194" s="107">
        <v>-348177.00779829919</v>
      </c>
      <c r="H194" s="107">
        <v>851869.59231022</v>
      </c>
      <c r="I194" s="107">
        <v>-5788400.8070093393</v>
      </c>
    </row>
    <row r="195" spans="2:9">
      <c r="B195" s="105">
        <v>187</v>
      </c>
      <c r="C195" s="107">
        <v>10781001.075434327</v>
      </c>
      <c r="D195" s="107">
        <v>7352300.6324249804</v>
      </c>
      <c r="E195" s="107">
        <v>-1310306.087167874</v>
      </c>
      <c r="F195" s="107">
        <v>-8305.0918275415897</v>
      </c>
      <c r="G195" s="107">
        <v>2555515.3880977482</v>
      </c>
      <c r="H195" s="107">
        <v>1494464.1769113243</v>
      </c>
      <c r="I195" s="107">
        <v>-9393638.0422667116</v>
      </c>
    </row>
    <row r="196" spans="2:9">
      <c r="B196" s="105">
        <v>188</v>
      </c>
      <c r="C196" s="107">
        <v>3263763.432386905</v>
      </c>
      <c r="D196" s="107">
        <v>-866881.28457115591</v>
      </c>
      <c r="E196" s="107">
        <v>-3628836.9384221286</v>
      </c>
      <c r="F196" s="107">
        <v>1108423.0672414601</v>
      </c>
      <c r="G196" s="107">
        <v>-5028330.4142963737</v>
      </c>
      <c r="H196" s="107">
        <v>-6530256.466497317</v>
      </c>
      <c r="I196" s="107">
        <v>-10099953.427460715</v>
      </c>
    </row>
    <row r="197" spans="2:9">
      <c r="B197" s="105">
        <v>189</v>
      </c>
      <c r="C197" s="107">
        <v>-5463630.2651637346</v>
      </c>
      <c r="D197" s="107">
        <v>7303579.5601762831</v>
      </c>
      <c r="E197" s="107">
        <v>2034360.2695115209</v>
      </c>
      <c r="F197" s="107">
        <v>-3843349.5859860778</v>
      </c>
      <c r="G197" s="107">
        <v>5310421.4161978811</v>
      </c>
      <c r="H197" s="107">
        <v>-428231.97723372281</v>
      </c>
      <c r="I197" s="107">
        <v>-10888234.639596164</v>
      </c>
    </row>
    <row r="198" spans="2:9">
      <c r="B198" s="105">
        <v>190</v>
      </c>
      <c r="C198" s="107">
        <v>7874542.131783247</v>
      </c>
      <c r="D198" s="107">
        <v>255061.7968634516</v>
      </c>
      <c r="E198" s="107">
        <v>-6242621.3912801445</v>
      </c>
      <c r="F198" s="107">
        <v>-1470694.5674609393</v>
      </c>
      <c r="G198" s="107">
        <v>-972110.50146450102</v>
      </c>
      <c r="H198" s="107">
        <v>-6807251.3081478775</v>
      </c>
      <c r="I198" s="107">
        <v>-10107621.728429317</v>
      </c>
    </row>
    <row r="199" spans="2:9">
      <c r="B199" s="105">
        <v>191</v>
      </c>
      <c r="C199" s="107">
        <v>2361480.2095104605</v>
      </c>
      <c r="D199" s="107">
        <v>10654946.371002555</v>
      </c>
      <c r="E199" s="107">
        <v>15161736.569225639</v>
      </c>
      <c r="F199" s="107">
        <v>-3333177.0956441462</v>
      </c>
      <c r="G199" s="107">
        <v>-1048984.0970651954</v>
      </c>
      <c r="H199" s="107">
        <v>-6848352.1155145466</v>
      </c>
      <c r="I199" s="107">
        <v>-8305823.4089867622</v>
      </c>
    </row>
    <row r="200" spans="2:9">
      <c r="B200" s="105">
        <v>192</v>
      </c>
      <c r="C200" s="107">
        <v>1690626.4456521869</v>
      </c>
      <c r="D200" s="107">
        <v>8208220.6563925594</v>
      </c>
      <c r="E200" s="107">
        <v>-6112275.7289915979</v>
      </c>
      <c r="F200" s="107">
        <v>-7144359.9703025669</v>
      </c>
      <c r="G200" s="107">
        <v>-8432397.6646543741</v>
      </c>
      <c r="H200" s="107">
        <v>7098972.2665956616</v>
      </c>
      <c r="I200" s="107">
        <v>-14024567.610604644</v>
      </c>
    </row>
    <row r="201" spans="2:9">
      <c r="B201" s="105">
        <v>193</v>
      </c>
      <c r="C201" s="107">
        <v>5619792.0163694918</v>
      </c>
      <c r="D201" s="107">
        <v>3260373.9751004875</v>
      </c>
      <c r="E201" s="107">
        <v>1012140.4539949745</v>
      </c>
      <c r="F201" s="107">
        <v>2275964.6480109841</v>
      </c>
      <c r="G201" s="107">
        <v>9868648.8787542284</v>
      </c>
      <c r="H201" s="107">
        <v>271380.68205170333</v>
      </c>
      <c r="I201" s="107">
        <v>313616.99864338338</v>
      </c>
    </row>
    <row r="202" spans="2:9">
      <c r="B202" s="105">
        <v>194</v>
      </c>
      <c r="C202" s="107">
        <v>4257957.9436701834</v>
      </c>
      <c r="D202" s="107">
        <v>-1274855.0738475025</v>
      </c>
      <c r="E202" s="107">
        <v>3328738.4825319797</v>
      </c>
      <c r="F202" s="107">
        <v>-2206578.8112734258</v>
      </c>
      <c r="G202" s="107">
        <v>-3636082.5708812177</v>
      </c>
      <c r="H202" s="107">
        <v>-570691.63303260505</v>
      </c>
      <c r="I202" s="107">
        <v>-454486.99363347888</v>
      </c>
    </row>
    <row r="203" spans="2:9">
      <c r="B203" s="105">
        <v>195</v>
      </c>
      <c r="C203" s="107">
        <v>-15354.622200042009</v>
      </c>
      <c r="D203" s="107">
        <v>1509699.2411174625</v>
      </c>
      <c r="E203" s="107">
        <v>-2135947.6565581113</v>
      </c>
      <c r="F203" s="107">
        <v>1650586.8711641878</v>
      </c>
      <c r="G203" s="107">
        <v>-746709.09283283353</v>
      </c>
      <c r="H203" s="107">
        <v>-4906029.6665050387</v>
      </c>
      <c r="I203" s="107">
        <v>-3492822.5718004256</v>
      </c>
    </row>
    <row r="204" spans="2:9">
      <c r="B204" s="105">
        <v>196</v>
      </c>
      <c r="C204" s="107">
        <v>10950006.432153583</v>
      </c>
      <c r="D204" s="107">
        <v>-7248727.2584801167</v>
      </c>
      <c r="E204" s="107">
        <v>6101289.8636995405</v>
      </c>
      <c r="F204" s="107">
        <v>120139.83575591445</v>
      </c>
      <c r="G204" s="107">
        <v>-9997376.573818326</v>
      </c>
      <c r="H204" s="107">
        <v>-3786518.3409958333</v>
      </c>
      <c r="I204" s="107">
        <v>-2009814.8736262769</v>
      </c>
    </row>
    <row r="205" spans="2:9">
      <c r="B205" s="105">
        <v>197</v>
      </c>
      <c r="C205" s="107">
        <v>16862670.838025376</v>
      </c>
      <c r="D205" s="107">
        <v>-218458.09855276346</v>
      </c>
      <c r="E205" s="107">
        <v>-7902549.3436343968</v>
      </c>
      <c r="F205" s="107">
        <v>5917319.9240507632</v>
      </c>
      <c r="G205" s="107">
        <v>-4832904.9373044521</v>
      </c>
      <c r="H205" s="107">
        <v>-1741074.7509163469</v>
      </c>
      <c r="I205" s="107">
        <v>-3906574.3521875292</v>
      </c>
    </row>
    <row r="206" spans="2:9">
      <c r="B206" s="105">
        <v>198</v>
      </c>
      <c r="C206" s="107">
        <v>2386758.672810927</v>
      </c>
      <c r="D206" s="107">
        <v>8265562.2544884086</v>
      </c>
      <c r="E206" s="107">
        <v>9003078.0541753918</v>
      </c>
      <c r="F206" s="107">
        <v>634232.96210640669</v>
      </c>
      <c r="G206" s="107">
        <v>-1148853.8232157379</v>
      </c>
      <c r="H206" s="107">
        <v>-590749.94635519385</v>
      </c>
      <c r="I206" s="107">
        <v>-6371793.673867479</v>
      </c>
    </row>
    <row r="207" spans="2:9">
      <c r="B207" s="105">
        <v>199</v>
      </c>
      <c r="C207" s="107">
        <v>15676594.189151123</v>
      </c>
      <c r="D207" s="107">
        <v>12903130.134180918</v>
      </c>
      <c r="E207" s="107">
        <v>2599235.1084906459</v>
      </c>
      <c r="F207" s="107">
        <v>6839898.0290576518</v>
      </c>
      <c r="G207" s="107">
        <v>-1576185.1623645276</v>
      </c>
      <c r="H207" s="107">
        <v>-8924074.9701006562</v>
      </c>
      <c r="I207" s="107">
        <v>-6423326.5832340419</v>
      </c>
    </row>
    <row r="208" spans="2:9">
      <c r="B208" s="105">
        <v>200</v>
      </c>
      <c r="C208" s="107">
        <v>8761577.4494469762</v>
      </c>
      <c r="D208" s="107">
        <v>8243937.7474072278</v>
      </c>
      <c r="E208" s="107">
        <v>-4456760.957321316</v>
      </c>
      <c r="F208" s="107">
        <v>-5505854.6053388715</v>
      </c>
      <c r="G208" s="107">
        <v>4040432.4882959425</v>
      </c>
      <c r="H208" s="107">
        <v>-18252744.936435953</v>
      </c>
      <c r="I208" s="107">
        <v>-7439111.6224044263</v>
      </c>
    </row>
  </sheetData>
  <mergeCells count="1">
    <mergeCell ref="C6:I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6899D-2E55-8141-B4DB-43342BF718C0}">
  <sheetPr codeName="Arkusz33">
    <tabColor theme="0" tint="-0.499984740745262"/>
  </sheetPr>
  <dimension ref="A3:I207"/>
  <sheetViews>
    <sheetView workbookViewId="0">
      <selection activeCell="F25" sqref="F25"/>
    </sheetView>
  </sheetViews>
  <sheetFormatPr defaultColWidth="10.77734375" defaultRowHeight="13.2"/>
  <cols>
    <col min="1" max="1" width="10.77734375" style="36"/>
    <col min="2" max="9" width="15" style="36" customWidth="1"/>
    <col min="10" max="16384" width="10.77734375" style="36"/>
  </cols>
  <sheetData>
    <row r="3" spans="1:9">
      <c r="B3" s="73" t="s">
        <v>122</v>
      </c>
      <c r="C3" s="97">
        <f t="shared" ref="C3:I3" si="0">AVERAGE(C8:C207)</f>
        <v>-1005307.1283997057</v>
      </c>
      <c r="D3" s="97">
        <f t="shared" si="0"/>
        <v>-2827857.1773256869</v>
      </c>
      <c r="E3" s="97">
        <f t="shared" si="0"/>
        <v>-4966934.0072631799</v>
      </c>
      <c r="F3" s="97">
        <f t="shared" si="0"/>
        <v>-7061225.7993543604</v>
      </c>
      <c r="G3" s="97">
        <f t="shared" si="0"/>
        <v>-9754249.492827706</v>
      </c>
      <c r="H3" s="97">
        <f t="shared" si="0"/>
        <v>-11836034.200961377</v>
      </c>
      <c r="I3" s="97">
        <f t="shared" si="0"/>
        <v>-14377861.880898759</v>
      </c>
    </row>
    <row r="4" spans="1:9">
      <c r="A4" s="73"/>
    </row>
    <row r="5" spans="1:9" ht="15.6">
      <c r="C5" s="211" t="s">
        <v>134</v>
      </c>
      <c r="D5" s="211"/>
      <c r="E5" s="211"/>
      <c r="F5" s="211"/>
      <c r="G5" s="211"/>
      <c r="H5" s="211"/>
      <c r="I5" s="211"/>
    </row>
    <row r="6" spans="1:9">
      <c r="B6" s="104" t="s">
        <v>10</v>
      </c>
      <c r="C6" s="106">
        <v>-0.15</v>
      </c>
      <c r="D6" s="106">
        <v>-0.1</v>
      </c>
      <c r="E6" s="106">
        <v>-0.05</v>
      </c>
      <c r="F6" s="106">
        <v>0</v>
      </c>
      <c r="G6" s="106">
        <v>0.05</v>
      </c>
      <c r="H6" s="106">
        <v>0.1</v>
      </c>
      <c r="I6" s="106">
        <v>0.15</v>
      </c>
    </row>
    <row r="7" spans="1:9">
      <c r="A7" s="73" t="s">
        <v>135</v>
      </c>
      <c r="B7" s="108">
        <v>-11886302.634607553</v>
      </c>
      <c r="C7" s="109">
        <v>36341606.868500002</v>
      </c>
      <c r="D7" s="109">
        <v>38479348.449000001</v>
      </c>
      <c r="E7" s="109">
        <v>40617090.0295</v>
      </c>
      <c r="F7" s="109">
        <v>42754831.609999999</v>
      </c>
      <c r="G7" s="109">
        <v>44892573.190499999</v>
      </c>
      <c r="H7" s="109">
        <v>47030314.771000005</v>
      </c>
      <c r="I7" s="109">
        <v>49168056.351499997</v>
      </c>
    </row>
    <row r="8" spans="1:9">
      <c r="B8" s="105">
        <v>1</v>
      </c>
      <c r="C8" s="107">
        <v>6203889.5982562751</v>
      </c>
      <c r="D8" s="107">
        <v>-4331042.3099830002</v>
      </c>
      <c r="E8" s="107">
        <v>1282277.5487660319</v>
      </c>
      <c r="F8" s="107">
        <v>-14369278.113867611</v>
      </c>
      <c r="G8" s="107">
        <v>-9840737.6478864551</v>
      </c>
      <c r="H8" s="107">
        <v>-14690183.062097728</v>
      </c>
      <c r="I8" s="107">
        <v>-16805660.397414863</v>
      </c>
    </row>
    <row r="9" spans="1:9">
      <c r="B9" s="105">
        <v>2</v>
      </c>
      <c r="C9" s="107">
        <v>-629638.25073868036</v>
      </c>
      <c r="D9" s="107">
        <v>-3867127.4448908418</v>
      </c>
      <c r="E9" s="107">
        <v>1642079.0494630933</v>
      </c>
      <c r="F9" s="107">
        <v>-10326616.53886874</v>
      </c>
      <c r="G9" s="107">
        <v>-11712490.757094309</v>
      </c>
      <c r="H9" s="107">
        <v>-9178328.4026969373</v>
      </c>
      <c r="I9" s="107">
        <v>-19313027.637689069</v>
      </c>
    </row>
    <row r="10" spans="1:9">
      <c r="B10" s="105">
        <v>3</v>
      </c>
      <c r="C10" s="107">
        <v>-2554799.3522251397</v>
      </c>
      <c r="D10" s="107">
        <v>-8754848.3308881521</v>
      </c>
      <c r="E10" s="107">
        <v>-3177095.3359959424</v>
      </c>
      <c r="F10" s="107">
        <v>-2987445.7724678069</v>
      </c>
      <c r="G10" s="107">
        <v>-14819410.57433936</v>
      </c>
      <c r="H10" s="107">
        <v>-15489216.931103677</v>
      </c>
      <c r="I10" s="107">
        <v>-11320785.121714741</v>
      </c>
    </row>
    <row r="11" spans="1:9">
      <c r="B11" s="105">
        <v>4</v>
      </c>
      <c r="C11" s="107">
        <v>5152144.563558951</v>
      </c>
      <c r="D11" s="107">
        <v>4911352.2167700529</v>
      </c>
      <c r="E11" s="107">
        <v>-9453736.2159344256</v>
      </c>
      <c r="F11" s="107">
        <v>-6131629.0611972213</v>
      </c>
      <c r="G11" s="107">
        <v>-8845310.076397121</v>
      </c>
      <c r="H11" s="107">
        <v>-19378959.89796786</v>
      </c>
      <c r="I11" s="107">
        <v>-9281715.5857334286</v>
      </c>
    </row>
    <row r="12" spans="1:9">
      <c r="B12" s="105">
        <v>5</v>
      </c>
      <c r="C12" s="107">
        <v>-6127048.6875490099</v>
      </c>
      <c r="D12" s="107">
        <v>-9555108.7829460055</v>
      </c>
      <c r="E12" s="107">
        <v>-4793577.8560636193</v>
      </c>
      <c r="F12" s="107">
        <v>-13603108.754001483</v>
      </c>
      <c r="G12" s="107">
        <v>-8669354.1986403316</v>
      </c>
      <c r="H12" s="107">
        <v>-5493702.1396052092</v>
      </c>
      <c r="I12" s="107">
        <v>-10333718.417114839</v>
      </c>
    </row>
    <row r="13" spans="1:9">
      <c r="B13" s="105">
        <v>6</v>
      </c>
      <c r="C13" s="107">
        <v>-6864575.1721000671</v>
      </c>
      <c r="D13" s="107">
        <v>-5590498.6971538663</v>
      </c>
      <c r="E13" s="107">
        <v>-3991126.4563009739</v>
      </c>
      <c r="F13" s="107">
        <v>-8280072.2044724822</v>
      </c>
      <c r="G13" s="107">
        <v>-18761270.770402849</v>
      </c>
      <c r="H13" s="107">
        <v>-14053212.935793296</v>
      </c>
      <c r="I13" s="107">
        <v>-11989128.760426804</v>
      </c>
    </row>
    <row r="14" spans="1:9">
      <c r="B14" s="105">
        <v>7</v>
      </c>
      <c r="C14" s="107">
        <v>-6059005.3808034807</v>
      </c>
      <c r="D14" s="107">
        <v>-3288824.7681401372</v>
      </c>
      <c r="E14" s="107">
        <v>-2924688.7087476999</v>
      </c>
      <c r="F14" s="107">
        <v>-4150690.1241696626</v>
      </c>
      <c r="G14" s="107">
        <v>-12828170.335603043</v>
      </c>
      <c r="H14" s="107">
        <v>-11167851.260440394</v>
      </c>
      <c r="I14" s="107">
        <v>-7372727.183156848</v>
      </c>
    </row>
    <row r="15" spans="1:9">
      <c r="B15" s="105">
        <v>8</v>
      </c>
      <c r="C15" s="107">
        <v>4332123.1403909177</v>
      </c>
      <c r="D15" s="107">
        <v>-3398084.997686401</v>
      </c>
      <c r="E15" s="107">
        <v>-971881.86783091724</v>
      </c>
      <c r="F15" s="107">
        <v>-18882307.926039591</v>
      </c>
      <c r="G15" s="107">
        <v>-16897860.705783352</v>
      </c>
      <c r="H15" s="107">
        <v>-9572584.0986858904</v>
      </c>
      <c r="I15" s="107">
        <v>-19715915.775399461</v>
      </c>
    </row>
    <row r="16" spans="1:9">
      <c r="B16" s="105">
        <v>9</v>
      </c>
      <c r="C16" s="107">
        <v>3383669.4040029496</v>
      </c>
      <c r="D16" s="107">
        <v>-6566907.4472849518</v>
      </c>
      <c r="E16" s="107">
        <v>-1162199.0618220568</v>
      </c>
      <c r="F16" s="107">
        <v>-13354303.179045722</v>
      </c>
      <c r="G16" s="107">
        <v>-7786714.0059329718</v>
      </c>
      <c r="H16" s="107">
        <v>-11006609.341297224</v>
      </c>
      <c r="I16" s="107">
        <v>-14159771.40829581</v>
      </c>
    </row>
    <row r="17" spans="2:9">
      <c r="B17" s="105">
        <v>10</v>
      </c>
      <c r="C17" s="107">
        <v>33792.309304654598</v>
      </c>
      <c r="D17" s="107">
        <v>-9091734.8453352451</v>
      </c>
      <c r="E17" s="107">
        <v>2310628.5830353647</v>
      </c>
      <c r="F17" s="107">
        <v>-1341383.4744388163</v>
      </c>
      <c r="G17" s="107">
        <v>-6435191.1829769015</v>
      </c>
      <c r="H17" s="107">
        <v>-8604484.6026564986</v>
      </c>
      <c r="I17" s="107">
        <v>-15166824.471066549</v>
      </c>
    </row>
    <row r="18" spans="2:9">
      <c r="B18" s="105">
        <v>11</v>
      </c>
      <c r="C18" s="107">
        <v>-2457415.9487285316</v>
      </c>
      <c r="D18" s="107">
        <v>-7651389.4419020414</v>
      </c>
      <c r="E18" s="107">
        <v>-2860662.004222095</v>
      </c>
      <c r="F18" s="107">
        <v>-14022722.996729195</v>
      </c>
      <c r="G18" s="107">
        <v>-16550374.412816629</v>
      </c>
      <c r="H18" s="107">
        <v>-9769262.6988942325</v>
      </c>
      <c r="I18" s="107">
        <v>-17290690.741881251</v>
      </c>
    </row>
    <row r="19" spans="2:9">
      <c r="B19" s="105">
        <v>12</v>
      </c>
      <c r="C19" s="107">
        <v>-2599809.3041421324</v>
      </c>
      <c r="D19" s="107">
        <v>-3114458.196888417</v>
      </c>
      <c r="E19" s="107">
        <v>-958855.14397631586</v>
      </c>
      <c r="F19" s="107">
        <v>-8254075.9972263873</v>
      </c>
      <c r="G19" s="107">
        <v>-10960841.59601815</v>
      </c>
      <c r="H19" s="107">
        <v>-14636865.198524162</v>
      </c>
      <c r="I19" s="107">
        <v>-15760453.446023047</v>
      </c>
    </row>
    <row r="20" spans="2:9">
      <c r="B20" s="105">
        <v>13</v>
      </c>
      <c r="C20" s="107">
        <v>8921384.5987949222</v>
      </c>
      <c r="D20" s="107">
        <v>2085273.7528236806</v>
      </c>
      <c r="E20" s="107">
        <v>-15190745.791903988</v>
      </c>
      <c r="F20" s="107">
        <v>-10692581.971686989</v>
      </c>
      <c r="G20" s="107">
        <v>-9789887.9458440095</v>
      </c>
      <c r="H20" s="107">
        <v>-22176538.023905769</v>
      </c>
      <c r="I20" s="107">
        <v>-10554626.145665616</v>
      </c>
    </row>
    <row r="21" spans="2:9">
      <c r="B21" s="105">
        <v>14</v>
      </c>
      <c r="C21" s="107">
        <v>-4470941.7237101644</v>
      </c>
      <c r="D21" s="107">
        <v>4817823.0173579752</v>
      </c>
      <c r="E21" s="107">
        <v>-3073632.0168868899</v>
      </c>
      <c r="F21" s="107">
        <v>-9916048.4038005024</v>
      </c>
      <c r="G21" s="107">
        <v>-1892779.4023979455</v>
      </c>
      <c r="H21" s="107">
        <v>-6226120.3525490016</v>
      </c>
      <c r="I21" s="107">
        <v>-9455730.9843341708</v>
      </c>
    </row>
    <row r="22" spans="2:9">
      <c r="B22" s="105">
        <v>15</v>
      </c>
      <c r="C22" s="107">
        <v>4568701.7850256711</v>
      </c>
      <c r="D22" s="107">
        <v>-10113650.120648518</v>
      </c>
      <c r="E22" s="107">
        <v>-9707952.1892270744</v>
      </c>
      <c r="F22" s="107">
        <v>-8989247.6074424237</v>
      </c>
      <c r="G22" s="107">
        <v>2288553.5741641521</v>
      </c>
      <c r="H22" s="107">
        <v>-9941749.3766856939</v>
      </c>
      <c r="I22" s="107">
        <v>-20253122.061863542</v>
      </c>
    </row>
    <row r="23" spans="2:9">
      <c r="B23" s="105">
        <v>16</v>
      </c>
      <c r="C23" s="107">
        <v>7125899.7425504476</v>
      </c>
      <c r="D23" s="107">
        <v>-5026086.2892282456</v>
      </c>
      <c r="E23" s="107">
        <v>-7926002.6914883405</v>
      </c>
      <c r="F23" s="107">
        <v>-3848578.6177184135</v>
      </c>
      <c r="G23" s="107">
        <v>3503461.0296846628</v>
      </c>
      <c r="H23" s="107">
        <v>-6043126.0880123377</v>
      </c>
      <c r="I23" s="107">
        <v>-24199302.683137923</v>
      </c>
    </row>
    <row r="24" spans="2:9">
      <c r="B24" s="105">
        <v>17</v>
      </c>
      <c r="C24" s="107">
        <v>4869794.5715225488</v>
      </c>
      <c r="D24" s="107">
        <v>-9759016.6723475009</v>
      </c>
      <c r="E24" s="107">
        <v>-5467474.6255480498</v>
      </c>
      <c r="F24" s="107">
        <v>-2747935.7940411568</v>
      </c>
      <c r="G24" s="107">
        <v>-4183362.9959367365</v>
      </c>
      <c r="H24" s="107">
        <v>-11535916.184886783</v>
      </c>
      <c r="I24" s="107">
        <v>-14902161.326532692</v>
      </c>
    </row>
    <row r="25" spans="2:9">
      <c r="B25" s="105">
        <v>18</v>
      </c>
      <c r="C25" s="107">
        <v>-1316546.7836598456</v>
      </c>
      <c r="D25" s="107">
        <v>-3991763.5706680119</v>
      </c>
      <c r="E25" s="107">
        <v>-8964215.4187406898</v>
      </c>
      <c r="F25" s="107">
        <v>-12747148.659728676</v>
      </c>
      <c r="G25" s="107">
        <v>-7891652.2932289541</v>
      </c>
      <c r="H25" s="107">
        <v>-5457036.076789096</v>
      </c>
      <c r="I25" s="107">
        <v>-17628675.003481165</v>
      </c>
    </row>
    <row r="26" spans="2:9">
      <c r="B26" s="105">
        <v>19</v>
      </c>
      <c r="C26" s="107">
        <v>-5800907.5107328594</v>
      </c>
      <c r="D26" s="107">
        <v>-10719570.704420686</v>
      </c>
      <c r="E26" s="107">
        <v>-8298087.3527766764</v>
      </c>
      <c r="F26" s="107">
        <v>-2260616.5998471528</v>
      </c>
      <c r="G26" s="107">
        <v>-7831287.6381157637</v>
      </c>
      <c r="H26" s="107">
        <v>-18156035.935757712</v>
      </c>
      <c r="I26" s="107">
        <v>-15967678.507973641</v>
      </c>
    </row>
    <row r="27" spans="2:9">
      <c r="B27" s="105">
        <v>20</v>
      </c>
      <c r="C27" s="107">
        <v>-8068489.5596933812</v>
      </c>
      <c r="D27" s="107">
        <v>2053453.7295497209</v>
      </c>
      <c r="E27" s="107">
        <v>-2052543.6973035336</v>
      </c>
      <c r="F27" s="107">
        <v>-10888866.145723149</v>
      </c>
      <c r="G27" s="107">
        <v>-5541553.3791967481</v>
      </c>
      <c r="H27" s="107">
        <v>-17283187.368257672</v>
      </c>
      <c r="I27" s="107">
        <v>-22549833.232196212</v>
      </c>
    </row>
    <row r="28" spans="2:9">
      <c r="B28" s="105">
        <v>21</v>
      </c>
      <c r="C28" s="107">
        <v>-3280771.2129323483</v>
      </c>
      <c r="D28" s="107">
        <v>-31202.5929145962</v>
      </c>
      <c r="E28" s="107">
        <v>-692769.93680666387</v>
      </c>
      <c r="F28" s="107">
        <v>-6113496.0201102197</v>
      </c>
      <c r="G28" s="107">
        <v>-7590090.4863291681</v>
      </c>
      <c r="H28" s="107">
        <v>-8396135.7624009103</v>
      </c>
      <c r="I28" s="107">
        <v>-9519307.9285229445</v>
      </c>
    </row>
    <row r="29" spans="2:9">
      <c r="B29" s="105">
        <v>22</v>
      </c>
      <c r="C29" s="107">
        <v>7832096.6415401548</v>
      </c>
      <c r="D29" s="107">
        <v>-7280622.7937960923</v>
      </c>
      <c r="E29" s="107">
        <v>4864782.6085467041</v>
      </c>
      <c r="F29" s="107">
        <v>-13737364.860576704</v>
      </c>
      <c r="G29" s="107">
        <v>-10756471.907306701</v>
      </c>
      <c r="H29" s="107">
        <v>-4843139.89845258</v>
      </c>
      <c r="I29" s="107">
        <v>-12136344.490190431</v>
      </c>
    </row>
    <row r="30" spans="2:9">
      <c r="B30" s="105">
        <v>23</v>
      </c>
      <c r="C30" s="107">
        <v>-7112734.5059771836</v>
      </c>
      <c r="D30" s="107">
        <v>-4976257.207222715</v>
      </c>
      <c r="E30" s="107">
        <v>-2829092.0814298093</v>
      </c>
      <c r="F30" s="107">
        <v>-12950228.69379963</v>
      </c>
      <c r="G30" s="107">
        <v>-6233815.605728671</v>
      </c>
      <c r="H30" s="107">
        <v>-15486297.139924318</v>
      </c>
      <c r="I30" s="107">
        <v>-24467660.917022347</v>
      </c>
    </row>
    <row r="31" spans="2:9">
      <c r="B31" s="105">
        <v>24</v>
      </c>
      <c r="C31" s="107">
        <v>-18513988.006417871</v>
      </c>
      <c r="D31" s="107">
        <v>814596.33227279782</v>
      </c>
      <c r="E31" s="107">
        <v>-15805828.924415931</v>
      </c>
      <c r="F31" s="107">
        <v>-3281019.0368863493</v>
      </c>
      <c r="G31" s="107">
        <v>-11190326.091752693</v>
      </c>
      <c r="H31" s="107">
        <v>-18927183.007894963</v>
      </c>
      <c r="I31" s="107">
        <v>-11661555.337465301</v>
      </c>
    </row>
    <row r="32" spans="2:9">
      <c r="B32" s="105">
        <v>25</v>
      </c>
      <c r="C32" s="107">
        <v>-2141974.0343145877</v>
      </c>
      <c r="D32" s="107">
        <v>-1705889.2656913102</v>
      </c>
      <c r="E32" s="107">
        <v>-12405568.113106012</v>
      </c>
      <c r="F32" s="107">
        <v>-9828446.1625037491</v>
      </c>
      <c r="G32" s="107">
        <v>-9954401.3096912205</v>
      </c>
      <c r="H32" s="107">
        <v>-22135852.827017143</v>
      </c>
      <c r="I32" s="107">
        <v>-13478145.464628324</v>
      </c>
    </row>
    <row r="33" spans="2:9">
      <c r="B33" s="105">
        <v>26</v>
      </c>
      <c r="C33" s="107">
        <v>-7522862.2081903815</v>
      </c>
      <c r="D33" s="107">
        <v>5208850.0147057176</v>
      </c>
      <c r="E33" s="107">
        <v>-1098569.4615117311</v>
      </c>
      <c r="F33" s="107">
        <v>-8379948.8625168204</v>
      </c>
      <c r="G33" s="107">
        <v>-7446560.4249356389</v>
      </c>
      <c r="H33" s="107">
        <v>-8856335.327427417</v>
      </c>
      <c r="I33" s="107">
        <v>-7961431.0074791014</v>
      </c>
    </row>
    <row r="34" spans="2:9">
      <c r="B34" s="105">
        <v>27</v>
      </c>
      <c r="C34" s="107">
        <v>-15873.868446066976</v>
      </c>
      <c r="D34" s="107">
        <v>3857164.3327748775</v>
      </c>
      <c r="E34" s="107">
        <v>-6196937.962673068</v>
      </c>
      <c r="F34" s="107">
        <v>-11860277.931782022</v>
      </c>
      <c r="G34" s="107">
        <v>-14926570.560733005</v>
      </c>
      <c r="H34" s="107">
        <v>-16433056.909147963</v>
      </c>
      <c r="I34" s="107">
        <v>-13033709.548466444</v>
      </c>
    </row>
    <row r="35" spans="2:9">
      <c r="B35" s="105">
        <v>28</v>
      </c>
      <c r="C35" s="107">
        <v>5539569.1156737506</v>
      </c>
      <c r="D35" s="107">
        <v>-4514030.7212737501</v>
      </c>
      <c r="E35" s="107">
        <v>-2046874.5017049313</v>
      </c>
      <c r="F35" s="107">
        <v>-5406700.933730647</v>
      </c>
      <c r="G35" s="107">
        <v>-5149228.2795594037</v>
      </c>
      <c r="H35" s="107">
        <v>-17875081.448304549</v>
      </c>
      <c r="I35" s="107">
        <v>-13886236.011475295</v>
      </c>
    </row>
    <row r="36" spans="2:9">
      <c r="B36" s="105">
        <v>29</v>
      </c>
      <c r="C36" s="107">
        <v>680973.28088326752</v>
      </c>
      <c r="D36" s="107">
        <v>-5755939.8282823265</v>
      </c>
      <c r="E36" s="107">
        <v>796033.92065002024</v>
      </c>
      <c r="F36" s="107">
        <v>-6106864.5333090723</v>
      </c>
      <c r="G36" s="107">
        <v>-12644435.024639219</v>
      </c>
      <c r="H36" s="107">
        <v>-15500864.536733404</v>
      </c>
      <c r="I36" s="107">
        <v>-16433279.195084348</v>
      </c>
    </row>
    <row r="37" spans="2:9">
      <c r="B37" s="105">
        <v>30</v>
      </c>
      <c r="C37" s="107">
        <v>327357.32294483483</v>
      </c>
      <c r="D37" s="107">
        <v>-1468882.0257323831</v>
      </c>
      <c r="E37" s="107">
        <v>-389725.18197035789</v>
      </c>
      <c r="F37" s="107">
        <v>-14330498.217987299</v>
      </c>
      <c r="G37" s="107">
        <v>-7663681.6345971376</v>
      </c>
      <c r="H37" s="107">
        <v>-17584463.249355137</v>
      </c>
      <c r="I37" s="107">
        <v>-10767999.572505221</v>
      </c>
    </row>
    <row r="38" spans="2:9">
      <c r="B38" s="105">
        <v>31</v>
      </c>
      <c r="C38" s="107">
        <v>-6416403.495905444</v>
      </c>
      <c r="D38" s="107">
        <v>-8111379.9362893701</v>
      </c>
      <c r="E38" s="107">
        <v>-4442056.2389943898</v>
      </c>
      <c r="F38" s="107">
        <v>-181734.35120841861</v>
      </c>
      <c r="G38" s="107">
        <v>-13728534.772712201</v>
      </c>
      <c r="H38" s="107">
        <v>-10710682.227163509</v>
      </c>
      <c r="I38" s="107">
        <v>-10954660.906490982</v>
      </c>
    </row>
    <row r="39" spans="2:9">
      <c r="B39" s="105">
        <v>32</v>
      </c>
      <c r="C39" s="107">
        <v>-2699198.4671039581</v>
      </c>
      <c r="D39" s="107">
        <v>-4532083.2831597924</v>
      </c>
      <c r="E39" s="107">
        <v>-1481244.3920562714</v>
      </c>
      <c r="F39" s="107">
        <v>1529903.5864019394</v>
      </c>
      <c r="G39" s="107">
        <v>-17291646.369254887</v>
      </c>
      <c r="H39" s="107">
        <v>-9242789.5313055813</v>
      </c>
      <c r="I39" s="107">
        <v>-19968232.235841677</v>
      </c>
    </row>
    <row r="40" spans="2:9">
      <c r="B40" s="105">
        <v>33</v>
      </c>
      <c r="C40" s="107">
        <v>-1135781.5304737687</v>
      </c>
      <c r="D40" s="107">
        <v>-4223051.1413019747</v>
      </c>
      <c r="E40" s="107">
        <v>-2198024.3295467347</v>
      </c>
      <c r="F40" s="107">
        <v>-2098418.0828657597</v>
      </c>
      <c r="G40" s="107">
        <v>-10320220.402002826</v>
      </c>
      <c r="H40" s="107">
        <v>-8971998.5792991221</v>
      </c>
      <c r="I40" s="107">
        <v>-13029643.716936722</v>
      </c>
    </row>
    <row r="41" spans="2:9">
      <c r="B41" s="105">
        <v>34</v>
      </c>
      <c r="C41" s="107">
        <v>399983.82592779398</v>
      </c>
      <c r="D41" s="107">
        <v>-7782214.6819046289</v>
      </c>
      <c r="E41" s="107">
        <v>-9394016.8621584326</v>
      </c>
      <c r="F41" s="107">
        <v>-11384186.198676944</v>
      </c>
      <c r="G41" s="107">
        <v>-16270179.729519635</v>
      </c>
      <c r="H41" s="107">
        <v>-10142131.972936824</v>
      </c>
      <c r="I41" s="107">
        <v>-18408948.040097192</v>
      </c>
    </row>
    <row r="42" spans="2:9">
      <c r="B42" s="105">
        <v>35</v>
      </c>
      <c r="C42" s="107">
        <v>3496033.9993062615</v>
      </c>
      <c r="D42" s="107">
        <v>1794632.5892373025</v>
      </c>
      <c r="E42" s="107">
        <v>-3386013.0282862633</v>
      </c>
      <c r="F42" s="107">
        <v>-7105502.2039010525</v>
      </c>
      <c r="G42" s="107">
        <v>-7238087.1011381447</v>
      </c>
      <c r="H42" s="107">
        <v>-17779670.756020367</v>
      </c>
      <c r="I42" s="107">
        <v>-14149791.446251735</v>
      </c>
    </row>
    <row r="43" spans="2:9">
      <c r="B43" s="105">
        <v>36</v>
      </c>
      <c r="C43" s="107">
        <v>1702740.0506220311</v>
      </c>
      <c r="D43" s="107">
        <v>-6690993.2730496377</v>
      </c>
      <c r="E43" s="107">
        <v>-5151086.7625509202</v>
      </c>
      <c r="F43" s="107">
        <v>3306314.8125651181</v>
      </c>
      <c r="G43" s="107">
        <v>-12005609.700857162</v>
      </c>
      <c r="H43" s="107">
        <v>-17478094.838442743</v>
      </c>
      <c r="I43" s="107">
        <v>-14273904.779294312</v>
      </c>
    </row>
    <row r="44" spans="2:9">
      <c r="B44" s="105">
        <v>37</v>
      </c>
      <c r="C44" s="107">
        <v>-1781559.3944013566</v>
      </c>
      <c r="D44" s="107">
        <v>-8573924.9000515193</v>
      </c>
      <c r="E44" s="107">
        <v>-11196721.744023234</v>
      </c>
      <c r="F44" s="107">
        <v>-2570250.6011185199</v>
      </c>
      <c r="G44" s="107">
        <v>-13597095.222650468</v>
      </c>
      <c r="H44" s="107">
        <v>-9349886.6675985307</v>
      </c>
      <c r="I44" s="107">
        <v>-19261651.046313211</v>
      </c>
    </row>
    <row r="45" spans="2:9">
      <c r="B45" s="105">
        <v>38</v>
      </c>
      <c r="C45" s="107">
        <v>-2159328.6323916018</v>
      </c>
      <c r="D45" s="107">
        <v>1412030.0544048995</v>
      </c>
      <c r="E45" s="107">
        <v>-5633204.498249799</v>
      </c>
      <c r="F45" s="107">
        <v>-880807.92398154736</v>
      </c>
      <c r="G45" s="107">
        <v>-1715514.190572679</v>
      </c>
      <c r="H45" s="107">
        <v>-10222129.225298971</v>
      </c>
      <c r="I45" s="107">
        <v>-14201274.259207308</v>
      </c>
    </row>
    <row r="46" spans="2:9">
      <c r="B46" s="105">
        <v>39</v>
      </c>
      <c r="C46" s="107">
        <v>-368004.51679813862</v>
      </c>
      <c r="D46" s="107">
        <v>-177442.59160675108</v>
      </c>
      <c r="E46" s="107">
        <v>-9603043.5358770192</v>
      </c>
      <c r="F46" s="107">
        <v>-1898925.7653863728</v>
      </c>
      <c r="G46" s="107">
        <v>-16045508.295190528</v>
      </c>
      <c r="H46" s="107">
        <v>-12036978.202543795</v>
      </c>
      <c r="I46" s="107">
        <v>-8414932.0586882383</v>
      </c>
    </row>
    <row r="47" spans="2:9">
      <c r="B47" s="105">
        <v>40</v>
      </c>
      <c r="C47" s="107">
        <v>-7263761.6529821455</v>
      </c>
      <c r="D47" s="107">
        <v>-7597534.9877826869</v>
      </c>
      <c r="E47" s="107">
        <v>-13274839.112267196</v>
      </c>
      <c r="F47" s="107">
        <v>-15320538.755961135</v>
      </c>
      <c r="G47" s="107">
        <v>-9452508.9505210668</v>
      </c>
      <c r="H47" s="107">
        <v>-5617445.816745311</v>
      </c>
      <c r="I47" s="107">
        <v>-12200963.688631773</v>
      </c>
    </row>
    <row r="48" spans="2:9">
      <c r="B48" s="105">
        <v>41</v>
      </c>
      <c r="C48" s="107">
        <v>-870513.127010867</v>
      </c>
      <c r="D48" s="107">
        <v>641339.19236606359</v>
      </c>
      <c r="E48" s="107">
        <v>-1368823.4512058794</v>
      </c>
      <c r="F48" s="107">
        <v>-6857522.7651444376</v>
      </c>
      <c r="G48" s="107">
        <v>-11625297.426372871</v>
      </c>
      <c r="H48" s="107">
        <v>-17604176.104842737</v>
      </c>
      <c r="I48" s="107">
        <v>-16316726.286727205</v>
      </c>
    </row>
    <row r="49" spans="2:9">
      <c r="B49" s="105">
        <v>42</v>
      </c>
      <c r="C49" s="107">
        <v>5454514.639292255</v>
      </c>
      <c r="D49" s="107">
        <v>-1076926.8126341701</v>
      </c>
      <c r="E49" s="107">
        <v>-3031567.6803790927</v>
      </c>
      <c r="F49" s="107">
        <v>-7772912.9266531467</v>
      </c>
      <c r="G49" s="107">
        <v>-7680443.723736465</v>
      </c>
      <c r="H49" s="107">
        <v>-12388851.470413521</v>
      </c>
      <c r="I49" s="107">
        <v>-10108113.728105858</v>
      </c>
    </row>
    <row r="50" spans="2:9">
      <c r="B50" s="105">
        <v>43</v>
      </c>
      <c r="C50" s="107">
        <v>2033541.8354256004</v>
      </c>
      <c r="D50" s="107">
        <v>-3089674.5491176546</v>
      </c>
      <c r="E50" s="107">
        <v>-8365648.5760181695</v>
      </c>
      <c r="F50" s="107">
        <v>-13905654.662968189</v>
      </c>
      <c r="G50" s="107">
        <v>-7419602.9209400564</v>
      </c>
      <c r="H50" s="107">
        <v>-12555702.604205623</v>
      </c>
      <c r="I50" s="107">
        <v>-16675192.790407836</v>
      </c>
    </row>
    <row r="51" spans="2:9">
      <c r="B51" s="105">
        <v>44</v>
      </c>
      <c r="C51" s="107">
        <v>-1551225.6090527624</v>
      </c>
      <c r="D51" s="107">
        <v>3503292.0218060315</v>
      </c>
      <c r="E51" s="107">
        <v>124861.48084843159</v>
      </c>
      <c r="F51" s="107">
        <v>-2303894.5791404396</v>
      </c>
      <c r="G51" s="107">
        <v>-5007339.6439827532</v>
      </c>
      <c r="H51" s="107">
        <v>-13291704.162848562</v>
      </c>
      <c r="I51" s="107">
        <v>-13028600.502992094</v>
      </c>
    </row>
    <row r="52" spans="2:9">
      <c r="B52" s="105">
        <v>45</v>
      </c>
      <c r="C52" s="107">
        <v>626989.98206292093</v>
      </c>
      <c r="D52" s="107">
        <v>2632666.8729433864</v>
      </c>
      <c r="E52" s="107">
        <v>-606074.62038479745</v>
      </c>
      <c r="F52" s="107">
        <v>-5480615.0168588161</v>
      </c>
      <c r="G52" s="107">
        <v>965941.22158716619</v>
      </c>
      <c r="H52" s="107">
        <v>-6175307.2132248878</v>
      </c>
      <c r="I52" s="107">
        <v>-14918639.089799136</v>
      </c>
    </row>
    <row r="53" spans="2:9">
      <c r="B53" s="105">
        <v>46</v>
      </c>
      <c r="C53" s="107">
        <v>-6456678.3720459044</v>
      </c>
      <c r="D53" s="107">
        <v>-628371.53043028712</v>
      </c>
      <c r="E53" s="107">
        <v>234127.41535367072</v>
      </c>
      <c r="F53" s="107">
        <v>-8103956.959067151</v>
      </c>
      <c r="G53" s="107">
        <v>-14485222.780783996</v>
      </c>
      <c r="H53" s="107">
        <v>-13126231.729451492</v>
      </c>
      <c r="I53" s="107">
        <v>-12017470.015139475</v>
      </c>
    </row>
    <row r="54" spans="2:9">
      <c r="B54" s="105">
        <v>47</v>
      </c>
      <c r="C54" s="107">
        <v>1809192.1004942656</v>
      </c>
      <c r="D54" s="107">
        <v>7624475.7238649279</v>
      </c>
      <c r="E54" s="107">
        <v>-1881105.6282305568</v>
      </c>
      <c r="F54" s="107">
        <v>-10124290.144296348</v>
      </c>
      <c r="G54" s="107">
        <v>-11378265.676120102</v>
      </c>
      <c r="H54" s="107">
        <v>-10730620.203536242</v>
      </c>
      <c r="I54" s="107">
        <v>-14104429.365894765</v>
      </c>
    </row>
    <row r="55" spans="2:9">
      <c r="B55" s="105">
        <v>48</v>
      </c>
      <c r="C55" s="107">
        <v>2173126.6093132794</v>
      </c>
      <c r="D55" s="107">
        <v>-3181515.8865882009</v>
      </c>
      <c r="E55" s="107">
        <v>-3359488.2964826524</v>
      </c>
      <c r="F55" s="107">
        <v>-2010698.1974534094</v>
      </c>
      <c r="G55" s="107">
        <v>-3853694.6136208624</v>
      </c>
      <c r="H55" s="107">
        <v>-12971575.200369477</v>
      </c>
      <c r="I55" s="107">
        <v>-26853262.077788204</v>
      </c>
    </row>
    <row r="56" spans="2:9">
      <c r="B56" s="105">
        <v>49</v>
      </c>
      <c r="C56" s="107">
        <v>-19233793.582380161</v>
      </c>
      <c r="D56" s="107">
        <v>-2880425.6562193632</v>
      </c>
      <c r="E56" s="107">
        <v>-13654137.396927178</v>
      </c>
      <c r="F56" s="107">
        <v>-5847682.2045192271</v>
      </c>
      <c r="G56" s="107">
        <v>-9903052.1512893289</v>
      </c>
      <c r="H56" s="107">
        <v>-11040854.887675494</v>
      </c>
      <c r="I56" s="107">
        <v>-11727764.695021033</v>
      </c>
    </row>
    <row r="57" spans="2:9">
      <c r="B57" s="105">
        <v>50</v>
      </c>
      <c r="C57" s="107">
        <v>1456332.0093897879</v>
      </c>
      <c r="D57" s="107">
        <v>-1244707.7722294033</v>
      </c>
      <c r="E57" s="107">
        <v>-13614287.12011984</v>
      </c>
      <c r="F57" s="107">
        <v>-6880445.8990268856</v>
      </c>
      <c r="G57" s="107">
        <v>-15944858.512054265</v>
      </c>
      <c r="H57" s="107">
        <v>-13574239.024783</v>
      </c>
      <c r="I57" s="107">
        <v>-19606976.968137786</v>
      </c>
    </row>
    <row r="58" spans="2:9">
      <c r="B58" s="105">
        <v>51</v>
      </c>
      <c r="C58" s="107">
        <v>420749.80042493343</v>
      </c>
      <c r="D58" s="107">
        <v>-6618595.0821074098</v>
      </c>
      <c r="E58" s="107">
        <v>-2975931.5731176138</v>
      </c>
      <c r="F58" s="107">
        <v>-1622933.1023225486</v>
      </c>
      <c r="G58" s="107">
        <v>-12412169.732195243</v>
      </c>
      <c r="H58" s="107">
        <v>-9107188.9569234699</v>
      </c>
      <c r="I58" s="107">
        <v>-14747391.925405681</v>
      </c>
    </row>
    <row r="59" spans="2:9">
      <c r="B59" s="105">
        <v>52</v>
      </c>
      <c r="C59" s="107">
        <v>-3379700.0931696743</v>
      </c>
      <c r="D59" s="107">
        <v>-5536902.2478062212</v>
      </c>
      <c r="E59" s="107">
        <v>-13483823.74883379</v>
      </c>
      <c r="F59" s="107">
        <v>-3481423.6615623236</v>
      </c>
      <c r="G59" s="107">
        <v>-8807507.5756734908</v>
      </c>
      <c r="H59" s="107">
        <v>-10133178.609804496</v>
      </c>
      <c r="I59" s="107">
        <v>-10275163.680972904</v>
      </c>
    </row>
    <row r="60" spans="2:9">
      <c r="B60" s="105">
        <v>53</v>
      </c>
      <c r="C60" s="107">
        <v>2137899.8436322212</v>
      </c>
      <c r="D60" s="107">
        <v>-6396630.0790219307</v>
      </c>
      <c r="E60" s="107">
        <v>-19211812.947091818</v>
      </c>
      <c r="F60" s="107">
        <v>-8323625.7010533512</v>
      </c>
      <c r="G60" s="107">
        <v>-1911871.9301300049</v>
      </c>
      <c r="H60" s="107">
        <v>-14565422.890518129</v>
      </c>
      <c r="I60" s="107">
        <v>-13595630.828727126</v>
      </c>
    </row>
    <row r="61" spans="2:9">
      <c r="B61" s="105">
        <v>54</v>
      </c>
      <c r="C61" s="107">
        <v>1368002.209342584</v>
      </c>
      <c r="D61" s="107">
        <v>7516887.4058697969</v>
      </c>
      <c r="E61" s="107">
        <v>-443942.84187759459</v>
      </c>
      <c r="F61" s="107">
        <v>-3494786.5469305366</v>
      </c>
      <c r="G61" s="107">
        <v>-9473028.1930383593</v>
      </c>
      <c r="H61" s="107">
        <v>-17466805.043389544</v>
      </c>
      <c r="I61" s="107">
        <v>-14566319.605086356</v>
      </c>
    </row>
    <row r="62" spans="2:9">
      <c r="B62" s="105">
        <v>55</v>
      </c>
      <c r="C62" s="107">
        <v>-242484.82925079763</v>
      </c>
      <c r="D62" s="107">
        <v>-5230752.1060944051</v>
      </c>
      <c r="E62" s="107">
        <v>-20581419.30549328</v>
      </c>
      <c r="F62" s="107">
        <v>-1814328.0714012384</v>
      </c>
      <c r="G62" s="107">
        <v>1922576.5600031614</v>
      </c>
      <c r="H62" s="107">
        <v>-18623725.988815442</v>
      </c>
      <c r="I62" s="107">
        <v>-16293830.511381328</v>
      </c>
    </row>
    <row r="63" spans="2:9">
      <c r="B63" s="105">
        <v>56</v>
      </c>
      <c r="C63" s="107">
        <v>2962128.7554823905</v>
      </c>
      <c r="D63" s="107">
        <v>-5191350.5356957316</v>
      </c>
      <c r="E63" s="107">
        <v>-1174601.983017236</v>
      </c>
      <c r="F63" s="107">
        <v>-8283768.908023119</v>
      </c>
      <c r="G63" s="107">
        <v>-7297010.3502021432</v>
      </c>
      <c r="H63" s="107">
        <v>-13812311.198120728</v>
      </c>
      <c r="I63" s="107">
        <v>-12113602.867034286</v>
      </c>
    </row>
    <row r="64" spans="2:9">
      <c r="B64" s="105">
        <v>57</v>
      </c>
      <c r="C64" s="107">
        <v>-8018783.9683900476</v>
      </c>
      <c r="D64" s="107">
        <v>-3239578.7492233217</v>
      </c>
      <c r="E64" s="107">
        <v>-8720843.7995592654</v>
      </c>
      <c r="F64" s="107">
        <v>-16341058.956348285</v>
      </c>
      <c r="G64" s="107">
        <v>-16855426.068392828</v>
      </c>
      <c r="H64" s="107">
        <v>-8981786.9220694751</v>
      </c>
      <c r="I64" s="107">
        <v>-16969629.840472892</v>
      </c>
    </row>
    <row r="65" spans="2:9">
      <c r="B65" s="105">
        <v>58</v>
      </c>
      <c r="C65" s="107">
        <v>-5386405.6402994096</v>
      </c>
      <c r="D65" s="107">
        <v>-10160256.66029945</v>
      </c>
      <c r="E65" s="107">
        <v>-10610898.403322458</v>
      </c>
      <c r="F65" s="107">
        <v>2215755.288375929</v>
      </c>
      <c r="G65" s="107">
        <v>-7222678.5333851278</v>
      </c>
      <c r="H65" s="107">
        <v>-20081538.231961414</v>
      </c>
      <c r="I65" s="107">
        <v>-22166977.337371603</v>
      </c>
    </row>
    <row r="66" spans="2:9">
      <c r="B66" s="105">
        <v>59</v>
      </c>
      <c r="C66" s="107">
        <v>677851.52314004302</v>
      </c>
      <c r="D66" s="107">
        <v>8313899.2696442604</v>
      </c>
      <c r="E66" s="107">
        <v>-9824430.1043112874</v>
      </c>
      <c r="F66" s="107">
        <v>-6895101.8454272896</v>
      </c>
      <c r="G66" s="107">
        <v>-3608934.6262651086</v>
      </c>
      <c r="H66" s="107">
        <v>-5294373.9445464313</v>
      </c>
      <c r="I66" s="107">
        <v>-9576864.0330432653</v>
      </c>
    </row>
    <row r="67" spans="2:9">
      <c r="B67" s="105">
        <v>60</v>
      </c>
      <c r="C67" s="107">
        <v>-7746949.0414586514</v>
      </c>
      <c r="D67" s="107">
        <v>-541428.98336403072</v>
      </c>
      <c r="E67" s="107">
        <v>-5334077.7398063987</v>
      </c>
      <c r="F67" s="107">
        <v>-125927.22299592197</v>
      </c>
      <c r="G67" s="107">
        <v>-7235399.7854581326</v>
      </c>
      <c r="H67" s="107">
        <v>-20401545.832051873</v>
      </c>
      <c r="I67" s="107">
        <v>-20029558.811509371</v>
      </c>
    </row>
    <row r="68" spans="2:9">
      <c r="B68" s="105">
        <v>61</v>
      </c>
      <c r="C68" s="107">
        <v>3512440.7385231405</v>
      </c>
      <c r="D68" s="107">
        <v>-5115506.3939746618</v>
      </c>
      <c r="E68" s="107">
        <v>-8245057.1042118371</v>
      </c>
      <c r="F68" s="107">
        <v>-5037155.1252501458</v>
      </c>
      <c r="G68" s="107">
        <v>7135729.8212504238</v>
      </c>
      <c r="H68" s="107">
        <v>-10683780.679219916</v>
      </c>
      <c r="I68" s="107">
        <v>-16614020.864048421</v>
      </c>
    </row>
    <row r="69" spans="2:9">
      <c r="B69" s="105">
        <v>62</v>
      </c>
      <c r="C69" s="107">
        <v>-3550324.9912958741</v>
      </c>
      <c r="D69" s="107">
        <v>-2770330.3755850345</v>
      </c>
      <c r="E69" s="107">
        <v>1956876.6495754272</v>
      </c>
      <c r="F69" s="107">
        <v>-11167504.856688589</v>
      </c>
      <c r="G69" s="107">
        <v>-9231444.2930299044</v>
      </c>
      <c r="H69" s="107">
        <v>-15997905.389213502</v>
      </c>
      <c r="I69" s="107">
        <v>-8651545.954157725</v>
      </c>
    </row>
    <row r="70" spans="2:9">
      <c r="B70" s="105">
        <v>63</v>
      </c>
      <c r="C70" s="107">
        <v>2150003.0640937537</v>
      </c>
      <c r="D70" s="107">
        <v>-4877011.419598341</v>
      </c>
      <c r="E70" s="107">
        <v>-12030600.742124602</v>
      </c>
      <c r="F70" s="107">
        <v>-8213329.3982972801</v>
      </c>
      <c r="G70" s="107">
        <v>-14341830.984023854</v>
      </c>
      <c r="H70" s="107">
        <v>-11128320.192980364</v>
      </c>
      <c r="I70" s="107">
        <v>-13462654.173990041</v>
      </c>
    </row>
    <row r="71" spans="2:9">
      <c r="B71" s="105">
        <v>64</v>
      </c>
      <c r="C71" s="107">
        <v>-1082120.4470117688</v>
      </c>
      <c r="D71" s="107">
        <v>-3002265.4569953233</v>
      </c>
      <c r="E71" s="107">
        <v>-155825.784694314</v>
      </c>
      <c r="F71" s="107">
        <v>-4024100.1902654767</v>
      </c>
      <c r="G71" s="107">
        <v>-19139837.231893778</v>
      </c>
      <c r="H71" s="107">
        <v>-14300622.269938797</v>
      </c>
      <c r="I71" s="107">
        <v>-17952222.834611207</v>
      </c>
    </row>
    <row r="72" spans="2:9">
      <c r="B72" s="105">
        <v>65</v>
      </c>
      <c r="C72" s="107">
        <v>2770695.213434279</v>
      </c>
      <c r="D72" s="107">
        <v>-4942441.7306083888</v>
      </c>
      <c r="E72" s="107">
        <v>-6761350.9718821645</v>
      </c>
      <c r="F72" s="107">
        <v>-12720683.782292634</v>
      </c>
      <c r="G72" s="107">
        <v>-19793766.815160573</v>
      </c>
      <c r="H72" s="107">
        <v>-11164506.823307559</v>
      </c>
      <c r="I72" s="107">
        <v>-12888948.085006937</v>
      </c>
    </row>
    <row r="73" spans="2:9">
      <c r="B73" s="105">
        <v>66</v>
      </c>
      <c r="C73" s="107">
        <v>1203532.0499677956</v>
      </c>
      <c r="D73" s="107">
        <v>-6299371.3856616169</v>
      </c>
      <c r="E73" s="107">
        <v>-7649889.8554216772</v>
      </c>
      <c r="F73" s="107">
        <v>-12593300.272617608</v>
      </c>
      <c r="G73" s="107">
        <v>-13561444.904279903</v>
      </c>
      <c r="H73" s="107">
        <v>-5756319.3203833252</v>
      </c>
      <c r="I73" s="107">
        <v>-8528938.2886302173</v>
      </c>
    </row>
    <row r="74" spans="2:9">
      <c r="B74" s="105">
        <v>67</v>
      </c>
      <c r="C74" s="107">
        <v>4086649.8427687436</v>
      </c>
      <c r="D74" s="107">
        <v>-3970844.5541926473</v>
      </c>
      <c r="E74" s="107">
        <v>-13295157.503946349</v>
      </c>
      <c r="F74" s="107">
        <v>-13492018.375335842</v>
      </c>
      <c r="G74" s="107">
        <v>-16699628.110938177</v>
      </c>
      <c r="H74" s="107">
        <v>-8023192.0584901124</v>
      </c>
      <c r="I74" s="107">
        <v>-13052708.781087145</v>
      </c>
    </row>
    <row r="75" spans="2:9">
      <c r="B75" s="105">
        <v>68</v>
      </c>
      <c r="C75" s="107">
        <v>1164503.9641198069</v>
      </c>
      <c r="D75" s="107">
        <v>2604648.3428545594</v>
      </c>
      <c r="E75" s="107">
        <v>-21346486.812228039</v>
      </c>
      <c r="F75" s="107">
        <v>-3846855.3465990275</v>
      </c>
      <c r="G75" s="107">
        <v>-14835097.837594941</v>
      </c>
      <c r="H75" s="107">
        <v>-17241759.431237653</v>
      </c>
      <c r="I75" s="107">
        <v>-11069623.294039249</v>
      </c>
    </row>
    <row r="76" spans="2:9">
      <c r="B76" s="105">
        <v>69</v>
      </c>
      <c r="C76" s="107">
        <v>-1372279.0414258838</v>
      </c>
      <c r="D76" s="107">
        <v>-3865073.9758679867</v>
      </c>
      <c r="E76" s="107">
        <v>-4664928.8753574938</v>
      </c>
      <c r="F76" s="107">
        <v>-16411597.812183365</v>
      </c>
      <c r="G76" s="107">
        <v>-9681151.0042617023</v>
      </c>
      <c r="H76" s="107">
        <v>-17850882.410573795</v>
      </c>
      <c r="I76" s="107">
        <v>-10779302.282322675</v>
      </c>
    </row>
    <row r="77" spans="2:9">
      <c r="B77" s="105">
        <v>70</v>
      </c>
      <c r="C77" s="107">
        <v>-2191140.193643257</v>
      </c>
      <c r="D77" s="107">
        <v>-5534711.9442097098</v>
      </c>
      <c r="E77" s="107">
        <v>-8538442.4263518006</v>
      </c>
      <c r="F77" s="107">
        <v>-10273570.435745567</v>
      </c>
      <c r="G77" s="107">
        <v>-8149940.3370808959</v>
      </c>
      <c r="H77" s="107">
        <v>-19444486.408434704</v>
      </c>
      <c r="I77" s="107">
        <v>-19161112.031326324</v>
      </c>
    </row>
    <row r="78" spans="2:9">
      <c r="B78" s="105">
        <v>71</v>
      </c>
      <c r="C78" s="107">
        <v>1717097.9102701694</v>
      </c>
      <c r="D78" s="107">
        <v>-1648935.1741915792</v>
      </c>
      <c r="E78" s="107">
        <v>1926509.5865885168</v>
      </c>
      <c r="F78" s="107">
        <v>-8509720.358607322</v>
      </c>
      <c r="G78" s="107">
        <v>-13778715.32951358</v>
      </c>
      <c r="H78" s="107">
        <v>-15409670.349440023</v>
      </c>
      <c r="I78" s="107">
        <v>-9601484.5031166524</v>
      </c>
    </row>
    <row r="79" spans="2:9">
      <c r="B79" s="105">
        <v>72</v>
      </c>
      <c r="C79" s="107">
        <v>651290.17835062742</v>
      </c>
      <c r="D79" s="107">
        <v>7898283.8041116595</v>
      </c>
      <c r="E79" s="107">
        <v>-6073361.9123249352</v>
      </c>
      <c r="F79" s="107">
        <v>-2365024.7437800616</v>
      </c>
      <c r="G79" s="107">
        <v>-5344248.1853903234</v>
      </c>
      <c r="H79" s="107">
        <v>-18692444.308294281</v>
      </c>
      <c r="I79" s="107">
        <v>-16178385.511282727</v>
      </c>
    </row>
    <row r="80" spans="2:9">
      <c r="B80" s="105">
        <v>73</v>
      </c>
      <c r="C80" s="107">
        <v>2065034.7014298737</v>
      </c>
      <c r="D80" s="107">
        <v>-4423958.8640964031</v>
      </c>
      <c r="E80" s="107">
        <v>-7769153.4898480624</v>
      </c>
      <c r="F80" s="107">
        <v>-1906511.7050439864</v>
      </c>
      <c r="G80" s="107">
        <v>757623.26270441711</v>
      </c>
      <c r="H80" s="107">
        <v>-12094326.506019115</v>
      </c>
      <c r="I80" s="107">
        <v>-20627965.287188664</v>
      </c>
    </row>
    <row r="81" spans="2:9">
      <c r="B81" s="105">
        <v>74</v>
      </c>
      <c r="C81" s="107">
        <v>-1984870.0830688924</v>
      </c>
      <c r="D81" s="107">
        <v>6799883.6780237854</v>
      </c>
      <c r="E81" s="107">
        <v>-2992702.8073230982</v>
      </c>
      <c r="F81" s="107">
        <v>-18751651.814306661</v>
      </c>
      <c r="G81" s="107">
        <v>-14264042.364002407</v>
      </c>
      <c r="H81" s="107">
        <v>-14352077.199948788</v>
      </c>
      <c r="I81" s="107">
        <v>-7046178.8686109483</v>
      </c>
    </row>
    <row r="82" spans="2:9">
      <c r="B82" s="105">
        <v>75</v>
      </c>
      <c r="C82" s="107">
        <v>-4836293.3734374791</v>
      </c>
      <c r="D82" s="107">
        <v>-11555151.035499379</v>
      </c>
      <c r="E82" s="107">
        <v>-8690262.575963214</v>
      </c>
      <c r="F82" s="107">
        <v>-5185983.1507729888</v>
      </c>
      <c r="G82" s="107">
        <v>-17226808.785446316</v>
      </c>
      <c r="H82" s="107">
        <v>-13668706.071605101</v>
      </c>
      <c r="I82" s="107">
        <v>-10734512.021973267</v>
      </c>
    </row>
    <row r="83" spans="2:9">
      <c r="B83" s="105">
        <v>76</v>
      </c>
      <c r="C83" s="107">
        <v>3583451.2131750584</v>
      </c>
      <c r="D83" s="107">
        <v>5820624.4358568788</v>
      </c>
      <c r="E83" s="107">
        <v>-3372210.2759256959</v>
      </c>
      <c r="F83" s="107">
        <v>-481567.77144168317</v>
      </c>
      <c r="G83" s="107">
        <v>-8721345.0116741657</v>
      </c>
      <c r="H83" s="107">
        <v>-10166302.838251904</v>
      </c>
      <c r="I83" s="107">
        <v>-6980926.4121566564</v>
      </c>
    </row>
    <row r="84" spans="2:9">
      <c r="B84" s="105">
        <v>77</v>
      </c>
      <c r="C84" s="107">
        <v>-976021.06574557722</v>
      </c>
      <c r="D84" s="107">
        <v>-1637891.9465760738</v>
      </c>
      <c r="E84" s="107">
        <v>-6486752.4276466817</v>
      </c>
      <c r="F84" s="107">
        <v>-10434513.874422207</v>
      </c>
      <c r="G84" s="107">
        <v>-9888389.7448131591</v>
      </c>
      <c r="H84" s="107">
        <v>-16593725.507348388</v>
      </c>
      <c r="I84" s="107">
        <v>-11207074.809497863</v>
      </c>
    </row>
    <row r="85" spans="2:9">
      <c r="B85" s="105">
        <v>78</v>
      </c>
      <c r="C85" s="107">
        <v>-2064097.8973027319</v>
      </c>
      <c r="D85" s="107">
        <v>1734471.4911623895</v>
      </c>
      <c r="E85" s="107">
        <v>-3082727.0189996809</v>
      </c>
      <c r="F85" s="107">
        <v>-2465256.4474980533</v>
      </c>
      <c r="G85" s="107">
        <v>-11342416.330360934</v>
      </c>
      <c r="H85" s="107">
        <v>-7217692.4152497351</v>
      </c>
      <c r="I85" s="107">
        <v>-19203181.948424056</v>
      </c>
    </row>
    <row r="86" spans="2:9">
      <c r="B86" s="105">
        <v>79</v>
      </c>
      <c r="C86" s="107">
        <v>-6582720.0836296827</v>
      </c>
      <c r="D86" s="107">
        <v>3444373.3081059307</v>
      </c>
      <c r="E86" s="107">
        <v>-920816.66679890454</v>
      </c>
      <c r="F86" s="107">
        <v>-4449690.6624745578</v>
      </c>
      <c r="G86" s="107">
        <v>-17294229.506639034</v>
      </c>
      <c r="H86" s="107">
        <v>-10643237.517074391</v>
      </c>
      <c r="I86" s="107">
        <v>-8340805.5447475761</v>
      </c>
    </row>
    <row r="87" spans="2:9">
      <c r="B87" s="105">
        <v>80</v>
      </c>
      <c r="C87" s="107">
        <v>4618465.6542737335</v>
      </c>
      <c r="D87" s="107">
        <v>-2112277.5863461941</v>
      </c>
      <c r="E87" s="107">
        <v>196412.71790707111</v>
      </c>
      <c r="F87" s="107">
        <v>-1632691.3527423441</v>
      </c>
      <c r="G87" s="107">
        <v>-12987602.466883242</v>
      </c>
      <c r="H87" s="107">
        <v>-11058377.566784307</v>
      </c>
      <c r="I87" s="107">
        <v>-16800942.882689059</v>
      </c>
    </row>
    <row r="88" spans="2:9">
      <c r="B88" s="105">
        <v>81</v>
      </c>
      <c r="C88" s="107">
        <v>-758158.26102907956</v>
      </c>
      <c r="D88" s="107">
        <v>-3013.6952617317438</v>
      </c>
      <c r="E88" s="107">
        <v>-14972227.00656949</v>
      </c>
      <c r="F88" s="107">
        <v>-8739055.2376777381</v>
      </c>
      <c r="G88" s="107">
        <v>-12459479.94329375</v>
      </c>
      <c r="H88" s="107">
        <v>-5153748.5862565488</v>
      </c>
      <c r="I88" s="107">
        <v>-10787123.220942765</v>
      </c>
    </row>
    <row r="89" spans="2:9">
      <c r="B89" s="105">
        <v>82</v>
      </c>
      <c r="C89" s="107">
        <v>-1723093.0604709834</v>
      </c>
      <c r="D89" s="107">
        <v>-3959164.8484328985</v>
      </c>
      <c r="E89" s="107">
        <v>-4645209.5634524226</v>
      </c>
      <c r="F89" s="107">
        <v>-8744414.5283948928</v>
      </c>
      <c r="G89" s="107">
        <v>-20355592.01252605</v>
      </c>
      <c r="H89" s="107">
        <v>-10688432.623023123</v>
      </c>
      <c r="I89" s="107">
        <v>-16419849.768255934</v>
      </c>
    </row>
    <row r="90" spans="2:9">
      <c r="B90" s="105">
        <v>83</v>
      </c>
      <c r="C90" s="107">
        <v>-8724286.8255467713</v>
      </c>
      <c r="D90" s="107">
        <v>-2163374.3025576621</v>
      </c>
      <c r="E90" s="107">
        <v>75652.508856981993</v>
      </c>
      <c r="F90" s="107">
        <v>-3817136.6808964312</v>
      </c>
      <c r="G90" s="107">
        <v>-14334373.422943965</v>
      </c>
      <c r="H90" s="107">
        <v>-13213271.530503199</v>
      </c>
      <c r="I90" s="107">
        <v>-13307558.587531328</v>
      </c>
    </row>
    <row r="91" spans="2:9">
      <c r="B91" s="105">
        <v>84</v>
      </c>
      <c r="C91" s="107">
        <v>6409938.3525051028</v>
      </c>
      <c r="D91" s="107">
        <v>-6045145.0164780021</v>
      </c>
      <c r="E91" s="107">
        <v>-11175564.048213363</v>
      </c>
      <c r="F91" s="107">
        <v>-4458546.487290293</v>
      </c>
      <c r="G91" s="107">
        <v>-14476193.53542465</v>
      </c>
      <c r="H91" s="107">
        <v>-4769565.6565250158</v>
      </c>
      <c r="I91" s="107">
        <v>-12373844.022276416</v>
      </c>
    </row>
    <row r="92" spans="2:9">
      <c r="B92" s="105">
        <v>85</v>
      </c>
      <c r="C92" s="107">
        <v>282329.36781144142</v>
      </c>
      <c r="D92" s="107">
        <v>-5074214.8710475713</v>
      </c>
      <c r="E92" s="107">
        <v>-1132146.3232192546</v>
      </c>
      <c r="F92" s="107">
        <v>-5117055.6030329168</v>
      </c>
      <c r="G92" s="107">
        <v>-11854965.653468758</v>
      </c>
      <c r="H92" s="107">
        <v>-14699785.923122913</v>
      </c>
      <c r="I92" s="107">
        <v>-7131741.982712388</v>
      </c>
    </row>
    <row r="93" spans="2:9">
      <c r="B93" s="105">
        <v>86</v>
      </c>
      <c r="C93" s="107">
        <v>3279616.0634903908</v>
      </c>
      <c r="D93" s="107">
        <v>3343824.6747865677</v>
      </c>
      <c r="E93" s="107">
        <v>5427864.2898795307</v>
      </c>
      <c r="F93" s="107">
        <v>-11055333.813074037</v>
      </c>
      <c r="G93" s="107">
        <v>-13494725.980953202</v>
      </c>
      <c r="H93" s="107">
        <v>-5785026.5034810305</v>
      </c>
      <c r="I93" s="107">
        <v>-22790994.873323575</v>
      </c>
    </row>
    <row r="94" spans="2:9">
      <c r="B94" s="105">
        <v>87</v>
      </c>
      <c r="C94" s="107">
        <v>-3404647.1981542706</v>
      </c>
      <c r="D94" s="107">
        <v>-1714707.0966912061</v>
      </c>
      <c r="E94" s="107">
        <v>-12302567.548501059</v>
      </c>
      <c r="F94" s="107">
        <v>-10921829.386162847</v>
      </c>
      <c r="G94" s="107">
        <v>-17620967.546765447</v>
      </c>
      <c r="H94" s="107">
        <v>-15992633.902420104</v>
      </c>
      <c r="I94" s="107">
        <v>-11396747.366241112</v>
      </c>
    </row>
    <row r="95" spans="2:9">
      <c r="B95" s="105">
        <v>88</v>
      </c>
      <c r="C95" s="107">
        <v>-6824316.1824626625</v>
      </c>
      <c r="D95" s="107">
        <v>-1744517.0739776641</v>
      </c>
      <c r="E95" s="107">
        <v>-4372638.9772711843</v>
      </c>
      <c r="F95" s="107">
        <v>-9743966.9606900066</v>
      </c>
      <c r="G95" s="107">
        <v>-11714106.016238928</v>
      </c>
      <c r="H95" s="107">
        <v>-8407735.1237968802</v>
      </c>
      <c r="I95" s="107">
        <v>-21237256.992295489</v>
      </c>
    </row>
    <row r="96" spans="2:9">
      <c r="B96" s="105">
        <v>89</v>
      </c>
      <c r="C96" s="107">
        <v>2403625.9927249849</v>
      </c>
      <c r="D96" s="107">
        <v>1743374.8388787806</v>
      </c>
      <c r="E96" s="107">
        <v>-10876255.995298073</v>
      </c>
      <c r="F96" s="107">
        <v>-14570773.265868858</v>
      </c>
      <c r="G96" s="107">
        <v>-4561916.4733422995</v>
      </c>
      <c r="H96" s="107">
        <v>-16561758.210037425</v>
      </c>
      <c r="I96" s="107">
        <v>-17012099.608721629</v>
      </c>
    </row>
    <row r="97" spans="2:9">
      <c r="B97" s="105">
        <v>90</v>
      </c>
      <c r="C97" s="107">
        <v>-9383602.8184856176</v>
      </c>
      <c r="D97" s="107">
        <v>4492887.1186793447</v>
      </c>
      <c r="E97" s="107">
        <v>-6029025.9494337887</v>
      </c>
      <c r="F97" s="107">
        <v>-300869.22789779305</v>
      </c>
      <c r="G97" s="107">
        <v>-10233091.307956904</v>
      </c>
      <c r="H97" s="107">
        <v>-11070351.306558281</v>
      </c>
      <c r="I97" s="107">
        <v>-9135907.7902284116</v>
      </c>
    </row>
    <row r="98" spans="2:9">
      <c r="B98" s="105">
        <v>91</v>
      </c>
      <c r="C98" s="107">
        <v>-1849978.9154438972</v>
      </c>
      <c r="D98" s="107">
        <v>1352644.1343476176</v>
      </c>
      <c r="E98" s="107">
        <v>-3436589.0813521296</v>
      </c>
      <c r="F98" s="107">
        <v>-2855023.5391954929</v>
      </c>
      <c r="G98" s="107">
        <v>-10165782.37190488</v>
      </c>
      <c r="H98" s="107">
        <v>-8020498.0502900481</v>
      </c>
      <c r="I98" s="107">
        <v>-18498481.906039327</v>
      </c>
    </row>
    <row r="99" spans="2:9">
      <c r="B99" s="105">
        <v>92</v>
      </c>
      <c r="C99" s="107">
        <v>-4529607.1538072526</v>
      </c>
      <c r="D99" s="107">
        <v>-880489.12059929967</v>
      </c>
      <c r="E99" s="107">
        <v>-9054985.1594123989</v>
      </c>
      <c r="F99" s="107">
        <v>-8713731.630111143</v>
      </c>
      <c r="G99" s="107">
        <v>-14599090.721646398</v>
      </c>
      <c r="H99" s="107">
        <v>-15364548.973544359</v>
      </c>
      <c r="I99" s="107">
        <v>-18489541.018071994</v>
      </c>
    </row>
    <row r="100" spans="2:9">
      <c r="B100" s="105">
        <v>93</v>
      </c>
      <c r="C100" s="107">
        <v>-4372227.0251955837</v>
      </c>
      <c r="D100" s="107">
        <v>-5069356.3339897394</v>
      </c>
      <c r="E100" s="107">
        <v>4852079.2826779336</v>
      </c>
      <c r="F100" s="107">
        <v>-21752824.301754966</v>
      </c>
      <c r="G100" s="107">
        <v>-8172439.7930002958</v>
      </c>
      <c r="H100" s="107">
        <v>-1064844.7063636929</v>
      </c>
      <c r="I100" s="107">
        <v>-10606347.022851706</v>
      </c>
    </row>
    <row r="101" spans="2:9">
      <c r="B101" s="105">
        <v>94</v>
      </c>
      <c r="C101" s="107">
        <v>-2108352.6581373811</v>
      </c>
      <c r="D101" s="107">
        <v>-4657391.7727680057</v>
      </c>
      <c r="E101" s="107">
        <v>-5039769.4759971946</v>
      </c>
      <c r="F101" s="107">
        <v>-2053592.3691428453</v>
      </c>
      <c r="G101" s="107">
        <v>-6376819.5506138951</v>
      </c>
      <c r="H101" s="107">
        <v>-10485032.885201782</v>
      </c>
      <c r="I101" s="107">
        <v>-17308873.012510911</v>
      </c>
    </row>
    <row r="102" spans="2:9">
      <c r="B102" s="105">
        <v>95</v>
      </c>
      <c r="C102" s="107">
        <v>4309374.1221414953</v>
      </c>
      <c r="D102" s="107">
        <v>2455069.0127913058</v>
      </c>
      <c r="E102" s="107">
        <v>-2353848.0160189569</v>
      </c>
      <c r="F102" s="107">
        <v>-10146025.270487219</v>
      </c>
      <c r="G102" s="107">
        <v>-11864840.584916323</v>
      </c>
      <c r="H102" s="107">
        <v>-21914288.461956397</v>
      </c>
      <c r="I102" s="107">
        <v>-5274356.9393896013</v>
      </c>
    </row>
    <row r="103" spans="2:9">
      <c r="B103" s="105">
        <v>96</v>
      </c>
      <c r="C103" s="107">
        <v>-1211855.3021475673</v>
      </c>
      <c r="D103" s="107">
        <v>-11004079.19256939</v>
      </c>
      <c r="E103" s="107">
        <v>-9570303.5534889102</v>
      </c>
      <c r="F103" s="107">
        <v>6827536.2549658567</v>
      </c>
      <c r="G103" s="107">
        <v>-20000681.446789488</v>
      </c>
      <c r="H103" s="107">
        <v>-7600617.0902512521</v>
      </c>
      <c r="I103" s="107">
        <v>-11514993.182461232</v>
      </c>
    </row>
    <row r="104" spans="2:9">
      <c r="B104" s="105">
        <v>97</v>
      </c>
      <c r="C104" s="107">
        <v>-12230545.346395165</v>
      </c>
      <c r="D104" s="107">
        <v>-2743294.3510859907</v>
      </c>
      <c r="E104" s="107">
        <v>-4744311.0659141839</v>
      </c>
      <c r="F104" s="107">
        <v>-16527016.515476808</v>
      </c>
      <c r="G104" s="107">
        <v>-8469479.8059972525</v>
      </c>
      <c r="H104" s="107">
        <v>-13743438.505706519</v>
      </c>
      <c r="I104" s="107">
        <v>-8770824.3441692144</v>
      </c>
    </row>
    <row r="105" spans="2:9">
      <c r="B105" s="105">
        <v>98</v>
      </c>
      <c r="C105" s="107">
        <v>2781210.3527837694</v>
      </c>
      <c r="D105" s="107">
        <v>-660008.43578219414</v>
      </c>
      <c r="E105" s="107">
        <v>-6092649.8992486596</v>
      </c>
      <c r="F105" s="107">
        <v>-3588820.7263708413</v>
      </c>
      <c r="G105" s="107">
        <v>-14022275.24208729</v>
      </c>
      <c r="H105" s="107">
        <v>-15355358.533093184</v>
      </c>
      <c r="I105" s="107">
        <v>-20314162.430669919</v>
      </c>
    </row>
    <row r="106" spans="2:9">
      <c r="B106" s="105">
        <v>99</v>
      </c>
      <c r="C106" s="107">
        <v>-5273943.3302875608</v>
      </c>
      <c r="D106" s="107">
        <v>1079304.2155314386</v>
      </c>
      <c r="E106" s="107">
        <v>-1905407.5430119932</v>
      </c>
      <c r="F106" s="107">
        <v>-1189247.757858634</v>
      </c>
      <c r="G106" s="107">
        <v>-11153139.273942083</v>
      </c>
      <c r="H106" s="107">
        <v>-18398626.41453211</v>
      </c>
      <c r="I106" s="107">
        <v>-15361164.065925837</v>
      </c>
    </row>
    <row r="107" spans="2:9">
      <c r="B107" s="105">
        <v>100</v>
      </c>
      <c r="C107" s="107">
        <v>-5290418.9463065118</v>
      </c>
      <c r="D107" s="107">
        <v>-4310507.32858257</v>
      </c>
      <c r="E107" s="107">
        <v>-2808906.9939277917</v>
      </c>
      <c r="F107" s="107">
        <v>-15302866.545908362</v>
      </c>
      <c r="G107" s="107">
        <v>-3194623.1720920205</v>
      </c>
      <c r="H107" s="107">
        <v>-14540010.78145054</v>
      </c>
      <c r="I107" s="107">
        <v>-10647537.45774065</v>
      </c>
    </row>
    <row r="108" spans="2:9">
      <c r="B108" s="105">
        <v>101</v>
      </c>
      <c r="C108" s="107">
        <v>-5266663.3662875742</v>
      </c>
      <c r="D108" s="107">
        <v>-4063675.2996257842</v>
      </c>
      <c r="E108" s="107">
        <v>-5217993.8355042487</v>
      </c>
      <c r="F108" s="107">
        <v>-1297357.7411184758</v>
      </c>
      <c r="G108" s="107">
        <v>-13781542.713857219</v>
      </c>
      <c r="H108" s="107">
        <v>-6415858.3098535538</v>
      </c>
      <c r="I108" s="107">
        <v>-28075747.046616808</v>
      </c>
    </row>
    <row r="109" spans="2:9">
      <c r="B109" s="105">
        <v>102</v>
      </c>
      <c r="C109" s="107">
        <v>-335221.36190591753</v>
      </c>
      <c r="D109" s="107">
        <v>-6480138.586265102</v>
      </c>
      <c r="E109" s="107">
        <v>-9402976.3761866242</v>
      </c>
      <c r="F109" s="107">
        <v>-1936240.0331161171</v>
      </c>
      <c r="G109" s="107">
        <v>-3996822.8448388577</v>
      </c>
      <c r="H109" s="107">
        <v>-15768320.440905228</v>
      </c>
      <c r="I109" s="107">
        <v>-12636623.025382191</v>
      </c>
    </row>
    <row r="110" spans="2:9">
      <c r="B110" s="105">
        <v>103</v>
      </c>
      <c r="C110" s="107">
        <v>8221540.0686916858</v>
      </c>
      <c r="D110" s="107">
        <v>2665741.0935820639</v>
      </c>
      <c r="E110" s="107">
        <v>1305214.1290184408</v>
      </c>
      <c r="F110" s="107">
        <v>-11457968.987061203</v>
      </c>
      <c r="G110" s="107">
        <v>-433953.37759706378</v>
      </c>
      <c r="H110" s="107">
        <v>-4967829.4581585526</v>
      </c>
      <c r="I110" s="107">
        <v>-10954771.556116521</v>
      </c>
    </row>
    <row r="111" spans="2:9">
      <c r="B111" s="105">
        <v>104</v>
      </c>
      <c r="C111" s="107">
        <v>1559032.3003025055</v>
      </c>
      <c r="D111" s="107">
        <v>1524987.9976011962</v>
      </c>
      <c r="E111" s="107">
        <v>-15163689.619483337</v>
      </c>
      <c r="F111" s="107">
        <v>-12273080.769447207</v>
      </c>
      <c r="G111" s="107">
        <v>-11474834.708657384</v>
      </c>
      <c r="H111" s="107">
        <v>-5860708.1547385007</v>
      </c>
      <c r="I111" s="107">
        <v>-9977789.8867942095</v>
      </c>
    </row>
    <row r="112" spans="2:9">
      <c r="B112" s="105">
        <v>105</v>
      </c>
      <c r="C112" s="107">
        <v>4875577.7955661416</v>
      </c>
      <c r="D112" s="107">
        <v>-5640839.4070438594</v>
      </c>
      <c r="E112" s="107">
        <v>-6892323.6458930373</v>
      </c>
      <c r="F112" s="107">
        <v>-3867253.1290888786</v>
      </c>
      <c r="G112" s="107">
        <v>-15679746.883518115</v>
      </c>
      <c r="H112" s="107">
        <v>-19100322.130912736</v>
      </c>
      <c r="I112" s="107">
        <v>-16720917.870464489</v>
      </c>
    </row>
    <row r="113" spans="2:9">
      <c r="B113" s="105">
        <v>106</v>
      </c>
      <c r="C113" s="107">
        <v>7220370.9378694147</v>
      </c>
      <c r="D113" s="107">
        <v>4743084.9315075874</v>
      </c>
      <c r="E113" s="107">
        <v>-6992089.2139294893</v>
      </c>
      <c r="F113" s="107">
        <v>-8857907.6081340611</v>
      </c>
      <c r="G113" s="107">
        <v>-5183389.7904355973</v>
      </c>
      <c r="H113" s="107">
        <v>-5857274.7836099416</v>
      </c>
      <c r="I113" s="107">
        <v>-17019804.078228936</v>
      </c>
    </row>
    <row r="114" spans="2:9">
      <c r="B114" s="105">
        <v>107</v>
      </c>
      <c r="C114" s="107">
        <v>-5933127.8564911932</v>
      </c>
      <c r="D114" s="107">
        <v>1193950.8872219026</v>
      </c>
      <c r="E114" s="107">
        <v>-3415758.651542291</v>
      </c>
      <c r="F114" s="107">
        <v>-13928187.180078954</v>
      </c>
      <c r="G114" s="107">
        <v>-9271808.5043249428</v>
      </c>
      <c r="H114" s="107">
        <v>-9583401.7020349354</v>
      </c>
      <c r="I114" s="107">
        <v>-14646504.78041397</v>
      </c>
    </row>
    <row r="115" spans="2:9">
      <c r="B115" s="105">
        <v>108</v>
      </c>
      <c r="C115" s="107">
        <v>-2366514.9187240452</v>
      </c>
      <c r="D115" s="107">
        <v>-2307322.9192825109</v>
      </c>
      <c r="E115" s="107">
        <v>-6173596.5033646375</v>
      </c>
      <c r="F115" s="107">
        <v>-13101248.871330321</v>
      </c>
      <c r="G115" s="107">
        <v>-5873156.4218202233</v>
      </c>
      <c r="H115" s="107">
        <v>-11629052.701065883</v>
      </c>
      <c r="I115" s="107">
        <v>-12060510.595354766</v>
      </c>
    </row>
    <row r="116" spans="2:9">
      <c r="B116" s="105">
        <v>109</v>
      </c>
      <c r="C116" s="107">
        <v>-41664.589798942208</v>
      </c>
      <c r="D116" s="107">
        <v>-8321444.9861030132</v>
      </c>
      <c r="E116" s="107">
        <v>-4599542.8009826094</v>
      </c>
      <c r="F116" s="107">
        <v>-2845786.1077619344</v>
      </c>
      <c r="G116" s="107">
        <v>-11357763.01173082</v>
      </c>
      <c r="H116" s="107">
        <v>-5923970.0008002967</v>
      </c>
      <c r="I116" s="107">
        <v>-20375014.600978643</v>
      </c>
    </row>
    <row r="117" spans="2:9">
      <c r="B117" s="105">
        <v>110</v>
      </c>
      <c r="C117" s="107">
        <v>-7048703.1032288074</v>
      </c>
      <c r="D117" s="107">
        <v>-3388833.6939257085</v>
      </c>
      <c r="E117" s="107">
        <v>-2170993.5571646094</v>
      </c>
      <c r="F117" s="107">
        <v>-9764271.6931912005</v>
      </c>
      <c r="G117" s="107">
        <v>-14726588.67560789</v>
      </c>
      <c r="H117" s="107">
        <v>-13858043.575410798</v>
      </c>
      <c r="I117" s="107">
        <v>-17552658.322015524</v>
      </c>
    </row>
    <row r="118" spans="2:9">
      <c r="B118" s="105">
        <v>111</v>
      </c>
      <c r="C118" s="107">
        <v>3071794.4717074335</v>
      </c>
      <c r="D118" s="107">
        <v>2216075.0981155336</v>
      </c>
      <c r="E118" s="107">
        <v>-13478943.412213415</v>
      </c>
      <c r="F118" s="107">
        <v>-5733448.8017053455</v>
      </c>
      <c r="G118" s="107">
        <v>-10114009.273769841</v>
      </c>
      <c r="H118" s="107">
        <v>-17039045.079942048</v>
      </c>
      <c r="I118" s="107">
        <v>-21033509.293590441</v>
      </c>
    </row>
    <row r="119" spans="2:9">
      <c r="B119" s="105">
        <v>112</v>
      </c>
      <c r="C119" s="107">
        <v>-9151901.1337910891</v>
      </c>
      <c r="D119" s="107">
        <v>-4364487.0283129215</v>
      </c>
      <c r="E119" s="107">
        <v>3573810.1047807485</v>
      </c>
      <c r="F119" s="107">
        <v>-8476853.4211289883</v>
      </c>
      <c r="G119" s="107">
        <v>-9545918.3250791728</v>
      </c>
      <c r="H119" s="107">
        <v>-4301256.9505728334</v>
      </c>
      <c r="I119" s="107">
        <v>-19590085.621740252</v>
      </c>
    </row>
    <row r="120" spans="2:9">
      <c r="B120" s="105">
        <v>113</v>
      </c>
      <c r="C120" s="107">
        <v>686740.95190136135</v>
      </c>
      <c r="D120" s="107">
        <v>-4189438.5974274427</v>
      </c>
      <c r="E120" s="107">
        <v>1671514.8362865448</v>
      </c>
      <c r="F120" s="107">
        <v>-5567454.1664576679</v>
      </c>
      <c r="G120" s="107">
        <v>-1915573.5342836082</v>
      </c>
      <c r="H120" s="107">
        <v>-16198841.49500601</v>
      </c>
      <c r="I120" s="107">
        <v>-21955865.122146249</v>
      </c>
    </row>
    <row r="121" spans="2:9">
      <c r="B121" s="105">
        <v>114</v>
      </c>
      <c r="C121" s="107">
        <v>3728377.7028032392</v>
      </c>
      <c r="D121" s="107">
        <v>-3700118.7761850357</v>
      </c>
      <c r="E121" s="107">
        <v>-6487167.5323221534</v>
      </c>
      <c r="F121" s="107">
        <v>6254714.96360901</v>
      </c>
      <c r="G121" s="107">
        <v>-4108768.9115282744</v>
      </c>
      <c r="H121" s="107">
        <v>-22546758.512029707</v>
      </c>
      <c r="I121" s="107">
        <v>-13002797.984912738</v>
      </c>
    </row>
    <row r="122" spans="2:9">
      <c r="B122" s="105">
        <v>115</v>
      </c>
      <c r="C122" s="107">
        <v>-7550045.9453272521</v>
      </c>
      <c r="D122" s="107">
        <v>-2758382.6411393583</v>
      </c>
      <c r="E122" s="107">
        <v>200720.91369998455</v>
      </c>
      <c r="F122" s="107">
        <v>-5404222.1220514178</v>
      </c>
      <c r="G122" s="107">
        <v>-10990079.503557682</v>
      </c>
      <c r="H122" s="107">
        <v>-10115678.650687322</v>
      </c>
      <c r="I122" s="107">
        <v>-9873413.413523823</v>
      </c>
    </row>
    <row r="123" spans="2:9">
      <c r="B123" s="105">
        <v>116</v>
      </c>
      <c r="C123" s="107">
        <v>-4137573.4392725974</v>
      </c>
      <c r="D123" s="107">
        <v>-5663387.4653879404</v>
      </c>
      <c r="E123" s="107">
        <v>-11547142.495908603</v>
      </c>
      <c r="F123" s="107">
        <v>-1727644.4521572739</v>
      </c>
      <c r="G123" s="107">
        <v>-14478223.78357847</v>
      </c>
      <c r="H123" s="107">
        <v>-8756585.0981831849</v>
      </c>
      <c r="I123" s="107">
        <v>-13643839.212522641</v>
      </c>
    </row>
    <row r="124" spans="2:9">
      <c r="B124" s="105">
        <v>117</v>
      </c>
      <c r="C124" s="107">
        <v>1042018.4434543848</v>
      </c>
      <c r="D124" s="107">
        <v>-703309.04391656816</v>
      </c>
      <c r="E124" s="107">
        <v>-8128206.571348235</v>
      </c>
      <c r="F124" s="107">
        <v>-17616059.234189391</v>
      </c>
      <c r="G124" s="107">
        <v>-8469884.3346741796</v>
      </c>
      <c r="H124" s="107">
        <v>-15252840.927124158</v>
      </c>
      <c r="I124" s="107">
        <v>-12305808.360782623</v>
      </c>
    </row>
    <row r="125" spans="2:9">
      <c r="B125" s="105">
        <v>118</v>
      </c>
      <c r="C125" s="107">
        <v>-10225543.106408209</v>
      </c>
      <c r="D125" s="107">
        <v>1211922.3767756373</v>
      </c>
      <c r="E125" s="107">
        <v>-2945731.7047491819</v>
      </c>
      <c r="F125" s="107">
        <v>-6485448.1193760484</v>
      </c>
      <c r="G125" s="107">
        <v>-7021334.2675022632</v>
      </c>
      <c r="H125" s="107">
        <v>-17585003.453799292</v>
      </c>
      <c r="I125" s="107">
        <v>-10189961.355173364</v>
      </c>
    </row>
    <row r="126" spans="2:9">
      <c r="B126" s="105">
        <v>119</v>
      </c>
      <c r="C126" s="107">
        <v>1897433.9921303689</v>
      </c>
      <c r="D126" s="107">
        <v>-9321723.9356301278</v>
      </c>
      <c r="E126" s="107">
        <v>-1161356.7656145394</v>
      </c>
      <c r="F126" s="107">
        <v>-3822697.8585108519</v>
      </c>
      <c r="G126" s="107">
        <v>-2932977.4777878225</v>
      </c>
      <c r="H126" s="107">
        <v>-10189704.936053574</v>
      </c>
      <c r="I126" s="107">
        <v>-12608239.600163281</v>
      </c>
    </row>
    <row r="127" spans="2:9">
      <c r="B127" s="105">
        <v>120</v>
      </c>
      <c r="C127" s="107">
        <v>3091583.4096934497</v>
      </c>
      <c r="D127" s="107">
        <v>2188623.5415244251</v>
      </c>
      <c r="E127" s="107">
        <v>-10812488.703574315</v>
      </c>
      <c r="F127" s="107">
        <v>-5377354.0770724118</v>
      </c>
      <c r="G127" s="107">
        <v>-4956972.6264147162</v>
      </c>
      <c r="H127" s="107">
        <v>-9097797.631551832</v>
      </c>
      <c r="I127" s="107">
        <v>-9800275.7276692688</v>
      </c>
    </row>
    <row r="128" spans="2:9">
      <c r="B128" s="105">
        <v>121</v>
      </c>
      <c r="C128" s="107">
        <v>3067482.4609431326</v>
      </c>
      <c r="D128" s="107">
        <v>-4342871.1484235674</v>
      </c>
      <c r="E128" s="107">
        <v>1628534.4928688854</v>
      </c>
      <c r="F128" s="107">
        <v>-14536044.189716414</v>
      </c>
      <c r="G128" s="107">
        <v>-7127946.2365062088</v>
      </c>
      <c r="H128" s="107">
        <v>-13145851.638100579</v>
      </c>
      <c r="I128" s="107">
        <v>-15093043.19285427</v>
      </c>
    </row>
    <row r="129" spans="2:9">
      <c r="B129" s="105">
        <v>122</v>
      </c>
      <c r="C129" s="107">
        <v>-1803282.8166562617</v>
      </c>
      <c r="D129" s="107">
        <v>-6594768.4768351316</v>
      </c>
      <c r="E129" s="107">
        <v>-1163366.331847325</v>
      </c>
      <c r="F129" s="107">
        <v>-263870.5965013504</v>
      </c>
      <c r="G129" s="107">
        <v>-13983501.021574661</v>
      </c>
      <c r="H129" s="107">
        <v>-10109285.231574863</v>
      </c>
      <c r="I129" s="107">
        <v>-18539464.066308707</v>
      </c>
    </row>
    <row r="130" spans="2:9">
      <c r="B130" s="105">
        <v>123</v>
      </c>
      <c r="C130" s="107">
        <v>2950406.9590475559</v>
      </c>
      <c r="D130" s="107">
        <v>-12892457.421033204</v>
      </c>
      <c r="E130" s="107">
        <v>-1244466.9406749904</v>
      </c>
      <c r="F130" s="107">
        <v>-2813749.7380495816</v>
      </c>
      <c r="G130" s="107">
        <v>-2864972.5075880289</v>
      </c>
      <c r="H130" s="107">
        <v>-14726864.349611253</v>
      </c>
      <c r="I130" s="107">
        <v>-15718788.165853515</v>
      </c>
    </row>
    <row r="131" spans="2:9">
      <c r="B131" s="105">
        <v>124</v>
      </c>
      <c r="C131" s="107">
        <v>-9977518.9199589491</v>
      </c>
      <c r="D131" s="107">
        <v>1540414.0263297111</v>
      </c>
      <c r="E131" s="107">
        <v>-1340459.8209905326</v>
      </c>
      <c r="F131" s="107">
        <v>-7874758.6685601622</v>
      </c>
      <c r="G131" s="107">
        <v>-15586253.463411674</v>
      </c>
      <c r="H131" s="107">
        <v>-11698991.080870211</v>
      </c>
      <c r="I131" s="107">
        <v>-21566539.961613834</v>
      </c>
    </row>
    <row r="132" spans="2:9">
      <c r="B132" s="105">
        <v>125</v>
      </c>
      <c r="C132" s="107">
        <v>-1616580.7317942679</v>
      </c>
      <c r="D132" s="107">
        <v>-5007549.791062817</v>
      </c>
      <c r="E132" s="107">
        <v>-2006398.175085336</v>
      </c>
      <c r="F132" s="107">
        <v>-3190595.6431434005</v>
      </c>
      <c r="G132" s="107">
        <v>-4099459.9816013575</v>
      </c>
      <c r="H132" s="107">
        <v>-13626119.559381887</v>
      </c>
      <c r="I132" s="107">
        <v>-4808448.6690901965</v>
      </c>
    </row>
    <row r="133" spans="2:9">
      <c r="B133" s="105">
        <v>126</v>
      </c>
      <c r="C133" s="107">
        <v>-76372.524347320199</v>
      </c>
      <c r="D133" s="107">
        <v>6613648.5788809806</v>
      </c>
      <c r="E133" s="107">
        <v>-3924952.0355987549</v>
      </c>
      <c r="F133" s="107">
        <v>-2135961.8993586004</v>
      </c>
      <c r="G133" s="107">
        <v>-7025221.3807266355</v>
      </c>
      <c r="H133" s="107">
        <v>-13908040.561698481</v>
      </c>
      <c r="I133" s="107">
        <v>-7997894.9001266211</v>
      </c>
    </row>
    <row r="134" spans="2:9">
      <c r="B134" s="105">
        <v>127</v>
      </c>
      <c r="C134" s="107">
        <v>893713.32886636257</v>
      </c>
      <c r="D134" s="107">
        <v>-1248738.6280536354</v>
      </c>
      <c r="E134" s="107">
        <v>-226474.59531468153</v>
      </c>
      <c r="F134" s="107">
        <v>-6382065.4987323582</v>
      </c>
      <c r="G134" s="107">
        <v>-9735009.3010683358</v>
      </c>
      <c r="H134" s="107">
        <v>-14637030.928231195</v>
      </c>
      <c r="I134" s="107">
        <v>-12880561.657404065</v>
      </c>
    </row>
    <row r="135" spans="2:9">
      <c r="B135" s="105">
        <v>128</v>
      </c>
      <c r="C135" s="107">
        <v>-6724487.4007517248</v>
      </c>
      <c r="D135" s="107">
        <v>-4998269.6094043404</v>
      </c>
      <c r="E135" s="107">
        <v>-9145292.6747451276</v>
      </c>
      <c r="F135" s="107">
        <v>-10779310.525901377</v>
      </c>
      <c r="G135" s="107">
        <v>-17276924.852379262</v>
      </c>
      <c r="H135" s="107">
        <v>-2926226.3576263636</v>
      </c>
      <c r="I135" s="107">
        <v>-8576722.7736624181</v>
      </c>
    </row>
    <row r="136" spans="2:9">
      <c r="B136" s="105">
        <v>129</v>
      </c>
      <c r="C136" s="107">
        <v>2025733.303060174</v>
      </c>
      <c r="D136" s="107">
        <v>3076810.6361252517</v>
      </c>
      <c r="E136" s="107">
        <v>1114834.1047723889</v>
      </c>
      <c r="F136" s="107">
        <v>-4187296.4732159525</v>
      </c>
      <c r="G136" s="107">
        <v>-10816005.141134098</v>
      </c>
      <c r="H136" s="107">
        <v>-19254369.72307235</v>
      </c>
      <c r="I136" s="107">
        <v>-15067565.664237484</v>
      </c>
    </row>
    <row r="137" spans="2:9">
      <c r="B137" s="105">
        <v>130</v>
      </c>
      <c r="C137" s="107">
        <v>-2537073.2540436685</v>
      </c>
      <c r="D137" s="107">
        <v>-4087061.3438412994</v>
      </c>
      <c r="E137" s="107">
        <v>-1975137.345369935</v>
      </c>
      <c r="F137" s="107">
        <v>-13977512.413874939</v>
      </c>
      <c r="G137" s="107">
        <v>-5697631.5545171648</v>
      </c>
      <c r="H137" s="107">
        <v>-12500541.356707215</v>
      </c>
      <c r="I137" s="107">
        <v>-7582601.6179054528</v>
      </c>
    </row>
    <row r="138" spans="2:9">
      <c r="B138" s="105">
        <v>131</v>
      </c>
      <c r="C138" s="107">
        <v>-6252473.0016055256</v>
      </c>
      <c r="D138" s="107">
        <v>-4684065.7612185329</v>
      </c>
      <c r="E138" s="107">
        <v>-1352439.6019148976</v>
      </c>
      <c r="F138" s="107">
        <v>-15113518.281885996</v>
      </c>
      <c r="G138" s="107">
        <v>-13486003.900899827</v>
      </c>
      <c r="H138" s="107">
        <v>-6061752.3830068707</v>
      </c>
      <c r="I138" s="107">
        <v>-11976814.941660315</v>
      </c>
    </row>
    <row r="139" spans="2:9">
      <c r="B139" s="105">
        <v>132</v>
      </c>
      <c r="C139" s="107">
        <v>4567211.4132028073</v>
      </c>
      <c r="D139" s="107">
        <v>-1503607.7000823319</v>
      </c>
      <c r="E139" s="107">
        <v>-6783187.002962485</v>
      </c>
      <c r="F139" s="107">
        <v>4018632.4289706051</v>
      </c>
      <c r="G139" s="107">
        <v>-6795869.9674782306</v>
      </c>
      <c r="H139" s="107">
        <v>-15448380.050627515</v>
      </c>
      <c r="I139" s="107">
        <v>-14731371.804533541</v>
      </c>
    </row>
    <row r="140" spans="2:9">
      <c r="B140" s="105">
        <v>133</v>
      </c>
      <c r="C140" s="107">
        <v>-3363159.7844214439</v>
      </c>
      <c r="D140" s="107">
        <v>1257475.8773722798</v>
      </c>
      <c r="E140" s="107">
        <v>-9937292.3502218574</v>
      </c>
      <c r="F140" s="107">
        <v>-7035931.3923452944</v>
      </c>
      <c r="G140" s="107">
        <v>-11315372.561234161</v>
      </c>
      <c r="H140" s="107">
        <v>-12096101.026583374</v>
      </c>
      <c r="I140" s="107">
        <v>-22969797.635351628</v>
      </c>
    </row>
    <row r="141" spans="2:9">
      <c r="B141" s="105">
        <v>134</v>
      </c>
      <c r="C141" s="107">
        <v>5485837.3390475959</v>
      </c>
      <c r="D141" s="107">
        <v>-7474823.2429639995</v>
      </c>
      <c r="E141" s="107">
        <v>-14797923.248480886</v>
      </c>
      <c r="F141" s="107">
        <v>2683472.8635444492</v>
      </c>
      <c r="G141" s="107">
        <v>-13695169.94243823</v>
      </c>
      <c r="H141" s="107">
        <v>-12382406.597535431</v>
      </c>
      <c r="I141" s="107">
        <v>-18177341.055231452</v>
      </c>
    </row>
    <row r="142" spans="2:9">
      <c r="B142" s="105">
        <v>135</v>
      </c>
      <c r="C142" s="107">
        <v>7329404.6731478274</v>
      </c>
      <c r="D142" s="107">
        <v>-4883792.9944713861</v>
      </c>
      <c r="E142" s="107">
        <v>-8387380.3876809329</v>
      </c>
      <c r="F142" s="107">
        <v>-5934236.8842335194</v>
      </c>
      <c r="G142" s="107">
        <v>-12496422.070946559</v>
      </c>
      <c r="H142" s="107">
        <v>-10024232.106805816</v>
      </c>
      <c r="I142" s="107">
        <v>-10924822.134211138</v>
      </c>
    </row>
    <row r="143" spans="2:9">
      <c r="B143" s="105">
        <v>136</v>
      </c>
      <c r="C143" s="107">
        <v>-8843835.8111673594</v>
      </c>
      <c r="D143" s="107">
        <v>-3892266.1149309874</v>
      </c>
      <c r="E143" s="107">
        <v>5142091.266338855</v>
      </c>
      <c r="F143" s="107">
        <v>-6832985.1441241652</v>
      </c>
      <c r="G143" s="107">
        <v>-8196657.8872359246</v>
      </c>
      <c r="H143" s="107">
        <v>-8790316.4179791957</v>
      </c>
      <c r="I143" s="107">
        <v>-8563183.126208216</v>
      </c>
    </row>
    <row r="144" spans="2:9">
      <c r="B144" s="105">
        <v>137</v>
      </c>
      <c r="C144" s="107">
        <v>1581078.1072850823</v>
      </c>
      <c r="D144" s="107">
        <v>-3326850.5374148488</v>
      </c>
      <c r="E144" s="107">
        <v>-4588841.7746275961</v>
      </c>
      <c r="F144" s="107">
        <v>-18734489.196902752</v>
      </c>
      <c r="G144" s="107">
        <v>-4634795.923498258</v>
      </c>
      <c r="H144" s="107">
        <v>185308.17962321639</v>
      </c>
      <c r="I144" s="107">
        <v>-30362990.315738767</v>
      </c>
    </row>
    <row r="145" spans="2:9">
      <c r="B145" s="105">
        <v>138</v>
      </c>
      <c r="C145" s="107">
        <v>3903222.8461551368</v>
      </c>
      <c r="D145" s="107">
        <v>-1374744.2068110406</v>
      </c>
      <c r="E145" s="107">
        <v>-1118718.3035267889</v>
      </c>
      <c r="F145" s="107">
        <v>2780705.7028025687</v>
      </c>
      <c r="G145" s="107">
        <v>-9267131.2933942378</v>
      </c>
      <c r="H145" s="107">
        <v>-10375007.88582018</v>
      </c>
      <c r="I145" s="107">
        <v>-6697031.8327125758</v>
      </c>
    </row>
    <row r="146" spans="2:9">
      <c r="B146" s="105">
        <v>139</v>
      </c>
      <c r="C146" s="107">
        <v>1030608.0821893066</v>
      </c>
      <c r="D146" s="107">
        <v>-710429.93359597027</v>
      </c>
      <c r="E146" s="107">
        <v>-3298592.8607009798</v>
      </c>
      <c r="F146" s="107">
        <v>-15820247.682534024</v>
      </c>
      <c r="G146" s="107">
        <v>-14791739.716078922</v>
      </c>
      <c r="H146" s="107">
        <v>-12607482.721280426</v>
      </c>
      <c r="I146" s="107">
        <v>-17990274.814634785</v>
      </c>
    </row>
    <row r="147" spans="2:9">
      <c r="B147" s="105">
        <v>140</v>
      </c>
      <c r="C147" s="107">
        <v>-2776899.3651273251</v>
      </c>
      <c r="D147" s="107">
        <v>5806564.160666585</v>
      </c>
      <c r="E147" s="107">
        <v>-2537244.5746644586</v>
      </c>
      <c r="F147" s="107">
        <v>-8479098.9178346545</v>
      </c>
      <c r="G147" s="107">
        <v>-10585720.517233118</v>
      </c>
      <c r="H147" s="107">
        <v>-13384960.432595745</v>
      </c>
      <c r="I147" s="107">
        <v>-17542622.548858091</v>
      </c>
    </row>
    <row r="148" spans="2:9">
      <c r="B148" s="105">
        <v>141</v>
      </c>
      <c r="C148" s="107">
        <v>1937325.1650255769</v>
      </c>
      <c r="D148" s="107">
        <v>-2084408.5206741393</v>
      </c>
      <c r="E148" s="107">
        <v>93572.594297215343</v>
      </c>
      <c r="F148" s="107">
        <v>-7517911.2112470716</v>
      </c>
      <c r="G148" s="107">
        <v>-2556322.0465043783</v>
      </c>
      <c r="H148" s="107">
        <v>-12187881.80047965</v>
      </c>
      <c r="I148" s="107">
        <v>-11096632.634102926</v>
      </c>
    </row>
    <row r="149" spans="2:9">
      <c r="B149" s="105">
        <v>142</v>
      </c>
      <c r="C149" s="107">
        <v>1980971.9916565865</v>
      </c>
      <c r="D149" s="107">
        <v>-9863770.212285012</v>
      </c>
      <c r="E149" s="107">
        <v>-5619507.753847599</v>
      </c>
      <c r="F149" s="107">
        <v>-870989.07006171346</v>
      </c>
      <c r="G149" s="107">
        <v>-16861059.879446626</v>
      </c>
      <c r="H149" s="107">
        <v>-10047556.149641067</v>
      </c>
      <c r="I149" s="107">
        <v>-5073862.3489812315</v>
      </c>
    </row>
    <row r="150" spans="2:9">
      <c r="B150" s="105">
        <v>143</v>
      </c>
      <c r="C150" s="107">
        <v>656461.86896289885</v>
      </c>
      <c r="D150" s="107">
        <v>2932674.3731688112</v>
      </c>
      <c r="E150" s="107">
        <v>-5700459.5350846797</v>
      </c>
      <c r="F150" s="107">
        <v>-8951713.3753521591</v>
      </c>
      <c r="G150" s="107">
        <v>-5583432.1436830759</v>
      </c>
      <c r="H150" s="107">
        <v>-11556103.00964424</v>
      </c>
      <c r="I150" s="107">
        <v>-18912818.869796649</v>
      </c>
    </row>
    <row r="151" spans="2:9">
      <c r="B151" s="105">
        <v>144</v>
      </c>
      <c r="C151" s="107">
        <v>-242351.09291860461</v>
      </c>
      <c r="D151" s="107">
        <v>3000437.7893009633</v>
      </c>
      <c r="E151" s="107">
        <v>-8489074.8011311293</v>
      </c>
      <c r="F151" s="107">
        <v>-5062405.0545428395</v>
      </c>
      <c r="G151" s="107">
        <v>-2929464.0301145315</v>
      </c>
      <c r="H151" s="107">
        <v>-5390056.0953285843</v>
      </c>
      <c r="I151" s="107">
        <v>-14709725.05728288</v>
      </c>
    </row>
    <row r="152" spans="2:9">
      <c r="B152" s="105">
        <v>145</v>
      </c>
      <c r="C152" s="107">
        <v>-7310881.3833687305</v>
      </c>
      <c r="D152" s="107">
        <v>-9158288.9827670604</v>
      </c>
      <c r="E152" s="107">
        <v>-6728396.3116375953</v>
      </c>
      <c r="F152" s="107">
        <v>-3565460.1770698428</v>
      </c>
      <c r="G152" s="107">
        <v>-8715313.1366219372</v>
      </c>
      <c r="H152" s="107">
        <v>-16857193.922898471</v>
      </c>
      <c r="I152" s="107">
        <v>-18340847.46321626</v>
      </c>
    </row>
    <row r="153" spans="2:9">
      <c r="B153" s="105">
        <v>146</v>
      </c>
      <c r="C153" s="107">
        <v>-9068464.1594612896</v>
      </c>
      <c r="D153" s="107">
        <v>-8918136.5663400292</v>
      </c>
      <c r="E153" s="107">
        <v>-743355.54843768477</v>
      </c>
      <c r="F153" s="107">
        <v>-2059267.9481613636</v>
      </c>
      <c r="G153" s="107">
        <v>-4451822.7720910758</v>
      </c>
      <c r="H153" s="107">
        <v>-16787172.46841225</v>
      </c>
      <c r="I153" s="107">
        <v>-14543649.659289211</v>
      </c>
    </row>
    <row r="154" spans="2:9">
      <c r="B154" s="105">
        <v>147</v>
      </c>
      <c r="C154" s="107">
        <v>-4880873.2792161852</v>
      </c>
      <c r="D154" s="107">
        <v>542929.80542810261</v>
      </c>
      <c r="E154" s="107">
        <v>-9401181.3107359409</v>
      </c>
      <c r="F154" s="107">
        <v>-8100681.6513027847</v>
      </c>
      <c r="G154" s="107">
        <v>-17291944.881964743</v>
      </c>
      <c r="H154" s="107">
        <v>-12757967.98221682</v>
      </c>
      <c r="I154" s="107">
        <v>-7229371.0352326632</v>
      </c>
    </row>
    <row r="155" spans="2:9">
      <c r="B155" s="105">
        <v>148</v>
      </c>
      <c r="C155" s="107">
        <v>-146928.76725374162</v>
      </c>
      <c r="D155" s="107">
        <v>-4122269.8420256674</v>
      </c>
      <c r="E155" s="107">
        <v>-14921473.669415683</v>
      </c>
      <c r="F155" s="107">
        <v>-5307252.8562243283</v>
      </c>
      <c r="G155" s="107">
        <v>-18529764.706221908</v>
      </c>
      <c r="H155" s="107">
        <v>-14393715.679800153</v>
      </c>
      <c r="I155" s="107">
        <v>-12238597.576971024</v>
      </c>
    </row>
    <row r="156" spans="2:9">
      <c r="B156" s="105">
        <v>149</v>
      </c>
      <c r="C156" s="107">
        <v>-11619861.880589023</v>
      </c>
      <c r="D156" s="107">
        <v>1905640.7885691822</v>
      </c>
      <c r="E156" s="107">
        <v>-7990734.5443271548</v>
      </c>
      <c r="F156" s="107">
        <v>-5925660.0744365305</v>
      </c>
      <c r="G156" s="107">
        <v>-14510988.365945652</v>
      </c>
      <c r="H156" s="107">
        <v>-11060710.943274289</v>
      </c>
      <c r="I156" s="107">
        <v>-6540490.9458072633</v>
      </c>
    </row>
    <row r="157" spans="2:9">
      <c r="B157" s="105">
        <v>150</v>
      </c>
      <c r="C157" s="107">
        <v>-2535963.2982914001</v>
      </c>
      <c r="D157" s="107">
        <v>-6341221.4162020981</v>
      </c>
      <c r="E157" s="107">
        <v>-1249973.4128497839</v>
      </c>
      <c r="F157" s="107">
        <v>-5759017.0068223625</v>
      </c>
      <c r="G157" s="107">
        <v>-7783618.3721766621</v>
      </c>
      <c r="H157" s="107">
        <v>-7184870.9494718909</v>
      </c>
      <c r="I157" s="107">
        <v>-12096187.269209832</v>
      </c>
    </row>
    <row r="158" spans="2:9">
      <c r="B158" s="105">
        <v>151</v>
      </c>
      <c r="C158" s="107">
        <v>98271.393198922276</v>
      </c>
      <c r="D158" s="107">
        <v>-14697096.903323069</v>
      </c>
      <c r="E158" s="107">
        <v>-2024845.1684010923</v>
      </c>
      <c r="F158" s="107">
        <v>1060651.1179296672</v>
      </c>
      <c r="G158" s="107">
        <v>-11951533.770995095</v>
      </c>
      <c r="H158" s="107">
        <v>-7540361.2852654159</v>
      </c>
      <c r="I158" s="107">
        <v>-12735384.630610242</v>
      </c>
    </row>
    <row r="159" spans="2:9">
      <c r="B159" s="105">
        <v>152</v>
      </c>
      <c r="C159" s="107">
        <v>2653339.2137357444</v>
      </c>
      <c r="D159" s="107">
        <v>-642327.64912970364</v>
      </c>
      <c r="E159" s="107">
        <v>-5336311.5711741596</v>
      </c>
      <c r="F159" s="107">
        <v>-8231808.3146276176</v>
      </c>
      <c r="G159" s="107">
        <v>-8128027.489042908</v>
      </c>
      <c r="H159" s="107">
        <v>-12093233.384820491</v>
      </c>
      <c r="I159" s="107">
        <v>-7718002.2295120507</v>
      </c>
    </row>
    <row r="160" spans="2:9">
      <c r="B160" s="105">
        <v>153</v>
      </c>
      <c r="C160" s="107">
        <v>-11984006.892643109</v>
      </c>
      <c r="D160" s="107">
        <v>3214365.7834712714</v>
      </c>
      <c r="E160" s="107">
        <v>1045723.7495560944</v>
      </c>
      <c r="F160" s="107">
        <v>-634499.22444440424</v>
      </c>
      <c r="G160" s="107">
        <v>-11460680.949874461</v>
      </c>
      <c r="H160" s="107">
        <v>-7095141.4028690159</v>
      </c>
      <c r="I160" s="107">
        <v>-23038359.782463193</v>
      </c>
    </row>
    <row r="161" spans="2:9">
      <c r="B161" s="105">
        <v>154</v>
      </c>
      <c r="C161" s="107">
        <v>3320342.8954155296</v>
      </c>
      <c r="D161" s="107">
        <v>-7952676.8813723922</v>
      </c>
      <c r="E161" s="107">
        <v>-7325013.9583887011</v>
      </c>
      <c r="F161" s="107">
        <v>-11059308.570650592</v>
      </c>
      <c r="G161" s="107">
        <v>-6091769.4916554838</v>
      </c>
      <c r="H161" s="107">
        <v>-15505215.981336504</v>
      </c>
      <c r="I161" s="107">
        <v>-14175871.310310081</v>
      </c>
    </row>
    <row r="162" spans="2:9">
      <c r="B162" s="105">
        <v>155</v>
      </c>
      <c r="C162" s="107">
        <v>-4549712.5631027073</v>
      </c>
      <c r="D162" s="107">
        <v>-4700424.8514837176</v>
      </c>
      <c r="E162" s="107">
        <v>-6355732.7860616148</v>
      </c>
      <c r="F162" s="107">
        <v>-2845884.8928553313</v>
      </c>
      <c r="G162" s="107">
        <v>-3835144.3624264151</v>
      </c>
      <c r="H162" s="107">
        <v>-8524421.2991055697</v>
      </c>
      <c r="I162" s="107">
        <v>-15607995.969673946</v>
      </c>
    </row>
    <row r="163" spans="2:9">
      <c r="B163" s="105">
        <v>156</v>
      </c>
      <c r="C163" s="107">
        <v>-282861.27917671204</v>
      </c>
      <c r="D163" s="107">
        <v>-6295552.9723172188</v>
      </c>
      <c r="E163" s="107">
        <v>-6055327.5999619663</v>
      </c>
      <c r="F163" s="107">
        <v>-2600938.3184854537</v>
      </c>
      <c r="G163" s="107">
        <v>-12040020.785876423</v>
      </c>
      <c r="H163" s="107">
        <v>-14796967.992186576</v>
      </c>
      <c r="I163" s="107">
        <v>-5012673.6038141847</v>
      </c>
    </row>
    <row r="164" spans="2:9">
      <c r="B164" s="105">
        <v>157</v>
      </c>
      <c r="C164" s="107">
        <v>4610701.2368278503</v>
      </c>
      <c r="D164" s="107">
        <v>2452427.0860593766</v>
      </c>
      <c r="E164" s="107">
        <v>5176091.7617302686</v>
      </c>
      <c r="F164" s="107">
        <v>-6701285.3095437139</v>
      </c>
      <c r="G164" s="107">
        <v>-4015671.3277053088</v>
      </c>
      <c r="H164" s="107">
        <v>-8039899.3333617896</v>
      </c>
      <c r="I164" s="107">
        <v>-22857100.496367544</v>
      </c>
    </row>
    <row r="165" spans="2:9">
      <c r="B165" s="105">
        <v>158</v>
      </c>
      <c r="C165" s="107">
        <v>-3840996.3862594962</v>
      </c>
      <c r="D165" s="107">
        <v>-4502738.0337008387</v>
      </c>
      <c r="E165" s="107">
        <v>-13588962.836817503</v>
      </c>
      <c r="F165" s="107">
        <v>3135426.38570638</v>
      </c>
      <c r="G165" s="107">
        <v>-19522704.749566346</v>
      </c>
      <c r="H165" s="107">
        <v>-10410040.829735026</v>
      </c>
      <c r="I165" s="107">
        <v>-11701931.794670001</v>
      </c>
    </row>
    <row r="166" spans="2:9">
      <c r="B166" s="105">
        <v>159</v>
      </c>
      <c r="C166" s="107">
        <v>-4247886.539055869</v>
      </c>
      <c r="D166" s="107">
        <v>-15248019.274432242</v>
      </c>
      <c r="E166" s="107">
        <v>-8706356.6292156279</v>
      </c>
      <c r="F166" s="107">
        <v>-8238077.5657341331</v>
      </c>
      <c r="G166" s="107">
        <v>-11038905.307261258</v>
      </c>
      <c r="H166" s="107">
        <v>-6101468.0295622647</v>
      </c>
      <c r="I166" s="107">
        <v>-13807306.230240852</v>
      </c>
    </row>
    <row r="167" spans="2:9">
      <c r="B167" s="105">
        <v>160</v>
      </c>
      <c r="C167" s="107">
        <v>-4989304.1888716221</v>
      </c>
      <c r="D167" s="107">
        <v>-11534546.772060126</v>
      </c>
      <c r="E167" s="107">
        <v>-2233999.6888801157</v>
      </c>
      <c r="F167" s="107">
        <v>-8334608.4918136299</v>
      </c>
      <c r="G167" s="107">
        <v>-11318182.964643672</v>
      </c>
      <c r="H167" s="107">
        <v>-14724299.819554433</v>
      </c>
      <c r="I167" s="107">
        <v>-18250218.53611052</v>
      </c>
    </row>
    <row r="168" spans="2:9">
      <c r="B168" s="105">
        <v>161</v>
      </c>
      <c r="C168" s="107">
        <v>-64361.204961270094</v>
      </c>
      <c r="D168" s="107">
        <v>5421672.3582442701</v>
      </c>
      <c r="E168" s="107">
        <v>-6808199.6099054068</v>
      </c>
      <c r="F168" s="107">
        <v>-7077938.7164431512</v>
      </c>
      <c r="G168" s="107">
        <v>-1845384.2852315009</v>
      </c>
      <c r="H168" s="107">
        <v>-11123116.508906662</v>
      </c>
      <c r="I168" s="107">
        <v>-14685382.724567398</v>
      </c>
    </row>
    <row r="169" spans="2:9">
      <c r="B169" s="105">
        <v>162</v>
      </c>
      <c r="C169" s="107">
        <v>6656388.6586034596</v>
      </c>
      <c r="D169" s="107">
        <v>-3663397.0188042074</v>
      </c>
      <c r="E169" s="107">
        <v>-2921905.3648193181</v>
      </c>
      <c r="F169" s="107">
        <v>-3634827.212148577</v>
      </c>
      <c r="G169" s="107">
        <v>-17737077.152434111</v>
      </c>
      <c r="H169" s="107">
        <v>-16708552.971960351</v>
      </c>
      <c r="I169" s="107">
        <v>-16296066.707835227</v>
      </c>
    </row>
    <row r="170" spans="2:9">
      <c r="B170" s="105">
        <v>163</v>
      </c>
      <c r="C170" s="107">
        <v>5249553.6289844215</v>
      </c>
      <c r="D170" s="107">
        <v>3793237.8016117066</v>
      </c>
      <c r="E170" s="107">
        <v>-6093467.8864441365</v>
      </c>
      <c r="F170" s="107">
        <v>-3008143.7323655486</v>
      </c>
      <c r="G170" s="107">
        <v>-6289769.0499939322</v>
      </c>
      <c r="H170" s="107">
        <v>-11151182.940502807</v>
      </c>
      <c r="I170" s="107">
        <v>-13094932.298918784</v>
      </c>
    </row>
    <row r="171" spans="2:9">
      <c r="B171" s="105">
        <v>164</v>
      </c>
      <c r="C171" s="107">
        <v>-2009337.5692642778</v>
      </c>
      <c r="D171" s="107">
        <v>1334038.0436942726</v>
      </c>
      <c r="E171" s="107">
        <v>-4138793.5951183885</v>
      </c>
      <c r="F171" s="107">
        <v>-11915535.034969524</v>
      </c>
      <c r="G171" s="107">
        <v>-12153643.300158501</v>
      </c>
      <c r="H171" s="107">
        <v>-14430993.44611764</v>
      </c>
      <c r="I171" s="107">
        <v>-20140266.592417061</v>
      </c>
    </row>
    <row r="172" spans="2:9">
      <c r="B172" s="105">
        <v>165</v>
      </c>
      <c r="C172" s="107">
        <v>-7741510.1516070664</v>
      </c>
      <c r="D172" s="107">
        <v>-230645.42835782468</v>
      </c>
      <c r="E172" s="107">
        <v>-7016924.0796333998</v>
      </c>
      <c r="F172" s="107">
        <v>-11380091.550959662</v>
      </c>
      <c r="G172" s="107">
        <v>-12869700.198616207</v>
      </c>
      <c r="H172" s="107">
        <v>-10918084.938746706</v>
      </c>
      <c r="I172" s="107">
        <v>-15497547.545764074</v>
      </c>
    </row>
    <row r="173" spans="2:9">
      <c r="B173" s="105">
        <v>166</v>
      </c>
      <c r="C173" s="107">
        <v>-5498036.0421866924</v>
      </c>
      <c r="D173" s="107">
        <v>-2932460.2503602505</v>
      </c>
      <c r="E173" s="107">
        <v>31281.559353470802</v>
      </c>
      <c r="F173" s="107">
        <v>1370961.5187710524</v>
      </c>
      <c r="G173" s="107">
        <v>-5693475.4705189019</v>
      </c>
      <c r="H173" s="107">
        <v>-10354570.739358932</v>
      </c>
      <c r="I173" s="107">
        <v>-11686027.408949897</v>
      </c>
    </row>
    <row r="174" spans="2:9">
      <c r="B174" s="105">
        <v>167</v>
      </c>
      <c r="C174" s="107">
        <v>4079353.7608541697</v>
      </c>
      <c r="D174" s="107">
        <v>-5689163.3184466511</v>
      </c>
      <c r="E174" s="107">
        <v>-5969664.0493673831</v>
      </c>
      <c r="F174" s="107">
        <v>-5485175.3872146904</v>
      </c>
      <c r="G174" s="107">
        <v>-15077302.375487491</v>
      </c>
      <c r="H174" s="107">
        <v>-18399066.777117044</v>
      </c>
      <c r="I174" s="107">
        <v>-15213500.967496261</v>
      </c>
    </row>
    <row r="175" spans="2:9">
      <c r="B175" s="105">
        <v>168</v>
      </c>
      <c r="C175" s="107">
        <v>1420375.6137850434</v>
      </c>
      <c r="D175" s="107">
        <v>-342097.80251522362</v>
      </c>
      <c r="E175" s="107">
        <v>-10357599.353835791</v>
      </c>
      <c r="F175" s="107">
        <v>-20150929.556977734</v>
      </c>
      <c r="G175" s="107">
        <v>-9649348.102802068</v>
      </c>
      <c r="H175" s="107">
        <v>-7920126.9010529965</v>
      </c>
      <c r="I175" s="107">
        <v>-9388923.3678600788</v>
      </c>
    </row>
    <row r="176" spans="2:9">
      <c r="B176" s="105">
        <v>169</v>
      </c>
      <c r="C176" s="107">
        <v>13976786.969038814</v>
      </c>
      <c r="D176" s="107">
        <v>12862162.857967541</v>
      </c>
      <c r="E176" s="107">
        <v>142551.76407968998</v>
      </c>
      <c r="F176" s="107">
        <v>-12991222.768042848</v>
      </c>
      <c r="G176" s="107">
        <v>-2153156.3675047755</v>
      </c>
      <c r="H176" s="107">
        <v>-9472176.8161018044</v>
      </c>
      <c r="I176" s="107">
        <v>-13300726.848723859</v>
      </c>
    </row>
    <row r="177" spans="2:9">
      <c r="B177" s="105">
        <v>170</v>
      </c>
      <c r="C177" s="107">
        <v>22718.492147356272</v>
      </c>
      <c r="D177" s="107">
        <v>-4395875.0721357465</v>
      </c>
      <c r="E177" s="107">
        <v>-3204402.2533638328</v>
      </c>
      <c r="F177" s="107">
        <v>-9704591.3997211158</v>
      </c>
      <c r="G177" s="107">
        <v>-8300774.8891440928</v>
      </c>
      <c r="H177" s="107">
        <v>-16375904.430688441</v>
      </c>
      <c r="I177" s="107">
        <v>-7110663.7867088318</v>
      </c>
    </row>
    <row r="178" spans="2:9">
      <c r="B178" s="105">
        <v>171</v>
      </c>
      <c r="C178" s="107">
        <v>862270.84876857698</v>
      </c>
      <c r="D178" s="107">
        <v>-10346247.219260335</v>
      </c>
      <c r="E178" s="107">
        <v>-3008345.7347661257</v>
      </c>
      <c r="F178" s="107">
        <v>-7836380.8328656852</v>
      </c>
      <c r="G178" s="107">
        <v>2517285.7121029496</v>
      </c>
      <c r="H178" s="107">
        <v>-6625463.1991825998</v>
      </c>
      <c r="I178" s="107">
        <v>-20251637.411116436</v>
      </c>
    </row>
    <row r="179" spans="2:9">
      <c r="B179" s="105">
        <v>172</v>
      </c>
      <c r="C179" s="107">
        <v>-5587356.155056864</v>
      </c>
      <c r="D179" s="107">
        <v>1199173.7602059841</v>
      </c>
      <c r="E179" s="107">
        <v>-4108336.1184478104</v>
      </c>
      <c r="F179" s="107">
        <v>-1016059.6721545011</v>
      </c>
      <c r="G179" s="107">
        <v>-14933769.944652855</v>
      </c>
      <c r="H179" s="107">
        <v>-5160594.3025913537</v>
      </c>
      <c r="I179" s="107">
        <v>-14649211.908621222</v>
      </c>
    </row>
    <row r="180" spans="2:9">
      <c r="B180" s="105">
        <v>173</v>
      </c>
      <c r="C180" s="107">
        <v>-5269704.1721034646</v>
      </c>
      <c r="D180" s="107">
        <v>-7185525.724179551</v>
      </c>
      <c r="E180" s="107">
        <v>-10733713.620814368</v>
      </c>
      <c r="F180" s="107">
        <v>-2599801.6406689584</v>
      </c>
      <c r="G180" s="107">
        <v>-7540626.7738159746</v>
      </c>
      <c r="H180" s="107">
        <v>-10075429.05005531</v>
      </c>
      <c r="I180" s="107">
        <v>-11729836.638235614</v>
      </c>
    </row>
    <row r="181" spans="2:9">
      <c r="B181" s="105">
        <v>174</v>
      </c>
      <c r="C181" s="107">
        <v>1841874.3484997302</v>
      </c>
      <c r="D181" s="107">
        <v>-7388099.7662203759</v>
      </c>
      <c r="E181" s="107">
        <v>-3729878.7049374431</v>
      </c>
      <c r="F181" s="107">
        <v>-8815208.4106583446</v>
      </c>
      <c r="G181" s="107">
        <v>-10966278.000332877</v>
      </c>
      <c r="H181" s="107">
        <v>-5799394.5581561774</v>
      </c>
      <c r="I181" s="107">
        <v>-10335638.66002658</v>
      </c>
    </row>
    <row r="182" spans="2:9">
      <c r="B182" s="105">
        <v>175</v>
      </c>
      <c r="C182" s="107">
        <v>-752208.09939976037</v>
      </c>
      <c r="D182" s="107">
        <v>-4250730.3472596407</v>
      </c>
      <c r="E182" s="107">
        <v>-14404151.972834572</v>
      </c>
      <c r="F182" s="107">
        <v>-6982351.282081604</v>
      </c>
      <c r="G182" s="107">
        <v>-7790881.5586007833</v>
      </c>
      <c r="H182" s="107">
        <v>-13165638.007739425</v>
      </c>
      <c r="I182" s="107">
        <v>-10928049.308282882</v>
      </c>
    </row>
    <row r="183" spans="2:9">
      <c r="B183" s="105">
        <v>176</v>
      </c>
      <c r="C183" s="107">
        <v>-6010168.9457812756</v>
      </c>
      <c r="D183" s="107">
        <v>-5293061.7121224552</v>
      </c>
      <c r="E183" s="107">
        <v>-1589807.9101618975</v>
      </c>
      <c r="F183" s="107">
        <v>-8137031.3488941342</v>
      </c>
      <c r="G183" s="107">
        <v>-10811250.384591252</v>
      </c>
      <c r="H183" s="107">
        <v>-10189974.579382315</v>
      </c>
      <c r="I183" s="107">
        <v>-20436344.157392859</v>
      </c>
    </row>
    <row r="184" spans="2:9">
      <c r="B184" s="105">
        <v>177</v>
      </c>
      <c r="C184" s="107">
        <v>-658793.4637593329</v>
      </c>
      <c r="D184" s="107">
        <v>-3601999.4105668217</v>
      </c>
      <c r="E184" s="107">
        <v>-5079286.6709991395</v>
      </c>
      <c r="F184" s="107">
        <v>-6231684.7466861457</v>
      </c>
      <c r="G184" s="107">
        <v>-11756080.048029959</v>
      </c>
      <c r="H184" s="107">
        <v>-4992407.2484634817</v>
      </c>
      <c r="I184" s="107">
        <v>-7096026.2001521587</v>
      </c>
    </row>
    <row r="185" spans="2:9">
      <c r="B185" s="105">
        <v>178</v>
      </c>
      <c r="C185" s="107">
        <v>-9898681.9977210462</v>
      </c>
      <c r="D185" s="107">
        <v>-1082891.7605225593</v>
      </c>
      <c r="E185" s="107">
        <v>-10734132.695435449</v>
      </c>
      <c r="F185" s="107">
        <v>-5107534.4247689247</v>
      </c>
      <c r="G185" s="107">
        <v>-17153099.037034288</v>
      </c>
      <c r="H185" s="107">
        <v>-8496473.0049539208</v>
      </c>
      <c r="I185" s="107">
        <v>-23532300.730402216</v>
      </c>
    </row>
    <row r="186" spans="2:9">
      <c r="B186" s="105">
        <v>179</v>
      </c>
      <c r="C186" s="107">
        <v>1479874.7424515188</v>
      </c>
      <c r="D186" s="107">
        <v>-2886246.0370301753</v>
      </c>
      <c r="E186" s="107">
        <v>1418181.8053121418</v>
      </c>
      <c r="F186" s="107">
        <v>-14857813.640879512</v>
      </c>
      <c r="G186" s="107">
        <v>-9366341.4906402379</v>
      </c>
      <c r="H186" s="107">
        <v>-10111139.202767745</v>
      </c>
      <c r="I186" s="107">
        <v>-5789386.3609273583</v>
      </c>
    </row>
    <row r="187" spans="2:9">
      <c r="B187" s="105">
        <v>180</v>
      </c>
      <c r="C187" s="107">
        <v>3260316.5416669399</v>
      </c>
      <c r="D187" s="107">
        <v>999766.65651369095</v>
      </c>
      <c r="E187" s="107">
        <v>-6669455.960136503</v>
      </c>
      <c r="F187" s="107">
        <v>-7308598.3649426848</v>
      </c>
      <c r="G187" s="107">
        <v>-14376905.444246307</v>
      </c>
      <c r="H187" s="107">
        <v>-11323649.370059133</v>
      </c>
      <c r="I187" s="107">
        <v>-22430535.59700492</v>
      </c>
    </row>
    <row r="188" spans="2:9">
      <c r="B188" s="105">
        <v>181</v>
      </c>
      <c r="C188" s="107">
        <v>4009805.7648698688</v>
      </c>
      <c r="D188" s="107">
        <v>-2975401.1891051233</v>
      </c>
      <c r="E188" s="107">
        <v>-4056026.0656620115</v>
      </c>
      <c r="F188" s="107">
        <v>-10018970.761766687</v>
      </c>
      <c r="G188" s="107">
        <v>-14820139.76603204</v>
      </c>
      <c r="H188" s="107">
        <v>-8599059.0659736395</v>
      </c>
      <c r="I188" s="107">
        <v>-8542739.3286741972</v>
      </c>
    </row>
    <row r="189" spans="2:9">
      <c r="B189" s="105">
        <v>182</v>
      </c>
      <c r="C189" s="107">
        <v>-2605271.3645200878</v>
      </c>
      <c r="D189" s="107">
        <v>-5485688.9386862814</v>
      </c>
      <c r="E189" s="107">
        <v>-6852982.9126601666</v>
      </c>
      <c r="F189" s="107">
        <v>-7128402.3787423074</v>
      </c>
      <c r="G189" s="107">
        <v>499133.74927414954</v>
      </c>
      <c r="H189" s="107">
        <v>-7548164.6586506218</v>
      </c>
      <c r="I189" s="107">
        <v>-5301552.2066955715</v>
      </c>
    </row>
    <row r="190" spans="2:9">
      <c r="B190" s="105">
        <v>183</v>
      </c>
      <c r="C190" s="107">
        <v>565395.88463407755</v>
      </c>
      <c r="D190" s="107">
        <v>-2223102.0301184803</v>
      </c>
      <c r="E190" s="107">
        <v>-12363395.360313624</v>
      </c>
      <c r="F190" s="107">
        <v>-5903138.3645020723</v>
      </c>
      <c r="G190" s="107">
        <v>-5801957.0761355013</v>
      </c>
      <c r="H190" s="107">
        <v>-6742210.1596451253</v>
      </c>
      <c r="I190" s="107">
        <v>-24449046.680519655</v>
      </c>
    </row>
    <row r="191" spans="2:9">
      <c r="B191" s="105">
        <v>184</v>
      </c>
      <c r="C191" s="107">
        <v>-6387543.184454307</v>
      </c>
      <c r="D191" s="107">
        <v>-3733012.43779172</v>
      </c>
      <c r="E191" s="107">
        <v>-1907337.5398037434</v>
      </c>
      <c r="F191" s="107">
        <v>-967067.09171681106</v>
      </c>
      <c r="G191" s="107">
        <v>-2919335.8647066504</v>
      </c>
      <c r="H191" s="107">
        <v>-6015512.6474436671</v>
      </c>
      <c r="I191" s="107">
        <v>-13808486.711423263</v>
      </c>
    </row>
    <row r="192" spans="2:9">
      <c r="B192" s="105">
        <v>185</v>
      </c>
      <c r="C192" s="107">
        <v>-4028232.492887944</v>
      </c>
      <c r="D192" s="107">
        <v>1125094.5040912032</v>
      </c>
      <c r="E192" s="107">
        <v>6087204.6025699675</v>
      </c>
      <c r="F192" s="107">
        <v>-12362994.31729506</v>
      </c>
      <c r="G192" s="107">
        <v>-17754982.207599163</v>
      </c>
      <c r="H192" s="107">
        <v>-16096756.158946395</v>
      </c>
      <c r="I192" s="107">
        <v>-27102868.862799957</v>
      </c>
    </row>
    <row r="193" spans="2:9">
      <c r="B193" s="105">
        <v>186</v>
      </c>
      <c r="C193" s="107">
        <v>-6361101.4018337727</v>
      </c>
      <c r="D193" s="107">
        <v>-2676771.321643576</v>
      </c>
      <c r="E193" s="107">
        <v>1677694.9568593055</v>
      </c>
      <c r="F193" s="107">
        <v>-16152242.115982175</v>
      </c>
      <c r="G193" s="107">
        <v>-12951501.946816921</v>
      </c>
      <c r="H193" s="107">
        <v>-7829808.3581353873</v>
      </c>
      <c r="I193" s="107">
        <v>-6665240.9384298325</v>
      </c>
    </row>
    <row r="194" spans="2:9">
      <c r="B194" s="105">
        <v>187</v>
      </c>
      <c r="C194" s="107">
        <v>2906921.7614085525</v>
      </c>
      <c r="D194" s="107">
        <v>686045.70519153774</v>
      </c>
      <c r="E194" s="107">
        <v>-8086092.4849058688</v>
      </c>
      <c r="F194" s="107">
        <v>-3883629.1394377649</v>
      </c>
      <c r="G194" s="107">
        <v>-9144035.7819838524</v>
      </c>
      <c r="H194" s="107">
        <v>-10239066.527238369</v>
      </c>
      <c r="I194" s="107">
        <v>-17020129.695134342</v>
      </c>
    </row>
    <row r="195" spans="2:9">
      <c r="B195" s="105">
        <v>188</v>
      </c>
      <c r="C195" s="107">
        <v>1696671.6037166119</v>
      </c>
      <c r="D195" s="107">
        <v>-4742600.7349380404</v>
      </c>
      <c r="E195" s="107">
        <v>-3198372.8070586175</v>
      </c>
      <c r="F195" s="107">
        <v>3769338.6892426908</v>
      </c>
      <c r="G195" s="107">
        <v>-14597241.967842132</v>
      </c>
      <c r="H195" s="107">
        <v>-9296839.5489258617</v>
      </c>
      <c r="I195" s="107">
        <v>-16016022.563489601</v>
      </c>
    </row>
    <row r="196" spans="2:9">
      <c r="B196" s="105">
        <v>189</v>
      </c>
      <c r="C196" s="107">
        <v>-886048.17772299051</v>
      </c>
      <c r="D196" s="107">
        <v>-3775754.6906266212</v>
      </c>
      <c r="E196" s="107">
        <v>-4709458.4428489655</v>
      </c>
      <c r="F196" s="107">
        <v>-8375334.7778079212</v>
      </c>
      <c r="G196" s="107">
        <v>-4663041.868115589</v>
      </c>
      <c r="H196" s="107">
        <v>-15158293.634775236</v>
      </c>
      <c r="I196" s="107">
        <v>-22604926.289858699</v>
      </c>
    </row>
    <row r="197" spans="2:9">
      <c r="B197" s="105">
        <v>190</v>
      </c>
      <c r="C197" s="107">
        <v>-75829.287511453032</v>
      </c>
      <c r="D197" s="107">
        <v>-411806.69540396333</v>
      </c>
      <c r="E197" s="107">
        <v>-7734726.0653996915</v>
      </c>
      <c r="F197" s="107">
        <v>-10956716.219945982</v>
      </c>
      <c r="G197" s="107">
        <v>-6204018.1080033928</v>
      </c>
      <c r="H197" s="107">
        <v>-8961173.353943333</v>
      </c>
      <c r="I197" s="107">
        <v>-12706843.307269022</v>
      </c>
    </row>
    <row r="198" spans="2:9">
      <c r="B198" s="105">
        <v>191</v>
      </c>
      <c r="C198" s="107">
        <v>5672216.8349950463</v>
      </c>
      <c r="D198" s="107">
        <v>-5432774.0339631438</v>
      </c>
      <c r="E198" s="107">
        <v>3787650.827849105</v>
      </c>
      <c r="F198" s="107">
        <v>-3405069.3590380996</v>
      </c>
      <c r="G198" s="107">
        <v>-16245824.443429798</v>
      </c>
      <c r="H198" s="107">
        <v>-9057008.116317451</v>
      </c>
      <c r="I198" s="107">
        <v>-18716288.198421344</v>
      </c>
    </row>
    <row r="199" spans="2:9">
      <c r="B199" s="105">
        <v>192</v>
      </c>
      <c r="C199" s="107">
        <v>-5244372.5663558841</v>
      </c>
      <c r="D199" s="107">
        <v>-1143011.611789912</v>
      </c>
      <c r="E199" s="107">
        <v>-4922133.931904912</v>
      </c>
      <c r="F199" s="107">
        <v>-15066927.53371948</v>
      </c>
      <c r="G199" s="107">
        <v>-1258102.9659381509</v>
      </c>
      <c r="H199" s="107">
        <v>-8839298.1544944048</v>
      </c>
      <c r="I199" s="107">
        <v>-11510630.583706692</v>
      </c>
    </row>
    <row r="200" spans="2:9">
      <c r="B200" s="105">
        <v>193</v>
      </c>
      <c r="C200" s="107">
        <v>-4336505.019613713</v>
      </c>
      <c r="D200" s="107">
        <v>-16149150.535109088</v>
      </c>
      <c r="E200" s="107">
        <v>2653340.3832422644</v>
      </c>
      <c r="F200" s="107">
        <v>-17130830.873642325</v>
      </c>
      <c r="G200" s="107">
        <v>-5931115.866980955</v>
      </c>
      <c r="H200" s="107">
        <v>-16357937.289903715</v>
      </c>
      <c r="I200" s="107">
        <v>-23150453.807384998</v>
      </c>
    </row>
    <row r="201" spans="2:9">
      <c r="B201" s="105">
        <v>194</v>
      </c>
      <c r="C201" s="107">
        <v>6060325.2924425304</v>
      </c>
      <c r="D201" s="107">
        <v>-7533253.8989820778</v>
      </c>
      <c r="E201" s="107">
        <v>2586611.2992767692</v>
      </c>
      <c r="F201" s="107">
        <v>-13015633.838076726</v>
      </c>
      <c r="G201" s="107">
        <v>-11299754.215706632</v>
      </c>
      <c r="H201" s="107">
        <v>-22719730.791129649</v>
      </c>
      <c r="I201" s="107">
        <v>-13848485.874901131</v>
      </c>
    </row>
    <row r="202" spans="2:9">
      <c r="B202" s="105">
        <v>195</v>
      </c>
      <c r="C202" s="107">
        <v>3078718.8634520918</v>
      </c>
      <c r="D202" s="107">
        <v>-4047293.65433532</v>
      </c>
      <c r="E202" s="107">
        <v>-7613560.107627362</v>
      </c>
      <c r="F202" s="107">
        <v>2873773.6942149252</v>
      </c>
      <c r="G202" s="107">
        <v>-7069581.1792039871</v>
      </c>
      <c r="H202" s="107">
        <v>-3478270.9836051464</v>
      </c>
      <c r="I202" s="107">
        <v>-11099631.056485385</v>
      </c>
    </row>
    <row r="203" spans="2:9">
      <c r="B203" s="105">
        <v>196</v>
      </c>
      <c r="C203" s="107">
        <v>-419968.23859864473</v>
      </c>
      <c r="D203" s="107">
        <v>-8422985.7322788388</v>
      </c>
      <c r="E203" s="107">
        <v>-6191534.6384004802</v>
      </c>
      <c r="F203" s="107">
        <v>-8936886.3522132188</v>
      </c>
      <c r="G203" s="107">
        <v>16423.932611018419</v>
      </c>
      <c r="H203" s="107">
        <v>-11325491.511511445</v>
      </c>
      <c r="I203" s="107">
        <v>-11754552.862089068</v>
      </c>
    </row>
    <row r="204" spans="2:9">
      <c r="B204" s="105">
        <v>197</v>
      </c>
      <c r="C204" s="107">
        <v>-3761041.6824805588</v>
      </c>
      <c r="D204" s="107">
        <v>-14814458.231192753</v>
      </c>
      <c r="E204" s="107">
        <v>3337334.7152808011</v>
      </c>
      <c r="F204" s="107">
        <v>-2975179.3914428502</v>
      </c>
      <c r="G204" s="107">
        <v>-13432688.295139119</v>
      </c>
      <c r="H204" s="107">
        <v>-15200064.598793685</v>
      </c>
      <c r="I204" s="107">
        <v>-21748429.506226659</v>
      </c>
    </row>
    <row r="205" spans="2:9">
      <c r="B205" s="105">
        <v>198</v>
      </c>
      <c r="C205" s="107">
        <v>-8062746.1328570694</v>
      </c>
      <c r="D205" s="107">
        <v>-12833023.925231293</v>
      </c>
      <c r="E205" s="107">
        <v>-3611084.0603663623</v>
      </c>
      <c r="F205" s="107">
        <v>-8382979.7621496618</v>
      </c>
      <c r="G205" s="107">
        <v>-17391697.70264715</v>
      </c>
      <c r="H205" s="107">
        <v>-5038587.6640565544</v>
      </c>
      <c r="I205" s="107">
        <v>-17174751.400137022</v>
      </c>
    </row>
    <row r="206" spans="2:9">
      <c r="B206" s="105">
        <v>199</v>
      </c>
      <c r="C206" s="107">
        <v>8900441.9681989104</v>
      </c>
      <c r="D206" s="107">
        <v>-7533.2924170792103</v>
      </c>
      <c r="E206" s="107">
        <v>-4410569.5221887082</v>
      </c>
      <c r="F206" s="107">
        <v>-17228292.668295652</v>
      </c>
      <c r="G206" s="107">
        <v>-11076813.103722736</v>
      </c>
      <c r="H206" s="107">
        <v>-15872256.554234967</v>
      </c>
      <c r="I206" s="107">
        <v>-9665694.3231578469</v>
      </c>
    </row>
    <row r="207" spans="2:9">
      <c r="B207" s="105">
        <v>200</v>
      </c>
      <c r="C207" s="107">
        <v>10992643.505386442</v>
      </c>
      <c r="D207" s="107">
        <v>-6310871.7914530337</v>
      </c>
      <c r="E207" s="107">
        <v>-9605589.1312825531</v>
      </c>
      <c r="F207" s="107">
        <v>-8080854.10182105</v>
      </c>
      <c r="G207" s="107">
        <v>-7035338.1489199996</v>
      </c>
      <c r="H207" s="107">
        <v>-15719909.687673375</v>
      </c>
      <c r="I207" s="107">
        <v>-16428245.511112139</v>
      </c>
    </row>
  </sheetData>
  <mergeCells count="1">
    <mergeCell ref="C5:I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75DE-B5A6-3748-B365-9FD0B88184C5}">
  <sheetPr codeName="Arkusz34">
    <tabColor theme="0" tint="-0.499984740745262"/>
  </sheetPr>
  <dimension ref="A3:I207"/>
  <sheetViews>
    <sheetView workbookViewId="0">
      <selection activeCell="E29" sqref="E29"/>
    </sheetView>
  </sheetViews>
  <sheetFormatPr defaultColWidth="10.77734375" defaultRowHeight="13.2"/>
  <cols>
    <col min="1" max="1" width="10.77734375" style="36"/>
    <col min="2" max="9" width="14.6640625" style="36" customWidth="1"/>
    <col min="10" max="16384" width="10.77734375" style="36"/>
  </cols>
  <sheetData>
    <row r="3" spans="1:9">
      <c r="B3" s="73" t="s">
        <v>122</v>
      </c>
      <c r="C3" s="97">
        <f>AVERAGE(C8:C207)</f>
        <v>-9288682.5688003693</v>
      </c>
      <c r="D3" s="97">
        <f t="shared" ref="D3:I3" si="0">AVERAGE(D8:D207)</f>
        <v>-11580353.340095954</v>
      </c>
      <c r="E3" s="97">
        <f t="shared" si="0"/>
        <v>-13068324.251849122</v>
      </c>
      <c r="F3" s="97">
        <f t="shared" si="0"/>
        <v>-15496539.00732789</v>
      </c>
      <c r="G3" s="97">
        <f t="shared" si="0"/>
        <v>-17705383.53754364</v>
      </c>
      <c r="H3" s="97">
        <f t="shared" si="0"/>
        <v>-19962427.533461895</v>
      </c>
      <c r="I3" s="97">
        <f t="shared" si="0"/>
        <v>-22628625.753107503</v>
      </c>
    </row>
    <row r="5" spans="1:9" ht="15.6">
      <c r="C5" s="211" t="s">
        <v>134</v>
      </c>
      <c r="D5" s="211"/>
      <c r="E5" s="211"/>
      <c r="F5" s="211"/>
      <c r="G5" s="211"/>
      <c r="H5" s="211"/>
      <c r="I5" s="211"/>
    </row>
    <row r="6" spans="1:9">
      <c r="B6" s="104" t="s">
        <v>10</v>
      </c>
      <c r="C6" s="106">
        <v>-0.15</v>
      </c>
      <c r="D6" s="106">
        <v>-0.1</v>
      </c>
      <c r="E6" s="106">
        <v>-0.05</v>
      </c>
      <c r="F6" s="106">
        <v>0</v>
      </c>
      <c r="G6" s="106">
        <v>0.05</v>
      </c>
      <c r="H6" s="106">
        <v>0.1</v>
      </c>
      <c r="I6" s="106">
        <v>0.15</v>
      </c>
    </row>
    <row r="7" spans="1:9">
      <c r="A7" s="73" t="s">
        <v>135</v>
      </c>
      <c r="B7" s="108">
        <v>-9309028.9433150291</v>
      </c>
      <c r="C7" s="109">
        <v>36341606.868500002</v>
      </c>
      <c r="D7" s="109">
        <v>38479348.449000001</v>
      </c>
      <c r="E7" s="109">
        <v>40617090.0295</v>
      </c>
      <c r="F7" s="109">
        <v>42754831.609999999</v>
      </c>
      <c r="G7" s="109">
        <v>44892573.190499999</v>
      </c>
      <c r="H7" s="109">
        <v>47030314.771000005</v>
      </c>
      <c r="I7" s="109">
        <v>49168056.351499997</v>
      </c>
    </row>
    <row r="8" spans="1:9">
      <c r="B8" s="105">
        <v>1</v>
      </c>
      <c r="C8" s="107">
        <v>-8714940.1494868249</v>
      </c>
      <c r="D8" s="107">
        <v>-11131290.991072103</v>
      </c>
      <c r="E8" s="107">
        <v>-16286071.247080415</v>
      </c>
      <c r="F8" s="107">
        <v>-16900813.42738831</v>
      </c>
      <c r="G8" s="107">
        <v>-12421306.662748262</v>
      </c>
      <c r="H8" s="107">
        <v>-16930696.387275815</v>
      </c>
      <c r="I8" s="107">
        <v>-17953033.082704842</v>
      </c>
    </row>
    <row r="9" spans="1:9">
      <c r="B9" s="105">
        <v>2</v>
      </c>
      <c r="C9" s="107">
        <v>-5042899.8440154046</v>
      </c>
      <c r="D9" s="107">
        <v>-14131173.356943876</v>
      </c>
      <c r="E9" s="107">
        <v>-12246594.734593451</v>
      </c>
      <c r="F9" s="107">
        <v>-11722618.265507087</v>
      </c>
      <c r="G9" s="107">
        <v>-15029783.069831386</v>
      </c>
      <c r="H9" s="107">
        <v>-16803275.419165492</v>
      </c>
      <c r="I9" s="107">
        <v>-22833020.891782999</v>
      </c>
    </row>
    <row r="10" spans="1:9">
      <c r="B10" s="105">
        <v>3</v>
      </c>
      <c r="C10" s="107">
        <v>-18294792.969489902</v>
      </c>
      <c r="D10" s="107">
        <v>-17785495.085919484</v>
      </c>
      <c r="E10" s="107">
        <v>-14891158.020718962</v>
      </c>
      <c r="F10" s="107">
        <v>-28751079.25306423</v>
      </c>
      <c r="G10" s="107">
        <v>-22395021.091757759</v>
      </c>
      <c r="H10" s="107">
        <v>-19820388.215328559</v>
      </c>
      <c r="I10" s="107">
        <v>-24094324.471930251</v>
      </c>
    </row>
    <row r="11" spans="1:9">
      <c r="B11" s="105">
        <v>4</v>
      </c>
      <c r="C11" s="107">
        <v>-13158910.643699884</v>
      </c>
      <c r="D11" s="107">
        <v>-11721177.144108787</v>
      </c>
      <c r="E11" s="107">
        <v>-13933460.868371427</v>
      </c>
      <c r="F11" s="107">
        <v>-15465961.784613907</v>
      </c>
      <c r="G11" s="107">
        <v>-19534710.588849843</v>
      </c>
      <c r="H11" s="107">
        <v>-21507768.849257782</v>
      </c>
      <c r="I11" s="107">
        <v>-17725875.013698637</v>
      </c>
    </row>
    <row r="12" spans="1:9">
      <c r="B12" s="105">
        <v>5</v>
      </c>
      <c r="C12" s="107">
        <v>-7510624.2162296623</v>
      </c>
      <c r="D12" s="107">
        <v>-12320125.550123602</v>
      </c>
      <c r="E12" s="107">
        <v>-12495896.296267822</v>
      </c>
      <c r="F12" s="107">
        <v>-7544653.1083500981</v>
      </c>
      <c r="G12" s="107">
        <v>-18575605.73541452</v>
      </c>
      <c r="H12" s="107">
        <v>-29523379.241791233</v>
      </c>
      <c r="I12" s="107">
        <v>-28153524.292012155</v>
      </c>
    </row>
    <row r="13" spans="1:9">
      <c r="B13" s="105">
        <v>6</v>
      </c>
      <c r="C13" s="107">
        <v>-9127722.8249320388</v>
      </c>
      <c r="D13" s="107">
        <v>-17848558.216193944</v>
      </c>
      <c r="E13" s="107">
        <v>-16909185.032714188</v>
      </c>
      <c r="F13" s="107">
        <v>-9309866.1195695102</v>
      </c>
      <c r="G13" s="107">
        <v>-22358824.683755249</v>
      </c>
      <c r="H13" s="107">
        <v>-18720593.138868868</v>
      </c>
      <c r="I13" s="107">
        <v>-16870535.385609016</v>
      </c>
    </row>
    <row r="14" spans="1:9">
      <c r="B14" s="105">
        <v>7</v>
      </c>
      <c r="C14" s="107">
        <v>-8709039.0785297751</v>
      </c>
      <c r="D14" s="107">
        <v>-8519205.5482339263</v>
      </c>
      <c r="E14" s="107">
        <v>-5710207.0180962384</v>
      </c>
      <c r="F14" s="107">
        <v>-21312066.089772135</v>
      </c>
      <c r="G14" s="107">
        <v>-11375339.727275789</v>
      </c>
      <c r="H14" s="107">
        <v>-29410986.076109737</v>
      </c>
      <c r="I14" s="107">
        <v>-13463663.638615385</v>
      </c>
    </row>
    <row r="15" spans="1:9">
      <c r="B15" s="105">
        <v>8</v>
      </c>
      <c r="C15" s="107">
        <v>-8842389.6205722988</v>
      </c>
      <c r="D15" s="107">
        <v>-17006487.944721073</v>
      </c>
      <c r="E15" s="107">
        <v>-8748808.4860896617</v>
      </c>
      <c r="F15" s="107">
        <v>-13693020.961879715</v>
      </c>
      <c r="G15" s="107">
        <v>-15698664.155851036</v>
      </c>
      <c r="H15" s="107">
        <v>-17195772.746341258</v>
      </c>
      <c r="I15" s="107">
        <v>-27496627.101757482</v>
      </c>
    </row>
    <row r="16" spans="1:9">
      <c r="B16" s="105">
        <v>9</v>
      </c>
      <c r="C16" s="107">
        <v>-8499984.4092035145</v>
      </c>
      <c r="D16" s="107">
        <v>-4424708.9321007431</v>
      </c>
      <c r="E16" s="107">
        <v>-14344324.175602064</v>
      </c>
      <c r="F16" s="107">
        <v>-9069944.0875615478</v>
      </c>
      <c r="G16" s="107">
        <v>-19812965.590656012</v>
      </c>
      <c r="H16" s="107">
        <v>-19490342.923636988</v>
      </c>
      <c r="I16" s="107">
        <v>-18917912.294256777</v>
      </c>
    </row>
    <row r="17" spans="2:9">
      <c r="B17" s="105">
        <v>10</v>
      </c>
      <c r="C17" s="107">
        <v>-9209044.1947591454</v>
      </c>
      <c r="D17" s="107">
        <v>-10898866.265261546</v>
      </c>
      <c r="E17" s="107">
        <v>-12565539.655376807</v>
      </c>
      <c r="F17" s="107">
        <v>-23501555.902037218</v>
      </c>
      <c r="G17" s="107">
        <v>-21050207.142860457</v>
      </c>
      <c r="H17" s="107">
        <v>-19295856.716551021</v>
      </c>
      <c r="I17" s="107">
        <v>-27670765.087620005</v>
      </c>
    </row>
    <row r="18" spans="2:9">
      <c r="B18" s="105">
        <v>11</v>
      </c>
      <c r="C18" s="107">
        <v>-9492634.6011909395</v>
      </c>
      <c r="D18" s="107">
        <v>-5805646.133395806</v>
      </c>
      <c r="E18" s="107">
        <v>-14156482.763681933</v>
      </c>
      <c r="F18" s="107">
        <v>-11197195.70127818</v>
      </c>
      <c r="G18" s="107">
        <v>-16685177.50371784</v>
      </c>
      <c r="H18" s="107">
        <v>-16800792.052216098</v>
      </c>
      <c r="I18" s="107">
        <v>-14919832.333720431</v>
      </c>
    </row>
    <row r="19" spans="2:9">
      <c r="B19" s="105">
        <v>12</v>
      </c>
      <c r="C19" s="107">
        <v>1429407.0472978801</v>
      </c>
      <c r="D19" s="107">
        <v>-6132227.4436931014</v>
      </c>
      <c r="E19" s="107">
        <v>-17594812.249604613</v>
      </c>
      <c r="F19" s="107">
        <v>-24480073.818719193</v>
      </c>
      <c r="G19" s="107">
        <v>-14524652.99759683</v>
      </c>
      <c r="H19" s="107">
        <v>-14604557.189343825</v>
      </c>
      <c r="I19" s="107">
        <v>-24174482.347868443</v>
      </c>
    </row>
    <row r="20" spans="2:9">
      <c r="B20" s="105">
        <v>13</v>
      </c>
      <c r="C20" s="107">
        <v>-6544329.8236362487</v>
      </c>
      <c r="D20" s="107">
        <v>-10988841.986859947</v>
      </c>
      <c r="E20" s="107">
        <v>-12373715.614633799</v>
      </c>
      <c r="F20" s="107">
        <v>-18415020.841231316</v>
      </c>
      <c r="G20" s="107">
        <v>-14498167.643174171</v>
      </c>
      <c r="H20" s="107">
        <v>-22159556.674266875</v>
      </c>
      <c r="I20" s="107">
        <v>-24818872.079339594</v>
      </c>
    </row>
    <row r="21" spans="2:9">
      <c r="B21" s="105">
        <v>14</v>
      </c>
      <c r="C21" s="107">
        <v>-120119.20894947648</v>
      </c>
      <c r="D21" s="107">
        <v>-13262271.581770539</v>
      </c>
      <c r="E21" s="107">
        <v>-14382724.290685773</v>
      </c>
      <c r="F21" s="107">
        <v>-8093048.9803846776</v>
      </c>
      <c r="G21" s="107">
        <v>-24939597.395971239</v>
      </c>
      <c r="H21" s="107">
        <v>-25925726.236821756</v>
      </c>
      <c r="I21" s="107">
        <v>-24999957.859056175</v>
      </c>
    </row>
    <row r="22" spans="2:9">
      <c r="B22" s="105">
        <v>15</v>
      </c>
      <c r="C22" s="107">
        <v>-5400244.1047528535</v>
      </c>
      <c r="D22" s="107">
        <v>-16473795.104143068</v>
      </c>
      <c r="E22" s="107">
        <v>-8492048.9145737886</v>
      </c>
      <c r="F22" s="107">
        <v>-9978155.6247662157</v>
      </c>
      <c r="G22" s="107">
        <v>-18376008.4114407</v>
      </c>
      <c r="H22" s="107">
        <v>-22062229.613761619</v>
      </c>
      <c r="I22" s="107">
        <v>-32571923.082288668</v>
      </c>
    </row>
    <row r="23" spans="2:9">
      <c r="B23" s="105">
        <v>16</v>
      </c>
      <c r="C23" s="107">
        <v>-8159646.7117973119</v>
      </c>
      <c r="D23" s="107">
        <v>-18434153.144599974</v>
      </c>
      <c r="E23" s="107">
        <v>-13229592.91164121</v>
      </c>
      <c r="F23" s="107">
        <v>-22833652.308684498</v>
      </c>
      <c r="G23" s="107">
        <v>-10515628.699157432</v>
      </c>
      <c r="H23" s="107">
        <v>-24811907.470515996</v>
      </c>
      <c r="I23" s="107">
        <v>-35380104.473616362</v>
      </c>
    </row>
    <row r="24" spans="2:9">
      <c r="B24" s="105">
        <v>17</v>
      </c>
      <c r="C24" s="107">
        <v>-5412505.7666468322</v>
      </c>
      <c r="D24" s="107">
        <v>-11385790.821839094</v>
      </c>
      <c r="E24" s="107">
        <v>-4866248.3301141262</v>
      </c>
      <c r="F24" s="107">
        <v>-14770306.207295001</v>
      </c>
      <c r="G24" s="107">
        <v>-27840513.933240741</v>
      </c>
      <c r="H24" s="107">
        <v>-20329267.798101068</v>
      </c>
      <c r="I24" s="107">
        <v>-22339223.484249294</v>
      </c>
    </row>
    <row r="25" spans="2:9">
      <c r="B25" s="105">
        <v>18</v>
      </c>
      <c r="C25" s="107">
        <v>-10337381.266984478</v>
      </c>
      <c r="D25" s="107">
        <v>-11798671.708867192</v>
      </c>
      <c r="E25" s="107">
        <v>-13050832.373897061</v>
      </c>
      <c r="F25" s="107">
        <v>-13331587.084228829</v>
      </c>
      <c r="G25" s="107">
        <v>-19376485.694983348</v>
      </c>
      <c r="H25" s="107">
        <v>-19327004.860115796</v>
      </c>
      <c r="I25" s="107">
        <v>-14613220.753639817</v>
      </c>
    </row>
    <row r="26" spans="2:9">
      <c r="B26" s="105">
        <v>19</v>
      </c>
      <c r="C26" s="107">
        <v>-6944035.6028967649</v>
      </c>
      <c r="D26" s="107">
        <v>-18295759.878635928</v>
      </c>
      <c r="E26" s="107">
        <v>-15957972.456626907</v>
      </c>
      <c r="F26" s="107">
        <v>-16238784.970205516</v>
      </c>
      <c r="G26" s="107">
        <v>-23681605.061683536</v>
      </c>
      <c r="H26" s="107">
        <v>-12674098.555080295</v>
      </c>
      <c r="I26" s="107">
        <v>-24334664.695436627</v>
      </c>
    </row>
    <row r="27" spans="2:9">
      <c r="B27" s="105">
        <v>20</v>
      </c>
      <c r="C27" s="107">
        <v>-6142101.4159020633</v>
      </c>
      <c r="D27" s="107">
        <v>-6867707.5571706891</v>
      </c>
      <c r="E27" s="107">
        <v>-9961904.3043370694</v>
      </c>
      <c r="F27" s="107">
        <v>-16227734.365256026</v>
      </c>
      <c r="G27" s="107">
        <v>-21103277.549367636</v>
      </c>
      <c r="H27" s="107">
        <v>-22974848.784333676</v>
      </c>
      <c r="I27" s="107">
        <v>-27109495.065664068</v>
      </c>
    </row>
    <row r="28" spans="2:9">
      <c r="B28" s="105">
        <v>21</v>
      </c>
      <c r="C28" s="107">
        <v>-6845993.2787768543</v>
      </c>
      <c r="D28" s="107">
        <v>-14687263.459233791</v>
      </c>
      <c r="E28" s="107">
        <v>-22265088.680931911</v>
      </c>
      <c r="F28" s="107">
        <v>-16492502.736563161</v>
      </c>
      <c r="G28" s="107">
        <v>-11862776.756122112</v>
      </c>
      <c r="H28" s="107">
        <v>-20108014.838517293</v>
      </c>
      <c r="I28" s="107">
        <v>-21057083.001598239</v>
      </c>
    </row>
    <row r="29" spans="2:9">
      <c r="B29" s="105">
        <v>22</v>
      </c>
      <c r="C29" s="107">
        <v>-7042303.9093951583</v>
      </c>
      <c r="D29" s="107">
        <v>-17600250.348120168</v>
      </c>
      <c r="E29" s="107">
        <v>-15464877.943003267</v>
      </c>
      <c r="F29" s="107">
        <v>-22263885.239169881</v>
      </c>
      <c r="G29" s="107">
        <v>-8970041.2581574619</v>
      </c>
      <c r="H29" s="107">
        <v>-20765753.27298677</v>
      </c>
      <c r="I29" s="107">
        <v>-33062673.725469381</v>
      </c>
    </row>
    <row r="30" spans="2:9">
      <c r="B30" s="105">
        <v>23</v>
      </c>
      <c r="C30" s="107">
        <v>-14287356.263268307</v>
      </c>
      <c r="D30" s="107">
        <v>-8561780.2913572043</v>
      </c>
      <c r="E30" s="107">
        <v>-11102509.33251445</v>
      </c>
      <c r="F30" s="107">
        <v>-10843457.744543537</v>
      </c>
      <c r="G30" s="107">
        <v>-14139531.201918945</v>
      </c>
      <c r="H30" s="107">
        <v>-22814141.028990537</v>
      </c>
      <c r="I30" s="107">
        <v>-18793250.74955675</v>
      </c>
    </row>
    <row r="31" spans="2:9">
      <c r="B31" s="105">
        <v>24</v>
      </c>
      <c r="C31" s="107">
        <v>-8175013.6077462733</v>
      </c>
      <c r="D31" s="107">
        <v>-8520979.9357808232</v>
      </c>
      <c r="E31" s="107">
        <v>-17254079.156581864</v>
      </c>
      <c r="F31" s="107">
        <v>-14959764.737796813</v>
      </c>
      <c r="G31" s="107">
        <v>-14568026.896313354</v>
      </c>
      <c r="H31" s="107">
        <v>-15976985.38556689</v>
      </c>
      <c r="I31" s="107">
        <v>-19119502.314084679</v>
      </c>
    </row>
    <row r="32" spans="2:9">
      <c r="B32" s="105">
        <v>25</v>
      </c>
      <c r="C32" s="107">
        <v>-10443925.288707331</v>
      </c>
      <c r="D32" s="107">
        <v>-15469367.528693542</v>
      </c>
      <c r="E32" s="107">
        <v>-19341708.507900968</v>
      </c>
      <c r="F32" s="107">
        <v>-14290413.493710518</v>
      </c>
      <c r="G32" s="107">
        <v>-13989390.960654557</v>
      </c>
      <c r="H32" s="107">
        <v>-22882375.538502723</v>
      </c>
      <c r="I32" s="107">
        <v>-26440358.523350388</v>
      </c>
    </row>
    <row r="33" spans="2:9">
      <c r="B33" s="105">
        <v>26</v>
      </c>
      <c r="C33" s="107">
        <v>-10306511.187069044</v>
      </c>
      <c r="D33" s="107">
        <v>-9558306.6195969731</v>
      </c>
      <c r="E33" s="107">
        <v>-19423769.501161501</v>
      </c>
      <c r="F33" s="107">
        <v>-15525573.426763982</v>
      </c>
      <c r="G33" s="107">
        <v>-21066310.527768508</v>
      </c>
      <c r="H33" s="107">
        <v>-18264045.647364005</v>
      </c>
      <c r="I33" s="107">
        <v>-28936432.271346688</v>
      </c>
    </row>
    <row r="34" spans="2:9">
      <c r="B34" s="105">
        <v>27</v>
      </c>
      <c r="C34" s="107">
        <v>-17158240.214177996</v>
      </c>
      <c r="D34" s="107">
        <v>-4012265.7264814824</v>
      </c>
      <c r="E34" s="107">
        <v>-18654155.114579439</v>
      </c>
      <c r="F34" s="107">
        <v>-16875190.269831255</v>
      </c>
      <c r="G34" s="107">
        <v>-23155880.36518161</v>
      </c>
      <c r="H34" s="107">
        <v>-18296879.628121644</v>
      </c>
      <c r="I34" s="107">
        <v>-29431530.84049879</v>
      </c>
    </row>
    <row r="35" spans="2:9">
      <c r="B35" s="105">
        <v>28</v>
      </c>
      <c r="C35" s="107">
        <v>-17778683.744643465</v>
      </c>
      <c r="D35" s="107">
        <v>-12235914.281827003</v>
      </c>
      <c r="E35" s="107">
        <v>-14125484.137255564</v>
      </c>
      <c r="F35" s="107">
        <v>-15124498.514168546</v>
      </c>
      <c r="G35" s="107">
        <v>-24297771.63741836</v>
      </c>
      <c r="H35" s="107">
        <v>-24567514.978007317</v>
      </c>
      <c r="I35" s="107">
        <v>-23917406.349307895</v>
      </c>
    </row>
    <row r="36" spans="2:9">
      <c r="B36" s="105">
        <v>29</v>
      </c>
      <c r="C36" s="107">
        <v>-5389056.414961338</v>
      </c>
      <c r="D36" s="107">
        <v>-17708324.5683617</v>
      </c>
      <c r="E36" s="107">
        <v>-9062213.0347621292</v>
      </c>
      <c r="F36" s="107">
        <v>-14442066.626809686</v>
      </c>
      <c r="G36" s="107">
        <v>-17737920.017830238</v>
      </c>
      <c r="H36" s="107">
        <v>-26346542.112127081</v>
      </c>
      <c r="I36" s="107">
        <v>-23415595.735204667</v>
      </c>
    </row>
    <row r="37" spans="2:9">
      <c r="B37" s="105">
        <v>30</v>
      </c>
      <c r="C37" s="107">
        <v>-14531188.636236176</v>
      </c>
      <c r="D37" s="107">
        <v>-11850518.774471566</v>
      </c>
      <c r="E37" s="107">
        <v>-13483632.638019517</v>
      </c>
      <c r="F37" s="107">
        <v>-20186091.572690547</v>
      </c>
      <c r="G37" s="107">
        <v>-19544092.911887616</v>
      </c>
      <c r="H37" s="107">
        <v>-22453453.755709663</v>
      </c>
      <c r="I37" s="107">
        <v>-17601384.47391887</v>
      </c>
    </row>
    <row r="38" spans="2:9">
      <c r="B38" s="105">
        <v>31</v>
      </c>
      <c r="C38" s="107">
        <v>-9862761.9762098193</v>
      </c>
      <c r="D38" s="107">
        <v>-11546761.813309357</v>
      </c>
      <c r="E38" s="107">
        <v>-17409331.199493587</v>
      </c>
      <c r="F38" s="107">
        <v>-20449614.325735599</v>
      </c>
      <c r="G38" s="107">
        <v>-17256570.80858098</v>
      </c>
      <c r="H38" s="107">
        <v>-17590700.209348708</v>
      </c>
      <c r="I38" s="107">
        <v>-18777227.68047756</v>
      </c>
    </row>
    <row r="39" spans="2:9">
      <c r="B39" s="105">
        <v>32</v>
      </c>
      <c r="C39" s="107">
        <v>-11817621.004711747</v>
      </c>
      <c r="D39" s="107">
        <v>-13231504.389859796</v>
      </c>
      <c r="E39" s="107">
        <v>-4556220.1612932682</v>
      </c>
      <c r="F39" s="107">
        <v>-17750232.523323193</v>
      </c>
      <c r="G39" s="107">
        <v>-20048706.858624771</v>
      </c>
      <c r="H39" s="107">
        <v>-20137760.347019017</v>
      </c>
      <c r="I39" s="107">
        <v>-24005218.406143934</v>
      </c>
    </row>
    <row r="40" spans="2:9">
      <c r="B40" s="105">
        <v>33</v>
      </c>
      <c r="C40" s="107">
        <v>-6735707.9816294163</v>
      </c>
      <c r="D40" s="107">
        <v>-15023966.913770854</v>
      </c>
      <c r="E40" s="107">
        <v>-12507138.119127631</v>
      </c>
      <c r="F40" s="107">
        <v>-13152204.598304018</v>
      </c>
      <c r="G40" s="107">
        <v>-15032541.91779311</v>
      </c>
      <c r="H40" s="107">
        <v>-20800684.084163159</v>
      </c>
      <c r="I40" s="107">
        <v>-11151821.40084745</v>
      </c>
    </row>
    <row r="41" spans="2:9">
      <c r="B41" s="105">
        <v>34</v>
      </c>
      <c r="C41" s="107">
        <v>-9586564.3319118172</v>
      </c>
      <c r="D41" s="107">
        <v>-11607473.739497885</v>
      </c>
      <c r="E41" s="107">
        <v>215353.67393437028</v>
      </c>
      <c r="F41" s="107">
        <v>-18596321.407004118</v>
      </c>
      <c r="G41" s="107">
        <v>-17121399.533837095</v>
      </c>
      <c r="H41" s="107">
        <v>-14497578.643879876</v>
      </c>
      <c r="I41" s="107">
        <v>-30530101.493558764</v>
      </c>
    </row>
    <row r="42" spans="2:9">
      <c r="B42" s="105">
        <v>35</v>
      </c>
      <c r="C42" s="107">
        <v>-7567324.6277206242</v>
      </c>
      <c r="D42" s="107">
        <v>-2035964.9601266384</v>
      </c>
      <c r="E42" s="107">
        <v>-9875433.6084889174</v>
      </c>
      <c r="F42" s="107">
        <v>-5533505.4400310814</v>
      </c>
      <c r="G42" s="107">
        <v>-21984590.01445511</v>
      </c>
      <c r="H42" s="107">
        <v>-18483296.207328886</v>
      </c>
      <c r="I42" s="107">
        <v>-29342781.506345913</v>
      </c>
    </row>
    <row r="43" spans="2:9">
      <c r="B43" s="105">
        <v>36</v>
      </c>
      <c r="C43" s="107">
        <v>-6197407.411181584</v>
      </c>
      <c r="D43" s="107">
        <v>-4669024.6238341033</v>
      </c>
      <c r="E43" s="107">
        <v>-9841176.7200717926</v>
      </c>
      <c r="F43" s="107">
        <v>-14789739.636347041</v>
      </c>
      <c r="G43" s="107">
        <v>-13176120.71522145</v>
      </c>
      <c r="H43" s="107">
        <v>-20567366.8482669</v>
      </c>
      <c r="I43" s="107">
        <v>-28630030.764343426</v>
      </c>
    </row>
    <row r="44" spans="2:9">
      <c r="B44" s="105">
        <v>37</v>
      </c>
      <c r="C44" s="107">
        <v>-10271409.955400854</v>
      </c>
      <c r="D44" s="107">
        <v>-7352290.6528375149</v>
      </c>
      <c r="E44" s="107">
        <v>-22084588.96838288</v>
      </c>
      <c r="F44" s="107">
        <v>-11030559.860291272</v>
      </c>
      <c r="G44" s="107">
        <v>-13179536.294241831</v>
      </c>
      <c r="H44" s="107">
        <v>-26984526.08531706</v>
      </c>
      <c r="I44" s="107">
        <v>-22885590.957189605</v>
      </c>
    </row>
    <row r="45" spans="2:9">
      <c r="B45" s="105">
        <v>38</v>
      </c>
      <c r="C45" s="107">
        <v>-7494025.3754286915</v>
      </c>
      <c r="D45" s="107">
        <v>-8869149.689484328</v>
      </c>
      <c r="E45" s="107">
        <v>-13731191.526949883</v>
      </c>
      <c r="F45" s="107">
        <v>-10833346.332868204</v>
      </c>
      <c r="G45" s="107">
        <v>-15686458.015698075</v>
      </c>
      <c r="H45" s="107">
        <v>-27287885.610878855</v>
      </c>
      <c r="I45" s="107">
        <v>-23955948.581004262</v>
      </c>
    </row>
    <row r="46" spans="2:9">
      <c r="B46" s="105">
        <v>39</v>
      </c>
      <c r="C46" s="107">
        <v>-5345103.4144858271</v>
      </c>
      <c r="D46" s="107">
        <v>-11217769.935317621</v>
      </c>
      <c r="E46" s="107">
        <v>-9218226.4651315361</v>
      </c>
      <c r="F46" s="107">
        <v>-28169947.784166649</v>
      </c>
      <c r="G46" s="107">
        <v>-22462340.815764859</v>
      </c>
      <c r="H46" s="107">
        <v>-11069100.931509852</v>
      </c>
      <c r="I46" s="107">
        <v>-26321071.654250696</v>
      </c>
    </row>
    <row r="47" spans="2:9">
      <c r="B47" s="105">
        <v>40</v>
      </c>
      <c r="C47" s="107">
        <v>-1349423.1927342564</v>
      </c>
      <c r="D47" s="107">
        <v>-15707805.483770519</v>
      </c>
      <c r="E47" s="107">
        <v>-10504050.060769558</v>
      </c>
      <c r="F47" s="107">
        <v>-15815021.237299994</v>
      </c>
      <c r="G47" s="107">
        <v>-14195606.662621692</v>
      </c>
      <c r="H47" s="107">
        <v>-18774420.256417394</v>
      </c>
      <c r="I47" s="107">
        <v>-15200110.586987615</v>
      </c>
    </row>
    <row r="48" spans="2:9">
      <c r="B48" s="105">
        <v>41</v>
      </c>
      <c r="C48" s="107">
        <v>-8169209.5727610141</v>
      </c>
      <c r="D48" s="107">
        <v>-16165457.066551551</v>
      </c>
      <c r="E48" s="107">
        <v>-8982386.4357964993</v>
      </c>
      <c r="F48" s="107">
        <v>-17981172.038965255</v>
      </c>
      <c r="G48" s="107">
        <v>-16605696.196683213</v>
      </c>
      <c r="H48" s="107">
        <v>-23541892.446158305</v>
      </c>
      <c r="I48" s="107">
        <v>-18869413.619614497</v>
      </c>
    </row>
    <row r="49" spans="2:9">
      <c r="B49" s="105">
        <v>42</v>
      </c>
      <c r="C49" s="107">
        <v>-24015252.549164712</v>
      </c>
      <c r="D49" s="107">
        <v>-13181878.043409407</v>
      </c>
      <c r="E49" s="107">
        <v>-11102942.632565424</v>
      </c>
      <c r="F49" s="107">
        <v>-8989332.4428919405</v>
      </c>
      <c r="G49" s="107">
        <v>-18125242.186403051</v>
      </c>
      <c r="H49" s="107">
        <v>-22378751.950899705</v>
      </c>
      <c r="I49" s="107">
        <v>-24006997.169428661</v>
      </c>
    </row>
    <row r="50" spans="2:9">
      <c r="B50" s="105">
        <v>43</v>
      </c>
      <c r="C50" s="107">
        <v>-14624990.223165214</v>
      </c>
      <c r="D50" s="107">
        <v>-6039418.6743708551</v>
      </c>
      <c r="E50" s="107">
        <v>-16075108.349595457</v>
      </c>
      <c r="F50" s="107">
        <v>-18283110.779611841</v>
      </c>
      <c r="G50" s="107">
        <v>-11517884.67307128</v>
      </c>
      <c r="H50" s="107">
        <v>-15019124.044460416</v>
      </c>
      <c r="I50" s="107">
        <v>-28073094.297492728</v>
      </c>
    </row>
    <row r="51" spans="2:9">
      <c r="B51" s="105">
        <v>44</v>
      </c>
      <c r="C51" s="107">
        <v>-9127738.5131506771</v>
      </c>
      <c r="D51" s="107">
        <v>-5040652.3741149008</v>
      </c>
      <c r="E51" s="107">
        <v>-15539782.76149109</v>
      </c>
      <c r="F51" s="107">
        <v>-13936892.168077603</v>
      </c>
      <c r="G51" s="107">
        <v>-21415256.275968</v>
      </c>
      <c r="H51" s="107">
        <v>-13643506.033952132</v>
      </c>
      <c r="I51" s="107">
        <v>-22324672.770946622</v>
      </c>
    </row>
    <row r="52" spans="2:9">
      <c r="B52" s="105">
        <v>45</v>
      </c>
      <c r="C52" s="107">
        <v>-8350442.5012373626</v>
      </c>
      <c r="D52" s="107">
        <v>-10811171.765764952</v>
      </c>
      <c r="E52" s="107">
        <v>-13621073.575533807</v>
      </c>
      <c r="F52" s="107">
        <v>-17350726.485409856</v>
      </c>
      <c r="G52" s="107">
        <v>-20635643.105465338</v>
      </c>
      <c r="H52" s="107">
        <v>-26653682.713499889</v>
      </c>
      <c r="I52" s="107">
        <v>-28755855.697202206</v>
      </c>
    </row>
    <row r="53" spans="2:9">
      <c r="B53" s="105">
        <v>46</v>
      </c>
      <c r="C53" s="107">
        <v>-19775048.360570922</v>
      </c>
      <c r="D53" s="107">
        <v>-22761061.546036169</v>
      </c>
      <c r="E53" s="107">
        <v>-20689619.754719719</v>
      </c>
      <c r="F53" s="107">
        <v>-18514662.053008795</v>
      </c>
      <c r="G53" s="107">
        <v>-23341226.65132302</v>
      </c>
      <c r="H53" s="107">
        <v>-10807627.174173698</v>
      </c>
      <c r="I53" s="107">
        <v>-13641922.707475662</v>
      </c>
    </row>
    <row r="54" spans="2:9">
      <c r="B54" s="105">
        <v>47</v>
      </c>
      <c r="C54" s="107">
        <v>-2397544.0562583506</v>
      </c>
      <c r="D54" s="107">
        <v>-10546525.469278008</v>
      </c>
      <c r="E54" s="107">
        <v>-14685043.468672484</v>
      </c>
      <c r="F54" s="107">
        <v>-16620500.399665043</v>
      </c>
      <c r="G54" s="107">
        <v>-18102779.937454402</v>
      </c>
      <c r="H54" s="107">
        <v>-28732681.461990133</v>
      </c>
      <c r="I54" s="107">
        <v>-33699537.191717267</v>
      </c>
    </row>
    <row r="55" spans="2:9">
      <c r="B55" s="105">
        <v>48</v>
      </c>
      <c r="C55" s="107">
        <v>-7959889.59660469</v>
      </c>
      <c r="D55" s="107">
        <v>-10084979.159029052</v>
      </c>
      <c r="E55" s="107">
        <v>-10064195.208307803</v>
      </c>
      <c r="F55" s="107">
        <v>-7075845.231470108</v>
      </c>
      <c r="G55" s="107">
        <v>-17637280.328580067</v>
      </c>
      <c r="H55" s="107">
        <v>-24761771.491653398</v>
      </c>
      <c r="I55" s="107">
        <v>-17314970.588806301</v>
      </c>
    </row>
    <row r="56" spans="2:9">
      <c r="B56" s="105">
        <v>49</v>
      </c>
      <c r="C56" s="107">
        <v>-2684886.0078379065</v>
      </c>
      <c r="D56" s="107">
        <v>-7863995.9319856167</v>
      </c>
      <c r="E56" s="107">
        <v>-17487057.181301951</v>
      </c>
      <c r="F56" s="107">
        <v>-18714254.237421125</v>
      </c>
      <c r="G56" s="107">
        <v>-6094502.3851178139</v>
      </c>
      <c r="H56" s="107">
        <v>-20274664.871343911</v>
      </c>
      <c r="I56" s="107">
        <v>-19531146.947669923</v>
      </c>
    </row>
    <row r="57" spans="2:9">
      <c r="B57" s="105">
        <v>50</v>
      </c>
      <c r="C57" s="107">
        <v>-11353487.321725711</v>
      </c>
      <c r="D57" s="107">
        <v>-10117740.584541067</v>
      </c>
      <c r="E57" s="107">
        <v>-12399543.459047124</v>
      </c>
      <c r="F57" s="107">
        <v>-19889508.05522196</v>
      </c>
      <c r="G57" s="107">
        <v>-18533075.715804011</v>
      </c>
      <c r="H57" s="107">
        <v>-23666383.393534869</v>
      </c>
      <c r="I57" s="107">
        <v>-31313007.623591229</v>
      </c>
    </row>
    <row r="58" spans="2:9">
      <c r="B58" s="105">
        <v>51</v>
      </c>
      <c r="C58" s="107">
        <v>-7850811.0472737253</v>
      </c>
      <c r="D58" s="107">
        <v>-4588882.1245179474</v>
      </c>
      <c r="E58" s="107">
        <v>-5107267.3094703406</v>
      </c>
      <c r="F58" s="107">
        <v>-9805711.3281390518</v>
      </c>
      <c r="G58" s="107">
        <v>-10641767.515969604</v>
      </c>
      <c r="H58" s="107">
        <v>-25253111.879354954</v>
      </c>
      <c r="I58" s="107">
        <v>-29981547.976481438</v>
      </c>
    </row>
    <row r="59" spans="2:9">
      <c r="B59" s="105">
        <v>52</v>
      </c>
      <c r="C59" s="107">
        <v>-11618450.140454471</v>
      </c>
      <c r="D59" s="107">
        <v>-16084155.620947152</v>
      </c>
      <c r="E59" s="107">
        <v>-6658813.923643291</v>
      </c>
      <c r="F59" s="107">
        <v>-14975622.944574863</v>
      </c>
      <c r="G59" s="107">
        <v>-22926417.053085029</v>
      </c>
      <c r="H59" s="107">
        <v>-28377558.951899022</v>
      </c>
      <c r="I59" s="107">
        <v>-31466554.142683804</v>
      </c>
    </row>
    <row r="60" spans="2:9">
      <c r="B60" s="105">
        <v>53</v>
      </c>
      <c r="C60" s="107">
        <v>-13772316.846277192</v>
      </c>
      <c r="D60" s="107">
        <v>-9245672.4730526805</v>
      </c>
      <c r="E60" s="107">
        <v>-9102593.3080071062</v>
      </c>
      <c r="F60" s="107">
        <v>-13180108.98179023</v>
      </c>
      <c r="G60" s="107">
        <v>-11325260.927582934</v>
      </c>
      <c r="H60" s="107">
        <v>-19581951.708709717</v>
      </c>
      <c r="I60" s="107">
        <v>-21696537.321191669</v>
      </c>
    </row>
    <row r="61" spans="2:9">
      <c r="B61" s="105">
        <v>54</v>
      </c>
      <c r="C61" s="107">
        <v>-12464159.136340871</v>
      </c>
      <c r="D61" s="107">
        <v>-15814531.31056653</v>
      </c>
      <c r="E61" s="107">
        <v>-11769678.639478311</v>
      </c>
      <c r="F61" s="107">
        <v>-22176501.529637232</v>
      </c>
      <c r="G61" s="107">
        <v>-9246378.6786467582</v>
      </c>
      <c r="H61" s="107">
        <v>-22349794.858924001</v>
      </c>
      <c r="I61" s="107">
        <v>-31305961.806527004</v>
      </c>
    </row>
    <row r="62" spans="2:9">
      <c r="B62" s="105">
        <v>55</v>
      </c>
      <c r="C62" s="107">
        <v>-10518872.825271055</v>
      </c>
      <c r="D62" s="107">
        <v>-6123814.4836872965</v>
      </c>
      <c r="E62" s="107">
        <v>-13815243.503477603</v>
      </c>
      <c r="F62" s="107">
        <v>-11733413.282100186</v>
      </c>
      <c r="G62" s="107">
        <v>-4530138.4492250234</v>
      </c>
      <c r="H62" s="107">
        <v>-20839213.520932674</v>
      </c>
      <c r="I62" s="107">
        <v>-15752515.11519438</v>
      </c>
    </row>
    <row r="63" spans="2:9">
      <c r="B63" s="105">
        <v>56</v>
      </c>
      <c r="C63" s="107">
        <v>-14629026.490774646</v>
      </c>
      <c r="D63" s="107">
        <v>-12387105.05453077</v>
      </c>
      <c r="E63" s="107">
        <v>-19598964.134333536</v>
      </c>
      <c r="F63" s="107">
        <v>-17053043.177289039</v>
      </c>
      <c r="G63" s="107">
        <v>-16502234.09284243</v>
      </c>
      <c r="H63" s="107">
        <v>-16578076.304495886</v>
      </c>
      <c r="I63" s="107">
        <v>-21726598.215673625</v>
      </c>
    </row>
    <row r="64" spans="2:9">
      <c r="B64" s="105">
        <v>57</v>
      </c>
      <c r="C64" s="107">
        <v>-15384653.23577866</v>
      </c>
      <c r="D64" s="107">
        <v>-12673084.433761269</v>
      </c>
      <c r="E64" s="107">
        <v>-15600818.712586492</v>
      </c>
      <c r="F64" s="107">
        <v>-17641886.385041609</v>
      </c>
      <c r="G64" s="107">
        <v>-18938454.794880599</v>
      </c>
      <c r="H64" s="107">
        <v>-26065856.574278668</v>
      </c>
      <c r="I64" s="107">
        <v>-19001878.064112708</v>
      </c>
    </row>
    <row r="65" spans="2:9">
      <c r="B65" s="105">
        <v>58</v>
      </c>
      <c r="C65" s="107">
        <v>-7042244.9127912968</v>
      </c>
      <c r="D65" s="107">
        <v>-11199677.20381771</v>
      </c>
      <c r="E65" s="107">
        <v>-14982034.820964888</v>
      </c>
      <c r="F65" s="107">
        <v>-15349560.120186105</v>
      </c>
      <c r="G65" s="107">
        <v>-16917859.997893721</v>
      </c>
      <c r="H65" s="107">
        <v>-15115131.686902136</v>
      </c>
      <c r="I65" s="107">
        <v>-25091694.168287113</v>
      </c>
    </row>
    <row r="66" spans="2:9">
      <c r="B66" s="105">
        <v>59</v>
      </c>
      <c r="C66" s="107">
        <v>-14393049.205746308</v>
      </c>
      <c r="D66" s="107">
        <v>-11610742.191826165</v>
      </c>
      <c r="E66" s="107">
        <v>-11261171.477031127</v>
      </c>
      <c r="F66" s="107">
        <v>-16481027.957566708</v>
      </c>
      <c r="G66" s="107">
        <v>-12889263.482212156</v>
      </c>
      <c r="H66" s="107">
        <v>-21002208.151985854</v>
      </c>
      <c r="I66" s="107">
        <v>-18538993.139164388</v>
      </c>
    </row>
    <row r="67" spans="2:9">
      <c r="B67" s="105">
        <v>60</v>
      </c>
      <c r="C67" s="107">
        <v>-6071369.0801144391</v>
      </c>
      <c r="D67" s="107">
        <v>-10211680.954817653</v>
      </c>
      <c r="E67" s="107">
        <v>-7064241.3258948326</v>
      </c>
      <c r="F67" s="107">
        <v>-11228122.022954002</v>
      </c>
      <c r="G67" s="107">
        <v>-16929687.348340645</v>
      </c>
      <c r="H67" s="107">
        <v>-11017839.394614071</v>
      </c>
      <c r="I67" s="107">
        <v>-28012850.506662294</v>
      </c>
    </row>
    <row r="68" spans="2:9">
      <c r="B68" s="105">
        <v>61</v>
      </c>
      <c r="C68" s="107">
        <v>-4803475.3733239025</v>
      </c>
      <c r="D68" s="107">
        <v>-12014775.602459416</v>
      </c>
      <c r="E68" s="107">
        <v>-15880584.700649261</v>
      </c>
      <c r="F68" s="107">
        <v>-14708817.4445595</v>
      </c>
      <c r="G68" s="107">
        <v>-8363128.3788612634</v>
      </c>
      <c r="H68" s="107">
        <v>-31283044.312578931</v>
      </c>
      <c r="I68" s="107">
        <v>-21824053.512045503</v>
      </c>
    </row>
    <row r="69" spans="2:9">
      <c r="B69" s="105">
        <v>62</v>
      </c>
      <c r="C69" s="107">
        <v>-7557097.990176186</v>
      </c>
      <c r="D69" s="107">
        <v>-11708005.083852679</v>
      </c>
      <c r="E69" s="107">
        <v>-14496836.204149693</v>
      </c>
      <c r="F69" s="107">
        <v>-19833488.310662776</v>
      </c>
      <c r="G69" s="107">
        <v>-13633730.169413269</v>
      </c>
      <c r="H69" s="107">
        <v>-21245864.003147379</v>
      </c>
      <c r="I69" s="107">
        <v>-26691182.268847913</v>
      </c>
    </row>
    <row r="70" spans="2:9">
      <c r="B70" s="105">
        <v>63</v>
      </c>
      <c r="C70" s="107">
        <v>-7962724.1831223965</v>
      </c>
      <c r="D70" s="107">
        <v>-21514930.032701284</v>
      </c>
      <c r="E70" s="107">
        <v>-9002319.7701709867</v>
      </c>
      <c r="F70" s="107">
        <v>-11873569.602413699</v>
      </c>
      <c r="G70" s="107">
        <v>-24371167.030991733</v>
      </c>
      <c r="H70" s="107">
        <v>-28675236.775195092</v>
      </c>
      <c r="I70" s="107">
        <v>-26134674.884265393</v>
      </c>
    </row>
    <row r="71" spans="2:9">
      <c r="B71" s="105">
        <v>64</v>
      </c>
      <c r="C71" s="107">
        <v>-8026302.9799268246</v>
      </c>
      <c r="D71" s="107">
        <v>-17406685.888768986</v>
      </c>
      <c r="E71" s="107">
        <v>-20058568.78927435</v>
      </c>
      <c r="F71" s="107">
        <v>-13774672.07386817</v>
      </c>
      <c r="G71" s="107">
        <v>-21466606.128350854</v>
      </c>
      <c r="H71" s="107">
        <v>-21189249.068139777</v>
      </c>
      <c r="I71" s="107">
        <v>-18035421.808603659</v>
      </c>
    </row>
    <row r="72" spans="2:9">
      <c r="B72" s="105">
        <v>65</v>
      </c>
      <c r="C72" s="107">
        <v>-9520277.1167943031</v>
      </c>
      <c r="D72" s="107">
        <v>-7759325.5625983924</v>
      </c>
      <c r="E72" s="107">
        <v>-28274707.620508105</v>
      </c>
      <c r="F72" s="107">
        <v>-24234893.305065349</v>
      </c>
      <c r="G72" s="107">
        <v>-21357757.734477028</v>
      </c>
      <c r="H72" s="107">
        <v>-25786678.13942644</v>
      </c>
      <c r="I72" s="107">
        <v>-26017886.001511157</v>
      </c>
    </row>
    <row r="73" spans="2:9">
      <c r="B73" s="105">
        <v>66</v>
      </c>
      <c r="C73" s="107">
        <v>-6037140.5169342756</v>
      </c>
      <c r="D73" s="107">
        <v>-8934761.9036067724</v>
      </c>
      <c r="E73" s="107">
        <v>-8319241.0323785096</v>
      </c>
      <c r="F73" s="107">
        <v>-3759169.2333191782</v>
      </c>
      <c r="G73" s="107">
        <v>-17398054.659988821</v>
      </c>
      <c r="H73" s="107">
        <v>-16576337.900220528</v>
      </c>
      <c r="I73" s="107">
        <v>-21950806.382040784</v>
      </c>
    </row>
    <row r="74" spans="2:9">
      <c r="B74" s="105">
        <v>67</v>
      </c>
      <c r="C74" s="107">
        <v>-11695455.976322964</v>
      </c>
      <c r="D74" s="107">
        <v>-4368259.2580713332</v>
      </c>
      <c r="E74" s="107">
        <v>-18143726.858979568</v>
      </c>
      <c r="F74" s="107">
        <v>-14229863.592105985</v>
      </c>
      <c r="G74" s="107">
        <v>-11186770.124746889</v>
      </c>
      <c r="H74" s="107">
        <v>-17506330.086408928</v>
      </c>
      <c r="I74" s="107">
        <v>-16676311.140498623</v>
      </c>
    </row>
    <row r="75" spans="2:9">
      <c r="B75" s="105">
        <v>68</v>
      </c>
      <c r="C75" s="107">
        <v>-11037575.330786943</v>
      </c>
      <c r="D75" s="107">
        <v>2927217.3686744422</v>
      </c>
      <c r="E75" s="107">
        <v>-11347599.281826109</v>
      </c>
      <c r="F75" s="107">
        <v>-13069595.450333342</v>
      </c>
      <c r="G75" s="107">
        <v>-14007816.192787096</v>
      </c>
      <c r="H75" s="107">
        <v>-17879496.91850239</v>
      </c>
      <c r="I75" s="107">
        <v>-24542384.818389177</v>
      </c>
    </row>
    <row r="76" spans="2:9">
      <c r="B76" s="105">
        <v>69</v>
      </c>
      <c r="C76" s="107">
        <v>-8936140.7477753758</v>
      </c>
      <c r="D76" s="107">
        <v>-15852261.877783328</v>
      </c>
      <c r="E76" s="107">
        <v>-11231367.111109644</v>
      </c>
      <c r="F76" s="107">
        <v>-26880411.536074921</v>
      </c>
      <c r="G76" s="107">
        <v>-20368543.247075766</v>
      </c>
      <c r="H76" s="107">
        <v>-16744189.645085514</v>
      </c>
      <c r="I76" s="107">
        <v>-29013094.675511897</v>
      </c>
    </row>
    <row r="77" spans="2:9">
      <c r="B77" s="105">
        <v>70</v>
      </c>
      <c r="C77" s="107">
        <v>-8304930.9740146995</v>
      </c>
      <c r="D77" s="107">
        <v>-10880900.228891522</v>
      </c>
      <c r="E77" s="107">
        <v>-10085724.374708235</v>
      </c>
      <c r="F77" s="107">
        <v>-14792775.80764626</v>
      </c>
      <c r="G77" s="107">
        <v>-11849152.967726558</v>
      </c>
      <c r="H77" s="107">
        <v>-21119611.034516126</v>
      </c>
      <c r="I77" s="107">
        <v>-23605325.242158577</v>
      </c>
    </row>
    <row r="78" spans="2:9">
      <c r="B78" s="105">
        <v>71</v>
      </c>
      <c r="C78" s="107">
        <v>-5355568.8306747228</v>
      </c>
      <c r="D78" s="107">
        <v>-11881668.371470958</v>
      </c>
      <c r="E78" s="107">
        <v>-3182224.9402413815</v>
      </c>
      <c r="F78" s="107">
        <v>-11188562.078577593</v>
      </c>
      <c r="G78" s="107">
        <v>-15719513.983979315</v>
      </c>
      <c r="H78" s="107">
        <v>-25775224.929673627</v>
      </c>
      <c r="I78" s="107">
        <v>-17117878.400032058</v>
      </c>
    </row>
    <row r="79" spans="2:9">
      <c r="B79" s="105">
        <v>72</v>
      </c>
      <c r="C79" s="107">
        <v>-9300671.1529455781</v>
      </c>
      <c r="D79" s="107">
        <v>-8133330.7497577518</v>
      </c>
      <c r="E79" s="107">
        <v>-11776450.241364777</v>
      </c>
      <c r="F79" s="107">
        <v>-14859918.298506573</v>
      </c>
      <c r="G79" s="107">
        <v>-17108372.514930636</v>
      </c>
      <c r="H79" s="107">
        <v>-16709450.746106476</v>
      </c>
      <c r="I79" s="107">
        <v>-29451744.289195865</v>
      </c>
    </row>
    <row r="80" spans="2:9">
      <c r="B80" s="105">
        <v>73</v>
      </c>
      <c r="C80" s="107">
        <v>-15245087.896761671</v>
      </c>
      <c r="D80" s="107">
        <v>-17515799.907476693</v>
      </c>
      <c r="E80" s="107">
        <v>-2633294.6763930768</v>
      </c>
      <c r="F80" s="107">
        <v>-13369755.081156388</v>
      </c>
      <c r="G80" s="107">
        <v>-15554414.891559675</v>
      </c>
      <c r="H80" s="107">
        <v>-12077438.639662981</v>
      </c>
      <c r="I80" s="107">
        <v>-20023918.231396183</v>
      </c>
    </row>
    <row r="81" spans="2:9">
      <c r="B81" s="105">
        <v>74</v>
      </c>
      <c r="C81" s="107">
        <v>-11025350.359831497</v>
      </c>
      <c r="D81" s="107">
        <v>-18613155.251839027</v>
      </c>
      <c r="E81" s="107">
        <v>-12037402.015544966</v>
      </c>
      <c r="F81" s="107">
        <v>-18465957.684335589</v>
      </c>
      <c r="G81" s="107">
        <v>-17824414.410713807</v>
      </c>
      <c r="H81" s="107">
        <v>-20990688.019338027</v>
      </c>
      <c r="I81" s="107">
        <v>-21737486.144451141</v>
      </c>
    </row>
    <row r="82" spans="2:9">
      <c r="B82" s="105">
        <v>75</v>
      </c>
      <c r="C82" s="107">
        <v>-19265371.869071692</v>
      </c>
      <c r="D82" s="107">
        <v>-12225803.106957287</v>
      </c>
      <c r="E82" s="107">
        <v>-17471852.134166121</v>
      </c>
      <c r="F82" s="107">
        <v>-12660780.83028543</v>
      </c>
      <c r="G82" s="107">
        <v>-23926310.089392886</v>
      </c>
      <c r="H82" s="107">
        <v>-20828723.407812461</v>
      </c>
      <c r="I82" s="107">
        <v>-7223518.9141565412</v>
      </c>
    </row>
    <row r="83" spans="2:9">
      <c r="B83" s="105">
        <v>76</v>
      </c>
      <c r="C83" s="107">
        <v>-12132233.595720604</v>
      </c>
      <c r="D83" s="107">
        <v>-4513749.3274584562</v>
      </c>
      <c r="E83" s="107">
        <v>-13411407.460416809</v>
      </c>
      <c r="F83" s="107">
        <v>-18703684.432981804</v>
      </c>
      <c r="G83" s="107">
        <v>-16904243.859114587</v>
      </c>
      <c r="H83" s="107">
        <v>-16997103.099814132</v>
      </c>
      <c r="I83" s="107">
        <v>-27598987.471140087</v>
      </c>
    </row>
    <row r="84" spans="2:9">
      <c r="B84" s="105">
        <v>77</v>
      </c>
      <c r="C84" s="107">
        <v>-8832569.2372882515</v>
      </c>
      <c r="D84" s="107">
        <v>-15590586.586541012</v>
      </c>
      <c r="E84" s="107">
        <v>-3770337.7223086953</v>
      </c>
      <c r="F84" s="107">
        <v>-13821354.319279298</v>
      </c>
      <c r="G84" s="107">
        <v>-22755215.842904359</v>
      </c>
      <c r="H84" s="107">
        <v>-24552878.178390548</v>
      </c>
      <c r="I84" s="107">
        <v>-22340748.787381247</v>
      </c>
    </row>
    <row r="85" spans="2:9">
      <c r="B85" s="105">
        <v>78</v>
      </c>
      <c r="C85" s="107">
        <v>-6299717.4674713612</v>
      </c>
      <c r="D85" s="107">
        <v>-8933817.630728215</v>
      </c>
      <c r="E85" s="107">
        <v>-13773439.547895879</v>
      </c>
      <c r="F85" s="107">
        <v>-11505061.504403576</v>
      </c>
      <c r="G85" s="107">
        <v>-13934343.474298388</v>
      </c>
      <c r="H85" s="107">
        <v>-20672333.583692819</v>
      </c>
      <c r="I85" s="107">
        <v>-16582098.088516265</v>
      </c>
    </row>
    <row r="86" spans="2:9">
      <c r="B86" s="105">
        <v>79</v>
      </c>
      <c r="C86" s="107">
        <v>-12452570.079008967</v>
      </c>
      <c r="D86" s="107">
        <v>-7040215.9531608671</v>
      </c>
      <c r="E86" s="107">
        <v>-18190941.194965988</v>
      </c>
      <c r="F86" s="107">
        <v>-15179167.791830689</v>
      </c>
      <c r="G86" s="107">
        <v>-13501377.115106672</v>
      </c>
      <c r="H86" s="107">
        <v>-24600782.317767248</v>
      </c>
      <c r="I86" s="107">
        <v>-25626705.689247176</v>
      </c>
    </row>
    <row r="87" spans="2:9">
      <c r="B87" s="105">
        <v>80</v>
      </c>
      <c r="C87" s="107">
        <v>-8960364.1411918402</v>
      </c>
      <c r="D87" s="107">
        <v>-12280775.388126522</v>
      </c>
      <c r="E87" s="107">
        <v>-21009092.140518874</v>
      </c>
      <c r="F87" s="107">
        <v>-15902516.972429603</v>
      </c>
      <c r="G87" s="107">
        <v>-16445370.597053126</v>
      </c>
      <c r="H87" s="107">
        <v>-19919703.430713654</v>
      </c>
      <c r="I87" s="107">
        <v>-20156807.636581853</v>
      </c>
    </row>
    <row r="88" spans="2:9">
      <c r="B88" s="105">
        <v>81</v>
      </c>
      <c r="C88" s="107">
        <v>-11446399.649332672</v>
      </c>
      <c r="D88" s="107">
        <v>-9140139.1763079464</v>
      </c>
      <c r="E88" s="107">
        <v>-11829086.715991035</v>
      </c>
      <c r="F88" s="107">
        <v>-20395000.60677135</v>
      </c>
      <c r="G88" s="107">
        <v>-16438894.930151522</v>
      </c>
      <c r="H88" s="107">
        <v>-21308721.473336875</v>
      </c>
      <c r="I88" s="107">
        <v>-24233560.121200249</v>
      </c>
    </row>
    <row r="89" spans="2:9">
      <c r="B89" s="105">
        <v>82</v>
      </c>
      <c r="C89" s="107">
        <v>-6410803.1450708359</v>
      </c>
      <c r="D89" s="107">
        <v>-9880617.0872766525</v>
      </c>
      <c r="E89" s="107">
        <v>-19244750.45877628</v>
      </c>
      <c r="F89" s="107">
        <v>-14947239.020330161</v>
      </c>
      <c r="G89" s="107">
        <v>-11503397.16343829</v>
      </c>
      <c r="H89" s="107">
        <v>-26292722.599540204</v>
      </c>
      <c r="I89" s="107">
        <v>-18603316.338799864</v>
      </c>
    </row>
    <row r="90" spans="2:9">
      <c r="B90" s="105">
        <v>83</v>
      </c>
      <c r="C90" s="107">
        <v>-7532031.0259962827</v>
      </c>
      <c r="D90" s="107">
        <v>-9169016.1142473519</v>
      </c>
      <c r="E90" s="107">
        <v>-8363160.541019246</v>
      </c>
      <c r="F90" s="107">
        <v>-12106098.753120631</v>
      </c>
      <c r="G90" s="107">
        <v>-22050753.706355006</v>
      </c>
      <c r="H90" s="107">
        <v>-10766884.264977366</v>
      </c>
      <c r="I90" s="107">
        <v>-20600352.115967274</v>
      </c>
    </row>
    <row r="91" spans="2:9">
      <c r="B91" s="105">
        <v>84</v>
      </c>
      <c r="C91" s="107">
        <v>-2958908.6501610279</v>
      </c>
      <c r="D91" s="107">
        <v>-10436272.759696633</v>
      </c>
      <c r="E91" s="107">
        <v>-12878926.225094512</v>
      </c>
      <c r="F91" s="107">
        <v>-20303154.720534414</v>
      </c>
      <c r="G91" s="107">
        <v>-23677596.379221097</v>
      </c>
      <c r="H91" s="107">
        <v>-8255390.6899116486</v>
      </c>
      <c r="I91" s="107">
        <v>-20478223.556585073</v>
      </c>
    </row>
    <row r="92" spans="2:9">
      <c r="B92" s="105">
        <v>85</v>
      </c>
      <c r="C92" s="107">
        <v>-11947772.13980709</v>
      </c>
      <c r="D92" s="107">
        <v>-10347557.429437339</v>
      </c>
      <c r="E92" s="107">
        <v>-7625462.0496227592</v>
      </c>
      <c r="F92" s="107">
        <v>-16613646.71244134</v>
      </c>
      <c r="G92" s="107">
        <v>-14253871.383768037</v>
      </c>
      <c r="H92" s="107">
        <v>-22703213.717130288</v>
      </c>
      <c r="I92" s="107">
        <v>-26714666.337543398</v>
      </c>
    </row>
    <row r="93" spans="2:9">
      <c r="B93" s="105">
        <v>86</v>
      </c>
      <c r="C93" s="107">
        <v>-11406946.95379357</v>
      </c>
      <c r="D93" s="107">
        <v>-14799843.762253985</v>
      </c>
      <c r="E93" s="107">
        <v>-14717236.029280111</v>
      </c>
      <c r="F93" s="107">
        <v>-13469728.250142753</v>
      </c>
      <c r="G93" s="107">
        <v>-20617845.885308251</v>
      </c>
      <c r="H93" s="107">
        <v>-18412832.093746603</v>
      </c>
      <c r="I93" s="107">
        <v>-23753612.886842459</v>
      </c>
    </row>
    <row r="94" spans="2:9">
      <c r="B94" s="105">
        <v>87</v>
      </c>
      <c r="C94" s="107">
        <v>-16313722.386814982</v>
      </c>
      <c r="D94" s="107">
        <v>-12961778.2274068</v>
      </c>
      <c r="E94" s="107">
        <v>-13133322.241054758</v>
      </c>
      <c r="F94" s="107">
        <v>-16970546.369393155</v>
      </c>
      <c r="G94" s="107">
        <v>-15787828.192789301</v>
      </c>
      <c r="H94" s="107">
        <v>-27172573.027874678</v>
      </c>
      <c r="I94" s="107">
        <v>-16220444.347873479</v>
      </c>
    </row>
    <row r="95" spans="2:9">
      <c r="B95" s="105">
        <v>88</v>
      </c>
      <c r="C95" s="107">
        <v>-6184700.6696074903</v>
      </c>
      <c r="D95" s="107">
        <v>-9609293.4423853904</v>
      </c>
      <c r="E95" s="107">
        <v>-15635470.71606493</v>
      </c>
      <c r="F95" s="107">
        <v>-19907097.760592908</v>
      </c>
      <c r="G95" s="107">
        <v>-15697948.313209608</v>
      </c>
      <c r="H95" s="107">
        <v>-20092771.425186306</v>
      </c>
      <c r="I95" s="107">
        <v>-24903002.119608417</v>
      </c>
    </row>
    <row r="96" spans="2:9">
      <c r="B96" s="105">
        <v>89</v>
      </c>
      <c r="C96" s="107">
        <v>-9430162.3238572776</v>
      </c>
      <c r="D96" s="107">
        <v>-4784327.8711767048</v>
      </c>
      <c r="E96" s="107">
        <v>-14536010.147499248</v>
      </c>
      <c r="F96" s="107">
        <v>-452654.86500647664</v>
      </c>
      <c r="G96" s="107">
        <v>-13439572.95067732</v>
      </c>
      <c r="H96" s="107">
        <v>-22826896.951675773</v>
      </c>
      <c r="I96" s="107">
        <v>-24601922.239920676</v>
      </c>
    </row>
    <row r="97" spans="2:9">
      <c r="B97" s="105">
        <v>90</v>
      </c>
      <c r="C97" s="107">
        <v>-3642751.0392871499</v>
      </c>
      <c r="D97" s="107">
        <v>-16847914.23788029</v>
      </c>
      <c r="E97" s="107">
        <v>-6194682.7882121503</v>
      </c>
      <c r="F97" s="107">
        <v>-14634305.296519622</v>
      </c>
      <c r="G97" s="107">
        <v>-24332813.685417309</v>
      </c>
      <c r="H97" s="107">
        <v>-24176877.982118309</v>
      </c>
      <c r="I97" s="107">
        <v>-25257561.871949688</v>
      </c>
    </row>
    <row r="98" spans="2:9">
      <c r="B98" s="105">
        <v>91</v>
      </c>
      <c r="C98" s="107">
        <v>-8404957.5354420841</v>
      </c>
      <c r="D98" s="107">
        <v>-6129304.1187171489</v>
      </c>
      <c r="E98" s="107">
        <v>-15113233.222460523</v>
      </c>
      <c r="F98" s="107">
        <v>-23239533.815111816</v>
      </c>
      <c r="G98" s="107">
        <v>-15474609.873872489</v>
      </c>
      <c r="H98" s="107">
        <v>-21432113.618710443</v>
      </c>
      <c r="I98" s="107">
        <v>-19743413.544575587</v>
      </c>
    </row>
    <row r="99" spans="2:9">
      <c r="B99" s="105">
        <v>92</v>
      </c>
      <c r="C99" s="107">
        <v>-8006877.2375527322</v>
      </c>
      <c r="D99" s="107">
        <v>-12574215.934360325</v>
      </c>
      <c r="E99" s="107">
        <v>-10760173.072820485</v>
      </c>
      <c r="F99" s="107">
        <v>-12408461.829758137</v>
      </c>
      <c r="G99" s="107">
        <v>-8387847.7783163488</v>
      </c>
      <c r="H99" s="107">
        <v>-28324097.056023508</v>
      </c>
      <c r="I99" s="107">
        <v>-23571556.032347396</v>
      </c>
    </row>
    <row r="100" spans="2:9">
      <c r="B100" s="105">
        <v>93</v>
      </c>
      <c r="C100" s="107">
        <v>-934245.0793980509</v>
      </c>
      <c r="D100" s="107">
        <v>-11970877.179108262</v>
      </c>
      <c r="E100" s="107">
        <v>-3909253.4171389043</v>
      </c>
      <c r="F100" s="107">
        <v>-12625342.860751808</v>
      </c>
      <c r="G100" s="107">
        <v>-16714841.105438098</v>
      </c>
      <c r="H100" s="107">
        <v>-20535559.675784916</v>
      </c>
      <c r="I100" s="107">
        <v>-20963422.558685273</v>
      </c>
    </row>
    <row r="101" spans="2:9">
      <c r="B101" s="105">
        <v>94</v>
      </c>
      <c r="C101" s="107">
        <v>-11673326.222538471</v>
      </c>
      <c r="D101" s="107">
        <v>-12623163.402260825</v>
      </c>
      <c r="E101" s="107">
        <v>-13858109.614944041</v>
      </c>
      <c r="F101" s="107">
        <v>-22800942.295898885</v>
      </c>
      <c r="G101" s="107">
        <v>-18189764.672590256</v>
      </c>
      <c r="H101" s="107">
        <v>-18615625.59342508</v>
      </c>
      <c r="I101" s="107">
        <v>-31821080.268628404</v>
      </c>
    </row>
    <row r="102" spans="2:9">
      <c r="B102" s="105">
        <v>95</v>
      </c>
      <c r="C102" s="107">
        <v>-7871192.9210548252</v>
      </c>
      <c r="D102" s="107">
        <v>-11425543.612034857</v>
      </c>
      <c r="E102" s="107">
        <v>-19853109.081643909</v>
      </c>
      <c r="F102" s="107">
        <v>-6726256.2522958517</v>
      </c>
      <c r="G102" s="107">
        <v>-10168474.319818571</v>
      </c>
      <c r="H102" s="107">
        <v>-15698351.765234709</v>
      </c>
      <c r="I102" s="107">
        <v>-31394079.62615113</v>
      </c>
    </row>
    <row r="103" spans="2:9">
      <c r="B103" s="105">
        <v>96</v>
      </c>
      <c r="C103" s="107">
        <v>-6774444.9548272192</v>
      </c>
      <c r="D103" s="107">
        <v>-11821344.398330137</v>
      </c>
      <c r="E103" s="107">
        <v>-13176012.088045731</v>
      </c>
      <c r="F103" s="107">
        <v>-14651297.536806583</v>
      </c>
      <c r="G103" s="107">
        <v>-23850820.592299432</v>
      </c>
      <c r="H103" s="107">
        <v>-20550692.254184559</v>
      </c>
      <c r="I103" s="107">
        <v>-18067011.329697013</v>
      </c>
    </row>
    <row r="104" spans="2:9">
      <c r="B104" s="105">
        <v>97</v>
      </c>
      <c r="C104" s="107">
        <v>-12396255.273475185</v>
      </c>
      <c r="D104" s="107">
        <v>-16186359.939882576</v>
      </c>
      <c r="E104" s="107">
        <v>-23604201.127045646</v>
      </c>
      <c r="F104" s="107">
        <v>-14655915.808326095</v>
      </c>
      <c r="G104" s="107">
        <v>-16500087.865395963</v>
      </c>
      <c r="H104" s="107">
        <v>-17929974.2689863</v>
      </c>
      <c r="I104" s="107">
        <v>-24389260.599162862</v>
      </c>
    </row>
    <row r="105" spans="2:9">
      <c r="B105" s="105">
        <v>98</v>
      </c>
      <c r="C105" s="107">
        <v>-15770436.241538376</v>
      </c>
      <c r="D105" s="107">
        <v>-12684023.747174084</v>
      </c>
      <c r="E105" s="107">
        <v>-22064883.48035714</v>
      </c>
      <c r="F105" s="107">
        <v>-23192419.159264401</v>
      </c>
      <c r="G105" s="107">
        <v>-15671544.579227313</v>
      </c>
      <c r="H105" s="107">
        <v>-16357480.662194252</v>
      </c>
      <c r="I105" s="107">
        <v>-21241465.295688361</v>
      </c>
    </row>
    <row r="106" spans="2:9">
      <c r="B106" s="105">
        <v>99</v>
      </c>
      <c r="C106" s="107">
        <v>-6272423.9327661395</v>
      </c>
      <c r="D106" s="107">
        <v>-16643447.883025423</v>
      </c>
      <c r="E106" s="107">
        <v>-8701190.5436304212</v>
      </c>
      <c r="F106" s="107">
        <v>-11674924.794218883</v>
      </c>
      <c r="G106" s="107">
        <v>-20986681.048586875</v>
      </c>
      <c r="H106" s="107">
        <v>-10350353.813703224</v>
      </c>
      <c r="I106" s="107">
        <v>-11756200.576279253</v>
      </c>
    </row>
    <row r="107" spans="2:9">
      <c r="B107" s="105">
        <v>100</v>
      </c>
      <c r="C107" s="107">
        <v>-11617363.975437418</v>
      </c>
      <c r="D107" s="107">
        <v>-26761940.184651613</v>
      </c>
      <c r="E107" s="107">
        <v>-15794847.54026936</v>
      </c>
      <c r="F107" s="107">
        <v>-18358022.368154839</v>
      </c>
      <c r="G107" s="107">
        <v>-12167713.549026772</v>
      </c>
      <c r="H107" s="107">
        <v>-24693493.745554462</v>
      </c>
      <c r="I107" s="107">
        <v>-28601965.094160259</v>
      </c>
    </row>
    <row r="108" spans="2:9">
      <c r="B108" s="105">
        <v>101</v>
      </c>
      <c r="C108" s="107">
        <v>-16681319.001868844</v>
      </c>
      <c r="D108" s="107">
        <v>-12098395.593304798</v>
      </c>
      <c r="E108" s="107">
        <v>-13242478.227252364</v>
      </c>
      <c r="F108" s="107">
        <v>-23962213.505150348</v>
      </c>
      <c r="G108" s="107">
        <v>-16002851.883996516</v>
      </c>
      <c r="H108" s="107">
        <v>-15197548.684982032</v>
      </c>
      <c r="I108" s="107">
        <v>-25897425.974905759</v>
      </c>
    </row>
    <row r="109" spans="2:9">
      <c r="B109" s="105">
        <v>102</v>
      </c>
      <c r="C109" s="107">
        <v>-6936383.8786409497</v>
      </c>
      <c r="D109" s="107">
        <v>-14491887.583378062</v>
      </c>
      <c r="E109" s="107">
        <v>-19958732.54551436</v>
      </c>
      <c r="F109" s="107">
        <v>-17391810.232613519</v>
      </c>
      <c r="G109" s="107">
        <v>-21363620.230870157</v>
      </c>
      <c r="H109" s="107">
        <v>-12225882.001296774</v>
      </c>
      <c r="I109" s="107">
        <v>-25073756.159968421</v>
      </c>
    </row>
    <row r="110" spans="2:9">
      <c r="B110" s="105">
        <v>103</v>
      </c>
      <c r="C110" s="107">
        <v>-6276587.9170001596</v>
      </c>
      <c r="D110" s="107">
        <v>-17712844.731367886</v>
      </c>
      <c r="E110" s="107">
        <v>-12985702.687496677</v>
      </c>
      <c r="F110" s="107">
        <v>-20945788.469153911</v>
      </c>
      <c r="G110" s="107">
        <v>-15830717.364548892</v>
      </c>
      <c r="H110" s="107">
        <v>-14437257.342074156</v>
      </c>
      <c r="I110" s="107">
        <v>-21535328.025128588</v>
      </c>
    </row>
    <row r="111" spans="2:9">
      <c r="B111" s="105">
        <v>104</v>
      </c>
      <c r="C111" s="107">
        <v>-9761076.7169363797</v>
      </c>
      <c r="D111" s="107">
        <v>-1351767.5331644267</v>
      </c>
      <c r="E111" s="107">
        <v>-2319853.0843614787</v>
      </c>
      <c r="F111" s="107">
        <v>-15096584.107333571</v>
      </c>
      <c r="G111" s="107">
        <v>-17655545.661834553</v>
      </c>
      <c r="H111" s="107">
        <v>-15866225.655091807</v>
      </c>
      <c r="I111" s="107">
        <v>-15492622.494853601</v>
      </c>
    </row>
    <row r="112" spans="2:9">
      <c r="B112" s="105">
        <v>105</v>
      </c>
      <c r="C112" s="107">
        <v>-14166438.030462608</v>
      </c>
      <c r="D112" s="107">
        <v>-9956529.8093790412</v>
      </c>
      <c r="E112" s="107">
        <v>-10744976.88056691</v>
      </c>
      <c r="F112" s="107">
        <v>-14937046.33352308</v>
      </c>
      <c r="G112" s="107">
        <v>-18568801.706396207</v>
      </c>
      <c r="H112" s="107">
        <v>-19208677.801499292</v>
      </c>
      <c r="I112" s="107">
        <v>-22091417.014698938</v>
      </c>
    </row>
    <row r="113" spans="2:9">
      <c r="B113" s="105">
        <v>106</v>
      </c>
      <c r="C113" s="107">
        <v>-14089414.820620984</v>
      </c>
      <c r="D113" s="107">
        <v>-17844616.006472632</v>
      </c>
      <c r="E113" s="107">
        <v>-14551194.725310713</v>
      </c>
      <c r="F113" s="107">
        <v>-714884.54744014144</v>
      </c>
      <c r="G113" s="107">
        <v>-16206772.893321246</v>
      </c>
      <c r="H113" s="107">
        <v>-21104748.170441374</v>
      </c>
      <c r="I113" s="107">
        <v>-26606691.610236213</v>
      </c>
    </row>
    <row r="114" spans="2:9">
      <c r="B114" s="105">
        <v>107</v>
      </c>
      <c r="C114" s="107">
        <v>-7724026.8537661433</v>
      </c>
      <c r="D114" s="107">
        <v>-11926463.675674736</v>
      </c>
      <c r="E114" s="107">
        <v>-7423226.6473452747</v>
      </c>
      <c r="F114" s="107">
        <v>-10106548.45402202</v>
      </c>
      <c r="G114" s="107">
        <v>-11914086.153796777</v>
      </c>
      <c r="H114" s="107">
        <v>-22744533.905409381</v>
      </c>
      <c r="I114" s="107">
        <v>-18465125.324898988</v>
      </c>
    </row>
    <row r="115" spans="2:9">
      <c r="B115" s="105">
        <v>108</v>
      </c>
      <c r="C115" s="107">
        <v>-1763121.3858934939</v>
      </c>
      <c r="D115" s="107">
        <v>-3676580.5252059251</v>
      </c>
      <c r="E115" s="107">
        <v>-21127921.313690916</v>
      </c>
      <c r="F115" s="107">
        <v>-16175029.743899256</v>
      </c>
      <c r="G115" s="107">
        <v>-14978415.728804067</v>
      </c>
      <c r="H115" s="107">
        <v>-13925692.326646283</v>
      </c>
      <c r="I115" s="107">
        <v>-26366731.930163413</v>
      </c>
    </row>
    <row r="116" spans="2:9">
      <c r="B116" s="105">
        <v>109</v>
      </c>
      <c r="C116" s="107">
        <v>-6254917.9023226351</v>
      </c>
      <c r="D116" s="107">
        <v>-20652462.401742086</v>
      </c>
      <c r="E116" s="107">
        <v>-8569127.0977590829</v>
      </c>
      <c r="F116" s="107">
        <v>-11430586.421893924</v>
      </c>
      <c r="G116" s="107">
        <v>-18017194.66514872</v>
      </c>
      <c r="H116" s="107">
        <v>-24250258.673572153</v>
      </c>
      <c r="I116" s="107">
        <v>-24612073.288659424</v>
      </c>
    </row>
    <row r="117" spans="2:9">
      <c r="B117" s="105">
        <v>110</v>
      </c>
      <c r="C117" s="107">
        <v>-1357588.0727598518</v>
      </c>
      <c r="D117" s="107">
        <v>-10774558.300904319</v>
      </c>
      <c r="E117" s="107">
        <v>-9398939.0166389495</v>
      </c>
      <c r="F117" s="107">
        <v>-13285060.409987167</v>
      </c>
      <c r="G117" s="107">
        <v>-12610432.749496892</v>
      </c>
      <c r="H117" s="107">
        <v>-17738358.321002379</v>
      </c>
      <c r="I117" s="107">
        <v>-22975370.067593008</v>
      </c>
    </row>
    <row r="118" spans="2:9">
      <c r="B118" s="105">
        <v>111</v>
      </c>
      <c r="C118" s="107">
        <v>-2785934.6398734003</v>
      </c>
      <c r="D118" s="107">
        <v>-9389417.0629215688</v>
      </c>
      <c r="E118" s="107">
        <v>-17794199.139541745</v>
      </c>
      <c r="F118" s="107">
        <v>-20406564.410912186</v>
      </c>
      <c r="G118" s="107">
        <v>-16963160.739074558</v>
      </c>
      <c r="H118" s="107">
        <v>-23338967.175535187</v>
      </c>
      <c r="I118" s="107">
        <v>-13281488.868926242</v>
      </c>
    </row>
    <row r="119" spans="2:9">
      <c r="B119" s="105">
        <v>112</v>
      </c>
      <c r="C119" s="107">
        <v>-12302325.943376854</v>
      </c>
      <c r="D119" s="107">
        <v>-14615030.007754788</v>
      </c>
      <c r="E119" s="107">
        <v>-11639672.21582067</v>
      </c>
      <c r="F119" s="107">
        <v>-8436690.4641321003</v>
      </c>
      <c r="G119" s="107">
        <v>-12518463.167636231</v>
      </c>
      <c r="H119" s="107">
        <v>-22195553.772489756</v>
      </c>
      <c r="I119" s="107">
        <v>-22068449.941232115</v>
      </c>
    </row>
    <row r="120" spans="2:9">
      <c r="B120" s="105">
        <v>113</v>
      </c>
      <c r="C120" s="107">
        <v>-10431342.203837842</v>
      </c>
      <c r="D120" s="107">
        <v>-14530260.665641636</v>
      </c>
      <c r="E120" s="107">
        <v>-13107689.049409375</v>
      </c>
      <c r="F120" s="107">
        <v>-16639297.129884601</v>
      </c>
      <c r="G120" s="107">
        <v>-21820447.122813851</v>
      </c>
      <c r="H120" s="107">
        <v>-20998942.10754697</v>
      </c>
      <c r="I120" s="107">
        <v>-22373913.684341833</v>
      </c>
    </row>
    <row r="121" spans="2:9">
      <c r="B121" s="105">
        <v>114</v>
      </c>
      <c r="C121" s="107">
        <v>-10465842.045682594</v>
      </c>
      <c r="D121" s="107">
        <v>-10879396.737591505</v>
      </c>
      <c r="E121" s="107">
        <v>-6519951.0797640979</v>
      </c>
      <c r="F121" s="107">
        <v>-14023833.024323329</v>
      </c>
      <c r="G121" s="107">
        <v>-8230054.338120997</v>
      </c>
      <c r="H121" s="107">
        <v>-25488192.313046217</v>
      </c>
      <c r="I121" s="107">
        <v>-23076800.60521841</v>
      </c>
    </row>
    <row r="122" spans="2:9">
      <c r="B122" s="105">
        <v>115</v>
      </c>
      <c r="C122" s="107">
        <v>-15707366.655708566</v>
      </c>
      <c r="D122" s="107">
        <v>-7437291.5371398479</v>
      </c>
      <c r="E122" s="107">
        <v>-8576214.0991832614</v>
      </c>
      <c r="F122" s="107">
        <v>-21255289.58802022</v>
      </c>
      <c r="G122" s="107">
        <v>-19348759.71251902</v>
      </c>
      <c r="H122" s="107">
        <v>-13241137.033242762</v>
      </c>
      <c r="I122" s="107">
        <v>-20725027.070576772</v>
      </c>
    </row>
    <row r="123" spans="2:9">
      <c r="B123" s="105">
        <v>116</v>
      </c>
      <c r="C123" s="107">
        <v>-10699471.520879924</v>
      </c>
      <c r="D123" s="107">
        <v>-13617115.140721202</v>
      </c>
      <c r="E123" s="107">
        <v>-22565112.441008896</v>
      </c>
      <c r="F123" s="107">
        <v>-25603725.101897314</v>
      </c>
      <c r="G123" s="107">
        <v>-12656819.651034936</v>
      </c>
      <c r="H123" s="107">
        <v>-18640088.354706198</v>
      </c>
      <c r="I123" s="107">
        <v>-23390641.691488966</v>
      </c>
    </row>
    <row r="124" spans="2:9">
      <c r="B124" s="105">
        <v>117</v>
      </c>
      <c r="C124" s="107">
        <v>-8794346.963135168</v>
      </c>
      <c r="D124" s="107">
        <v>-12702298.024328366</v>
      </c>
      <c r="E124" s="107">
        <v>-13312510.917625889</v>
      </c>
      <c r="F124" s="107">
        <v>-13904067.039313838</v>
      </c>
      <c r="G124" s="107">
        <v>-19678592.283188179</v>
      </c>
      <c r="H124" s="107">
        <v>-20966333.653830722</v>
      </c>
      <c r="I124" s="107">
        <v>-23288476.303799257</v>
      </c>
    </row>
    <row r="125" spans="2:9">
      <c r="B125" s="105">
        <v>118</v>
      </c>
      <c r="C125" s="107">
        <v>-11029817.805765644</v>
      </c>
      <c r="D125" s="107">
        <v>-8193130.554527998</v>
      </c>
      <c r="E125" s="107">
        <v>-15615159.346154526</v>
      </c>
      <c r="F125" s="107">
        <v>-15262250.999288306</v>
      </c>
      <c r="G125" s="107">
        <v>-23609598.520770192</v>
      </c>
      <c r="H125" s="107">
        <v>-23015072.153001025</v>
      </c>
      <c r="I125" s="107">
        <v>-23236357.113404408</v>
      </c>
    </row>
    <row r="126" spans="2:9">
      <c r="B126" s="105">
        <v>119</v>
      </c>
      <c r="C126" s="107">
        <v>-11089028.197080702</v>
      </c>
      <c r="D126" s="107">
        <v>-18046301.143111378</v>
      </c>
      <c r="E126" s="107">
        <v>-20814490.650364414</v>
      </c>
      <c r="F126" s="107">
        <v>-13566624.811574832</v>
      </c>
      <c r="G126" s="107">
        <v>-18880247.687428415</v>
      </c>
      <c r="H126" s="107">
        <v>-14097177.928473666</v>
      </c>
      <c r="I126" s="107">
        <v>-26966211.867501423</v>
      </c>
    </row>
    <row r="127" spans="2:9">
      <c r="B127" s="105">
        <v>120</v>
      </c>
      <c r="C127" s="107">
        <v>-2433890.9169017971</v>
      </c>
      <c r="D127" s="107">
        <v>-13119628.333952516</v>
      </c>
      <c r="E127" s="107">
        <v>-6377736.6814857125</v>
      </c>
      <c r="F127" s="107">
        <v>-15818991.418698326</v>
      </c>
      <c r="G127" s="107">
        <v>-18445527.948850885</v>
      </c>
      <c r="H127" s="107">
        <v>-19166979.252787501</v>
      </c>
      <c r="I127" s="107">
        <v>-17163413.332900599</v>
      </c>
    </row>
    <row r="128" spans="2:9">
      <c r="B128" s="105">
        <v>121</v>
      </c>
      <c r="C128" s="107">
        <v>-8060948.7128388286</v>
      </c>
      <c r="D128" s="107">
        <v>-22416561.035030439</v>
      </c>
      <c r="E128" s="107">
        <v>-5322713.8407068998</v>
      </c>
      <c r="F128" s="107">
        <v>-22047844.042963132</v>
      </c>
      <c r="G128" s="107">
        <v>-23132980.128771007</v>
      </c>
      <c r="H128" s="107">
        <v>-19556659.851428911</v>
      </c>
      <c r="I128" s="107">
        <v>-25101661.172640771</v>
      </c>
    </row>
    <row r="129" spans="2:9">
      <c r="B129" s="105">
        <v>122</v>
      </c>
      <c r="C129" s="107">
        <v>-9051959.0432230532</v>
      </c>
      <c r="D129" s="107">
        <v>-4361407.0194270015</v>
      </c>
      <c r="E129" s="107">
        <v>-18198460.458871961</v>
      </c>
      <c r="F129" s="107">
        <v>-23294329.223243028</v>
      </c>
      <c r="G129" s="107">
        <v>-17743105.70404838</v>
      </c>
      <c r="H129" s="107">
        <v>-17203493.089319676</v>
      </c>
      <c r="I129" s="107">
        <v>-16793884.549121544</v>
      </c>
    </row>
    <row r="130" spans="2:9">
      <c r="B130" s="105">
        <v>123</v>
      </c>
      <c r="C130" s="107">
        <v>-12448424.719408348</v>
      </c>
      <c r="D130" s="107">
        <v>-10153823.648268849</v>
      </c>
      <c r="E130" s="107">
        <v>-14788171.80563055</v>
      </c>
      <c r="F130" s="107">
        <v>-14368643.201175451</v>
      </c>
      <c r="G130" s="107">
        <v>-16474285.245664641</v>
      </c>
      <c r="H130" s="107">
        <v>-23689050.996343806</v>
      </c>
      <c r="I130" s="107">
        <v>-23229666.171422631</v>
      </c>
    </row>
    <row r="131" spans="2:9">
      <c r="B131" s="105">
        <v>124</v>
      </c>
      <c r="C131" s="107">
        <v>-8600800.6899933219</v>
      </c>
      <c r="D131" s="107">
        <v>-9713776.9368152469</v>
      </c>
      <c r="E131" s="107">
        <v>-13720241.153237909</v>
      </c>
      <c r="F131" s="107">
        <v>-10128462.108555466</v>
      </c>
      <c r="G131" s="107">
        <v>-11917910.478209347</v>
      </c>
      <c r="H131" s="107">
        <v>-26183676.762034297</v>
      </c>
      <c r="I131" s="107">
        <v>-16781556.63346909</v>
      </c>
    </row>
    <row r="132" spans="2:9">
      <c r="B132" s="105">
        <v>125</v>
      </c>
      <c r="C132" s="107">
        <v>-7958753.7974375188</v>
      </c>
      <c r="D132" s="107">
        <v>-11803543.835185885</v>
      </c>
      <c r="E132" s="107">
        <v>-12896420.860549912</v>
      </c>
      <c r="F132" s="107">
        <v>-9268722.301670447</v>
      </c>
      <c r="G132" s="107">
        <v>-19433060.444862306</v>
      </c>
      <c r="H132" s="107">
        <v>-14960633.919295728</v>
      </c>
      <c r="I132" s="107">
        <v>-23247527.417893127</v>
      </c>
    </row>
    <row r="133" spans="2:9">
      <c r="B133" s="105">
        <v>126</v>
      </c>
      <c r="C133" s="107">
        <v>-9960656.5707855225</v>
      </c>
      <c r="D133" s="107">
        <v>-20813559.247664183</v>
      </c>
      <c r="E133" s="107">
        <v>-15621379.863910139</v>
      </c>
      <c r="F133" s="107">
        <v>-14232801.597263336</v>
      </c>
      <c r="G133" s="107">
        <v>-23122339.161380976</v>
      </c>
      <c r="H133" s="107">
        <v>-16129450.548886329</v>
      </c>
      <c r="I133" s="107">
        <v>-16252110.002982527</v>
      </c>
    </row>
    <row r="134" spans="2:9">
      <c r="B134" s="105">
        <v>127</v>
      </c>
      <c r="C134" s="107">
        <v>-4612435.382025063</v>
      </c>
      <c r="D134" s="107">
        <v>-10703977.037523434</v>
      </c>
      <c r="E134" s="107">
        <v>-10731562.892805219</v>
      </c>
      <c r="F134" s="107">
        <v>-11962915.558570787</v>
      </c>
      <c r="G134" s="107">
        <v>-21739794.66011703</v>
      </c>
      <c r="H134" s="107">
        <v>-22943761.283731088</v>
      </c>
      <c r="I134" s="107">
        <v>-22960641.431215078</v>
      </c>
    </row>
    <row r="135" spans="2:9">
      <c r="B135" s="105">
        <v>128</v>
      </c>
      <c r="C135" s="107">
        <v>-9252367.3223900944</v>
      </c>
      <c r="D135" s="107">
        <v>-9809009.7813155651</v>
      </c>
      <c r="E135" s="107">
        <v>-11499597.893398941</v>
      </c>
      <c r="F135" s="107">
        <v>-16033407.500291049</v>
      </c>
      <c r="G135" s="107">
        <v>-15803287.776485175</v>
      </c>
      <c r="H135" s="107">
        <v>-27127393.802606896</v>
      </c>
      <c r="I135" s="107">
        <v>-20976476.386286438</v>
      </c>
    </row>
    <row r="136" spans="2:9">
      <c r="B136" s="105">
        <v>129</v>
      </c>
      <c r="C136" s="107">
        <v>-2604657.3406029642</v>
      </c>
      <c r="D136" s="107">
        <v>-1155399.8536495864</v>
      </c>
      <c r="E136" s="107">
        <v>-12219534.920174167</v>
      </c>
      <c r="F136" s="107">
        <v>-9618771.5535664707</v>
      </c>
      <c r="G136" s="107">
        <v>-16563274.206766769</v>
      </c>
      <c r="H136" s="107">
        <v>-19548177.638292775</v>
      </c>
      <c r="I136" s="107">
        <v>-25603000.705523133</v>
      </c>
    </row>
    <row r="137" spans="2:9">
      <c r="B137" s="105">
        <v>130</v>
      </c>
      <c r="C137" s="107">
        <v>-3467902.8646809012</v>
      </c>
      <c r="D137" s="107">
        <v>-10896343.98079893</v>
      </c>
      <c r="E137" s="107">
        <v>-10455677.476409003</v>
      </c>
      <c r="F137" s="107">
        <v>-13312844.288279355</v>
      </c>
      <c r="G137" s="107">
        <v>-15015666.688643813</v>
      </c>
      <c r="H137" s="107">
        <v>-11046873.505413979</v>
      </c>
      <c r="I137" s="107">
        <v>-18707068.491686434</v>
      </c>
    </row>
    <row r="138" spans="2:9">
      <c r="B138" s="105">
        <v>131</v>
      </c>
      <c r="C138" s="107">
        <v>-11278410.579265371</v>
      </c>
      <c r="D138" s="107">
        <v>-13918598.109163135</v>
      </c>
      <c r="E138" s="107">
        <v>-13354832.577739313</v>
      </c>
      <c r="F138" s="107">
        <v>-22161380.877754599</v>
      </c>
      <c r="G138" s="107">
        <v>-12842288.350890845</v>
      </c>
      <c r="H138" s="107">
        <v>-19581742.362107292</v>
      </c>
      <c r="I138" s="107">
        <v>-26430396.514235228</v>
      </c>
    </row>
    <row r="139" spans="2:9">
      <c r="B139" s="105">
        <v>132</v>
      </c>
      <c r="C139" s="107">
        <v>-4315140.5596909076</v>
      </c>
      <c r="D139" s="107">
        <v>-8209876.0590323508</v>
      </c>
      <c r="E139" s="107">
        <v>-1135123.6557437181</v>
      </c>
      <c r="F139" s="107">
        <v>-28726133.244481847</v>
      </c>
      <c r="G139" s="107">
        <v>-17148159.385150716</v>
      </c>
      <c r="H139" s="107">
        <v>-9902292.8855773807</v>
      </c>
      <c r="I139" s="107">
        <v>-18656284.218148679</v>
      </c>
    </row>
    <row r="140" spans="2:9">
      <c r="B140" s="105">
        <v>133</v>
      </c>
      <c r="C140" s="107">
        <v>-6887768.199583739</v>
      </c>
      <c r="D140" s="107">
        <v>-12973421.464856148</v>
      </c>
      <c r="E140" s="107">
        <v>-19496498.56454061</v>
      </c>
      <c r="F140" s="107">
        <v>-9506843.7867465913</v>
      </c>
      <c r="G140" s="107">
        <v>-22137729.148086712</v>
      </c>
      <c r="H140" s="107">
        <v>-15260197.567717731</v>
      </c>
      <c r="I140" s="107">
        <v>-2976997.9565379173</v>
      </c>
    </row>
    <row r="141" spans="2:9">
      <c r="B141" s="105">
        <v>134</v>
      </c>
      <c r="C141" s="107">
        <v>-12996099.421062186</v>
      </c>
      <c r="D141" s="107">
        <v>-7829014.7448687851</v>
      </c>
      <c r="E141" s="107">
        <v>-16649202.035903707</v>
      </c>
      <c r="F141" s="107">
        <v>-14385206.662849247</v>
      </c>
      <c r="G141" s="107">
        <v>-23392778.240404144</v>
      </c>
      <c r="H141" s="107">
        <v>-23244788.036393076</v>
      </c>
      <c r="I141" s="107">
        <v>-16568882.391713113</v>
      </c>
    </row>
    <row r="142" spans="2:9">
      <c r="B142" s="105">
        <v>135</v>
      </c>
      <c r="C142" s="107">
        <v>-13392588.520121545</v>
      </c>
      <c r="D142" s="107">
        <v>-21466648.424207136</v>
      </c>
      <c r="E142" s="107">
        <v>-14454844.352158204</v>
      </c>
      <c r="F142" s="107">
        <v>-19875162.506977826</v>
      </c>
      <c r="G142" s="107">
        <v>-18319113.162969038</v>
      </c>
      <c r="H142" s="107">
        <v>-19576037.368175507</v>
      </c>
      <c r="I142" s="107">
        <v>-19959867.236600056</v>
      </c>
    </row>
    <row r="143" spans="2:9">
      <c r="B143" s="105">
        <v>136</v>
      </c>
      <c r="C143" s="107">
        <v>-6779045.8165618479</v>
      </c>
      <c r="D143" s="107">
        <v>-13880679.482910842</v>
      </c>
      <c r="E143" s="107">
        <v>-17580109.872032315</v>
      </c>
      <c r="F143" s="107">
        <v>-15974983.661380097</v>
      </c>
      <c r="G143" s="107">
        <v>-26482171.43710728</v>
      </c>
      <c r="H143" s="107">
        <v>-15041479.954751462</v>
      </c>
      <c r="I143" s="107">
        <v>-7636737.9376311153</v>
      </c>
    </row>
    <row r="144" spans="2:9">
      <c r="B144" s="105">
        <v>137</v>
      </c>
      <c r="C144" s="107">
        <v>-5686855.5150253773</v>
      </c>
      <c r="D144" s="107">
        <v>-17716253.975093052</v>
      </c>
      <c r="E144" s="107">
        <v>-10158716.741742209</v>
      </c>
      <c r="F144" s="107">
        <v>-13165137.339963242</v>
      </c>
      <c r="G144" s="107">
        <v>-20221993.327950209</v>
      </c>
      <c r="H144" s="107">
        <v>-16768872.617168233</v>
      </c>
      <c r="I144" s="107">
        <v>-27627805.109645486</v>
      </c>
    </row>
    <row r="145" spans="2:9">
      <c r="B145" s="105">
        <v>138</v>
      </c>
      <c r="C145" s="107">
        <v>-8203826.4535106719</v>
      </c>
      <c r="D145" s="107">
        <v>-12317005.382219434</v>
      </c>
      <c r="E145" s="107">
        <v>-10269876.948384479</v>
      </c>
      <c r="F145" s="107">
        <v>-22598017.172480226</v>
      </c>
      <c r="G145" s="107">
        <v>-16870604.361182183</v>
      </c>
      <c r="H145" s="107">
        <v>-21887664.110529184</v>
      </c>
      <c r="I145" s="107">
        <v>-18848255.235344842</v>
      </c>
    </row>
    <row r="146" spans="2:9">
      <c r="B146" s="105">
        <v>139</v>
      </c>
      <c r="C146" s="107">
        <v>-4462964.2791681737</v>
      </c>
      <c r="D146" s="107">
        <v>-17047794.692795485</v>
      </c>
      <c r="E146" s="107">
        <v>-8334641.4519900233</v>
      </c>
      <c r="F146" s="107">
        <v>-16849738.254629984</v>
      </c>
      <c r="G146" s="107">
        <v>-17389027.644363269</v>
      </c>
      <c r="H146" s="107">
        <v>-24220575.118065417</v>
      </c>
      <c r="I146" s="107">
        <v>-19532243.568370044</v>
      </c>
    </row>
    <row r="147" spans="2:9">
      <c r="B147" s="105">
        <v>140</v>
      </c>
      <c r="C147" s="107">
        <v>-12258497.089657247</v>
      </c>
      <c r="D147" s="107">
        <v>-13646959.195697099</v>
      </c>
      <c r="E147" s="107">
        <v>-15505022.966519728</v>
      </c>
      <c r="F147" s="107">
        <v>-17427292.735966668</v>
      </c>
      <c r="G147" s="107">
        <v>-17311087.478163078</v>
      </c>
      <c r="H147" s="107">
        <v>-21367938.908994302</v>
      </c>
      <c r="I147" s="107">
        <v>-28727810.190576211</v>
      </c>
    </row>
    <row r="148" spans="2:9">
      <c r="B148" s="105">
        <v>141</v>
      </c>
      <c r="C148" s="107">
        <v>-9270778.0665003508</v>
      </c>
      <c r="D148" s="107">
        <v>-13603753.55161427</v>
      </c>
      <c r="E148" s="107">
        <v>-18800117.954250827</v>
      </c>
      <c r="F148" s="107">
        <v>-7623431.3468346149</v>
      </c>
      <c r="G148" s="107">
        <v>-25178800.987100214</v>
      </c>
      <c r="H148" s="107">
        <v>-23328533.935332015</v>
      </c>
      <c r="I148" s="107">
        <v>-25928601.452693194</v>
      </c>
    </row>
    <row r="149" spans="2:9">
      <c r="B149" s="105">
        <v>142</v>
      </c>
      <c r="C149" s="107">
        <v>-3995748.9694055617</v>
      </c>
      <c r="D149" s="107">
        <v>-7086383.4760083258</v>
      </c>
      <c r="E149" s="107">
        <v>-10983756.107891008</v>
      </c>
      <c r="F149" s="107">
        <v>-20825981.397948563</v>
      </c>
      <c r="G149" s="107">
        <v>-16382801.374792904</v>
      </c>
      <c r="H149" s="107">
        <v>-18912894.40778552</v>
      </c>
      <c r="I149" s="107">
        <v>-20472487.603870124</v>
      </c>
    </row>
    <row r="150" spans="2:9">
      <c r="B150" s="105">
        <v>143</v>
      </c>
      <c r="C150" s="107">
        <v>-6561170.2090976983</v>
      </c>
      <c r="D150" s="107">
        <v>-5847253.42632851</v>
      </c>
      <c r="E150" s="107">
        <v>-4719747.3108981103</v>
      </c>
      <c r="F150" s="107">
        <v>-13099020.903131634</v>
      </c>
      <c r="G150" s="107">
        <v>-19431104.074138939</v>
      </c>
      <c r="H150" s="107">
        <v>-19328566.965119407</v>
      </c>
      <c r="I150" s="107">
        <v>-17581943.940633163</v>
      </c>
    </row>
    <row r="151" spans="2:9">
      <c r="B151" s="105">
        <v>144</v>
      </c>
      <c r="C151" s="107">
        <v>-12667321.95629628</v>
      </c>
      <c r="D151" s="107">
        <v>-4336483.6142862141</v>
      </c>
      <c r="E151" s="107">
        <v>-21398274.517696902</v>
      </c>
      <c r="F151" s="107">
        <v>-12530767.257257625</v>
      </c>
      <c r="G151" s="107">
        <v>-16781344.069798261</v>
      </c>
      <c r="H151" s="107">
        <v>-18002710.139652625</v>
      </c>
      <c r="I151" s="107">
        <v>-26904726.454477578</v>
      </c>
    </row>
    <row r="152" spans="2:9">
      <c r="B152" s="105">
        <v>145</v>
      </c>
      <c r="C152" s="107">
        <v>-9285290.0209284276</v>
      </c>
      <c r="D152" s="107">
        <v>-11379445.175484896</v>
      </c>
      <c r="E152" s="107">
        <v>-11322248.720605478</v>
      </c>
      <c r="F152" s="107">
        <v>-4157263.6877426505</v>
      </c>
      <c r="G152" s="107">
        <v>-16269761.182653293</v>
      </c>
      <c r="H152" s="107">
        <v>-13762451.046893418</v>
      </c>
      <c r="I152" s="107">
        <v>-24922334.393228546</v>
      </c>
    </row>
    <row r="153" spans="2:9">
      <c r="B153" s="105">
        <v>146</v>
      </c>
      <c r="C153" s="107">
        <v>-7714691.8980363011</v>
      </c>
      <c r="D153" s="107">
        <v>-11814279.645446762</v>
      </c>
      <c r="E153" s="107">
        <v>-10750816.857006922</v>
      </c>
      <c r="F153" s="107">
        <v>-16432224.956071794</v>
      </c>
      <c r="G153" s="107">
        <v>-26364062.114250973</v>
      </c>
      <c r="H153" s="107">
        <v>-23392281.819993511</v>
      </c>
      <c r="I153" s="107">
        <v>-15840284.076190561</v>
      </c>
    </row>
    <row r="154" spans="2:9">
      <c r="B154" s="105">
        <v>147</v>
      </c>
      <c r="C154" s="107">
        <v>-557722.6469334662</v>
      </c>
      <c r="D154" s="107">
        <v>-6425780.5785844475</v>
      </c>
      <c r="E154" s="107">
        <v>-6457785.9070702046</v>
      </c>
      <c r="F154" s="107">
        <v>-6077403.6851655692</v>
      </c>
      <c r="G154" s="107">
        <v>-12772480.47586301</v>
      </c>
      <c r="H154" s="107">
        <v>-17656484.711470187</v>
      </c>
      <c r="I154" s="107">
        <v>-22604054.556643248</v>
      </c>
    </row>
    <row r="155" spans="2:9">
      <c r="B155" s="105">
        <v>148</v>
      </c>
      <c r="C155" s="107">
        <v>-8871146.9076882601</v>
      </c>
      <c r="D155" s="107">
        <v>-16961812.259031504</v>
      </c>
      <c r="E155" s="107">
        <v>-21892639.264490739</v>
      </c>
      <c r="F155" s="107">
        <v>-15520391.32854104</v>
      </c>
      <c r="G155" s="107">
        <v>-20427237.058566794</v>
      </c>
      <c r="H155" s="107">
        <v>-26612775.052798703</v>
      </c>
      <c r="I155" s="107">
        <v>-22454926.538803637</v>
      </c>
    </row>
    <row r="156" spans="2:9">
      <c r="B156" s="105">
        <v>149</v>
      </c>
      <c r="C156" s="107">
        <v>-18016837.103536785</v>
      </c>
      <c r="D156" s="107">
        <v>-12524095.06403777</v>
      </c>
      <c r="E156" s="107">
        <v>-8831652.9335625023</v>
      </c>
      <c r="F156" s="107">
        <v>-13957804.112287402</v>
      </c>
      <c r="G156" s="107">
        <v>-19933054.532365233</v>
      </c>
      <c r="H156" s="107">
        <v>-26201847.599151149</v>
      </c>
      <c r="I156" s="107">
        <v>-20474527.392703921</v>
      </c>
    </row>
    <row r="157" spans="2:9">
      <c r="B157" s="105">
        <v>150</v>
      </c>
      <c r="C157" s="107">
        <v>-1410131.5921072066</v>
      </c>
      <c r="D157" s="107">
        <v>-10329032.908152521</v>
      </c>
      <c r="E157" s="107">
        <v>-7323903.4558361173</v>
      </c>
      <c r="F157" s="107">
        <v>-14331374.115075245</v>
      </c>
      <c r="G157" s="107">
        <v>-23482318.661450401</v>
      </c>
      <c r="H157" s="107">
        <v>-19197581.964460686</v>
      </c>
      <c r="I157" s="107">
        <v>-26919402.549736306</v>
      </c>
    </row>
    <row r="158" spans="2:9">
      <c r="B158" s="105">
        <v>151</v>
      </c>
      <c r="C158" s="107">
        <v>-13972993.386234105</v>
      </c>
      <c r="D158" s="107">
        <v>-9669978.5696090758</v>
      </c>
      <c r="E158" s="107">
        <v>-11710013.928084671</v>
      </c>
      <c r="F158" s="107">
        <v>-15875530.052227095</v>
      </c>
      <c r="G158" s="107">
        <v>-16743327.712963864</v>
      </c>
      <c r="H158" s="107">
        <v>-20339235.397490725</v>
      </c>
      <c r="I158" s="107">
        <v>-27013285.214709312</v>
      </c>
    </row>
    <row r="159" spans="2:9">
      <c r="B159" s="105">
        <v>152</v>
      </c>
      <c r="C159" s="107">
        <v>-10083757.627539933</v>
      </c>
      <c r="D159" s="107">
        <v>-12517930.08410117</v>
      </c>
      <c r="E159" s="107">
        <v>-12034095.820572019</v>
      </c>
      <c r="F159" s="107">
        <v>-8292966.2558816373</v>
      </c>
      <c r="G159" s="107">
        <v>-24790308.254908398</v>
      </c>
      <c r="H159" s="107">
        <v>-19185564.719971493</v>
      </c>
      <c r="I159" s="107">
        <v>-23614434.749328285</v>
      </c>
    </row>
    <row r="160" spans="2:9">
      <c r="B160" s="105">
        <v>153</v>
      </c>
      <c r="C160" s="107">
        <v>-1163101.1035128385</v>
      </c>
      <c r="D160" s="107">
        <v>-15767785.42352961</v>
      </c>
      <c r="E160" s="107">
        <v>-10216472.320063308</v>
      </c>
      <c r="F160" s="107">
        <v>-13606230.114713296</v>
      </c>
      <c r="G160" s="107">
        <v>-17170640.376742467</v>
      </c>
      <c r="H160" s="107">
        <v>-22904234.552871183</v>
      </c>
      <c r="I160" s="107">
        <v>-25493922.730223209</v>
      </c>
    </row>
    <row r="161" spans="2:9">
      <c r="B161" s="105">
        <v>154</v>
      </c>
      <c r="C161" s="107">
        <v>-22123967.900136679</v>
      </c>
      <c r="D161" s="107">
        <v>-9348239.7062300742</v>
      </c>
      <c r="E161" s="107">
        <v>-5376993.628515169</v>
      </c>
      <c r="F161" s="107">
        <v>-13580518.544343144</v>
      </c>
      <c r="G161" s="107">
        <v>-25760420.066537708</v>
      </c>
      <c r="H161" s="107">
        <v>-12669569.25270848</v>
      </c>
      <c r="I161" s="107">
        <v>-27498972.936409891</v>
      </c>
    </row>
    <row r="162" spans="2:9">
      <c r="B162" s="105">
        <v>155</v>
      </c>
      <c r="C162" s="107">
        <v>-11067426.692923829</v>
      </c>
      <c r="D162" s="107">
        <v>-7554435.5525208563</v>
      </c>
      <c r="E162" s="107">
        <v>-11276295.274421021</v>
      </c>
      <c r="F162" s="107">
        <v>-18618330.175331086</v>
      </c>
      <c r="G162" s="107">
        <v>-10763650.435223326</v>
      </c>
      <c r="H162" s="107">
        <v>-21002117.928582951</v>
      </c>
      <c r="I162" s="107">
        <v>-23817006.921600118</v>
      </c>
    </row>
    <row r="163" spans="2:9">
      <c r="B163" s="105">
        <v>156</v>
      </c>
      <c r="C163" s="107">
        <v>-6483200.6663994789</v>
      </c>
      <c r="D163" s="107">
        <v>-16826035.362071052</v>
      </c>
      <c r="E163" s="107">
        <v>-23613150.128276795</v>
      </c>
      <c r="F163" s="107">
        <v>-27462024.259719804</v>
      </c>
      <c r="G163" s="107">
        <v>-23248512.567263067</v>
      </c>
      <c r="H163" s="107">
        <v>-18602704.637401387</v>
      </c>
      <c r="I163" s="107">
        <v>-18641768.124815062</v>
      </c>
    </row>
    <row r="164" spans="2:9">
      <c r="B164" s="105">
        <v>157</v>
      </c>
      <c r="C164" s="107">
        <v>-12033391.90957655</v>
      </c>
      <c r="D164" s="107">
        <v>-8913158.8554723114</v>
      </c>
      <c r="E164" s="107">
        <v>-15152333.779519856</v>
      </c>
      <c r="F164" s="107">
        <v>-25164476.26375246</v>
      </c>
      <c r="G164" s="107">
        <v>-17585897.055792958</v>
      </c>
      <c r="H164" s="107">
        <v>-23278443.847010478</v>
      </c>
      <c r="I164" s="107">
        <v>-18758818.074261457</v>
      </c>
    </row>
    <row r="165" spans="2:9">
      <c r="B165" s="105">
        <v>158</v>
      </c>
      <c r="C165" s="107">
        <v>-14556716.88180618</v>
      </c>
      <c r="D165" s="107">
        <v>-11854796.067847684</v>
      </c>
      <c r="E165" s="107">
        <v>-5290139.4646814018</v>
      </c>
      <c r="F165" s="107">
        <v>-16085054.670625404</v>
      </c>
      <c r="G165" s="107">
        <v>-29111298.248312905</v>
      </c>
      <c r="H165" s="107">
        <v>-25394231.223127857</v>
      </c>
      <c r="I165" s="107">
        <v>-24281987.627563506</v>
      </c>
    </row>
    <row r="166" spans="2:9">
      <c r="B166" s="105">
        <v>159</v>
      </c>
      <c r="C166" s="107">
        <v>-5762098.4469245225</v>
      </c>
      <c r="D166" s="107">
        <v>-14794282.108824685</v>
      </c>
      <c r="E166" s="107">
        <v>-9372500.8112130612</v>
      </c>
      <c r="F166" s="107">
        <v>-13662586.199360624</v>
      </c>
      <c r="G166" s="107">
        <v>-28495667.589466467</v>
      </c>
      <c r="H166" s="107">
        <v>-18734156.444782525</v>
      </c>
      <c r="I166" s="107">
        <v>-26324938.076429501</v>
      </c>
    </row>
    <row r="167" spans="2:9">
      <c r="B167" s="105">
        <v>160</v>
      </c>
      <c r="C167" s="107">
        <v>-8429044.394313857</v>
      </c>
      <c r="D167" s="107">
        <v>-16508846.951369032</v>
      </c>
      <c r="E167" s="107">
        <v>-9710267.8195817918</v>
      </c>
      <c r="F167" s="107">
        <v>-17495032.049689069</v>
      </c>
      <c r="G167" s="107">
        <v>-15477698.129810125</v>
      </c>
      <c r="H167" s="107">
        <v>-9582045.0698441565</v>
      </c>
      <c r="I167" s="107">
        <v>-22895497.797685206</v>
      </c>
    </row>
    <row r="168" spans="2:9">
      <c r="B168" s="105">
        <v>161</v>
      </c>
      <c r="C168" s="107">
        <v>-6294308.219629854</v>
      </c>
      <c r="D168" s="107">
        <v>-14746306.912782073</v>
      </c>
      <c r="E168" s="107">
        <v>-10289701.252513051</v>
      </c>
      <c r="F168" s="107">
        <v>-13717345.530315846</v>
      </c>
      <c r="G168" s="107">
        <v>-19812839.845986202</v>
      </c>
      <c r="H168" s="107">
        <v>-14888875.670276135</v>
      </c>
      <c r="I168" s="107">
        <v>-24660578.188991681</v>
      </c>
    </row>
    <row r="169" spans="2:9">
      <c r="B169" s="105">
        <v>162</v>
      </c>
      <c r="C169" s="107">
        <v>-9772212.2696478069</v>
      </c>
      <c r="D169" s="107">
        <v>-6523846.5971571207</v>
      </c>
      <c r="E169" s="107">
        <v>-7862442.0328041166</v>
      </c>
      <c r="F169" s="107">
        <v>-19012478.671614751</v>
      </c>
      <c r="G169" s="107">
        <v>-25488808.285937861</v>
      </c>
      <c r="H169" s="107">
        <v>-18433359.050415084</v>
      </c>
      <c r="I169" s="107">
        <v>-12456320.566112742</v>
      </c>
    </row>
    <row r="170" spans="2:9">
      <c r="B170" s="105">
        <v>163</v>
      </c>
      <c r="C170" s="107">
        <v>-2457709.5795425177</v>
      </c>
      <c r="D170" s="107">
        <v>-21911469.705658138</v>
      </c>
      <c r="E170" s="107">
        <v>-3541604.3093957603</v>
      </c>
      <c r="F170" s="107">
        <v>-12982976.50791958</v>
      </c>
      <c r="G170" s="107">
        <v>-10241461.143141925</v>
      </c>
      <c r="H170" s="107">
        <v>-18001092.573372141</v>
      </c>
      <c r="I170" s="107">
        <v>-26919717.44207719</v>
      </c>
    </row>
    <row r="171" spans="2:9">
      <c r="B171" s="105">
        <v>164</v>
      </c>
      <c r="C171" s="107">
        <v>-10823741.744433403</v>
      </c>
      <c r="D171" s="107">
        <v>-11624294.827386245</v>
      </c>
      <c r="E171" s="107">
        <v>-9702992.1523581445</v>
      </c>
      <c r="F171" s="107">
        <v>-18437558.74882786</v>
      </c>
      <c r="G171" s="107">
        <v>-14890911.01869531</v>
      </c>
      <c r="H171" s="107">
        <v>-18932157.928877711</v>
      </c>
      <c r="I171" s="107">
        <v>-23235409.636509731</v>
      </c>
    </row>
    <row r="172" spans="2:9">
      <c r="B172" s="105">
        <v>165</v>
      </c>
      <c r="C172" s="107">
        <v>-12248570.216513604</v>
      </c>
      <c r="D172" s="107">
        <v>-3593946.5522353649</v>
      </c>
      <c r="E172" s="107">
        <v>-20679415.561591119</v>
      </c>
      <c r="F172" s="107">
        <v>-26315360.306510568</v>
      </c>
      <c r="G172" s="107">
        <v>-17161938.252931312</v>
      </c>
      <c r="H172" s="107">
        <v>-20924950.052836955</v>
      </c>
      <c r="I172" s="107">
        <v>-17808816.563609898</v>
      </c>
    </row>
    <row r="173" spans="2:9">
      <c r="B173" s="105">
        <v>166</v>
      </c>
      <c r="C173" s="107">
        <v>-12876559.479331374</v>
      </c>
      <c r="D173" s="107">
        <v>-11601583.193825737</v>
      </c>
      <c r="E173" s="107">
        <v>-12817837.02185142</v>
      </c>
      <c r="F173" s="107">
        <v>-6098720.6635787636</v>
      </c>
      <c r="G173" s="107">
        <v>-20633804.331057101</v>
      </c>
      <c r="H173" s="107">
        <v>-26533544.230138928</v>
      </c>
      <c r="I173" s="107">
        <v>-20415756.476788476</v>
      </c>
    </row>
    <row r="174" spans="2:9">
      <c r="B174" s="105">
        <v>167</v>
      </c>
      <c r="C174" s="107">
        <v>-13558818.004871339</v>
      </c>
      <c r="D174" s="107">
        <v>-7840890.8335524648</v>
      </c>
      <c r="E174" s="107">
        <v>-15304299.872271508</v>
      </c>
      <c r="F174" s="107">
        <v>-21394937.937133744</v>
      </c>
      <c r="G174" s="107">
        <v>-28975853.544460937</v>
      </c>
      <c r="H174" s="107">
        <v>-18308145.069094881</v>
      </c>
      <c r="I174" s="107">
        <v>-20255750.503951013</v>
      </c>
    </row>
    <row r="175" spans="2:9">
      <c r="B175" s="105">
        <v>168</v>
      </c>
      <c r="C175" s="107">
        <v>-9782878.3797127306</v>
      </c>
      <c r="D175" s="107">
        <v>-17221216.664120659</v>
      </c>
      <c r="E175" s="107">
        <v>-14216747.124185696</v>
      </c>
      <c r="F175" s="107">
        <v>-17802988.053912818</v>
      </c>
      <c r="G175" s="107">
        <v>-13454799.218754575</v>
      </c>
      <c r="H175" s="107">
        <v>-21043722.359963328</v>
      </c>
      <c r="I175" s="107">
        <v>-24331526.298439562</v>
      </c>
    </row>
    <row r="176" spans="2:9">
      <c r="B176" s="105">
        <v>169</v>
      </c>
      <c r="C176" s="107">
        <v>-11799999.626954198</v>
      </c>
      <c r="D176" s="107">
        <v>-4964872.2474698424</v>
      </c>
      <c r="E176" s="107">
        <v>-13650348.565677077</v>
      </c>
      <c r="F176" s="107">
        <v>-6520329.1845526248</v>
      </c>
      <c r="G176" s="107">
        <v>-21648763.412077993</v>
      </c>
      <c r="H176" s="107">
        <v>-16662288.339725956</v>
      </c>
      <c r="I176" s="107">
        <v>-17862634.169185743</v>
      </c>
    </row>
    <row r="177" spans="2:9">
      <c r="B177" s="105">
        <v>170</v>
      </c>
      <c r="C177" s="107">
        <v>-15587819.62847513</v>
      </c>
      <c r="D177" s="107">
        <v>-5419744.3560974896</v>
      </c>
      <c r="E177" s="107">
        <v>-18814764.449898422</v>
      </c>
      <c r="F177" s="107">
        <v>-14023169.483576342</v>
      </c>
      <c r="G177" s="107">
        <v>-19583276.009252995</v>
      </c>
      <c r="H177" s="107">
        <v>-18447416.317696631</v>
      </c>
      <c r="I177" s="107">
        <v>-21910331.021626964</v>
      </c>
    </row>
    <row r="178" spans="2:9">
      <c r="B178" s="105">
        <v>171</v>
      </c>
      <c r="C178" s="107">
        <v>-5785364.3043409139</v>
      </c>
      <c r="D178" s="107">
        <v>-10948610.441867486</v>
      </c>
      <c r="E178" s="107">
        <v>-16722750.287276134</v>
      </c>
      <c r="F178" s="107">
        <v>-15692465.772853568</v>
      </c>
      <c r="G178" s="107">
        <v>-20544956.901986003</v>
      </c>
      <c r="H178" s="107">
        <v>-16421037.678956226</v>
      </c>
      <c r="I178" s="107">
        <v>-16512941.162966996</v>
      </c>
    </row>
    <row r="179" spans="2:9">
      <c r="B179" s="105">
        <v>172</v>
      </c>
      <c r="C179" s="107">
        <v>-12960707.924478278</v>
      </c>
      <c r="D179" s="107">
        <v>-7551321.3732178211</v>
      </c>
      <c r="E179" s="107">
        <v>-16144410.471390337</v>
      </c>
      <c r="F179" s="107">
        <v>-25193862.990423903</v>
      </c>
      <c r="G179" s="107">
        <v>-20874427.711864978</v>
      </c>
      <c r="H179" s="107">
        <v>-17192415.741171136</v>
      </c>
      <c r="I179" s="107">
        <v>-28515629.637852252</v>
      </c>
    </row>
    <row r="180" spans="2:9">
      <c r="B180" s="105">
        <v>173</v>
      </c>
      <c r="C180" s="107">
        <v>-7146033.5123285353</v>
      </c>
      <c r="D180" s="107">
        <v>-11881830.903973728</v>
      </c>
      <c r="E180" s="107">
        <v>-10022923.133418366</v>
      </c>
      <c r="F180" s="107">
        <v>-21651103.02439405</v>
      </c>
      <c r="G180" s="107">
        <v>-12417225.172665596</v>
      </c>
      <c r="H180" s="107">
        <v>-21497469.022256479</v>
      </c>
      <c r="I180" s="107">
        <v>-21328337.831290618</v>
      </c>
    </row>
    <row r="181" spans="2:9">
      <c r="B181" s="105">
        <v>174</v>
      </c>
      <c r="C181" s="107">
        <v>-558054.22738800943</v>
      </c>
      <c r="D181" s="107">
        <v>-14686106.68394357</v>
      </c>
      <c r="E181" s="107">
        <v>-12594730.977679029</v>
      </c>
      <c r="F181" s="107">
        <v>-15840055.465294719</v>
      </c>
      <c r="G181" s="107">
        <v>-16192135.735392138</v>
      </c>
      <c r="H181" s="107">
        <v>-20167865.330387652</v>
      </c>
      <c r="I181" s="107">
        <v>-21415155.525662705</v>
      </c>
    </row>
    <row r="182" spans="2:9">
      <c r="B182" s="105">
        <v>175</v>
      </c>
      <c r="C182" s="107">
        <v>-7540496.0723948926</v>
      </c>
      <c r="D182" s="107">
        <v>-13111106.213934138</v>
      </c>
      <c r="E182" s="107">
        <v>-17948645.179995194</v>
      </c>
      <c r="F182" s="107">
        <v>-17635283.984114423</v>
      </c>
      <c r="G182" s="107">
        <v>-16369093.827500731</v>
      </c>
      <c r="H182" s="107">
        <v>-22951221.380619869</v>
      </c>
      <c r="I182" s="107">
        <v>-26625046.421956539</v>
      </c>
    </row>
    <row r="183" spans="2:9">
      <c r="B183" s="105">
        <v>176</v>
      </c>
      <c r="C183" s="107">
        <v>-15059428.403572485</v>
      </c>
      <c r="D183" s="107">
        <v>-20228053.297520861</v>
      </c>
      <c r="E183" s="107">
        <v>-13244730.542905927</v>
      </c>
      <c r="F183" s="107">
        <v>-10057439.064623713</v>
      </c>
      <c r="G183" s="107">
        <v>-19523118.305272877</v>
      </c>
      <c r="H183" s="107">
        <v>-9733662.7151763886</v>
      </c>
      <c r="I183" s="107">
        <v>-29207870.144137353</v>
      </c>
    </row>
    <row r="184" spans="2:9">
      <c r="B184" s="105">
        <v>177</v>
      </c>
      <c r="C184" s="107">
        <v>-7327236.989474833</v>
      </c>
      <c r="D184" s="107">
        <v>-6752832.2593366951</v>
      </c>
      <c r="E184" s="107">
        <v>-25228265.246063441</v>
      </c>
      <c r="F184" s="107">
        <v>-20133204.38687098</v>
      </c>
      <c r="G184" s="107">
        <v>-10959806.274641722</v>
      </c>
      <c r="H184" s="107">
        <v>-15988433.036164179</v>
      </c>
      <c r="I184" s="107">
        <v>-25130730.987267226</v>
      </c>
    </row>
    <row r="185" spans="2:9">
      <c r="B185" s="105">
        <v>178</v>
      </c>
      <c r="C185" s="107">
        <v>-14537662.73039715</v>
      </c>
      <c r="D185" s="107">
        <v>-8753357.335352093</v>
      </c>
      <c r="E185" s="107">
        <v>-19220562.003381804</v>
      </c>
      <c r="F185" s="107">
        <v>-12031605.375449672</v>
      </c>
      <c r="G185" s="107">
        <v>-13753863.542169377</v>
      </c>
      <c r="H185" s="107">
        <v>-19824400.885902718</v>
      </c>
      <c r="I185" s="107">
        <v>-24303427.318323627</v>
      </c>
    </row>
    <row r="186" spans="2:9">
      <c r="B186" s="105">
        <v>179</v>
      </c>
      <c r="C186" s="107">
        <v>-3869200.0313968211</v>
      </c>
      <c r="D186" s="107">
        <v>-11107086.869185969</v>
      </c>
      <c r="E186" s="107">
        <v>-2523147.1320175976</v>
      </c>
      <c r="F186" s="107">
        <v>-16641957.331325561</v>
      </c>
      <c r="G186" s="107">
        <v>-21767293.727219373</v>
      </c>
      <c r="H186" s="107">
        <v>-10640171.851532981</v>
      </c>
      <c r="I186" s="107">
        <v>-21689861.784687623</v>
      </c>
    </row>
    <row r="187" spans="2:9">
      <c r="B187" s="105">
        <v>180</v>
      </c>
      <c r="C187" s="107">
        <v>-5303785.9259610921</v>
      </c>
      <c r="D187" s="107">
        <v>-8299498.7205902487</v>
      </c>
      <c r="E187" s="107">
        <v>-16838671.798203513</v>
      </c>
      <c r="F187" s="107">
        <v>-17672014.543230221</v>
      </c>
      <c r="G187" s="107">
        <v>-21886925.451159388</v>
      </c>
      <c r="H187" s="107">
        <v>-20825729.305446178</v>
      </c>
      <c r="I187" s="107">
        <v>-20327099.166944817</v>
      </c>
    </row>
    <row r="188" spans="2:9">
      <c r="B188" s="105">
        <v>181</v>
      </c>
      <c r="C188" s="107">
        <v>-1625749.7993572056</v>
      </c>
      <c r="D188" s="107">
        <v>-10646448.417151272</v>
      </c>
      <c r="E188" s="107">
        <v>-12412151.348670065</v>
      </c>
      <c r="F188" s="107">
        <v>-6814532.5261798352</v>
      </c>
      <c r="G188" s="107">
        <v>-13481931.443536699</v>
      </c>
      <c r="H188" s="107">
        <v>-22854683.830500975</v>
      </c>
      <c r="I188" s="107">
        <v>-27280933.752734274</v>
      </c>
    </row>
    <row r="189" spans="2:9">
      <c r="B189" s="105">
        <v>182</v>
      </c>
      <c r="C189" s="107">
        <v>-19257207.145586029</v>
      </c>
      <c r="D189" s="107">
        <v>-4400531.8760051727</v>
      </c>
      <c r="E189" s="107">
        <v>-13093732.482306167</v>
      </c>
      <c r="F189" s="107">
        <v>-14438838.882273704</v>
      </c>
      <c r="G189" s="107">
        <v>-18065055.782176852</v>
      </c>
      <c r="H189" s="107">
        <v>-19873578.361007765</v>
      </c>
      <c r="I189" s="107">
        <v>-29392649.99961789</v>
      </c>
    </row>
    <row r="190" spans="2:9">
      <c r="B190" s="105">
        <v>183</v>
      </c>
      <c r="C190" s="107">
        <v>-12678955.290031567</v>
      </c>
      <c r="D190" s="107">
        <v>-6921482.2723550051</v>
      </c>
      <c r="E190" s="107">
        <v>-15953168.301230937</v>
      </c>
      <c r="F190" s="107">
        <v>-16237494.117326275</v>
      </c>
      <c r="G190" s="107">
        <v>-18417746.855773002</v>
      </c>
      <c r="H190" s="107">
        <v>-13439108.233252719</v>
      </c>
      <c r="I190" s="107">
        <v>-22130790.067330331</v>
      </c>
    </row>
    <row r="191" spans="2:9">
      <c r="B191" s="105">
        <v>184</v>
      </c>
      <c r="C191" s="107">
        <v>-15513914.002717778</v>
      </c>
      <c r="D191" s="107">
        <v>-9060849.8492672592</v>
      </c>
      <c r="E191" s="107">
        <v>-11421918.088009894</v>
      </c>
      <c r="F191" s="107">
        <v>-13245598.229776129</v>
      </c>
      <c r="G191" s="107">
        <v>-19872696.337178633</v>
      </c>
      <c r="H191" s="107">
        <v>-15145608.278464377</v>
      </c>
      <c r="I191" s="107">
        <v>-18428669.593519166</v>
      </c>
    </row>
    <row r="192" spans="2:9">
      <c r="B192" s="105">
        <v>185</v>
      </c>
      <c r="C192" s="107">
        <v>-7677703.990647614</v>
      </c>
      <c r="D192" s="107">
        <v>-18092935.218734875</v>
      </c>
      <c r="E192" s="107">
        <v>-5292976.9948425293</v>
      </c>
      <c r="F192" s="107">
        <v>-4970043.717099309</v>
      </c>
      <c r="G192" s="107">
        <v>-18075103.908898383</v>
      </c>
      <c r="H192" s="107">
        <v>-26922565.545072213</v>
      </c>
      <c r="I192" s="107">
        <v>-33367883.594443828</v>
      </c>
    </row>
    <row r="193" spans="2:9">
      <c r="B193" s="105">
        <v>186</v>
      </c>
      <c r="C193" s="107">
        <v>-12986616.684817731</v>
      </c>
      <c r="D193" s="107">
        <v>-14331109.595432207</v>
      </c>
      <c r="E193" s="107">
        <v>-21599956.468053654</v>
      </c>
      <c r="F193" s="107">
        <v>-19235670.141397297</v>
      </c>
      <c r="G193" s="107">
        <v>-23690402.99196513</v>
      </c>
      <c r="H193" s="107">
        <v>-27210291.255736545</v>
      </c>
      <c r="I193" s="107">
        <v>-19251842.055005595</v>
      </c>
    </row>
    <row r="194" spans="2:9">
      <c r="B194" s="105">
        <v>187</v>
      </c>
      <c r="C194" s="107">
        <v>-11623355.861079589</v>
      </c>
      <c r="D194" s="107">
        <v>-3951057.6279798895</v>
      </c>
      <c r="E194" s="107">
        <v>-15916095.61341548</v>
      </c>
      <c r="F194" s="107">
        <v>-17045647.065627053</v>
      </c>
      <c r="G194" s="107">
        <v>-21723457.01143612</v>
      </c>
      <c r="H194" s="107">
        <v>-21382125.215870097</v>
      </c>
      <c r="I194" s="107">
        <v>-13744292.639755204</v>
      </c>
    </row>
    <row r="195" spans="2:9">
      <c r="B195" s="105">
        <v>188</v>
      </c>
      <c r="C195" s="107">
        <v>-1696856.7269480526</v>
      </c>
      <c r="D195" s="107">
        <v>-5524059.497360453</v>
      </c>
      <c r="E195" s="107">
        <v>-16641182.569336951</v>
      </c>
      <c r="F195" s="107">
        <v>-24879740.333093226</v>
      </c>
      <c r="G195" s="107">
        <v>-12315798.649558395</v>
      </c>
      <c r="H195" s="107">
        <v>-28572495.284782618</v>
      </c>
      <c r="I195" s="107">
        <v>-17467582.874713302</v>
      </c>
    </row>
    <row r="196" spans="2:9">
      <c r="B196" s="105">
        <v>189</v>
      </c>
      <c r="C196" s="107">
        <v>-9807248.942059502</v>
      </c>
      <c r="D196" s="107">
        <v>-11387179.876456216</v>
      </c>
      <c r="E196" s="107">
        <v>-12487839.896016955</v>
      </c>
      <c r="F196" s="107">
        <v>-12817614.693862483</v>
      </c>
      <c r="G196" s="107">
        <v>-12490082.905671626</v>
      </c>
      <c r="H196" s="107">
        <v>-13063624.825379759</v>
      </c>
      <c r="I196" s="107">
        <v>-17191187.998712242</v>
      </c>
    </row>
    <row r="197" spans="2:9">
      <c r="B197" s="105">
        <v>190</v>
      </c>
      <c r="C197" s="107">
        <v>-14681051.679093495</v>
      </c>
      <c r="D197" s="107">
        <v>-785452.82467196882</v>
      </c>
      <c r="E197" s="107">
        <v>-11254763.228835851</v>
      </c>
      <c r="F197" s="107">
        <v>-15895781.545232698</v>
      </c>
      <c r="G197" s="107">
        <v>-17556412.228154212</v>
      </c>
      <c r="H197" s="107">
        <v>-19251798.986442491</v>
      </c>
      <c r="I197" s="107">
        <v>-23471846.88389568</v>
      </c>
    </row>
    <row r="198" spans="2:9">
      <c r="B198" s="105">
        <v>191</v>
      </c>
      <c r="C198" s="107">
        <v>-10303725.924820453</v>
      </c>
      <c r="D198" s="107">
        <v>-12291814.244826332</v>
      </c>
      <c r="E198" s="107">
        <v>-12300768.09767355</v>
      </c>
      <c r="F198" s="107">
        <v>-19345774.687617704</v>
      </c>
      <c r="G198" s="107">
        <v>-18596980.02857399</v>
      </c>
      <c r="H198" s="107">
        <v>-20331716.437038168</v>
      </c>
      <c r="I198" s="107">
        <v>-18163653.45780012</v>
      </c>
    </row>
    <row r="199" spans="2:9">
      <c r="B199" s="105">
        <v>192</v>
      </c>
      <c r="C199" s="107">
        <v>-7835578.8146108538</v>
      </c>
      <c r="D199" s="107">
        <v>-13685518.741423815</v>
      </c>
      <c r="E199" s="107">
        <v>-11996172.302114263</v>
      </c>
      <c r="F199" s="107">
        <v>-15188417.909689546</v>
      </c>
      <c r="G199" s="107">
        <v>-25200880.126132712</v>
      </c>
      <c r="H199" s="107">
        <v>-18211790.153721809</v>
      </c>
      <c r="I199" s="107">
        <v>-24368087.850524589</v>
      </c>
    </row>
    <row r="200" spans="2:9">
      <c r="B200" s="105">
        <v>193</v>
      </c>
      <c r="C200" s="107">
        <v>-19183597.503057465</v>
      </c>
      <c r="D200" s="107">
        <v>-14597641.115278468</v>
      </c>
      <c r="E200" s="107">
        <v>-15485633.715827957</v>
      </c>
      <c r="F200" s="107">
        <v>-15947822.58894904</v>
      </c>
      <c r="G200" s="107">
        <v>-19675831.605668813</v>
      </c>
      <c r="H200" s="107">
        <v>-10338646.546278864</v>
      </c>
      <c r="I200" s="107">
        <v>-21909273.299127847</v>
      </c>
    </row>
    <row r="201" spans="2:9">
      <c r="B201" s="105">
        <v>194</v>
      </c>
      <c r="C201" s="107">
        <v>-9563187.4617598057</v>
      </c>
      <c r="D201" s="107">
        <v>-16968059.326112062</v>
      </c>
      <c r="E201" s="107">
        <v>-15675537.21164687</v>
      </c>
      <c r="F201" s="107">
        <v>-16571014.398720354</v>
      </c>
      <c r="G201" s="107">
        <v>-14846660.450503379</v>
      </c>
      <c r="H201" s="107">
        <v>-24897131.844699591</v>
      </c>
      <c r="I201" s="107">
        <v>-21729375.368661359</v>
      </c>
    </row>
    <row r="202" spans="2:9">
      <c r="B202" s="105">
        <v>195</v>
      </c>
      <c r="C202" s="107">
        <v>-13451236.608083248</v>
      </c>
      <c r="D202" s="107">
        <v>-6469704.1327549219</v>
      </c>
      <c r="E202" s="107">
        <v>-14078583.341278091</v>
      </c>
      <c r="F202" s="107">
        <v>-17239563.313674957</v>
      </c>
      <c r="G202" s="107">
        <v>-14520890.821566835</v>
      </c>
      <c r="H202" s="107">
        <v>-19368475.49154675</v>
      </c>
      <c r="I202" s="107">
        <v>-22169800.002113819</v>
      </c>
    </row>
    <row r="203" spans="2:9">
      <c r="B203" s="105">
        <v>196</v>
      </c>
      <c r="C203" s="107">
        <v>-8807263.3183539063</v>
      </c>
      <c r="D203" s="107">
        <v>-19705477.572619259</v>
      </c>
      <c r="E203" s="107">
        <v>-18310159.372384921</v>
      </c>
      <c r="F203" s="107">
        <v>-6896859.4256501049</v>
      </c>
      <c r="G203" s="107">
        <v>-28644030.198915362</v>
      </c>
      <c r="H203" s="107">
        <v>-22822384.700861946</v>
      </c>
      <c r="I203" s="107">
        <v>-28587221.930757016</v>
      </c>
    </row>
    <row r="204" spans="2:9">
      <c r="B204" s="105">
        <v>197</v>
      </c>
      <c r="C204" s="107">
        <v>-13476391.190634385</v>
      </c>
      <c r="D204" s="107">
        <v>-11114469.682165638</v>
      </c>
      <c r="E204" s="107">
        <v>-15428113.46336019</v>
      </c>
      <c r="F204" s="107">
        <v>-14836212.222344548</v>
      </c>
      <c r="G204" s="107">
        <v>-19262643.84193112</v>
      </c>
      <c r="H204" s="107">
        <v>-27513463.536663532</v>
      </c>
      <c r="I204" s="107">
        <v>-22262866.321027607</v>
      </c>
    </row>
    <row r="205" spans="2:9">
      <c r="B205" s="105">
        <v>198</v>
      </c>
      <c r="C205" s="107">
        <v>-7443872.4307296872</v>
      </c>
      <c r="D205" s="107">
        <v>-16426998.364259943</v>
      </c>
      <c r="E205" s="107">
        <v>-12533098.519595534</v>
      </c>
      <c r="F205" s="107">
        <v>-10954516.137894496</v>
      </c>
      <c r="G205" s="107">
        <v>-13662299.401053846</v>
      </c>
      <c r="H205" s="107">
        <v>-18812960.281608447</v>
      </c>
      <c r="I205" s="107">
        <v>-33109059.294553265</v>
      </c>
    </row>
    <row r="206" spans="2:9">
      <c r="B206" s="105">
        <v>199</v>
      </c>
      <c r="C206" s="107">
        <v>-8151492.1938999295</v>
      </c>
      <c r="D206" s="107">
        <v>-4363239.2765797824</v>
      </c>
      <c r="E206" s="107">
        <v>-8918802.8818749785</v>
      </c>
      <c r="F206" s="107">
        <v>-10458864.525779322</v>
      </c>
      <c r="G206" s="107">
        <v>-16349545.300421923</v>
      </c>
      <c r="H206" s="107">
        <v>-24320983.914565369</v>
      </c>
      <c r="I206" s="107">
        <v>-22285702.480473891</v>
      </c>
    </row>
    <row r="207" spans="2:9">
      <c r="B207" s="105">
        <v>200</v>
      </c>
      <c r="C207" s="107">
        <v>-5254688.1685178727</v>
      </c>
      <c r="D207" s="107">
        <v>-18375789.414006308</v>
      </c>
      <c r="E207" s="107">
        <v>-17639563.32783626</v>
      </c>
      <c r="F207" s="107">
        <v>-19244320.313786477</v>
      </c>
      <c r="G207" s="107">
        <v>-18201385.004216507</v>
      </c>
      <c r="H207" s="107">
        <v>-17231403.870753556</v>
      </c>
      <c r="I207" s="107">
        <v>-28360294.636896312</v>
      </c>
    </row>
  </sheetData>
  <mergeCells count="1">
    <mergeCell ref="C5:I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6AA84F"/>
    <outlinePr summaryBelow="0" summaryRight="0"/>
  </sheetPr>
  <dimension ref="A3:AG517"/>
  <sheetViews>
    <sheetView zoomScale="75" zoomScaleNormal="25" workbookViewId="0">
      <selection activeCell="N5" sqref="N5"/>
    </sheetView>
  </sheetViews>
  <sheetFormatPr defaultColWidth="12.6640625" defaultRowHeight="15.75" customHeight="1"/>
  <cols>
    <col min="1" max="1" width="12.6640625" style="77"/>
    <col min="2" max="2" width="37" style="77" bestFit="1" customWidth="1"/>
    <col min="3" max="3" width="21.6640625" style="77" customWidth="1"/>
    <col min="4" max="6" width="12.6640625" style="77"/>
    <col min="7" max="7" width="17.109375" style="77" customWidth="1"/>
    <col min="8" max="13" width="12.6640625" style="77"/>
    <col min="14" max="14" width="16" style="77" bestFit="1" customWidth="1"/>
    <col min="15" max="17" width="12.6640625" style="77"/>
    <col min="18" max="22" width="17.109375" style="77" customWidth="1"/>
    <col min="23" max="23" width="21.33203125" style="77" bestFit="1" customWidth="1"/>
    <col min="24" max="33" width="17.109375" style="77" customWidth="1"/>
    <col min="34" max="16384" width="12.6640625" style="77"/>
  </cols>
  <sheetData>
    <row r="3" spans="1:33" ht="15.75" customHeight="1"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</row>
    <row r="4" spans="1:33" ht="15.75" customHeight="1">
      <c r="B4" s="215" t="s">
        <v>12</v>
      </c>
      <c r="C4" s="215"/>
      <c r="D4" s="215"/>
      <c r="E4" s="215"/>
      <c r="F4" s="215"/>
      <c r="G4" s="79"/>
      <c r="H4" s="215" t="s">
        <v>121</v>
      </c>
      <c r="I4" s="215"/>
      <c r="J4" s="215"/>
      <c r="K4" s="215"/>
      <c r="L4" s="215"/>
      <c r="M4" s="79"/>
      <c r="N4" s="80" t="s">
        <v>137</v>
      </c>
      <c r="O4" s="80" t="s">
        <v>13</v>
      </c>
      <c r="R4" s="77" t="s">
        <v>10</v>
      </c>
    </row>
    <row r="5" spans="1:33" ht="15.75" customHeight="1">
      <c r="B5" s="81"/>
      <c r="C5" s="81" t="s">
        <v>14</v>
      </c>
      <c r="D5" s="81" t="s">
        <v>15</v>
      </c>
      <c r="E5" s="81" t="s">
        <v>16</v>
      </c>
      <c r="F5" s="81" t="s">
        <v>17</v>
      </c>
      <c r="G5" s="79"/>
      <c r="H5" s="82"/>
      <c r="I5" s="82" t="s">
        <v>14</v>
      </c>
      <c r="J5" s="82" t="s">
        <v>15</v>
      </c>
      <c r="K5" s="82" t="s">
        <v>16</v>
      </c>
      <c r="L5" s="82" t="s">
        <v>17</v>
      </c>
      <c r="M5" s="79"/>
      <c r="N5" s="93">
        <v>1</v>
      </c>
      <c r="O5" s="80" t="s">
        <v>18</v>
      </c>
    </row>
    <row r="6" spans="1:33" ht="15.75" customHeight="1">
      <c r="B6" s="81" t="s">
        <v>19</v>
      </c>
      <c r="C6" s="83">
        <f>7500000/2</f>
        <v>3750000</v>
      </c>
      <c r="D6" s="81">
        <f>40000/2</f>
        <v>20000</v>
      </c>
      <c r="E6" s="81">
        <f>210000/2</f>
        <v>105000</v>
      </c>
      <c r="F6" s="81">
        <f>35000/2</f>
        <v>17500</v>
      </c>
      <c r="G6" s="79"/>
      <c r="H6" s="82" t="s">
        <v>19</v>
      </c>
      <c r="I6" s="82">
        <f>2</f>
        <v>2</v>
      </c>
      <c r="J6" s="82">
        <f>7</f>
        <v>7</v>
      </c>
      <c r="K6" s="82">
        <f>60</f>
        <v>60</v>
      </c>
      <c r="L6" s="82">
        <f>199</f>
        <v>199</v>
      </c>
      <c r="M6" s="79"/>
      <c r="N6" s="122"/>
      <c r="O6" s="122"/>
      <c r="T6" s="77" t="s">
        <v>10</v>
      </c>
    </row>
    <row r="7" spans="1:33" ht="15.75" customHeight="1">
      <c r="B7" s="81" t="s">
        <v>20</v>
      </c>
      <c r="C7" s="81">
        <f>400000/2</f>
        <v>200000</v>
      </c>
      <c r="D7" s="81">
        <f>2000/2</f>
        <v>1000</v>
      </c>
      <c r="E7" s="81">
        <f>10000/2</f>
        <v>5000</v>
      </c>
      <c r="F7" s="81">
        <f>2500/2</f>
        <v>1250</v>
      </c>
      <c r="G7" s="79"/>
      <c r="H7" s="82" t="s">
        <v>20</v>
      </c>
      <c r="I7" s="82">
        <f>2.5</f>
        <v>2.5</v>
      </c>
      <c r="J7" s="82">
        <f>8</f>
        <v>8</v>
      </c>
      <c r="K7" s="82">
        <f>65</f>
        <v>65</v>
      </c>
      <c r="L7" s="82">
        <f>219</f>
        <v>219</v>
      </c>
      <c r="M7" s="79"/>
      <c r="N7" s="79" t="s">
        <v>10</v>
      </c>
      <c r="O7" s="79"/>
      <c r="T7" s="77" t="s">
        <v>10</v>
      </c>
    </row>
    <row r="8" spans="1:33" ht="15.75" customHeight="1">
      <c r="A8" s="78"/>
      <c r="B8" s="81" t="s">
        <v>21</v>
      </c>
      <c r="C8" s="81">
        <f>9200000/2</f>
        <v>4600000</v>
      </c>
      <c r="D8" s="81">
        <f>75000/2</f>
        <v>37500</v>
      </c>
      <c r="E8" s="81">
        <f>280000/2</f>
        <v>140000</v>
      </c>
      <c r="F8" s="81" t="s">
        <v>22</v>
      </c>
      <c r="G8" s="79"/>
      <c r="H8" s="82" t="s">
        <v>21</v>
      </c>
      <c r="I8" s="82">
        <f>4</f>
        <v>4</v>
      </c>
      <c r="J8" s="82">
        <f>14</f>
        <v>14</v>
      </c>
      <c r="K8" s="82">
        <f>115</f>
        <v>115</v>
      </c>
      <c r="L8" s="82" t="s">
        <v>22</v>
      </c>
      <c r="M8" s="79"/>
      <c r="N8" s="79" t="s">
        <v>135</v>
      </c>
      <c r="O8" s="79">
        <f ca="1">Podsumowanie!J9</f>
        <v>4141962.804915458</v>
      </c>
    </row>
    <row r="9" spans="1:33" ht="15.75" customHeight="1">
      <c r="A9" s="78"/>
      <c r="B9" s="81" t="s">
        <v>23</v>
      </c>
      <c r="C9" s="81">
        <f>600000/2</f>
        <v>300000</v>
      </c>
      <c r="D9" s="81">
        <f>5000/2</f>
        <v>2500</v>
      </c>
      <c r="E9" s="81">
        <f>25000/2</f>
        <v>12500</v>
      </c>
      <c r="F9" s="81" t="s">
        <v>22</v>
      </c>
      <c r="G9" s="79"/>
      <c r="H9" s="82" t="s">
        <v>23</v>
      </c>
      <c r="I9" s="82">
        <f>5</f>
        <v>5</v>
      </c>
      <c r="J9" s="82">
        <f>16</f>
        <v>16</v>
      </c>
      <c r="K9" s="82">
        <f>125</f>
        <v>125</v>
      </c>
      <c r="L9" s="82" t="s">
        <v>22</v>
      </c>
      <c r="M9" s="79"/>
      <c r="N9" s="79" t="s">
        <v>10</v>
      </c>
      <c r="O9" s="79"/>
    </row>
    <row r="10" spans="1:33" ht="15.75" customHeight="1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 t="s">
        <v>10</v>
      </c>
      <c r="O10" s="78"/>
      <c r="P10" s="162"/>
      <c r="Q10" s="162"/>
      <c r="R10" s="162"/>
      <c r="S10" s="162"/>
      <c r="T10" s="162" t="s">
        <v>10</v>
      </c>
      <c r="U10" s="162" t="s">
        <v>10</v>
      </c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</row>
    <row r="11" spans="1:33" ht="15.75" customHeight="1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 t="s">
        <v>10</v>
      </c>
      <c r="O11" s="78"/>
      <c r="P11" s="162"/>
      <c r="Q11" s="162"/>
      <c r="R11" s="162" t="s">
        <v>11</v>
      </c>
      <c r="S11" s="162"/>
      <c r="T11" s="162" t="s">
        <v>10</v>
      </c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</row>
    <row r="12" spans="1:33" ht="15.75" customHeight="1">
      <c r="A12" s="78"/>
      <c r="B12" s="215" t="s">
        <v>24</v>
      </c>
      <c r="C12" s="215"/>
      <c r="D12" s="215"/>
      <c r="E12" s="215"/>
      <c r="F12" s="215"/>
      <c r="G12" s="78"/>
      <c r="H12" s="216" t="s">
        <v>25</v>
      </c>
      <c r="I12" s="216"/>
      <c r="J12" s="216"/>
      <c r="K12" s="216"/>
      <c r="L12" s="216"/>
      <c r="M12" s="78"/>
      <c r="N12" s="78" t="s">
        <v>10</v>
      </c>
      <c r="O12" s="78"/>
      <c r="P12" s="162"/>
      <c r="Q12" s="162"/>
      <c r="R12" s="162" t="s">
        <v>10</v>
      </c>
      <c r="S12" s="162"/>
      <c r="T12" s="162" t="s">
        <v>10</v>
      </c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</row>
    <row r="13" spans="1:33" ht="15.75" customHeight="1">
      <c r="A13" s="78"/>
      <c r="B13" s="84"/>
      <c r="C13" s="84" t="s">
        <v>14</v>
      </c>
      <c r="D13" s="84" t="s">
        <v>15</v>
      </c>
      <c r="E13" s="84" t="s">
        <v>16</v>
      </c>
      <c r="F13" s="84" t="s">
        <v>17</v>
      </c>
      <c r="G13" s="78"/>
      <c r="H13" s="85"/>
      <c r="I13" s="85" t="s">
        <v>14</v>
      </c>
      <c r="J13" s="85" t="s">
        <v>15</v>
      </c>
      <c r="K13" s="85" t="s">
        <v>16</v>
      </c>
      <c r="L13" s="85" t="s">
        <v>17</v>
      </c>
      <c r="M13" s="78"/>
      <c r="N13" s="78" t="s">
        <v>10</v>
      </c>
      <c r="O13" s="78"/>
      <c r="P13" s="162"/>
      <c r="Q13" s="162" t="s">
        <v>122</v>
      </c>
      <c r="R13" s="162">
        <f>AVERAGE(R18:R517)</f>
        <v>-35567770.125683375</v>
      </c>
      <c r="S13" s="162">
        <f t="shared" ref="S13:AG13" si="0">AVERAGE(S18:S517)</f>
        <v>-24803297.462124169</v>
      </c>
      <c r="T13" s="162">
        <f t="shared" si="0"/>
        <v>-15897754.140160024</v>
      </c>
      <c r="U13" s="162">
        <f t="shared" si="0"/>
        <v>-8127596.1268085446</v>
      </c>
      <c r="V13" s="162">
        <f t="shared" si="0"/>
        <v>-1246148.8587214549</v>
      </c>
      <c r="W13" s="162">
        <f t="shared" si="0"/>
        <v>3368561.1831759498</v>
      </c>
      <c r="X13" s="162">
        <f t="shared" si="0"/>
        <v>8019794.0977345072</v>
      </c>
      <c r="Y13" s="162">
        <f t="shared" si="0"/>
        <v>10302334.87125941</v>
      </c>
      <c r="Z13" s="162">
        <f t="shared" si="0"/>
        <v>11511101.641079709</v>
      </c>
      <c r="AA13" s="162">
        <f t="shared" si="0"/>
        <v>11058658.711213378</v>
      </c>
      <c r="AB13" s="162">
        <f t="shared" si="0"/>
        <v>9820816.5781203527</v>
      </c>
      <c r="AC13" s="162">
        <f t="shared" si="0"/>
        <v>6712937.5157798603</v>
      </c>
      <c r="AD13" s="162">
        <f t="shared" si="0"/>
        <v>2560493.0840451308</v>
      </c>
      <c r="AE13" s="162">
        <f t="shared" si="0"/>
        <v>-3410644.3303057933</v>
      </c>
      <c r="AF13" s="162">
        <f t="shared" si="0"/>
        <v>-10111195.933772508</v>
      </c>
      <c r="AG13" s="162">
        <f t="shared" si="0"/>
        <v>-18562005.012532011</v>
      </c>
    </row>
    <row r="14" spans="1:33" ht="15.75" customHeight="1">
      <c r="A14" s="78"/>
      <c r="B14" s="84" t="s">
        <v>19</v>
      </c>
      <c r="C14" s="84">
        <f ca="1">NORMINV(RAND(),C6,C6*0.0333)</f>
        <v>3765974.9226180972</v>
      </c>
      <c r="D14" s="84">
        <f ca="1">NORMINV(RAND(),D6,D6*0.0333)</f>
        <v>20197.049490625879</v>
      </c>
      <c r="E14" s="84">
        <f t="shared" ref="E14:F14" ca="1" si="1">NORMINV(RAND(),E6,E6*0.0333)</f>
        <v>106383.96915225084</v>
      </c>
      <c r="F14" s="84">
        <f t="shared" ca="1" si="1"/>
        <v>18040.005367516387</v>
      </c>
      <c r="G14" s="78"/>
      <c r="H14" s="85" t="s">
        <v>19</v>
      </c>
      <c r="I14" s="86">
        <f t="shared" ref="I14:L15" si="2">I6*$N$5</f>
        <v>2</v>
      </c>
      <c r="J14" s="86">
        <f t="shared" si="2"/>
        <v>7</v>
      </c>
      <c r="K14" s="86">
        <f t="shared" si="2"/>
        <v>60</v>
      </c>
      <c r="L14" s="86">
        <f t="shared" si="2"/>
        <v>199</v>
      </c>
      <c r="M14" s="78"/>
      <c r="N14" s="78" t="s">
        <v>10</v>
      </c>
      <c r="O14" s="78"/>
      <c r="P14" s="162"/>
      <c r="Q14" s="162"/>
      <c r="R14" s="162" t="s">
        <v>10</v>
      </c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2"/>
    </row>
    <row r="15" spans="1:33" ht="15.75" customHeight="1">
      <c r="A15" s="78"/>
      <c r="B15" s="84" t="s">
        <v>20</v>
      </c>
      <c r="C15" s="84">
        <f t="shared" ref="C15:F15" ca="1" si="3">NORMINV(RAND(),C7,C7*0.0333)</f>
        <v>197015.92668286932</v>
      </c>
      <c r="D15" s="84">
        <f t="shared" ca="1" si="3"/>
        <v>979.29791937203629</v>
      </c>
      <c r="E15" s="84">
        <f t="shared" ca="1" si="3"/>
        <v>5021.5133902644611</v>
      </c>
      <c r="F15" s="84">
        <f t="shared" ca="1" si="3"/>
        <v>1244.1197762052836</v>
      </c>
      <c r="G15" s="78" t="s">
        <v>10</v>
      </c>
      <c r="H15" s="85" t="s">
        <v>20</v>
      </c>
      <c r="I15" s="86">
        <f t="shared" si="2"/>
        <v>2.5</v>
      </c>
      <c r="J15" s="86">
        <f t="shared" si="2"/>
        <v>8</v>
      </c>
      <c r="K15" s="86">
        <f t="shared" si="2"/>
        <v>65</v>
      </c>
      <c r="L15" s="86">
        <f t="shared" si="2"/>
        <v>219</v>
      </c>
      <c r="M15" s="78"/>
      <c r="N15" s="78" t="s">
        <v>10</v>
      </c>
      <c r="O15" s="78"/>
      <c r="P15" s="162"/>
      <c r="Q15" s="162"/>
      <c r="R15" s="162" t="s">
        <v>10</v>
      </c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</row>
    <row r="16" spans="1:33" ht="15.75" customHeight="1">
      <c r="A16" s="78"/>
      <c r="B16" s="84" t="s">
        <v>21</v>
      </c>
      <c r="C16" s="84">
        <f t="shared" ref="C16:E16" ca="1" si="4">NORMINV(RAND(),C8,C8*0.0333)</f>
        <v>4767635.8844800331</v>
      </c>
      <c r="D16" s="84">
        <f t="shared" ca="1" si="4"/>
        <v>38531.51404434767</v>
      </c>
      <c r="E16" s="84">
        <f t="shared" ca="1" si="4"/>
        <v>145545.20877781746</v>
      </c>
      <c r="F16" s="84" t="s">
        <v>22</v>
      </c>
      <c r="G16" s="78" t="s">
        <v>10</v>
      </c>
      <c r="H16" s="85" t="s">
        <v>21</v>
      </c>
      <c r="I16" s="86">
        <f t="shared" ref="I16:K17" si="5">I8*$N$5</f>
        <v>4</v>
      </c>
      <c r="J16" s="86">
        <f t="shared" si="5"/>
        <v>14</v>
      </c>
      <c r="K16" s="86">
        <f t="shared" si="5"/>
        <v>115</v>
      </c>
      <c r="L16" s="85" t="s">
        <v>22</v>
      </c>
      <c r="M16" s="78"/>
      <c r="N16" s="78" t="s">
        <v>10</v>
      </c>
      <c r="O16" s="78"/>
      <c r="P16" s="162"/>
      <c r="Q16" s="162"/>
      <c r="R16" s="162"/>
      <c r="S16" s="162"/>
      <c r="T16" s="162"/>
      <c r="U16" s="162"/>
      <c r="V16" s="162"/>
      <c r="W16" s="162" t="s">
        <v>138</v>
      </c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</row>
    <row r="17" spans="1:33" ht="15.75" customHeight="1">
      <c r="A17" s="78"/>
      <c r="B17" s="84" t="s">
        <v>23</v>
      </c>
      <c r="C17" s="84">
        <f t="shared" ref="C17:E17" ca="1" si="6">NORMINV(RAND(),C9,C9*0.0333)</f>
        <v>331814.55120467726</v>
      </c>
      <c r="D17" s="84">
        <f t="shared" ca="1" si="6"/>
        <v>2653.7257230811829</v>
      </c>
      <c r="E17" s="84">
        <f t="shared" ca="1" si="6"/>
        <v>12321.198278562159</v>
      </c>
      <c r="F17" s="84" t="s">
        <v>22</v>
      </c>
      <c r="G17" s="78"/>
      <c r="H17" s="85" t="s">
        <v>23</v>
      </c>
      <c r="I17" s="86">
        <f t="shared" si="5"/>
        <v>5</v>
      </c>
      <c r="J17" s="86">
        <f t="shared" si="5"/>
        <v>16</v>
      </c>
      <c r="K17" s="86">
        <f t="shared" si="5"/>
        <v>125</v>
      </c>
      <c r="L17" s="85" t="s">
        <v>22</v>
      </c>
      <c r="P17" s="162"/>
      <c r="Q17" s="162">
        <f ca="1">O8</f>
        <v>4141962.804915458</v>
      </c>
      <c r="R17" s="123">
        <v>0.5</v>
      </c>
      <c r="S17" s="123">
        <v>0.6</v>
      </c>
      <c r="T17" s="123">
        <v>0.7</v>
      </c>
      <c r="U17" s="123">
        <v>0.8</v>
      </c>
      <c r="V17" s="123">
        <v>0.9</v>
      </c>
      <c r="W17" s="124">
        <v>1</v>
      </c>
      <c r="X17" s="123">
        <v>1.1000000000000001</v>
      </c>
      <c r="Y17" s="123">
        <v>1.2</v>
      </c>
      <c r="Z17" s="123">
        <v>1.3</v>
      </c>
      <c r="AA17" s="123">
        <v>1.4</v>
      </c>
      <c r="AB17" s="123">
        <v>1.5</v>
      </c>
      <c r="AC17" s="123">
        <v>1.6</v>
      </c>
      <c r="AD17" s="123">
        <v>1.7</v>
      </c>
      <c r="AE17" s="123">
        <v>1.8</v>
      </c>
      <c r="AF17" s="123">
        <v>1.9</v>
      </c>
      <c r="AG17" s="123">
        <v>2</v>
      </c>
    </row>
    <row r="18" spans="1:33" ht="15.75" customHeight="1">
      <c r="A18" s="78"/>
      <c r="B18" s="78"/>
      <c r="C18" s="78"/>
      <c r="D18" s="78" t="s">
        <v>10</v>
      </c>
      <c r="E18" s="78" t="s">
        <v>10</v>
      </c>
      <c r="F18" s="78"/>
      <c r="G18" s="78" t="s">
        <v>10</v>
      </c>
      <c r="H18" s="78"/>
      <c r="I18" s="78"/>
      <c r="J18" s="78"/>
      <c r="K18" s="78"/>
      <c r="L18" s="78"/>
      <c r="P18" s="162" t="s">
        <v>10</v>
      </c>
      <c r="Q18" s="162">
        <v>1</v>
      </c>
      <c r="R18" s="163">
        <f t="dataTable" ref="R18:AG517" dt2D="1" dtr="1" r1="N5" r2="P23" ca="1"/>
        <v>-41748470.43095015</v>
      </c>
      <c r="S18" s="163">
        <v>-20705089.963513866</v>
      </c>
      <c r="T18" s="163">
        <v>-14889820.451770365</v>
      </c>
      <c r="U18" s="163">
        <v>5720888.5834395438</v>
      </c>
      <c r="V18" s="163">
        <v>3377969.8536649644</v>
      </c>
      <c r="W18" s="164">
        <v>5568970.6252543926</v>
      </c>
      <c r="X18" s="163">
        <v>17125156.384021953</v>
      </c>
      <c r="Y18" s="163">
        <v>17576852.857666075</v>
      </c>
      <c r="Z18" s="163">
        <v>12256462.707120121</v>
      </c>
      <c r="AA18" s="163">
        <v>17010375.685085297</v>
      </c>
      <c r="AB18" s="163">
        <v>5029083.2983373553</v>
      </c>
      <c r="AC18" s="163">
        <v>10804965.725785866</v>
      </c>
      <c r="AD18" s="163">
        <v>5801672.4782056063</v>
      </c>
      <c r="AE18" s="163">
        <v>-1188084.4560620934</v>
      </c>
      <c r="AF18" s="163">
        <v>-5540369.773999542</v>
      </c>
      <c r="AG18" s="163">
        <v>-19053363.621106714</v>
      </c>
    </row>
    <row r="19" spans="1:33" ht="15.75" customHeight="1">
      <c r="A19" s="78"/>
      <c r="B19" s="78"/>
      <c r="C19" s="78"/>
      <c r="D19" s="78" t="s">
        <v>10</v>
      </c>
      <c r="E19" s="78" t="s">
        <v>10</v>
      </c>
      <c r="F19" s="78" t="s">
        <v>11</v>
      </c>
      <c r="G19" s="78" t="s">
        <v>10</v>
      </c>
      <c r="H19" s="79"/>
      <c r="I19" s="78"/>
      <c r="J19" s="78"/>
      <c r="K19" s="78"/>
      <c r="L19" s="78"/>
      <c r="M19" s="78"/>
      <c r="N19" s="78"/>
      <c r="O19" s="78"/>
      <c r="P19" s="162" t="s">
        <v>10</v>
      </c>
      <c r="Q19" s="162">
        <v>2</v>
      </c>
      <c r="R19" s="163">
        <v>-32628650.590142757</v>
      </c>
      <c r="S19" s="163">
        <v>-26076864.491558194</v>
      </c>
      <c r="T19" s="163">
        <v>-7935558.2301457524</v>
      </c>
      <c r="U19" s="163">
        <v>-9783586.1146082878</v>
      </c>
      <c r="V19" s="163">
        <v>526037.30946445465</v>
      </c>
      <c r="W19" s="164">
        <v>2806809.0312979221</v>
      </c>
      <c r="X19" s="163">
        <v>-946488.06899264455</v>
      </c>
      <c r="Y19" s="163">
        <v>12223807.444380954</v>
      </c>
      <c r="Z19" s="163">
        <v>5573909.7211399227</v>
      </c>
      <c r="AA19" s="163">
        <v>18904136.767556325</v>
      </c>
      <c r="AB19" s="163">
        <v>16001147.158360422</v>
      </c>
      <c r="AC19" s="163">
        <v>6162454.166240409</v>
      </c>
      <c r="AD19" s="163">
        <v>11097995.016885087</v>
      </c>
      <c r="AE19" s="163">
        <v>-10216358.755062759</v>
      </c>
      <c r="AF19" s="163">
        <v>-13545457.573580652</v>
      </c>
      <c r="AG19" s="163">
        <v>-19776663.993235201</v>
      </c>
    </row>
    <row r="20" spans="1:33" ht="15.75" customHeight="1">
      <c r="B20" s="214" t="s">
        <v>26</v>
      </c>
      <c r="C20" s="214"/>
      <c r="D20" s="214"/>
      <c r="E20" s="214"/>
      <c r="F20" s="214"/>
      <c r="G20" s="78" t="s">
        <v>10</v>
      </c>
      <c r="H20" s="78"/>
      <c r="I20" s="78"/>
      <c r="J20" s="78"/>
      <c r="K20" s="78"/>
      <c r="L20" s="78"/>
      <c r="M20" s="78"/>
      <c r="N20" s="78"/>
      <c r="O20" s="78"/>
      <c r="P20" s="162"/>
      <c r="Q20" s="162">
        <v>3</v>
      </c>
      <c r="R20" s="163">
        <v>-32161559.786199868</v>
      </c>
      <c r="S20" s="163">
        <v>-22843751.938647807</v>
      </c>
      <c r="T20" s="163">
        <v>-10602581.06417194</v>
      </c>
      <c r="U20" s="163">
        <v>-7577560.1432543397</v>
      </c>
      <c r="V20" s="163">
        <v>861229.33629135787</v>
      </c>
      <c r="W20" s="164">
        <v>4569532.288340807</v>
      </c>
      <c r="X20" s="163">
        <v>14169359.355853379</v>
      </c>
      <c r="Y20" s="163">
        <v>-64851.121306836605</v>
      </c>
      <c r="Z20" s="163">
        <v>3273248.957290411</v>
      </c>
      <c r="AA20" s="163">
        <v>11254104.481429607</v>
      </c>
      <c r="AB20" s="163">
        <v>10538907.511703461</v>
      </c>
      <c r="AC20" s="163">
        <v>2955344.13894023</v>
      </c>
      <c r="AD20" s="163">
        <v>-691001.30909895897</v>
      </c>
      <c r="AE20" s="163">
        <v>-1351510.6333626211</v>
      </c>
      <c r="AF20" s="163">
        <v>-5725735.6126496494</v>
      </c>
      <c r="AG20" s="163">
        <v>-16688737.908885852</v>
      </c>
    </row>
    <row r="21" spans="1:33" ht="15.75" customHeight="1">
      <c r="B21" s="87"/>
      <c r="C21" s="87" t="s">
        <v>14</v>
      </c>
      <c r="D21" s="87" t="s">
        <v>15</v>
      </c>
      <c r="E21" s="87" t="s">
        <v>16</v>
      </c>
      <c r="F21" s="87" t="s">
        <v>17</v>
      </c>
      <c r="G21" s="78" t="s">
        <v>10</v>
      </c>
      <c r="H21" s="78" t="s">
        <v>10</v>
      </c>
      <c r="I21" s="78" t="s">
        <v>10</v>
      </c>
      <c r="J21" s="78" t="s">
        <v>10</v>
      </c>
      <c r="K21" s="78"/>
      <c r="L21" s="78"/>
      <c r="M21" s="78"/>
      <c r="N21" s="78"/>
      <c r="O21" s="78"/>
      <c r="P21" s="162"/>
      <c r="Q21" s="162">
        <v>4</v>
      </c>
      <c r="R21" s="163">
        <v>-29107840.079722822</v>
      </c>
      <c r="S21" s="163">
        <v>-26872435.20083718</v>
      </c>
      <c r="T21" s="163">
        <v>-15224036.112973794</v>
      </c>
      <c r="U21" s="163">
        <v>-5263711.4055801332</v>
      </c>
      <c r="V21" s="163">
        <v>-4722877.0422510654</v>
      </c>
      <c r="W21" s="164">
        <v>-2584042.8216266632</v>
      </c>
      <c r="X21" s="163">
        <v>18349221.351539403</v>
      </c>
      <c r="Y21" s="163">
        <v>12063251.742364317</v>
      </c>
      <c r="Z21" s="163">
        <v>15405039.118664458</v>
      </c>
      <c r="AA21" s="163">
        <v>19277794.634548128</v>
      </c>
      <c r="AB21" s="163">
        <v>13749530.890099972</v>
      </c>
      <c r="AC21" s="163">
        <v>3978571.1624502093</v>
      </c>
      <c r="AD21" s="163">
        <v>6941911.0564765632</v>
      </c>
      <c r="AE21" s="163">
        <v>-4835453.4369558841</v>
      </c>
      <c r="AF21" s="163">
        <v>-1971409.6241470873</v>
      </c>
      <c r="AG21" s="163">
        <v>-15539910.004157946</v>
      </c>
    </row>
    <row r="22" spans="1:33" ht="15.75" customHeight="1">
      <c r="B22" s="87" t="s">
        <v>19</v>
      </c>
      <c r="C22" s="88">
        <f ca="1">ROUND(NORMINV(RAND(), C6, C6*0.1) * (1 + (-0.5) * (I14 - I6) / I6), 0)</f>
        <v>3101834</v>
      </c>
      <c r="D22" s="88">
        <f t="shared" ref="D22" ca="1" si="7">ROUND(NORMINV(RAND(), D6, D6*0.1) * (1 + (-0.5) * (J14 - J6) / J6), 0)</f>
        <v>19801</v>
      </c>
      <c r="E22" s="88">
        <f t="shared" ref="E22:E25" ca="1" si="8">ROUND(NORMINV(RAND(), E6, E6*0.1) * (1 + (-0.7) * (K14 - K6) / K6), 0)</f>
        <v>113064</v>
      </c>
      <c r="F22" s="88">
        <f t="shared" ref="F22:F23" ca="1" si="9">IF((ROUND(NORMINV(RAND(), F6, F6*0.1) * (1 + (-0.7) * (L14 - L6) / L6), 0))&lt;0,0,ROUND(NORMINV(RAND(), F6, F6*0.1) * (1 + (-0.7) * (L14 - L6) / L6),0))</f>
        <v>17042</v>
      </c>
      <c r="G22" s="79" t="s">
        <v>10</v>
      </c>
      <c r="H22" s="79" t="s">
        <v>10</v>
      </c>
      <c r="I22" s="79" t="s">
        <v>10</v>
      </c>
      <c r="J22" s="79"/>
      <c r="K22" s="79"/>
      <c r="L22" s="79"/>
      <c r="M22" s="79"/>
      <c r="N22" s="79"/>
      <c r="O22" s="79"/>
      <c r="P22" s="162"/>
      <c r="Q22" s="162">
        <v>5</v>
      </c>
      <c r="R22" s="163">
        <v>-31057773.683329135</v>
      </c>
      <c r="S22" s="163">
        <v>-23722438.340787217</v>
      </c>
      <c r="T22" s="163">
        <v>-15858187.606794611</v>
      </c>
      <c r="U22" s="163">
        <v>-1298059.631163761</v>
      </c>
      <c r="V22" s="163">
        <v>-9838029.6771115661</v>
      </c>
      <c r="W22" s="164">
        <v>-1303294.0394787192</v>
      </c>
      <c r="X22" s="163">
        <v>15906828.335063249</v>
      </c>
      <c r="Y22" s="163">
        <v>20212350.584674701</v>
      </c>
      <c r="Z22" s="163">
        <v>18689124.510424957</v>
      </c>
      <c r="AA22" s="163">
        <v>11523158.308359608</v>
      </c>
      <c r="AB22" s="163">
        <v>19714765.134892523</v>
      </c>
      <c r="AC22" s="163">
        <v>131572.25844450295</v>
      </c>
      <c r="AD22" s="163">
        <v>10585624.497112542</v>
      </c>
      <c r="AE22" s="163">
        <v>853978.25131811202</v>
      </c>
      <c r="AF22" s="163">
        <v>-7202987.5673619211</v>
      </c>
      <c r="AG22" s="163">
        <v>-16885279.44175899</v>
      </c>
    </row>
    <row r="23" spans="1:33" ht="15.75" customHeight="1">
      <c r="B23" s="87" t="s">
        <v>20</v>
      </c>
      <c r="C23" s="88">
        <f t="shared" ref="C23:D23" ca="1" si="10">ROUND(NORMINV(RAND(), C7, C7*0.1) * (1 + (-0.5) * (I15 - I7) / I7), 0)</f>
        <v>207880</v>
      </c>
      <c r="D23" s="88">
        <f t="shared" ca="1" si="10"/>
        <v>811</v>
      </c>
      <c r="E23" s="88">
        <f t="shared" ca="1" si="8"/>
        <v>4465</v>
      </c>
      <c r="F23" s="88">
        <f t="shared" ca="1" si="9"/>
        <v>1262</v>
      </c>
      <c r="G23" s="79" t="s">
        <v>10</v>
      </c>
      <c r="H23" s="79" t="s">
        <v>10</v>
      </c>
      <c r="I23" s="79" t="s">
        <v>10</v>
      </c>
      <c r="J23" s="79" t="s">
        <v>10</v>
      </c>
      <c r="K23" s="79"/>
      <c r="L23" s="79"/>
      <c r="M23" s="79"/>
      <c r="N23" s="79"/>
      <c r="O23" s="79"/>
      <c r="P23" s="162" t="s">
        <v>10</v>
      </c>
      <c r="Q23" s="162">
        <v>6</v>
      </c>
      <c r="R23" s="163">
        <v>-42159891.650843427</v>
      </c>
      <c r="S23" s="163">
        <v>-25105240.605262414</v>
      </c>
      <c r="T23" s="163">
        <v>-11647588.39762938</v>
      </c>
      <c r="U23" s="163">
        <v>-10803588.197109371</v>
      </c>
      <c r="V23" s="163">
        <v>3770774.2730101496</v>
      </c>
      <c r="W23" s="164">
        <v>-1607106.5443480015</v>
      </c>
      <c r="X23" s="163">
        <v>12828617.975293353</v>
      </c>
      <c r="Y23" s="163">
        <v>13383772.224227995</v>
      </c>
      <c r="Z23" s="163">
        <v>10269641.834920794</v>
      </c>
      <c r="AA23" s="163">
        <v>9555240.9415688366</v>
      </c>
      <c r="AB23" s="163">
        <v>7273702.3086925745</v>
      </c>
      <c r="AC23" s="163">
        <v>9819441.8014923036</v>
      </c>
      <c r="AD23" s="163">
        <v>5332256.5642711222</v>
      </c>
      <c r="AE23" s="163">
        <v>899995.90734788775</v>
      </c>
      <c r="AF23" s="163">
        <v>-8869120.9328198582</v>
      </c>
      <c r="AG23" s="163">
        <v>-17081586.835630685</v>
      </c>
    </row>
    <row r="24" spans="1:33" ht="15.75" customHeight="1">
      <c r="B24" s="87" t="s">
        <v>21</v>
      </c>
      <c r="C24" s="88">
        <f t="shared" ref="C24:D24" ca="1" si="11">ROUND(NORMINV(RAND(), C8, C8*0.1) * (1 + (-0.5) * (I16 - I8) / I8), 0)</f>
        <v>4473025</v>
      </c>
      <c r="D24" s="88">
        <f t="shared" ca="1" si="11"/>
        <v>39024</v>
      </c>
      <c r="E24" s="88">
        <f t="shared" ca="1" si="8"/>
        <v>156151</v>
      </c>
      <c r="F24" s="87" t="s">
        <v>22</v>
      </c>
      <c r="G24" s="79" t="s">
        <v>10</v>
      </c>
      <c r="H24" s="79" t="s">
        <v>10</v>
      </c>
      <c r="I24" s="79" t="s">
        <v>10</v>
      </c>
      <c r="J24" s="79" t="s">
        <v>10</v>
      </c>
      <c r="K24" s="79"/>
      <c r="L24" s="79"/>
      <c r="M24" s="79"/>
      <c r="N24" s="79"/>
      <c r="O24" s="79"/>
      <c r="P24" s="162"/>
      <c r="Q24" s="162">
        <v>7</v>
      </c>
      <c r="R24" s="163">
        <v>-32647138.3470826</v>
      </c>
      <c r="S24" s="163">
        <v>-23929194.453692898</v>
      </c>
      <c r="T24" s="163">
        <v>-27403209.354571179</v>
      </c>
      <c r="U24" s="163">
        <v>-7009008.6980698705</v>
      </c>
      <c r="V24" s="163">
        <v>-7626154.2040022314</v>
      </c>
      <c r="W24" s="164">
        <v>10589261.561030492</v>
      </c>
      <c r="X24" s="163">
        <v>9031125.9658484459</v>
      </c>
      <c r="Y24" s="163">
        <v>9569774.2848516107</v>
      </c>
      <c r="Z24" s="163">
        <v>12316136.824344143</v>
      </c>
      <c r="AA24" s="163">
        <v>6368904.0992921442</v>
      </c>
      <c r="AB24" s="163">
        <v>11913457.073783174</v>
      </c>
      <c r="AC24" s="163">
        <v>1559604.2273034006</v>
      </c>
      <c r="AD24" s="163">
        <v>-2489818.9103102535</v>
      </c>
      <c r="AE24" s="163">
        <v>-8724449.6461984664</v>
      </c>
      <c r="AF24" s="163">
        <v>-21974116.555557325</v>
      </c>
      <c r="AG24" s="163">
        <v>-25069589.02937302</v>
      </c>
    </row>
    <row r="25" spans="1:33" ht="15.75" customHeight="1">
      <c r="B25" s="87" t="s">
        <v>23</v>
      </c>
      <c r="C25" s="88">
        <f t="shared" ref="C25:D25" ca="1" si="12">ROUND(NORMINV(RAND(), C9, C9*0.1) * (1 + (-0.5) * (I17 - I9) / I9), 0)</f>
        <v>280075</v>
      </c>
      <c r="D25" s="88">
        <f t="shared" ca="1" si="12"/>
        <v>2748</v>
      </c>
      <c r="E25" s="88">
        <f t="shared" ca="1" si="8"/>
        <v>13688</v>
      </c>
      <c r="F25" s="87" t="s">
        <v>22</v>
      </c>
      <c r="G25" s="89"/>
      <c r="H25" s="79" t="s">
        <v>10</v>
      </c>
      <c r="I25" s="79" t="s">
        <v>10</v>
      </c>
      <c r="K25" s="79" t="s">
        <v>10</v>
      </c>
      <c r="L25" s="79"/>
      <c r="M25" s="79"/>
      <c r="O25" s="79"/>
      <c r="P25" s="162"/>
      <c r="Q25" s="162">
        <v>8</v>
      </c>
      <c r="R25" s="163">
        <v>-38803595.312285662</v>
      </c>
      <c r="S25" s="163">
        <v>-20316284.944398284</v>
      </c>
      <c r="T25" s="163">
        <v>-23681164.633218259</v>
      </c>
      <c r="U25" s="163">
        <v>-9654549.8660674393</v>
      </c>
      <c r="V25" s="163">
        <v>903456.42068888247</v>
      </c>
      <c r="W25" s="164">
        <v>8932370.8693029583</v>
      </c>
      <c r="X25" s="163">
        <v>16305524.926009342</v>
      </c>
      <c r="Y25" s="163">
        <v>5662060.3674295545</v>
      </c>
      <c r="Z25" s="163">
        <v>20015730.326090306</v>
      </c>
      <c r="AA25" s="163">
        <v>3959859.7194881439</v>
      </c>
      <c r="AB25" s="163">
        <v>4791527.1629332304</v>
      </c>
      <c r="AC25" s="163">
        <v>3588374.2510982007</v>
      </c>
      <c r="AD25" s="163">
        <v>2172157.7737302929</v>
      </c>
      <c r="AE25" s="163">
        <v>-364952.13971997797</v>
      </c>
      <c r="AF25" s="163">
        <v>-13690197.673215747</v>
      </c>
      <c r="AG25" s="163">
        <v>-12307824.245456919</v>
      </c>
    </row>
    <row r="26" spans="1:33" ht="15.75" customHeight="1">
      <c r="B26" s="79"/>
      <c r="C26" s="79"/>
      <c r="D26" s="79"/>
      <c r="E26" s="79"/>
      <c r="F26" s="79"/>
      <c r="G26" s="79" t="s">
        <v>10</v>
      </c>
      <c r="H26" s="79" t="s">
        <v>10</v>
      </c>
      <c r="I26" s="79" t="s">
        <v>10</v>
      </c>
      <c r="J26" s="79" t="s">
        <v>10</v>
      </c>
      <c r="K26" s="79" t="s">
        <v>10</v>
      </c>
      <c r="L26" s="125" t="s">
        <v>139</v>
      </c>
      <c r="O26" s="79"/>
      <c r="P26" s="162"/>
      <c r="Q26" s="162">
        <v>9</v>
      </c>
      <c r="R26" s="163">
        <v>-38817188.937211782</v>
      </c>
      <c r="S26" s="163">
        <v>-25214808.978535444</v>
      </c>
      <c r="T26" s="163">
        <v>-20815653.001106188</v>
      </c>
      <c r="U26" s="163">
        <v>-5457093.34790048</v>
      </c>
      <c r="V26" s="163">
        <v>-4558577.4046479762</v>
      </c>
      <c r="W26" s="164">
        <v>5817426.5813110024</v>
      </c>
      <c r="X26" s="163">
        <v>4097871.26571697</v>
      </c>
      <c r="Y26" s="163">
        <v>17014376.422310576</v>
      </c>
      <c r="Z26" s="163">
        <v>21974207.077387571</v>
      </c>
      <c r="AA26" s="163">
        <v>16901716.473813623</v>
      </c>
      <c r="AB26" s="163">
        <v>23100147.765040934</v>
      </c>
      <c r="AC26" s="163">
        <v>-13491621.565770522</v>
      </c>
      <c r="AD26" s="163">
        <v>-2541272.4918292463</v>
      </c>
      <c r="AE26" s="163">
        <v>-2968198.7968811393</v>
      </c>
      <c r="AF26" s="163">
        <v>-14635238.956416532</v>
      </c>
      <c r="AG26" s="163">
        <v>-10590900.164107233</v>
      </c>
    </row>
    <row r="27" spans="1:33" ht="22.95" customHeight="1">
      <c r="B27" s="90"/>
      <c r="C27" s="90"/>
      <c r="D27" s="79"/>
      <c r="E27" s="79"/>
      <c r="F27" s="79"/>
      <c r="G27" s="79" t="s">
        <v>10</v>
      </c>
      <c r="H27" s="79" t="s">
        <v>11</v>
      </c>
      <c r="I27" s="79" t="s">
        <v>10</v>
      </c>
      <c r="J27" s="79"/>
      <c r="K27" s="79" t="s">
        <v>10</v>
      </c>
      <c r="L27" s="79"/>
      <c r="M27" s="79"/>
      <c r="N27" s="79"/>
      <c r="O27" s="79"/>
      <c r="P27" s="162"/>
      <c r="Q27" s="162">
        <v>10</v>
      </c>
      <c r="R27" s="163">
        <v>-34386946.917950049</v>
      </c>
      <c r="S27" s="163">
        <v>-22784588.479377031</v>
      </c>
      <c r="T27" s="163">
        <v>-10732684.850789025</v>
      </c>
      <c r="U27" s="163">
        <v>-8650596.8490904868</v>
      </c>
      <c r="V27" s="163">
        <v>-7376105.7290718406</v>
      </c>
      <c r="W27" s="164">
        <v>2564265.4299956858</v>
      </c>
      <c r="X27" s="163">
        <v>5535227.7201520354</v>
      </c>
      <c r="Y27" s="163">
        <v>5202783.028641507</v>
      </c>
      <c r="Z27" s="163">
        <v>9648231.7627534717</v>
      </c>
      <c r="AA27" s="163">
        <v>7082819.2625244558</v>
      </c>
      <c r="AB27" s="163">
        <v>4395316.5328603089</v>
      </c>
      <c r="AC27" s="163">
        <v>14435765.462955192</v>
      </c>
      <c r="AD27" s="163">
        <v>564578.37952460349</v>
      </c>
      <c r="AE27" s="163">
        <v>-660630.17087519169</v>
      </c>
      <c r="AF27" s="163">
        <v>-15797292.911380723</v>
      </c>
      <c r="AG27" s="163">
        <v>-15847635.06631121</v>
      </c>
    </row>
    <row r="28" spans="1:33" ht="22.2" customHeight="1">
      <c r="B28" s="91"/>
      <c r="C28" s="91"/>
      <c r="G28" s="77" t="s">
        <v>10</v>
      </c>
      <c r="P28" s="162"/>
      <c r="Q28" s="162">
        <v>11</v>
      </c>
      <c r="R28" s="163">
        <v>-40278223.211115494</v>
      </c>
      <c r="S28" s="163">
        <v>-33178148.529958144</v>
      </c>
      <c r="T28" s="163">
        <v>-19576261.265926033</v>
      </c>
      <c r="U28" s="163">
        <v>-11182023.29174611</v>
      </c>
      <c r="V28" s="163">
        <v>-1628054.7488048971</v>
      </c>
      <c r="W28" s="164">
        <v>10235778.467897996</v>
      </c>
      <c r="X28" s="163">
        <v>9810065.5157869756</v>
      </c>
      <c r="Y28" s="163">
        <v>19878977.86118935</v>
      </c>
      <c r="Z28" s="163">
        <v>11951971.222486168</v>
      </c>
      <c r="AA28" s="163">
        <v>17747712.863968492</v>
      </c>
      <c r="AB28" s="163">
        <v>-2444114.765642345</v>
      </c>
      <c r="AC28" s="163">
        <v>11621303.116349816</v>
      </c>
      <c r="AD28" s="163">
        <v>-4588005.2868379205</v>
      </c>
      <c r="AE28" s="163">
        <v>-9026263.0923334658</v>
      </c>
      <c r="AF28" s="163">
        <v>-5731087.3672155589</v>
      </c>
      <c r="AG28" s="163">
        <v>-26098798.065567374</v>
      </c>
    </row>
    <row r="29" spans="1:33" ht="15.75" customHeight="1">
      <c r="G29" s="77" t="s">
        <v>10</v>
      </c>
      <c r="N29" s="77" t="s">
        <v>10</v>
      </c>
      <c r="P29" s="162"/>
      <c r="Q29" s="162">
        <v>12</v>
      </c>
      <c r="R29" s="163">
        <v>-34461050.729277298</v>
      </c>
      <c r="S29" s="163">
        <v>-25726807.209186822</v>
      </c>
      <c r="T29" s="163">
        <v>-13632686.631754294</v>
      </c>
      <c r="U29" s="163">
        <v>-4888295.7630948722</v>
      </c>
      <c r="V29" s="163">
        <v>-96112.819132238626</v>
      </c>
      <c r="W29" s="164">
        <v>7589769.5380765498</v>
      </c>
      <c r="X29" s="163">
        <v>6407153.742978856</v>
      </c>
      <c r="Y29" s="163">
        <v>17894576.280578777</v>
      </c>
      <c r="Z29" s="163">
        <v>23396337.566996321</v>
      </c>
      <c r="AA29" s="163">
        <v>20317393.250810087</v>
      </c>
      <c r="AB29" s="163">
        <v>13489253.834655643</v>
      </c>
      <c r="AC29" s="163">
        <v>5651012.1318578273</v>
      </c>
      <c r="AD29" s="163">
        <v>4122256.3781078607</v>
      </c>
      <c r="AE29" s="163">
        <v>-3497022.4839207381</v>
      </c>
      <c r="AF29" s="163">
        <v>-5083371.2264942676</v>
      </c>
      <c r="AG29" s="163">
        <v>-8047819.3376366645</v>
      </c>
    </row>
    <row r="30" spans="1:33" ht="22.95" customHeight="1">
      <c r="B30" s="76" t="s">
        <v>120</v>
      </c>
      <c r="C30" s="76">
        <f ca="1">SUM(C22:F25)</f>
        <v>8430870</v>
      </c>
      <c r="D30" s="77" t="s">
        <v>10</v>
      </c>
      <c r="G30" s="77" t="s">
        <v>10</v>
      </c>
      <c r="P30" s="162"/>
      <c r="Q30" s="162">
        <v>13</v>
      </c>
      <c r="R30" s="163">
        <v>-32167043.225898355</v>
      </c>
      <c r="S30" s="163">
        <v>-24430829.393447131</v>
      </c>
      <c r="T30" s="163">
        <v>-15127150.351972893</v>
      </c>
      <c r="U30" s="163">
        <v>-13159740.716244236</v>
      </c>
      <c r="V30" s="163">
        <v>-9904580.2788726389</v>
      </c>
      <c r="W30" s="164">
        <v>19775895.510566875</v>
      </c>
      <c r="X30" s="163">
        <v>12505103.374634922</v>
      </c>
      <c r="Y30" s="163">
        <v>22469587.687755227</v>
      </c>
      <c r="Z30" s="163">
        <v>15458123.892294228</v>
      </c>
      <c r="AA30" s="163">
        <v>14492534.975579605</v>
      </c>
      <c r="AB30" s="163">
        <v>-1908905.2921858877</v>
      </c>
      <c r="AC30" s="163">
        <v>10086170.551022246</v>
      </c>
      <c r="AD30" s="163">
        <v>4823791.8576391637</v>
      </c>
      <c r="AE30" s="163">
        <v>-565341.09896065295</v>
      </c>
      <c r="AF30" s="163">
        <v>-6338982.2617161274</v>
      </c>
      <c r="AG30" s="163">
        <v>-9263677.0163083076</v>
      </c>
    </row>
    <row r="31" spans="1:33" ht="22.95" customHeight="1">
      <c r="B31" s="92" t="s">
        <v>27</v>
      </c>
      <c r="C31" s="92">
        <f ca="1">SUMPRODUCT(C22:F25,I14:L17)</f>
        <v>57161408</v>
      </c>
      <c r="G31" s="77" t="s">
        <v>10</v>
      </c>
      <c r="P31" s="162"/>
      <c r="Q31" s="162">
        <v>14</v>
      </c>
      <c r="R31" s="163">
        <v>-30949426.596409857</v>
      </c>
      <c r="S31" s="163">
        <v>-17691047.503486082</v>
      </c>
      <c r="T31" s="163">
        <v>-17755959.918852553</v>
      </c>
      <c r="U31" s="163">
        <v>-8522264.6646270603</v>
      </c>
      <c r="V31" s="163">
        <v>7190147.1882548928</v>
      </c>
      <c r="W31" s="164">
        <v>-437741.31798005104</v>
      </c>
      <c r="X31" s="163">
        <v>7051283.018504411</v>
      </c>
      <c r="Y31" s="163">
        <v>13609709.377667353</v>
      </c>
      <c r="Z31" s="163">
        <v>18386742.964143455</v>
      </c>
      <c r="AA31" s="163">
        <v>16635907.026286244</v>
      </c>
      <c r="AB31" s="163">
        <v>-603701.48177564144</v>
      </c>
      <c r="AC31" s="163">
        <v>7121997.094304204</v>
      </c>
      <c r="AD31" s="163">
        <v>12553801.383962527</v>
      </c>
      <c r="AE31" s="163">
        <v>-5933042.8184563667</v>
      </c>
      <c r="AF31" s="163">
        <v>-6148582.5727556646</v>
      </c>
      <c r="AG31" s="163">
        <v>-22074373.795315266</v>
      </c>
    </row>
    <row r="32" spans="1:33" ht="15.75" customHeight="1">
      <c r="C32" s="77" t="s">
        <v>10</v>
      </c>
      <c r="G32" s="77" t="s">
        <v>10</v>
      </c>
      <c r="P32" s="162"/>
      <c r="Q32" s="162">
        <v>15</v>
      </c>
      <c r="R32" s="163">
        <v>-30447531.32685703</v>
      </c>
      <c r="S32" s="163">
        <v>-21019982.851167172</v>
      </c>
      <c r="T32" s="163">
        <v>-17635435.439454123</v>
      </c>
      <c r="U32" s="163">
        <v>-4216739.4204742759</v>
      </c>
      <c r="V32" s="163">
        <v>2350427.5945723355</v>
      </c>
      <c r="W32" s="164">
        <v>5293586.7795465589</v>
      </c>
      <c r="X32" s="163">
        <v>15242029.276631832</v>
      </c>
      <c r="Y32" s="163">
        <v>10143688.086730003</v>
      </c>
      <c r="Z32" s="163">
        <v>12396759.367670953</v>
      </c>
      <c r="AA32" s="163">
        <v>4984249.7225058228</v>
      </c>
      <c r="AB32" s="163">
        <v>20647409.939414501</v>
      </c>
      <c r="AC32" s="163">
        <v>7278949.2096773684</v>
      </c>
      <c r="AD32" s="163">
        <v>-5374201.1572442055</v>
      </c>
      <c r="AE32" s="163">
        <v>-5637517.0887380838</v>
      </c>
      <c r="AF32" s="163">
        <v>-15811769.227096185</v>
      </c>
      <c r="AG32" s="163">
        <v>-12997800.285733387</v>
      </c>
    </row>
    <row r="33" spans="4:33" ht="15.75" customHeight="1">
      <c r="G33" s="77" t="s">
        <v>10</v>
      </c>
      <c r="P33" s="162"/>
      <c r="Q33" s="162">
        <v>16</v>
      </c>
      <c r="R33" s="163">
        <v>-36351578.211927384</v>
      </c>
      <c r="S33" s="163">
        <v>-24545551.147066414</v>
      </c>
      <c r="T33" s="163">
        <v>-13324947.966927841</v>
      </c>
      <c r="U33" s="163">
        <v>-2863343.5208212435</v>
      </c>
      <c r="V33" s="163">
        <v>-10886023.722237468</v>
      </c>
      <c r="W33" s="164">
        <v>-7357136.1353684962</v>
      </c>
      <c r="X33" s="163">
        <v>9818467.9008140415</v>
      </c>
      <c r="Y33" s="163">
        <v>24898788.985640213</v>
      </c>
      <c r="Z33" s="163">
        <v>5252915.4151591808</v>
      </c>
      <c r="AA33" s="163">
        <v>5323859.6796443462</v>
      </c>
      <c r="AB33" s="163">
        <v>10147171.094615161</v>
      </c>
      <c r="AC33" s="163">
        <v>10421466.946831211</v>
      </c>
      <c r="AD33" s="163">
        <v>3525054.4181701243</v>
      </c>
      <c r="AE33" s="163">
        <v>-7114616.1065032035</v>
      </c>
      <c r="AF33" s="163">
        <v>-14071202.942837074</v>
      </c>
      <c r="AG33" s="163">
        <v>-16771118.53881228</v>
      </c>
    </row>
    <row r="34" spans="4:33" ht="15.75" customHeight="1">
      <c r="G34" s="77" t="s">
        <v>10</v>
      </c>
      <c r="P34" s="162"/>
      <c r="Q34" s="162">
        <v>17</v>
      </c>
      <c r="R34" s="163">
        <v>-32809310.882546604</v>
      </c>
      <c r="S34" s="163">
        <v>-17611594.355390489</v>
      </c>
      <c r="T34" s="163">
        <v>-21828287.758631945</v>
      </c>
      <c r="U34" s="163">
        <v>-12647246.355939955</v>
      </c>
      <c r="V34" s="163">
        <v>-8590644.3079030812</v>
      </c>
      <c r="W34" s="164">
        <v>9345937.0638232231</v>
      </c>
      <c r="X34" s="163">
        <v>4784200.1388973594</v>
      </c>
      <c r="Y34" s="163">
        <v>12458809.078226089</v>
      </c>
      <c r="Z34" s="163">
        <v>6251968.8290812522</v>
      </c>
      <c r="AA34" s="163">
        <v>24197012.377343938</v>
      </c>
      <c r="AB34" s="163">
        <v>7192391.8165155798</v>
      </c>
      <c r="AC34" s="163">
        <v>9586761.2308242321</v>
      </c>
      <c r="AD34" s="163">
        <v>-4251349.3841400594</v>
      </c>
      <c r="AE34" s="163">
        <v>-5269692.0410306454</v>
      </c>
      <c r="AF34" s="163">
        <v>-14758443.132368967</v>
      </c>
      <c r="AG34" s="163">
        <v>-22336287.157674611</v>
      </c>
    </row>
    <row r="35" spans="4:33" ht="15.75" customHeight="1">
      <c r="D35" s="77" t="s">
        <v>10</v>
      </c>
      <c r="G35" s="77" t="s">
        <v>10</v>
      </c>
      <c r="P35" s="162"/>
      <c r="Q35" s="162">
        <v>18</v>
      </c>
      <c r="R35" s="163">
        <v>-30291414.173493713</v>
      </c>
      <c r="S35" s="163">
        <v>-34952958.571000457</v>
      </c>
      <c r="T35" s="163">
        <v>-17801000.444448784</v>
      </c>
      <c r="U35" s="163">
        <v>-2748442.5922323018</v>
      </c>
      <c r="V35" s="163">
        <v>8372029.7893923223</v>
      </c>
      <c r="W35" s="164">
        <v>4179153.9277657866</v>
      </c>
      <c r="X35" s="163">
        <v>13216742.310905591</v>
      </c>
      <c r="Y35" s="163">
        <v>15174428.561042592</v>
      </c>
      <c r="Z35" s="163">
        <v>15132017.272098616</v>
      </c>
      <c r="AA35" s="163">
        <v>5578141.5690447241</v>
      </c>
      <c r="AB35" s="163">
        <v>19636318.175075307</v>
      </c>
      <c r="AC35" s="163">
        <v>6873574.8262063414</v>
      </c>
      <c r="AD35" s="163">
        <v>9155881.3951568902</v>
      </c>
      <c r="AE35" s="163">
        <v>-435059.47502465546</v>
      </c>
      <c r="AF35" s="163">
        <v>-2897523.3863703012</v>
      </c>
      <c r="AG35" s="163">
        <v>-22706892.676950738</v>
      </c>
    </row>
    <row r="36" spans="4:33" ht="15.75" customHeight="1">
      <c r="D36" s="77" t="s">
        <v>10</v>
      </c>
      <c r="G36" s="77" t="s">
        <v>10</v>
      </c>
      <c r="P36" s="162"/>
      <c r="Q36" s="162">
        <v>19</v>
      </c>
      <c r="R36" s="163">
        <v>-34440938.577832699</v>
      </c>
      <c r="S36" s="163">
        <v>-20482806.25835374</v>
      </c>
      <c r="T36" s="163">
        <v>-20283491.797537163</v>
      </c>
      <c r="U36" s="163">
        <v>-9512862.2476993352</v>
      </c>
      <c r="V36" s="163">
        <v>3491376.2240309268</v>
      </c>
      <c r="W36" s="164">
        <v>8002628.9234574437</v>
      </c>
      <c r="X36" s="163">
        <v>-543403.81449761987</v>
      </c>
      <c r="Y36" s="163">
        <v>14740229.610942245</v>
      </c>
      <c r="Z36" s="163">
        <v>16890489.208769694</v>
      </c>
      <c r="AA36" s="163">
        <v>19246491.438927621</v>
      </c>
      <c r="AB36" s="163">
        <v>2849207.7624158561</v>
      </c>
      <c r="AC36" s="163">
        <v>14725063.997161567</v>
      </c>
      <c r="AD36" s="163">
        <v>8939018.9852532148</v>
      </c>
      <c r="AE36" s="163">
        <v>-1852766.7827583998</v>
      </c>
      <c r="AF36" s="163">
        <v>-9510489.1674361974</v>
      </c>
      <c r="AG36" s="163">
        <v>-11339354.736486852</v>
      </c>
    </row>
    <row r="37" spans="4:33" ht="15.75" customHeight="1">
      <c r="G37" s="77" t="s">
        <v>10</v>
      </c>
      <c r="P37" s="162"/>
      <c r="Q37" s="162">
        <v>20</v>
      </c>
      <c r="R37" s="163">
        <v>-33371075.487647831</v>
      </c>
      <c r="S37" s="163">
        <v>-31095325.22366105</v>
      </c>
      <c r="T37" s="163">
        <v>-14182855.886561006</v>
      </c>
      <c r="U37" s="163">
        <v>-5698623.5685261041</v>
      </c>
      <c r="V37" s="163">
        <v>1679994.0543382913</v>
      </c>
      <c r="W37" s="164">
        <v>-3395147.6809290051</v>
      </c>
      <c r="X37" s="163">
        <v>7868259.1670118719</v>
      </c>
      <c r="Y37" s="163">
        <v>1575491.5343220085</v>
      </c>
      <c r="Z37" s="163">
        <v>23224862.443875551</v>
      </c>
      <c r="AA37" s="163">
        <v>12296680.060459867</v>
      </c>
      <c r="AB37" s="163">
        <v>957070.00196015835</v>
      </c>
      <c r="AC37" s="163">
        <v>3124488.5064648688</v>
      </c>
      <c r="AD37" s="163">
        <v>-1927785.9566545635</v>
      </c>
      <c r="AE37" s="163">
        <v>-7204076.2209444791</v>
      </c>
      <c r="AF37" s="163">
        <v>-7960799.891859889</v>
      </c>
      <c r="AG37" s="163">
        <v>-18262738.771958247</v>
      </c>
    </row>
    <row r="38" spans="4:33" ht="15.75" customHeight="1">
      <c r="G38" s="77" t="s">
        <v>10</v>
      </c>
      <c r="P38" s="162"/>
      <c r="Q38" s="162">
        <v>21</v>
      </c>
      <c r="R38" s="163">
        <v>-32306949.862219781</v>
      </c>
      <c r="S38" s="163">
        <v>-25480729.595855325</v>
      </c>
      <c r="T38" s="163">
        <v>-22869183.85415116</v>
      </c>
      <c r="U38" s="163">
        <v>-9415058.8410722911</v>
      </c>
      <c r="V38" s="163">
        <v>1821511.3817311227</v>
      </c>
      <c r="W38" s="164">
        <v>3230498.3188201189</v>
      </c>
      <c r="X38" s="163">
        <v>14477939.540321663</v>
      </c>
      <c r="Y38" s="163">
        <v>19007689.439549252</v>
      </c>
      <c r="Z38" s="163">
        <v>15108335.504368857</v>
      </c>
      <c r="AA38" s="163">
        <v>13550239.875817895</v>
      </c>
      <c r="AB38" s="163">
        <v>13653148.045837641</v>
      </c>
      <c r="AC38" s="163">
        <v>3586415.6240507364</v>
      </c>
      <c r="AD38" s="163">
        <v>8756755.8952773511</v>
      </c>
      <c r="AE38" s="163">
        <v>-9636030.9592189491</v>
      </c>
      <c r="AF38" s="163">
        <v>3974466.5981104821</v>
      </c>
      <c r="AG38" s="163">
        <v>-22258304.369551972</v>
      </c>
    </row>
    <row r="39" spans="4:33" ht="15.75" customHeight="1">
      <c r="P39" s="162"/>
      <c r="Q39" s="162">
        <v>22</v>
      </c>
      <c r="R39" s="163">
        <v>-42551665.383078724</v>
      </c>
      <c r="S39" s="163">
        <v>-28176713.203883529</v>
      </c>
      <c r="T39" s="163">
        <v>-14251641.58515349</v>
      </c>
      <c r="U39" s="163">
        <v>-12136214.878112316</v>
      </c>
      <c r="V39" s="163">
        <v>-5543342.8108178228</v>
      </c>
      <c r="W39" s="164">
        <v>12964675.881193042</v>
      </c>
      <c r="X39" s="163">
        <v>-3507337.2466396689</v>
      </c>
      <c r="Y39" s="163">
        <v>12317722.884459078</v>
      </c>
      <c r="Z39" s="163">
        <v>12821074.577489197</v>
      </c>
      <c r="AA39" s="163">
        <v>10431503.145775095</v>
      </c>
      <c r="AB39" s="163">
        <v>7544629.5741569698</v>
      </c>
      <c r="AC39" s="163">
        <v>6477046.2720657289</v>
      </c>
      <c r="AD39" s="163">
        <v>5123308.4042421877</v>
      </c>
      <c r="AE39" s="163">
        <v>-6798933.0476338267</v>
      </c>
      <c r="AF39" s="163">
        <v>-17065117.881552637</v>
      </c>
      <c r="AG39" s="163">
        <v>-21127238.643054426</v>
      </c>
    </row>
    <row r="40" spans="4:33" ht="15.75" customHeight="1">
      <c r="P40" s="162"/>
      <c r="Q40" s="162">
        <v>23</v>
      </c>
      <c r="R40" s="163">
        <v>-35185712.691382915</v>
      </c>
      <c r="S40" s="163">
        <v>-28332426.638122842</v>
      </c>
      <c r="T40" s="163">
        <v>-18707826.007272616</v>
      </c>
      <c r="U40" s="163">
        <v>-14385237.056017444</v>
      </c>
      <c r="V40" s="163">
        <v>-427687.41135857999</v>
      </c>
      <c r="W40" s="164">
        <v>9479823.0730256587</v>
      </c>
      <c r="X40" s="163">
        <v>-1375932.8255943656</v>
      </c>
      <c r="Y40" s="163">
        <v>15004941.741399929</v>
      </c>
      <c r="Z40" s="163">
        <v>4535827.5265954584</v>
      </c>
      <c r="AA40" s="163">
        <v>11060042.491292849</v>
      </c>
      <c r="AB40" s="163">
        <v>2149411.0852814764</v>
      </c>
      <c r="AC40" s="163">
        <v>465466.86116319895</v>
      </c>
      <c r="AD40" s="163">
        <v>3581485.0927868783</v>
      </c>
      <c r="AE40" s="163">
        <v>1211617.8429668695</v>
      </c>
      <c r="AF40" s="163">
        <v>-8189416.0446514636</v>
      </c>
      <c r="AG40" s="163">
        <v>-10190010.160067603</v>
      </c>
    </row>
    <row r="41" spans="4:33" ht="15.75" customHeight="1">
      <c r="P41" s="162"/>
      <c r="Q41" s="162">
        <v>24</v>
      </c>
      <c r="R41" s="163">
        <v>-32133840.94569388</v>
      </c>
      <c r="S41" s="163">
        <v>-20744952.247668788</v>
      </c>
      <c r="T41" s="163">
        <v>-15998736.825047672</v>
      </c>
      <c r="U41" s="163">
        <v>-3949871.0295267552</v>
      </c>
      <c r="V41" s="163">
        <v>5019166.7147478163</v>
      </c>
      <c r="W41" s="164">
        <v>1378835.549180612</v>
      </c>
      <c r="X41" s="163">
        <v>7130695.1838726252</v>
      </c>
      <c r="Y41" s="163">
        <v>9060978.2951254845</v>
      </c>
      <c r="Z41" s="163">
        <v>5180984.1685309261</v>
      </c>
      <c r="AA41" s="163">
        <v>12136680.544355541</v>
      </c>
      <c r="AB41" s="163">
        <v>4150583.9046258032</v>
      </c>
      <c r="AC41" s="163">
        <v>7024650.6395979971</v>
      </c>
      <c r="AD41" s="163">
        <v>1292828.0034500211</v>
      </c>
      <c r="AE41" s="163">
        <v>-8657385.7008815408</v>
      </c>
      <c r="AF41" s="163">
        <v>-10252049.289091259</v>
      </c>
      <c r="AG41" s="163">
        <v>-23692646.803384542</v>
      </c>
    </row>
    <row r="42" spans="4:33" ht="15.75" customHeight="1">
      <c r="P42" s="162"/>
      <c r="Q42" s="162">
        <v>25</v>
      </c>
      <c r="R42" s="163">
        <v>-39100125.091849402</v>
      </c>
      <c r="S42" s="163">
        <v>-25019621.335296303</v>
      </c>
      <c r="T42" s="163">
        <v>-8156939.6895168275</v>
      </c>
      <c r="U42" s="163">
        <v>-12691841.540319309</v>
      </c>
      <c r="V42" s="163">
        <v>854000.16161732376</v>
      </c>
      <c r="W42" s="164">
        <v>6506486.901547581</v>
      </c>
      <c r="X42" s="163">
        <v>13998666.586881086</v>
      </c>
      <c r="Y42" s="163">
        <v>13370665.865481362</v>
      </c>
      <c r="Z42" s="163">
        <v>5212485.8720733225</v>
      </c>
      <c r="AA42" s="163">
        <v>6128003.0279863626</v>
      </c>
      <c r="AB42" s="163">
        <v>5358207.2378366739</v>
      </c>
      <c r="AC42" s="163">
        <v>6038935.4901471436</v>
      </c>
      <c r="AD42" s="163">
        <v>10289497.519916967</v>
      </c>
      <c r="AE42" s="163">
        <v>4553823.1721652448</v>
      </c>
      <c r="AF42" s="163">
        <v>2407236.2668189108</v>
      </c>
      <c r="AG42" s="163">
        <v>-14393288.86276336</v>
      </c>
    </row>
    <row r="43" spans="4:33" ht="15.75" customHeight="1">
      <c r="P43" s="162"/>
      <c r="Q43" s="162">
        <v>26</v>
      </c>
      <c r="R43" s="163">
        <v>-36121729.789659441</v>
      </c>
      <c r="S43" s="163">
        <v>-27034693.634294584</v>
      </c>
      <c r="T43" s="163">
        <v>-6393922.2445857525</v>
      </c>
      <c r="U43" s="163">
        <v>-12591939.639964655</v>
      </c>
      <c r="V43" s="163">
        <v>2631519.2469238639</v>
      </c>
      <c r="W43" s="164">
        <v>-985460.08558255434</v>
      </c>
      <c r="X43" s="163">
        <v>-902301.20830501616</v>
      </c>
      <c r="Y43" s="163">
        <v>556296.41222544014</v>
      </c>
      <c r="Z43" s="163">
        <v>3293169.7215398848</v>
      </c>
      <c r="AA43" s="163">
        <v>9058718.9629668593</v>
      </c>
      <c r="AB43" s="163">
        <v>9816051.0138791502</v>
      </c>
      <c r="AC43" s="163">
        <v>3914135.6850833893</v>
      </c>
      <c r="AD43" s="163">
        <v>3036694.2993646115</v>
      </c>
      <c r="AE43" s="163">
        <v>299728.5892855823</v>
      </c>
      <c r="AF43" s="163">
        <v>-17665489.271274254</v>
      </c>
      <c r="AG43" s="163">
        <v>-8933680.9349473268</v>
      </c>
    </row>
    <row r="44" spans="4:33" ht="15.75" customHeight="1">
      <c r="P44" s="162"/>
      <c r="Q44" s="162">
        <v>27</v>
      </c>
      <c r="R44" s="163">
        <v>-37728448.674685091</v>
      </c>
      <c r="S44" s="163">
        <v>-14014459.58617118</v>
      </c>
      <c r="T44" s="163">
        <v>-22097144.179667085</v>
      </c>
      <c r="U44" s="163">
        <v>-18467005.346952915</v>
      </c>
      <c r="V44" s="163">
        <v>1661378.2796688974</v>
      </c>
      <c r="W44" s="164">
        <v>1180621.2531839609</v>
      </c>
      <c r="X44" s="163">
        <v>8366314.6463424563</v>
      </c>
      <c r="Y44" s="163">
        <v>4151994.9127769321</v>
      </c>
      <c r="Z44" s="163">
        <v>8805612.0323366672</v>
      </c>
      <c r="AA44" s="163">
        <v>3964780.1471975893</v>
      </c>
      <c r="AB44" s="163">
        <v>7196562.0553770214</v>
      </c>
      <c r="AC44" s="163">
        <v>1912525.6208159029</v>
      </c>
      <c r="AD44" s="163">
        <v>6286912.3727555573</v>
      </c>
      <c r="AE44" s="163">
        <v>-9934090.6273741871</v>
      </c>
      <c r="AF44" s="163">
        <v>-13691359.809081957</v>
      </c>
      <c r="AG44" s="163">
        <v>-13093367.067023799</v>
      </c>
    </row>
    <row r="45" spans="4:33" ht="15.75" customHeight="1">
      <c r="P45" s="162"/>
      <c r="Q45" s="162">
        <v>28</v>
      </c>
      <c r="R45" s="163">
        <v>-32571925.275290534</v>
      </c>
      <c r="S45" s="163">
        <v>-24847781.59372279</v>
      </c>
      <c r="T45" s="163">
        <v>-20504575.652310282</v>
      </c>
      <c r="U45" s="163">
        <v>665874.43151861429</v>
      </c>
      <c r="V45" s="163">
        <v>-13638429.220600381</v>
      </c>
      <c r="W45" s="164">
        <v>1650370.7828489542</v>
      </c>
      <c r="X45" s="163">
        <v>546616.35830488801</v>
      </c>
      <c r="Y45" s="163">
        <v>12535239.48494868</v>
      </c>
      <c r="Z45" s="163">
        <v>-1568139.8344649673</v>
      </c>
      <c r="AA45" s="163">
        <v>19624234.255448103</v>
      </c>
      <c r="AB45" s="163">
        <v>8417100.491356194</v>
      </c>
      <c r="AC45" s="163">
        <v>789696.32550957799</v>
      </c>
      <c r="AD45" s="163">
        <v>15675487.870489538</v>
      </c>
      <c r="AE45" s="163">
        <v>-14877767.524190664</v>
      </c>
      <c r="AF45" s="163">
        <v>-2389327.7930740565</v>
      </c>
      <c r="AG45" s="163">
        <v>-13530399.917349398</v>
      </c>
    </row>
    <row r="46" spans="4:33" ht="15.75" customHeight="1">
      <c r="P46" s="162"/>
      <c r="Q46" s="162">
        <v>29</v>
      </c>
      <c r="R46" s="163">
        <v>-39491246.559404954</v>
      </c>
      <c r="S46" s="163">
        <v>-18457606.326238781</v>
      </c>
      <c r="T46" s="163">
        <v>-7091328.9473294467</v>
      </c>
      <c r="U46" s="163">
        <v>-13573333.63971366</v>
      </c>
      <c r="V46" s="163">
        <v>-5312363.9411141127</v>
      </c>
      <c r="W46" s="164">
        <v>-2024253.8435901105</v>
      </c>
      <c r="X46" s="163">
        <v>-1011936.2434249818</v>
      </c>
      <c r="Y46" s="163">
        <v>7990649.8650162816</v>
      </c>
      <c r="Z46" s="163">
        <v>31395050.218373999</v>
      </c>
      <c r="AA46" s="163">
        <v>8124817.3162251264</v>
      </c>
      <c r="AB46" s="163">
        <v>17437308.11613518</v>
      </c>
      <c r="AC46" s="163">
        <v>3612038.2819587737</v>
      </c>
      <c r="AD46" s="163">
        <v>3055386.4306653589</v>
      </c>
      <c r="AE46" s="163">
        <v>-359045.12417827547</v>
      </c>
      <c r="AF46" s="163">
        <v>-8700579.1201483905</v>
      </c>
      <c r="AG46" s="163">
        <v>-18612609.338256687</v>
      </c>
    </row>
    <row r="47" spans="4:33" ht="15.75" customHeight="1">
      <c r="P47" s="162"/>
      <c r="Q47" s="162">
        <v>30</v>
      </c>
      <c r="R47" s="163">
        <v>-37452390.327042103</v>
      </c>
      <c r="S47" s="163">
        <v>-25218363.625918224</v>
      </c>
      <c r="T47" s="163">
        <v>-22721845.017204404</v>
      </c>
      <c r="U47" s="163">
        <v>-8695916.0220101327</v>
      </c>
      <c r="V47" s="163">
        <v>1188528.2119154036</v>
      </c>
      <c r="W47" s="164">
        <v>1240928.8443467617</v>
      </c>
      <c r="X47" s="163">
        <v>3621595.6919731051</v>
      </c>
      <c r="Y47" s="163">
        <v>13712152.623881415</v>
      </c>
      <c r="Z47" s="163">
        <v>10666226.965559945</v>
      </c>
      <c r="AA47" s="163">
        <v>10677829.162300617</v>
      </c>
      <c r="AB47" s="163">
        <v>12498266.560521409</v>
      </c>
      <c r="AC47" s="163">
        <v>2249496.8094220757</v>
      </c>
      <c r="AD47" s="163">
        <v>2789277.9409916103</v>
      </c>
      <c r="AE47" s="163">
        <v>-7782273.6223377883</v>
      </c>
      <c r="AF47" s="163">
        <v>-12884583.853875697</v>
      </c>
      <c r="AG47" s="163">
        <v>-24636735.556514487</v>
      </c>
    </row>
    <row r="48" spans="4:33" ht="15.75" customHeight="1">
      <c r="P48" s="162"/>
      <c r="Q48" s="162">
        <v>31</v>
      </c>
      <c r="R48" s="163">
        <v>-28230911.136094034</v>
      </c>
      <c r="S48" s="163">
        <v>-20625481.676398307</v>
      </c>
      <c r="T48" s="163">
        <v>-17124217.274594277</v>
      </c>
      <c r="U48" s="163">
        <v>-11162634.764170364</v>
      </c>
      <c r="V48" s="163">
        <v>1954941.7980679721</v>
      </c>
      <c r="W48" s="164">
        <v>10352657.044506386</v>
      </c>
      <c r="X48" s="163">
        <v>13890896.935732558</v>
      </c>
      <c r="Y48" s="163">
        <v>14981723.421343669</v>
      </c>
      <c r="Z48" s="163">
        <v>12845991.034319118</v>
      </c>
      <c r="AA48" s="163">
        <v>15310535.476535484</v>
      </c>
      <c r="AB48" s="163">
        <v>19025878.584011197</v>
      </c>
      <c r="AC48" s="163">
        <v>943281.10417507589</v>
      </c>
      <c r="AD48" s="163">
        <v>4577105.6411271691</v>
      </c>
      <c r="AE48" s="163">
        <v>7876814.8807820231</v>
      </c>
      <c r="AF48" s="163">
        <v>-1724359.751938954</v>
      </c>
      <c r="AG48" s="163">
        <v>-23131515.916555062</v>
      </c>
    </row>
    <row r="49" spans="16:33" ht="15.75" customHeight="1">
      <c r="P49" s="162"/>
      <c r="Q49" s="162">
        <v>32</v>
      </c>
      <c r="R49" s="163">
        <v>-39781982.118612453</v>
      </c>
      <c r="S49" s="163">
        <v>-22571695.909843549</v>
      </c>
      <c r="T49" s="163">
        <v>-12756972.809673622</v>
      </c>
      <c r="U49" s="163">
        <v>-5993967.2039467394</v>
      </c>
      <c r="V49" s="163">
        <v>-10035637.650257319</v>
      </c>
      <c r="W49" s="164">
        <v>6301053.0381571949</v>
      </c>
      <c r="X49" s="163">
        <v>9993297.1992743164</v>
      </c>
      <c r="Y49" s="163">
        <v>11938892.370936126</v>
      </c>
      <c r="Z49" s="163">
        <v>10637007.705396801</v>
      </c>
      <c r="AA49" s="163">
        <v>17393105.550558984</v>
      </c>
      <c r="AB49" s="163">
        <v>7520498.0577709079</v>
      </c>
      <c r="AC49" s="163">
        <v>4354347.827887103</v>
      </c>
      <c r="AD49" s="163">
        <v>4172296.6932186484</v>
      </c>
      <c r="AE49" s="163">
        <v>-983711.41247874498</v>
      </c>
      <c r="AF49" s="163">
        <v>-11084600.748991475</v>
      </c>
      <c r="AG49" s="163">
        <v>-25648449.303222165</v>
      </c>
    </row>
    <row r="50" spans="16:33" ht="15.75" customHeight="1">
      <c r="P50" s="162"/>
      <c r="Q50" s="162">
        <v>33</v>
      </c>
      <c r="R50" s="163">
        <v>-32246520.427604318</v>
      </c>
      <c r="S50" s="163">
        <v>-22725893.081835002</v>
      </c>
      <c r="T50" s="163">
        <v>-12847096.893368363</v>
      </c>
      <c r="U50" s="163">
        <v>-18440328.361161858</v>
      </c>
      <c r="V50" s="163">
        <v>8605359.9953229129</v>
      </c>
      <c r="W50" s="164">
        <v>-4364782.722427085</v>
      </c>
      <c r="X50" s="163">
        <v>13277638.778600484</v>
      </c>
      <c r="Y50" s="163">
        <v>20578673.847675264</v>
      </c>
      <c r="Z50" s="163">
        <v>24573404.944962606</v>
      </c>
      <c r="AA50" s="163">
        <v>3155501.5248641372</v>
      </c>
      <c r="AB50" s="163">
        <v>9444537.1100808084</v>
      </c>
      <c r="AC50" s="163">
        <v>3228043.6935467571</v>
      </c>
      <c r="AD50" s="163">
        <v>500955.97715972364</v>
      </c>
      <c r="AE50" s="163">
        <v>-147285.71209707856</v>
      </c>
      <c r="AF50" s="163">
        <v>-12898516.216534361</v>
      </c>
      <c r="AG50" s="163">
        <v>-16721566.795829743</v>
      </c>
    </row>
    <row r="51" spans="16:33" ht="15.75" customHeight="1">
      <c r="P51" s="162"/>
      <c r="Q51" s="162">
        <v>34</v>
      </c>
      <c r="R51" s="163">
        <v>-35645448.201017469</v>
      </c>
      <c r="S51" s="163">
        <v>-24202148.807151079</v>
      </c>
      <c r="T51" s="163">
        <v>-14931892.841402993</v>
      </c>
      <c r="U51" s="163">
        <v>-11399738.091042459</v>
      </c>
      <c r="V51" s="163">
        <v>609832.73726297915</v>
      </c>
      <c r="W51" s="164">
        <v>-81420.904383510351</v>
      </c>
      <c r="X51" s="163">
        <v>9332613.4972621799</v>
      </c>
      <c r="Y51" s="163">
        <v>12348562.649744883</v>
      </c>
      <c r="Z51" s="163">
        <v>13127250.52422525</v>
      </c>
      <c r="AA51" s="163">
        <v>16549440.908044919</v>
      </c>
      <c r="AB51" s="163">
        <v>16034812.008151174</v>
      </c>
      <c r="AC51" s="163">
        <v>3789002.769145757</v>
      </c>
      <c r="AD51" s="163">
        <v>3535714.4063614458</v>
      </c>
      <c r="AE51" s="163">
        <v>-7421828.9882892668</v>
      </c>
      <c r="AF51" s="163">
        <v>-5570941.9324864447</v>
      </c>
      <c r="AG51" s="163">
        <v>-10644715.119875476</v>
      </c>
    </row>
    <row r="52" spans="16:33" ht="15.75" customHeight="1">
      <c r="P52" s="162"/>
      <c r="Q52" s="162">
        <v>35</v>
      </c>
      <c r="R52" s="163">
        <v>-34818305.323323846</v>
      </c>
      <c r="S52" s="163">
        <v>-22339755.103638753</v>
      </c>
      <c r="T52" s="163">
        <v>-16023731.120647267</v>
      </c>
      <c r="U52" s="163">
        <v>-9352536.5977229625</v>
      </c>
      <c r="V52" s="163">
        <v>5447535.3304364383</v>
      </c>
      <c r="W52" s="164">
        <v>-3940986.1696380377</v>
      </c>
      <c r="X52" s="163">
        <v>18128799.418832242</v>
      </c>
      <c r="Y52" s="163">
        <v>23035534.401101515</v>
      </c>
      <c r="Z52" s="163">
        <v>9191446.8909189105</v>
      </c>
      <c r="AA52" s="163">
        <v>2171808.6425012052</v>
      </c>
      <c r="AB52" s="163">
        <v>10583770.191133827</v>
      </c>
      <c r="AC52" s="163">
        <v>-614962.06804569066</v>
      </c>
      <c r="AD52" s="163">
        <v>-2937105.446656242</v>
      </c>
      <c r="AE52" s="163">
        <v>312057.97514785826</v>
      </c>
      <c r="AF52" s="163">
        <v>-15555216.205138147</v>
      </c>
      <c r="AG52" s="163">
        <v>-19137821.269583851</v>
      </c>
    </row>
    <row r="53" spans="16:33" ht="15.75" customHeight="1">
      <c r="P53" s="162"/>
      <c r="Q53" s="162">
        <v>36</v>
      </c>
      <c r="R53" s="163">
        <v>-31045239.492329866</v>
      </c>
      <c r="S53" s="163">
        <v>-21332467.249567702</v>
      </c>
      <c r="T53" s="163">
        <v>-14006806.538811192</v>
      </c>
      <c r="U53" s="163">
        <v>-7787647.0829546303</v>
      </c>
      <c r="V53" s="163">
        <v>-6296856.9704238325</v>
      </c>
      <c r="W53" s="164">
        <v>3203936.192982316</v>
      </c>
      <c r="X53" s="163">
        <v>12511318.147926748</v>
      </c>
      <c r="Y53" s="163">
        <v>9209339.3018605709</v>
      </c>
      <c r="Z53" s="163">
        <v>2028823.8481062651</v>
      </c>
      <c r="AA53" s="163">
        <v>5102971.3586261272</v>
      </c>
      <c r="AB53" s="163">
        <v>3903947.358173281</v>
      </c>
      <c r="AC53" s="163">
        <v>6609741.8209389001</v>
      </c>
      <c r="AD53" s="163">
        <v>5169094.2554029673</v>
      </c>
      <c r="AE53" s="163">
        <v>-9161667.8960763216</v>
      </c>
      <c r="AF53" s="163">
        <v>-8289254.6875402778</v>
      </c>
      <c r="AG53" s="163">
        <v>-18269543.012609348</v>
      </c>
    </row>
    <row r="54" spans="16:33" ht="15.75" customHeight="1">
      <c r="P54" s="162"/>
      <c r="Q54" s="162">
        <v>37</v>
      </c>
      <c r="R54" s="163">
        <v>-31211186.219358847</v>
      </c>
      <c r="S54" s="163">
        <v>-28275980.076796293</v>
      </c>
      <c r="T54" s="163">
        <v>-12118004.630217776</v>
      </c>
      <c r="U54" s="163">
        <v>-8115527.7824421227</v>
      </c>
      <c r="V54" s="163">
        <v>-717895.68059059978</v>
      </c>
      <c r="W54" s="164">
        <v>5580028.2682451159</v>
      </c>
      <c r="X54" s="163">
        <v>5335146.6681116968</v>
      </c>
      <c r="Y54" s="163">
        <v>16105985.71282509</v>
      </c>
      <c r="Z54" s="163">
        <v>7606291.6518734694</v>
      </c>
      <c r="AA54" s="163">
        <v>20645246.160708249</v>
      </c>
      <c r="AB54" s="163">
        <v>16268221.263548642</v>
      </c>
      <c r="AC54" s="163">
        <v>10033541.427836686</v>
      </c>
      <c r="AD54" s="163">
        <v>3363585.141068995</v>
      </c>
      <c r="AE54" s="163">
        <v>2125977.9833495468</v>
      </c>
      <c r="AF54" s="163">
        <v>-11414394.146670222</v>
      </c>
      <c r="AG54" s="163">
        <v>-23577757.983139277</v>
      </c>
    </row>
    <row r="55" spans="16:33" ht="15.75" customHeight="1">
      <c r="P55" s="162"/>
      <c r="Q55" s="162">
        <v>38</v>
      </c>
      <c r="R55" s="163">
        <v>-37539917.911798239</v>
      </c>
      <c r="S55" s="163">
        <v>-23276131.701730505</v>
      </c>
      <c r="T55" s="163">
        <v>-10952019.169917703</v>
      </c>
      <c r="U55" s="163">
        <v>-2148478.9006837606</v>
      </c>
      <c r="V55" s="163">
        <v>-10516795.251537889</v>
      </c>
      <c r="W55" s="164">
        <v>8615647.3436938524</v>
      </c>
      <c r="X55" s="163">
        <v>17299998.491295144</v>
      </c>
      <c r="Y55" s="163">
        <v>7463502.5948879868</v>
      </c>
      <c r="Z55" s="163">
        <v>14170411.724404842</v>
      </c>
      <c r="AA55" s="163">
        <v>10541396.811133996</v>
      </c>
      <c r="AB55" s="163">
        <v>11118859.073444456</v>
      </c>
      <c r="AC55" s="163">
        <v>11045846.215643063</v>
      </c>
      <c r="AD55" s="163">
        <v>633195.70601928234</v>
      </c>
      <c r="AE55" s="163">
        <v>-8113581.9877239466</v>
      </c>
      <c r="AF55" s="163">
        <v>-11524570.5132581</v>
      </c>
      <c r="AG55" s="163">
        <v>-20258907.39572309</v>
      </c>
    </row>
    <row r="56" spans="16:33" ht="15.75" customHeight="1">
      <c r="P56" s="162"/>
      <c r="Q56" s="162">
        <v>39</v>
      </c>
      <c r="R56" s="163">
        <v>-33407821.05283004</v>
      </c>
      <c r="S56" s="163">
        <v>-27655767.135321915</v>
      </c>
      <c r="T56" s="163">
        <v>-15292181.820942357</v>
      </c>
      <c r="U56" s="163">
        <v>-12226964.629252791</v>
      </c>
      <c r="V56" s="163">
        <v>-1997010.0655379295</v>
      </c>
      <c r="W56" s="164">
        <v>5036739.9235396385</v>
      </c>
      <c r="X56" s="163">
        <v>752597.71657931805</v>
      </c>
      <c r="Y56" s="163">
        <v>15647470.575494424</v>
      </c>
      <c r="Z56" s="163">
        <v>6993092.3386664391</v>
      </c>
      <c r="AA56" s="163">
        <v>24150877.078349739</v>
      </c>
      <c r="AB56" s="163">
        <v>2605205.129368186</v>
      </c>
      <c r="AC56" s="163">
        <v>7732554.6188034564</v>
      </c>
      <c r="AD56" s="163">
        <v>-8497479.4316297472</v>
      </c>
      <c r="AE56" s="163">
        <v>-3387468.5925778151</v>
      </c>
      <c r="AF56" s="163">
        <v>-11877403.02510345</v>
      </c>
      <c r="AG56" s="163">
        <v>-21361835.822582349</v>
      </c>
    </row>
    <row r="57" spans="16:33" ht="15.75" customHeight="1">
      <c r="P57" s="162"/>
      <c r="Q57" s="162">
        <v>40</v>
      </c>
      <c r="R57" s="163">
        <v>-36603162.092482194</v>
      </c>
      <c r="S57" s="163">
        <v>-25873686.040231705</v>
      </c>
      <c r="T57" s="163">
        <v>-22186459.293230101</v>
      </c>
      <c r="U57" s="163">
        <v>-14832491.393868297</v>
      </c>
      <c r="V57" s="163">
        <v>-9304925.0108463019</v>
      </c>
      <c r="W57" s="164">
        <v>4415150.9085115343</v>
      </c>
      <c r="X57" s="163">
        <v>4772828.3724729568</v>
      </c>
      <c r="Y57" s="163">
        <v>10907641.837172925</v>
      </c>
      <c r="Z57" s="163">
        <v>2129856.6875350773</v>
      </c>
      <c r="AA57" s="163">
        <v>12162144.468045682</v>
      </c>
      <c r="AB57" s="163">
        <v>6460641.0085554421</v>
      </c>
      <c r="AC57" s="163">
        <v>3715104.7322894484</v>
      </c>
      <c r="AD57" s="163">
        <v>12285076.848502517</v>
      </c>
      <c r="AE57" s="163">
        <v>-5539480.9379522204</v>
      </c>
      <c r="AF57" s="163">
        <v>-11017597.040873215</v>
      </c>
      <c r="AG57" s="163">
        <v>-10579401.515861586</v>
      </c>
    </row>
    <row r="58" spans="16:33" ht="15.75" customHeight="1">
      <c r="P58" s="162"/>
      <c r="Q58" s="162">
        <v>41</v>
      </c>
      <c r="R58" s="163">
        <v>-32656611.61886853</v>
      </c>
      <c r="S58" s="163">
        <v>-23935566.968399033</v>
      </c>
      <c r="T58" s="163">
        <v>-18264353.741707236</v>
      </c>
      <c r="U58" s="163">
        <v>-12065279.726101443</v>
      </c>
      <c r="V58" s="163">
        <v>-322719.17509144545</v>
      </c>
      <c r="W58" s="164">
        <v>-759053.94474157691</v>
      </c>
      <c r="X58" s="163">
        <v>12285912.126336843</v>
      </c>
      <c r="Y58" s="163">
        <v>16571735.465720966</v>
      </c>
      <c r="Z58" s="163">
        <v>14913653.978718743</v>
      </c>
      <c r="AA58" s="163">
        <v>11827439.473298103</v>
      </c>
      <c r="AB58" s="163">
        <v>3572468.7897244692</v>
      </c>
      <c r="AC58" s="163">
        <v>12691445.09282726</v>
      </c>
      <c r="AD58" s="163">
        <v>2753860.7476782352</v>
      </c>
      <c r="AE58" s="163">
        <v>-5164615.5102308542</v>
      </c>
      <c r="AF58" s="163">
        <v>-5251853.6416641474</v>
      </c>
      <c r="AG58" s="163">
        <v>-23208554.992340803</v>
      </c>
    </row>
    <row r="59" spans="16:33" ht="15.75" customHeight="1">
      <c r="P59" s="162"/>
      <c r="Q59" s="162">
        <v>42</v>
      </c>
      <c r="R59" s="163">
        <v>-44341995.71165213</v>
      </c>
      <c r="S59" s="163">
        <v>-31598417.942284733</v>
      </c>
      <c r="T59" s="163">
        <v>-11163367.304858685</v>
      </c>
      <c r="U59" s="163">
        <v>-8532494.4727650732</v>
      </c>
      <c r="V59" s="163">
        <v>-5292676.1342393756</v>
      </c>
      <c r="W59" s="164">
        <v>9797716.1972747743</v>
      </c>
      <c r="X59" s="163">
        <v>5919970.7811044306</v>
      </c>
      <c r="Y59" s="163">
        <v>8344817.349497214</v>
      </c>
      <c r="Z59" s="163">
        <v>14107979.440097302</v>
      </c>
      <c r="AA59" s="163">
        <v>14646404.369778097</v>
      </c>
      <c r="AB59" s="163">
        <v>10897584.299446777</v>
      </c>
      <c r="AC59" s="163">
        <v>13883157.756838664</v>
      </c>
      <c r="AD59" s="163">
        <v>1154684.6563138366</v>
      </c>
      <c r="AE59" s="163">
        <v>-7936248.3005359322</v>
      </c>
      <c r="AF59" s="163">
        <v>-5738143.3120009005</v>
      </c>
      <c r="AG59" s="163">
        <v>-21481396.066971838</v>
      </c>
    </row>
    <row r="60" spans="16:33" ht="15.75" customHeight="1">
      <c r="P60" s="162"/>
      <c r="Q60" s="162">
        <v>43</v>
      </c>
      <c r="R60" s="163">
        <v>-41858509.690154552</v>
      </c>
      <c r="S60" s="163">
        <v>-29019592.192963809</v>
      </c>
      <c r="T60" s="163">
        <v>-19676947.835505947</v>
      </c>
      <c r="U60" s="163">
        <v>-4951291.9986661226</v>
      </c>
      <c r="V60" s="163">
        <v>3458271.7556197494</v>
      </c>
      <c r="W60" s="164">
        <v>1839548.8495055884</v>
      </c>
      <c r="X60" s="163">
        <v>11468654.907605112</v>
      </c>
      <c r="Y60" s="163">
        <v>3267080.0790139437</v>
      </c>
      <c r="Z60" s="163">
        <v>20232620.288892552</v>
      </c>
      <c r="AA60" s="163">
        <v>10550797.208480597</v>
      </c>
      <c r="AB60" s="163">
        <v>12481202.066001102</v>
      </c>
      <c r="AC60" s="163">
        <v>8206560.6531630456</v>
      </c>
      <c r="AD60" s="163">
        <v>1557599.1184096932</v>
      </c>
      <c r="AE60" s="163">
        <v>-6376296.3626473397</v>
      </c>
      <c r="AF60" s="163">
        <v>-8630832.8487070203</v>
      </c>
      <c r="AG60" s="163">
        <v>-21037672.557873487</v>
      </c>
    </row>
    <row r="61" spans="16:33" ht="15.75" customHeight="1">
      <c r="P61" s="162"/>
      <c r="Q61" s="162">
        <v>44</v>
      </c>
      <c r="R61" s="163">
        <v>-35445066.547116429</v>
      </c>
      <c r="S61" s="163">
        <v>-25243669.806391254</v>
      </c>
      <c r="T61" s="163">
        <v>-14125543.050430223</v>
      </c>
      <c r="U61" s="163">
        <v>-10974381.012509674</v>
      </c>
      <c r="V61" s="163">
        <v>-2888499.9328917861</v>
      </c>
      <c r="W61" s="164">
        <v>-2292945.1790104061</v>
      </c>
      <c r="X61" s="163">
        <v>10358396.622471124</v>
      </c>
      <c r="Y61" s="163">
        <v>12003480.795182347</v>
      </c>
      <c r="Z61" s="163">
        <v>16702043.045674786</v>
      </c>
      <c r="AA61" s="163">
        <v>3980483.3421208411</v>
      </c>
      <c r="AB61" s="163">
        <v>13934244.213900596</v>
      </c>
      <c r="AC61" s="163">
        <v>8651915.0512758195</v>
      </c>
      <c r="AD61" s="163">
        <v>10586927.617314845</v>
      </c>
      <c r="AE61" s="163">
        <v>-7233188.8538244814</v>
      </c>
      <c r="AF61" s="163">
        <v>-20502966.547543481</v>
      </c>
      <c r="AG61" s="163">
        <v>-22722325.558286086</v>
      </c>
    </row>
    <row r="62" spans="16:33" ht="15.75" customHeight="1">
      <c r="P62" s="162"/>
      <c r="Q62" s="162">
        <v>45</v>
      </c>
      <c r="R62" s="163">
        <v>-34981167.053172141</v>
      </c>
      <c r="S62" s="163">
        <v>-23097474.912589222</v>
      </c>
      <c r="T62" s="163">
        <v>-27162670.269753605</v>
      </c>
      <c r="U62" s="163">
        <v>-8156745.4582886845</v>
      </c>
      <c r="V62" s="163">
        <v>3868425.8889398575</v>
      </c>
      <c r="W62" s="164">
        <v>-1163163.7805126309</v>
      </c>
      <c r="X62" s="163">
        <v>6715898.6941367984</v>
      </c>
      <c r="Y62" s="163">
        <v>3950493.9380681515</v>
      </c>
      <c r="Z62" s="163">
        <v>14102468.788693607</v>
      </c>
      <c r="AA62" s="163">
        <v>21480427.681550488</v>
      </c>
      <c r="AB62" s="163">
        <v>2997177.640872255</v>
      </c>
      <c r="AC62" s="163">
        <v>16075539.522999749</v>
      </c>
      <c r="AD62" s="163">
        <v>1363660.9834650308</v>
      </c>
      <c r="AE62" s="163">
        <v>5888565.3109277785</v>
      </c>
      <c r="AF62" s="163">
        <v>-9627812.2875753343</v>
      </c>
      <c r="AG62" s="163">
        <v>-23226532.54315117</v>
      </c>
    </row>
    <row r="63" spans="16:33" ht="15.75" customHeight="1">
      <c r="P63" s="162"/>
      <c r="Q63" s="162">
        <v>46</v>
      </c>
      <c r="R63" s="163">
        <v>-33359564.971547782</v>
      </c>
      <c r="S63" s="163">
        <v>-19892354.286030769</v>
      </c>
      <c r="T63" s="163">
        <v>-17934134.659938321</v>
      </c>
      <c r="U63" s="163">
        <v>-11401926.164564416</v>
      </c>
      <c r="V63" s="163">
        <v>-1315118.6021888852</v>
      </c>
      <c r="W63" s="164">
        <v>6947774.0102962106</v>
      </c>
      <c r="X63" s="163">
        <v>10869438.326552108</v>
      </c>
      <c r="Y63" s="163">
        <v>15392897.519899011</v>
      </c>
      <c r="Z63" s="163">
        <v>8825575.5895797759</v>
      </c>
      <c r="AA63" s="163">
        <v>11351801.498982951</v>
      </c>
      <c r="AB63" s="163">
        <v>20489499.523915797</v>
      </c>
      <c r="AC63" s="163">
        <v>3135747.8718570173</v>
      </c>
      <c r="AD63" s="163">
        <v>11050654.14614892</v>
      </c>
      <c r="AE63" s="163">
        <v>-7146414.4450261891</v>
      </c>
      <c r="AF63" s="163">
        <v>-6491018.6931647062</v>
      </c>
      <c r="AG63" s="163">
        <v>-19132300.90262112</v>
      </c>
    </row>
    <row r="64" spans="16:33" ht="15.75" customHeight="1">
      <c r="P64" s="162"/>
      <c r="Q64" s="162">
        <v>47</v>
      </c>
      <c r="R64" s="163">
        <v>-39166755.825928688</v>
      </c>
      <c r="S64" s="163">
        <v>-28608787.209320232</v>
      </c>
      <c r="T64" s="163">
        <v>-11944594.248540938</v>
      </c>
      <c r="U64" s="163">
        <v>-15074695.884859011</v>
      </c>
      <c r="V64" s="163">
        <v>1950270.8723610193</v>
      </c>
      <c r="W64" s="164">
        <v>7489754.0154692382</v>
      </c>
      <c r="X64" s="163">
        <v>-740443.97328671813</v>
      </c>
      <c r="Y64" s="163">
        <v>4939436.1570249647</v>
      </c>
      <c r="Z64" s="163">
        <v>15845537.556041703</v>
      </c>
      <c r="AA64" s="163">
        <v>19527406.596039191</v>
      </c>
      <c r="AB64" s="163">
        <v>15614534.674534723</v>
      </c>
      <c r="AC64" s="163">
        <v>11979293.064922109</v>
      </c>
      <c r="AD64" s="163">
        <v>3519514.5275956094</v>
      </c>
      <c r="AE64" s="163">
        <v>-615540.75526343286</v>
      </c>
      <c r="AF64" s="163">
        <v>-11040588.674351618</v>
      </c>
      <c r="AG64" s="163">
        <v>-21811297.039535165</v>
      </c>
    </row>
    <row r="65" spans="16:33" ht="15.75" customHeight="1">
      <c r="P65" s="162"/>
      <c r="Q65" s="162">
        <v>48</v>
      </c>
      <c r="R65" s="163">
        <v>-34098733.110945597</v>
      </c>
      <c r="S65" s="163">
        <v>-17427086.942234576</v>
      </c>
      <c r="T65" s="163">
        <v>-5813034.9356495142</v>
      </c>
      <c r="U65" s="163">
        <v>-16719089.86650686</v>
      </c>
      <c r="V65" s="163">
        <v>-5844985.8023670763</v>
      </c>
      <c r="W65" s="164">
        <v>6860927.5507175028</v>
      </c>
      <c r="X65" s="163">
        <v>-1236237.7497627437</v>
      </c>
      <c r="Y65" s="163">
        <v>18768832.206579968</v>
      </c>
      <c r="Z65" s="163">
        <v>11396814.089460477</v>
      </c>
      <c r="AA65" s="163">
        <v>18126052.271056145</v>
      </c>
      <c r="AB65" s="163">
        <v>7447960.3815933615</v>
      </c>
      <c r="AC65" s="163">
        <v>-1012095.168049261</v>
      </c>
      <c r="AD65" s="163">
        <v>-3062751.2790569812</v>
      </c>
      <c r="AE65" s="163">
        <v>-169743.4060792625</v>
      </c>
      <c r="AF65" s="163">
        <v>-6311015.0331569165</v>
      </c>
      <c r="AG65" s="163">
        <v>-17498937.036351442</v>
      </c>
    </row>
    <row r="66" spans="16:33" ht="15.75" customHeight="1">
      <c r="P66" s="162"/>
      <c r="Q66" s="162">
        <v>49</v>
      </c>
      <c r="R66" s="163">
        <v>-36044262.773341268</v>
      </c>
      <c r="S66" s="163">
        <v>-32683828.154566213</v>
      </c>
      <c r="T66" s="163">
        <v>-18652330.988178104</v>
      </c>
      <c r="U66" s="163">
        <v>-14008880.460654974</v>
      </c>
      <c r="V66" s="163">
        <v>-588364.92191895843</v>
      </c>
      <c r="W66" s="164">
        <v>-2986539.1162844747</v>
      </c>
      <c r="X66" s="163">
        <v>-1938338.4881241918</v>
      </c>
      <c r="Y66" s="163">
        <v>12448953.12985006</v>
      </c>
      <c r="Z66" s="163">
        <v>16330758.863537416</v>
      </c>
      <c r="AA66" s="163">
        <v>10143658.936907396</v>
      </c>
      <c r="AB66" s="163">
        <v>11183553.949029893</v>
      </c>
      <c r="AC66" s="163">
        <v>14807959.458661601</v>
      </c>
      <c r="AD66" s="163">
        <v>12132078.783511683</v>
      </c>
      <c r="AE66" s="163">
        <v>-1061158.627790466</v>
      </c>
      <c r="AF66" s="163">
        <v>-14073071.802361473</v>
      </c>
      <c r="AG66" s="163">
        <v>-25257683.563690037</v>
      </c>
    </row>
    <row r="67" spans="16:33" ht="15.75" customHeight="1">
      <c r="P67" s="162"/>
      <c r="Q67" s="162">
        <v>50</v>
      </c>
      <c r="R67" s="163">
        <v>-35377122.746331334</v>
      </c>
      <c r="S67" s="163">
        <v>-38474714.581460178</v>
      </c>
      <c r="T67" s="163">
        <v>-19844604.35349758</v>
      </c>
      <c r="U67" s="163">
        <v>-8104208.7937209159</v>
      </c>
      <c r="V67" s="163">
        <v>5492181.3528790027</v>
      </c>
      <c r="W67" s="164">
        <v>2901140.9969087243</v>
      </c>
      <c r="X67" s="163">
        <v>14587189.213814393</v>
      </c>
      <c r="Y67" s="163">
        <v>-1250263.5553778708</v>
      </c>
      <c r="Z67" s="163">
        <v>7327874.1389709413</v>
      </c>
      <c r="AA67" s="163">
        <v>12527939.841842845</v>
      </c>
      <c r="AB67" s="163">
        <v>5366935.8686615527</v>
      </c>
      <c r="AC67" s="163">
        <v>7229598.8081418276</v>
      </c>
      <c r="AD67" s="163">
        <v>-1275072.1295299083</v>
      </c>
      <c r="AE67" s="163">
        <v>-1974126.2044926584</v>
      </c>
      <c r="AF67" s="163">
        <v>-11184889.321320102</v>
      </c>
      <c r="AG67" s="163">
        <v>-10572723.8827319</v>
      </c>
    </row>
    <row r="68" spans="16:33" ht="15.75" customHeight="1">
      <c r="P68" s="162"/>
      <c r="Q68" s="162">
        <v>51</v>
      </c>
      <c r="R68" s="163">
        <v>-37992330.935614213</v>
      </c>
      <c r="S68" s="163">
        <v>-15498867.441711009</v>
      </c>
      <c r="T68" s="163">
        <v>-17167702.189332455</v>
      </c>
      <c r="U68" s="163">
        <v>-9858701.7643773556</v>
      </c>
      <c r="V68" s="163">
        <v>-11074856.015999839</v>
      </c>
      <c r="W68" s="164">
        <v>-3833583.698016718</v>
      </c>
      <c r="X68" s="163">
        <v>3217860.3333452195</v>
      </c>
      <c r="Y68" s="163">
        <v>21472825.372730315</v>
      </c>
      <c r="Z68" s="163">
        <v>8635392.3251232207</v>
      </c>
      <c r="AA68" s="163">
        <v>2109462.2883090079</v>
      </c>
      <c r="AB68" s="163">
        <v>2132838.5107913464</v>
      </c>
      <c r="AC68" s="163">
        <v>-672374.85096305609</v>
      </c>
      <c r="AD68" s="163">
        <v>-1457050.915766418</v>
      </c>
      <c r="AE68" s="163">
        <v>1229142.8306555003</v>
      </c>
      <c r="AF68" s="163">
        <v>-14857973.256912902</v>
      </c>
      <c r="AG68" s="163">
        <v>-15769545.079817414</v>
      </c>
    </row>
    <row r="69" spans="16:33" ht="15.75" customHeight="1">
      <c r="P69" s="162"/>
      <c r="Q69" s="162">
        <v>52</v>
      </c>
      <c r="R69" s="163">
        <v>-35172395.880628377</v>
      </c>
      <c r="S69" s="163">
        <v>-27865925.108758554</v>
      </c>
      <c r="T69" s="163">
        <v>-19217613.523027614</v>
      </c>
      <c r="U69" s="163">
        <v>-10915527.861105159</v>
      </c>
      <c r="V69" s="163">
        <v>5365906.0711146146</v>
      </c>
      <c r="W69" s="164">
        <v>2731104.1161931604</v>
      </c>
      <c r="X69" s="163">
        <v>2054925.0811352879</v>
      </c>
      <c r="Y69" s="163">
        <v>12459895.857310295</v>
      </c>
      <c r="Z69" s="163">
        <v>14457982.411898196</v>
      </c>
      <c r="AA69" s="163">
        <v>22280733.178161874</v>
      </c>
      <c r="AB69" s="163">
        <v>13056954.909705684</v>
      </c>
      <c r="AC69" s="163">
        <v>15007580.300616324</v>
      </c>
      <c r="AD69" s="163">
        <v>3689059.8117448837</v>
      </c>
      <c r="AE69" s="163">
        <v>-1803023.0253659934</v>
      </c>
      <c r="AF69" s="163">
        <v>-21407684.852849364</v>
      </c>
      <c r="AG69" s="163">
        <v>-18476806.444462135</v>
      </c>
    </row>
    <row r="70" spans="16:33" ht="15.75" customHeight="1">
      <c r="P70" s="162"/>
      <c r="Q70" s="162">
        <v>53</v>
      </c>
      <c r="R70" s="163">
        <v>-32246516.269439399</v>
      </c>
      <c r="S70" s="163">
        <v>-31217162.115946546</v>
      </c>
      <c r="T70" s="163">
        <v>-7774390.5993053615</v>
      </c>
      <c r="U70" s="163">
        <v>-11561840.596189514</v>
      </c>
      <c r="V70" s="163">
        <v>-9738570.5846195668</v>
      </c>
      <c r="W70" s="164">
        <v>11070762.727902919</v>
      </c>
      <c r="X70" s="163">
        <v>17998831.077858552</v>
      </c>
      <c r="Y70" s="163">
        <v>14557004.81987837</v>
      </c>
      <c r="Z70" s="163">
        <v>10521704.834958628</v>
      </c>
      <c r="AA70" s="163">
        <v>7956449.2956478149</v>
      </c>
      <c r="AB70" s="163">
        <v>2360019.3215466738</v>
      </c>
      <c r="AC70" s="163">
        <v>17904079.969409913</v>
      </c>
      <c r="AD70" s="163">
        <v>-5880051.8896499574</v>
      </c>
      <c r="AE70" s="163">
        <v>1093350.8075660169</v>
      </c>
      <c r="AF70" s="163">
        <v>-13944258.893599451</v>
      </c>
      <c r="AG70" s="163">
        <v>-25705403.222795963</v>
      </c>
    </row>
    <row r="71" spans="16:33" ht="15.75" customHeight="1">
      <c r="P71" s="162"/>
      <c r="Q71" s="162">
        <v>54</v>
      </c>
      <c r="R71" s="163">
        <v>-35938931.699475318</v>
      </c>
      <c r="S71" s="163">
        <v>-25766404.541796848</v>
      </c>
      <c r="T71" s="163">
        <v>-15048335.056422591</v>
      </c>
      <c r="U71" s="163">
        <v>-15905087.351497188</v>
      </c>
      <c r="V71" s="163">
        <v>-2481476.9064336419</v>
      </c>
      <c r="W71" s="164">
        <v>13468238.287036926</v>
      </c>
      <c r="X71" s="163">
        <v>1215381.9057742208</v>
      </c>
      <c r="Y71" s="163">
        <v>3484450.5643627346</v>
      </c>
      <c r="Z71" s="163">
        <v>-1967991.7325440943</v>
      </c>
      <c r="AA71" s="163">
        <v>8309684.6468499154</v>
      </c>
      <c r="AB71" s="163">
        <v>16744945.539379865</v>
      </c>
      <c r="AC71" s="163">
        <v>10425263.501661494</v>
      </c>
      <c r="AD71" s="163">
        <v>8350844.5565608293</v>
      </c>
      <c r="AE71" s="163">
        <v>-2435269.8941263109</v>
      </c>
      <c r="AF71" s="163">
        <v>-8353113.2438747734</v>
      </c>
      <c r="AG71" s="163">
        <v>-22746185.196539</v>
      </c>
    </row>
    <row r="72" spans="16:33" ht="15.75" customHeight="1">
      <c r="P72" s="162"/>
      <c r="Q72" s="162">
        <v>55</v>
      </c>
      <c r="R72" s="163">
        <v>-40773531.146873027</v>
      </c>
      <c r="S72" s="163">
        <v>-22298301.543224156</v>
      </c>
      <c r="T72" s="163">
        <v>-19611961.059910566</v>
      </c>
      <c r="U72" s="163">
        <v>-21150291.859118477</v>
      </c>
      <c r="V72" s="163">
        <v>4058773.7969380617</v>
      </c>
      <c r="W72" s="164">
        <v>-4854462.337641567</v>
      </c>
      <c r="X72" s="163">
        <v>13663232.827101171</v>
      </c>
      <c r="Y72" s="163">
        <v>15774076.528490052</v>
      </c>
      <c r="Z72" s="163">
        <v>7983593.061269924</v>
      </c>
      <c r="AA72" s="163">
        <v>10566869.265232071</v>
      </c>
      <c r="AB72" s="163">
        <v>10822299.284121126</v>
      </c>
      <c r="AC72" s="163">
        <v>13136570.711979851</v>
      </c>
      <c r="AD72" s="163">
        <v>6567341.6461010724</v>
      </c>
      <c r="AE72" s="163">
        <v>-6322488.6570805758</v>
      </c>
      <c r="AF72" s="163">
        <v>-16707602.397102937</v>
      </c>
      <c r="AG72" s="163">
        <v>-12412703.459756494</v>
      </c>
    </row>
    <row r="73" spans="16:33" ht="15.75" customHeight="1">
      <c r="P73" s="162"/>
      <c r="Q73" s="162">
        <v>56</v>
      </c>
      <c r="R73" s="163">
        <v>-34064231.18885383</v>
      </c>
      <c r="S73" s="163">
        <v>-27826702.915342644</v>
      </c>
      <c r="T73" s="163">
        <v>-8949024.8864880204</v>
      </c>
      <c r="U73" s="163">
        <v>-10544673.495695412</v>
      </c>
      <c r="V73" s="163">
        <v>-5925765.3302847296</v>
      </c>
      <c r="W73" s="164">
        <v>-5881812.2451757938</v>
      </c>
      <c r="X73" s="163">
        <v>3622440.4796926379</v>
      </c>
      <c r="Y73" s="163">
        <v>11166981.151759073</v>
      </c>
      <c r="Z73" s="163">
        <v>15398700.021825001</v>
      </c>
      <c r="AA73" s="163">
        <v>-3466877.1736112535</v>
      </c>
      <c r="AB73" s="163">
        <v>7740907.407780394</v>
      </c>
      <c r="AC73" s="163">
        <v>9005456.8030740917</v>
      </c>
      <c r="AD73" s="163">
        <v>-8165888.0090773106</v>
      </c>
      <c r="AE73" s="163">
        <v>-5932139.9795842767</v>
      </c>
      <c r="AF73" s="163">
        <v>-21643702.437528178</v>
      </c>
      <c r="AG73" s="163">
        <v>-14555961.2499955</v>
      </c>
    </row>
    <row r="74" spans="16:33" ht="15.75" customHeight="1">
      <c r="P74" s="162"/>
      <c r="Q74" s="162">
        <v>57</v>
      </c>
      <c r="R74" s="163">
        <v>-38606712.391697854</v>
      </c>
      <c r="S74" s="163">
        <v>-27526558.488347277</v>
      </c>
      <c r="T74" s="163">
        <v>-12199777.890266657</v>
      </c>
      <c r="U74" s="163">
        <v>-7538844.1016893685</v>
      </c>
      <c r="V74" s="163">
        <v>3901747.7086324543</v>
      </c>
      <c r="W74" s="164">
        <v>11747784.429449201</v>
      </c>
      <c r="X74" s="163">
        <v>12599993.560194194</v>
      </c>
      <c r="Y74" s="163">
        <v>13806608.042238832</v>
      </c>
      <c r="Z74" s="163">
        <v>18147069.462650523</v>
      </c>
      <c r="AA74" s="163">
        <v>13195166.201483995</v>
      </c>
      <c r="AB74" s="163">
        <v>10362076.87798661</v>
      </c>
      <c r="AC74" s="163">
        <v>-2407.4468766450882</v>
      </c>
      <c r="AD74" s="163">
        <v>6455504.2537339926</v>
      </c>
      <c r="AE74" s="163">
        <v>-775147.68699112535</v>
      </c>
      <c r="AF74" s="163">
        <v>-2793269.2793835402</v>
      </c>
      <c r="AG74" s="163">
        <v>-20522323.802696675</v>
      </c>
    </row>
    <row r="75" spans="16:33" ht="15.75" customHeight="1">
      <c r="P75" s="162"/>
      <c r="Q75" s="162">
        <v>58</v>
      </c>
      <c r="R75" s="163">
        <v>-34138213.431784242</v>
      </c>
      <c r="S75" s="163">
        <v>-20196383.792723581</v>
      </c>
      <c r="T75" s="163">
        <v>-11314930.032882005</v>
      </c>
      <c r="U75" s="163">
        <v>-7478680.4458013624</v>
      </c>
      <c r="V75" s="163">
        <v>7234177.7748056054</v>
      </c>
      <c r="W75" s="164">
        <v>6426975.543949604</v>
      </c>
      <c r="X75" s="163">
        <v>7387953.2037565261</v>
      </c>
      <c r="Y75" s="163">
        <v>18163607.417351082</v>
      </c>
      <c r="Z75" s="163">
        <v>12865805.029333636</v>
      </c>
      <c r="AA75" s="163">
        <v>12799503.910474241</v>
      </c>
      <c r="AB75" s="163">
        <v>-1417775.2737253308</v>
      </c>
      <c r="AC75" s="163">
        <v>2496055.9485099614</v>
      </c>
      <c r="AD75" s="163">
        <v>7600436.1604784727</v>
      </c>
      <c r="AE75" s="163">
        <v>-2956608.1266271323</v>
      </c>
      <c r="AF75" s="163">
        <v>-8718671.7274694741</v>
      </c>
      <c r="AG75" s="163">
        <v>-15174050.513902783</v>
      </c>
    </row>
    <row r="76" spans="16:33" ht="15.75" customHeight="1">
      <c r="P76" s="162"/>
      <c r="Q76" s="162">
        <v>59</v>
      </c>
      <c r="R76" s="163">
        <v>-36444870.640146047</v>
      </c>
      <c r="S76" s="163">
        <v>-25336382.607542038</v>
      </c>
      <c r="T76" s="163">
        <v>-19482828.457487896</v>
      </c>
      <c r="U76" s="163">
        <v>-13353604.239123031</v>
      </c>
      <c r="V76" s="163">
        <v>-3703785.1940888613</v>
      </c>
      <c r="W76" s="164">
        <v>-1652581.4946679771</v>
      </c>
      <c r="X76" s="163">
        <v>2547947.6671510637</v>
      </c>
      <c r="Y76" s="163">
        <v>14739366.430876076</v>
      </c>
      <c r="Z76" s="163">
        <v>15645913.99207592</v>
      </c>
      <c r="AA76" s="163">
        <v>10438231.592113703</v>
      </c>
      <c r="AB76" s="163">
        <v>10515258.855319172</v>
      </c>
      <c r="AC76" s="163">
        <v>7991948.2278493047</v>
      </c>
      <c r="AD76" s="163">
        <v>8239231.2452185005</v>
      </c>
      <c r="AE76" s="163">
        <v>-559235.07911267877</v>
      </c>
      <c r="AF76" s="163">
        <v>-4310246.8862148225</v>
      </c>
      <c r="AG76" s="163">
        <v>-23997578.118274972</v>
      </c>
    </row>
    <row r="77" spans="16:33" ht="15.75" customHeight="1">
      <c r="P77" s="162"/>
      <c r="Q77" s="162">
        <v>60</v>
      </c>
      <c r="R77" s="163">
        <v>-36328808.424595147</v>
      </c>
      <c r="S77" s="163">
        <v>-19420124.075689524</v>
      </c>
      <c r="T77" s="163">
        <v>-9629776.6644212455</v>
      </c>
      <c r="U77" s="163">
        <v>-12162916.293355241</v>
      </c>
      <c r="V77" s="163">
        <v>-4371759.6295688599</v>
      </c>
      <c r="W77" s="164">
        <v>-4511764.2230480313</v>
      </c>
      <c r="X77" s="163">
        <v>14835253.624847174</v>
      </c>
      <c r="Y77" s="163">
        <v>10453029.244468719</v>
      </c>
      <c r="Z77" s="163">
        <v>23885104.242406413</v>
      </c>
      <c r="AA77" s="163">
        <v>13328660.204215065</v>
      </c>
      <c r="AB77" s="163">
        <v>22766391.785591349</v>
      </c>
      <c r="AC77" s="163">
        <v>4294329.720420748</v>
      </c>
      <c r="AD77" s="163">
        <v>11705692.790421978</v>
      </c>
      <c r="AE77" s="163">
        <v>-7592315.9273770601</v>
      </c>
      <c r="AF77" s="163">
        <v>-8578304.214637205</v>
      </c>
      <c r="AG77" s="163">
        <v>-12042528.582209662</v>
      </c>
    </row>
    <row r="78" spans="16:33" ht="15.75" customHeight="1">
      <c r="P78" s="162"/>
      <c r="Q78" s="162">
        <v>61</v>
      </c>
      <c r="R78" s="163">
        <v>-29839818.514784738</v>
      </c>
      <c r="S78" s="163">
        <v>-24271337.145993456</v>
      </c>
      <c r="T78" s="163">
        <v>-13184475.404624596</v>
      </c>
      <c r="U78" s="163">
        <v>-6719383.8408165276</v>
      </c>
      <c r="V78" s="163">
        <v>-6266358.6823955625</v>
      </c>
      <c r="W78" s="164">
        <v>2348314.5313602239</v>
      </c>
      <c r="X78" s="163">
        <v>10186304.206184253</v>
      </c>
      <c r="Y78" s="163">
        <v>5243161.440014869</v>
      </c>
      <c r="Z78" s="163">
        <v>10745857.055820271</v>
      </c>
      <c r="AA78" s="163">
        <v>13355166.910194308</v>
      </c>
      <c r="AB78" s="163">
        <v>11130676.543605968</v>
      </c>
      <c r="AC78" s="163">
        <v>7464167.1051530391</v>
      </c>
      <c r="AD78" s="163">
        <v>742471.72773371637</v>
      </c>
      <c r="AE78" s="163">
        <v>-1037427.5191677362</v>
      </c>
      <c r="AF78" s="163">
        <v>-2760122.9631608576</v>
      </c>
      <c r="AG78" s="163">
        <v>-20817187.728486821</v>
      </c>
    </row>
    <row r="79" spans="16:33" ht="15.75" customHeight="1">
      <c r="P79" s="162"/>
      <c r="Q79" s="162">
        <v>62</v>
      </c>
      <c r="R79" s="163">
        <v>-40738156.324677318</v>
      </c>
      <c r="S79" s="163">
        <v>-21230827.717051744</v>
      </c>
      <c r="T79" s="163">
        <v>-14249864.047326818</v>
      </c>
      <c r="U79" s="163">
        <v>-10355034.436790705</v>
      </c>
      <c r="V79" s="163">
        <v>5198682.1142714322</v>
      </c>
      <c r="W79" s="164">
        <v>-476043.12482400239</v>
      </c>
      <c r="X79" s="163">
        <v>3610328.04996185</v>
      </c>
      <c r="Y79" s="163">
        <v>14494513.995452672</v>
      </c>
      <c r="Z79" s="163">
        <v>12898259.451442182</v>
      </c>
      <c r="AA79" s="163">
        <v>24603537.737740546</v>
      </c>
      <c r="AB79" s="163">
        <v>25207830.31839025</v>
      </c>
      <c r="AC79" s="163">
        <v>15438887.779051378</v>
      </c>
      <c r="AD79" s="163">
        <v>-5470366.966566354</v>
      </c>
      <c r="AE79" s="163">
        <v>829158.50527255237</v>
      </c>
      <c r="AF79" s="163">
        <v>-9152496.313619554</v>
      </c>
      <c r="AG79" s="163">
        <v>-28653805.326127872</v>
      </c>
    </row>
    <row r="80" spans="16:33" ht="15.75" customHeight="1">
      <c r="P80" s="162"/>
      <c r="Q80" s="162">
        <v>63</v>
      </c>
      <c r="R80" s="163">
        <v>-36729712.171451807</v>
      </c>
      <c r="S80" s="163">
        <v>-27958511.634350017</v>
      </c>
      <c r="T80" s="163">
        <v>-16739463.353254899</v>
      </c>
      <c r="U80" s="163">
        <v>-12531012.779563531</v>
      </c>
      <c r="V80" s="163">
        <v>6848398.7015467882</v>
      </c>
      <c r="W80" s="164">
        <v>6220448.5531312227</v>
      </c>
      <c r="X80" s="163">
        <v>5363830.7145633996</v>
      </c>
      <c r="Y80" s="163">
        <v>7381168.6393261105</v>
      </c>
      <c r="Z80" s="163">
        <v>-1724732.1663683653</v>
      </c>
      <c r="AA80" s="163">
        <v>12368325.960704371</v>
      </c>
      <c r="AB80" s="163">
        <v>7787599.448720634</v>
      </c>
      <c r="AC80" s="163">
        <v>15563297.614003181</v>
      </c>
      <c r="AD80" s="163">
        <v>17795046.440061703</v>
      </c>
      <c r="AE80" s="163">
        <v>-1317992.9315891713</v>
      </c>
      <c r="AF80" s="163">
        <v>-17281533.902885854</v>
      </c>
      <c r="AG80" s="163">
        <v>-12745565.75512141</v>
      </c>
    </row>
    <row r="81" spans="16:33" ht="15.75" customHeight="1">
      <c r="P81" s="162"/>
      <c r="Q81" s="162">
        <v>64</v>
      </c>
      <c r="R81" s="163">
        <v>-31545927.990065828</v>
      </c>
      <c r="S81" s="163">
        <v>-20858353.781060725</v>
      </c>
      <c r="T81" s="163">
        <v>-14147864.752461761</v>
      </c>
      <c r="U81" s="163">
        <v>-3904098.2120911181</v>
      </c>
      <c r="V81" s="163">
        <v>2958112.5554827005</v>
      </c>
      <c r="W81" s="164">
        <v>5944633.8375389874</v>
      </c>
      <c r="X81" s="163">
        <v>14338795.465728834</v>
      </c>
      <c r="Y81" s="163">
        <v>17446599.349967629</v>
      </c>
      <c r="Z81" s="163">
        <v>7025027.3732157797</v>
      </c>
      <c r="AA81" s="163">
        <v>15444900.424790308</v>
      </c>
      <c r="AB81" s="163">
        <v>9174623.8920646906</v>
      </c>
      <c r="AC81" s="163">
        <v>8278287.3358945251</v>
      </c>
      <c r="AD81" s="163">
        <v>-393656.80915640295</v>
      </c>
      <c r="AE81" s="163">
        <v>-6231768.5798918158</v>
      </c>
      <c r="AF81" s="163">
        <v>-11329162.905700952</v>
      </c>
      <c r="AG81" s="163">
        <v>-23958489.54675743</v>
      </c>
    </row>
    <row r="82" spans="16:33" ht="15.75" customHeight="1">
      <c r="P82" s="162"/>
      <c r="Q82" s="162">
        <v>65</v>
      </c>
      <c r="R82" s="163">
        <v>-41956109.573661163</v>
      </c>
      <c r="S82" s="163">
        <v>-26449980.823492885</v>
      </c>
      <c r="T82" s="163">
        <v>-13543481.273718953</v>
      </c>
      <c r="U82" s="163">
        <v>-11048130.53291887</v>
      </c>
      <c r="V82" s="163">
        <v>-6044993.5651765913</v>
      </c>
      <c r="W82" s="164">
        <v>-7798036.8137108982</v>
      </c>
      <c r="X82" s="163">
        <v>-2724308.4613603801</v>
      </c>
      <c r="Y82" s="163">
        <v>14119451.274987549</v>
      </c>
      <c r="Z82" s="163">
        <v>16122731.723950893</v>
      </c>
      <c r="AA82" s="163">
        <v>11496670.263815686</v>
      </c>
      <c r="AB82" s="163">
        <v>2336995.839952141</v>
      </c>
      <c r="AC82" s="163">
        <v>677130.8268776089</v>
      </c>
      <c r="AD82" s="163">
        <v>11630029.849821672</v>
      </c>
      <c r="AE82" s="163">
        <v>-3432246.2804415822</v>
      </c>
      <c r="AF82" s="163">
        <v>-9483814.6475626081</v>
      </c>
      <c r="AG82" s="163">
        <v>-13632457.32025893</v>
      </c>
    </row>
    <row r="83" spans="16:33" ht="15.75" customHeight="1">
      <c r="P83" s="162"/>
      <c r="Q83" s="162">
        <v>66</v>
      </c>
      <c r="R83" s="163">
        <v>-41564047.317979649</v>
      </c>
      <c r="S83" s="163">
        <v>-16562118.492696911</v>
      </c>
      <c r="T83" s="163">
        <v>-15735311.077208534</v>
      </c>
      <c r="U83" s="163">
        <v>-7037219.7731379569</v>
      </c>
      <c r="V83" s="163">
        <v>418369.33589309454</v>
      </c>
      <c r="W83" s="164">
        <v>3383898.3377072811</v>
      </c>
      <c r="X83" s="163">
        <v>12193767.336529747</v>
      </c>
      <c r="Y83" s="163">
        <v>10313173.394614339</v>
      </c>
      <c r="Z83" s="163">
        <v>4750203.4602052718</v>
      </c>
      <c r="AA83" s="163">
        <v>86050.777361527085</v>
      </c>
      <c r="AB83" s="163">
        <v>4134091.5997752696</v>
      </c>
      <c r="AC83" s="163">
        <v>1701340.9963333309</v>
      </c>
      <c r="AD83" s="163">
        <v>1765887.1424243301</v>
      </c>
      <c r="AE83" s="163">
        <v>778561.71094469726</v>
      </c>
      <c r="AF83" s="163">
        <v>-5833790.3502120376</v>
      </c>
      <c r="AG83" s="163">
        <v>-11497468.68048811</v>
      </c>
    </row>
    <row r="84" spans="16:33" ht="15.75" customHeight="1">
      <c r="P84" s="162"/>
      <c r="Q84" s="162">
        <v>67</v>
      </c>
      <c r="R84" s="163">
        <v>-36085733.858317718</v>
      </c>
      <c r="S84" s="163">
        <v>-30171245.614871651</v>
      </c>
      <c r="T84" s="163">
        <v>-9965570.8941359371</v>
      </c>
      <c r="U84" s="163">
        <v>-7668192.0226184726</v>
      </c>
      <c r="V84" s="163">
        <v>-1121294.5317430496</v>
      </c>
      <c r="W84" s="164">
        <v>-3844314.2123410553</v>
      </c>
      <c r="X84" s="163">
        <v>3271107.9140000641</v>
      </c>
      <c r="Y84" s="163">
        <v>12718828.033288971</v>
      </c>
      <c r="Z84" s="163">
        <v>16104564.153017595</v>
      </c>
      <c r="AA84" s="163">
        <v>18355140.560222313</v>
      </c>
      <c r="AB84" s="163">
        <v>7340890.4386298656</v>
      </c>
      <c r="AC84" s="163">
        <v>10828350.204963475</v>
      </c>
      <c r="AD84" s="163">
        <v>-2439360.2114824057</v>
      </c>
      <c r="AE84" s="163">
        <v>-5635637.5139348358</v>
      </c>
      <c r="AF84" s="163">
        <v>-1793028.2082604468</v>
      </c>
      <c r="AG84" s="163">
        <v>-22039880.079395205</v>
      </c>
    </row>
    <row r="85" spans="16:33" ht="15.75" customHeight="1">
      <c r="P85" s="162"/>
      <c r="Q85" s="162">
        <v>68</v>
      </c>
      <c r="R85" s="163">
        <v>-30055827.48599562</v>
      </c>
      <c r="S85" s="163">
        <v>-26034500.320390031</v>
      </c>
      <c r="T85" s="163">
        <v>-20382388.391828015</v>
      </c>
      <c r="U85" s="163">
        <v>-14187498.62522684</v>
      </c>
      <c r="V85" s="163">
        <v>581480.81964795291</v>
      </c>
      <c r="W85" s="164">
        <v>9925271.5643097758</v>
      </c>
      <c r="X85" s="163">
        <v>8062213.943117559</v>
      </c>
      <c r="Y85" s="163">
        <v>16061976.025130883</v>
      </c>
      <c r="Z85" s="163">
        <v>6491129.0816364288</v>
      </c>
      <c r="AA85" s="163">
        <v>7531470.1999336183</v>
      </c>
      <c r="AB85" s="163">
        <v>18268408.384799153</v>
      </c>
      <c r="AC85" s="163">
        <v>6229589.39368397</v>
      </c>
      <c r="AD85" s="163">
        <v>-3668254.4879976064</v>
      </c>
      <c r="AE85" s="163">
        <v>-4050105.0058815926</v>
      </c>
      <c r="AF85" s="163">
        <v>-6123402.6473201364</v>
      </c>
      <c r="AG85" s="163">
        <v>-12387232.060202137</v>
      </c>
    </row>
    <row r="86" spans="16:33" ht="15.75" customHeight="1">
      <c r="P86" s="162"/>
      <c r="Q86" s="162">
        <v>69</v>
      </c>
      <c r="R86" s="163">
        <v>-38023757.736342549</v>
      </c>
      <c r="S86" s="163">
        <v>-27509324.301502377</v>
      </c>
      <c r="T86" s="163">
        <v>-22925581.435685739</v>
      </c>
      <c r="U86" s="163">
        <v>-5666545.3744935393</v>
      </c>
      <c r="V86" s="163">
        <v>3625618.041978538</v>
      </c>
      <c r="W86" s="164">
        <v>-307555.55307324231</v>
      </c>
      <c r="X86" s="163">
        <v>13849172.939428538</v>
      </c>
      <c r="Y86" s="163">
        <v>10204271.915007547</v>
      </c>
      <c r="Z86" s="163">
        <v>7338560.019152835</v>
      </c>
      <c r="AA86" s="163">
        <v>14901469.87180315</v>
      </c>
      <c r="AB86" s="163">
        <v>6827518.9672437608</v>
      </c>
      <c r="AC86" s="163">
        <v>9705069.099234432</v>
      </c>
      <c r="AD86" s="163">
        <v>-5541891.361499548</v>
      </c>
      <c r="AE86" s="163">
        <v>416358.04366677999</v>
      </c>
      <c r="AF86" s="163">
        <v>-10271936.51996924</v>
      </c>
      <c r="AG86" s="163">
        <v>-14788968.649959281</v>
      </c>
    </row>
    <row r="87" spans="16:33" ht="15.75" customHeight="1">
      <c r="P87" s="162"/>
      <c r="Q87" s="162">
        <v>70</v>
      </c>
      <c r="R87" s="163">
        <v>-34605524.14764452</v>
      </c>
      <c r="S87" s="163">
        <v>-29058811.977758765</v>
      </c>
      <c r="T87" s="163">
        <v>-12966092.790584207</v>
      </c>
      <c r="U87" s="163">
        <v>-7196898.3295082599</v>
      </c>
      <c r="V87" s="163">
        <v>302172.79333050549</v>
      </c>
      <c r="W87" s="164">
        <v>4554827.3133856058</v>
      </c>
      <c r="X87" s="163">
        <v>1664985.5474070758</v>
      </c>
      <c r="Y87" s="163">
        <v>6302286.0297880024</v>
      </c>
      <c r="Z87" s="163">
        <v>15757409.3668212</v>
      </c>
      <c r="AA87" s="163">
        <v>12417551.74371241</v>
      </c>
      <c r="AB87" s="163">
        <v>5980196.1949170977</v>
      </c>
      <c r="AC87" s="163">
        <v>5955381.8805504888</v>
      </c>
      <c r="AD87" s="163">
        <v>-3063634.7150255293</v>
      </c>
      <c r="AE87" s="163">
        <v>5572365.5602745861</v>
      </c>
      <c r="AF87" s="163">
        <v>-16247607.76241295</v>
      </c>
      <c r="AG87" s="163">
        <v>-14729060.761601016</v>
      </c>
    </row>
    <row r="88" spans="16:33" ht="15.75" customHeight="1">
      <c r="P88" s="162"/>
      <c r="Q88" s="162">
        <v>71</v>
      </c>
      <c r="R88" s="163">
        <v>-33556590.12692228</v>
      </c>
      <c r="S88" s="163">
        <v>-25916494.533599541</v>
      </c>
      <c r="T88" s="163">
        <v>-19411093.788499206</v>
      </c>
      <c r="U88" s="163">
        <v>-5235630.557314992</v>
      </c>
      <c r="V88" s="163">
        <v>5357589.6096494049</v>
      </c>
      <c r="W88" s="164">
        <v>-1411618.6133755445</v>
      </c>
      <c r="X88" s="163">
        <v>6780857.10861063</v>
      </c>
      <c r="Y88" s="163">
        <v>7827785.9807997048</v>
      </c>
      <c r="Z88" s="163">
        <v>13575762.222947314</v>
      </c>
      <c r="AA88" s="163">
        <v>21898770.181051075</v>
      </c>
      <c r="AB88" s="163">
        <v>2318582.4505041093</v>
      </c>
      <c r="AC88" s="163">
        <v>2261432.0579572767</v>
      </c>
      <c r="AD88" s="163">
        <v>1221541.8564620316</v>
      </c>
      <c r="AE88" s="163">
        <v>-1135603.238311708</v>
      </c>
      <c r="AF88" s="163">
        <v>-1307963.3877900988</v>
      </c>
      <c r="AG88" s="163">
        <v>-19863265.0937116</v>
      </c>
    </row>
    <row r="89" spans="16:33" ht="15.75" customHeight="1">
      <c r="P89" s="162"/>
      <c r="Q89" s="162">
        <v>72</v>
      </c>
      <c r="R89" s="163">
        <v>-48588271.611966491</v>
      </c>
      <c r="S89" s="163">
        <v>-28334564.75315915</v>
      </c>
      <c r="T89" s="163">
        <v>-19140580.049468368</v>
      </c>
      <c r="U89" s="163">
        <v>-5850546.0224215835</v>
      </c>
      <c r="V89" s="163">
        <v>-2287396.1733222604</v>
      </c>
      <c r="W89" s="164">
        <v>7094803.6481246054</v>
      </c>
      <c r="X89" s="163">
        <v>8557634.1495848149</v>
      </c>
      <c r="Y89" s="163">
        <v>14845684.698366851</v>
      </c>
      <c r="Z89" s="163">
        <v>13612240.866533697</v>
      </c>
      <c r="AA89" s="163">
        <v>12022024.614466205</v>
      </c>
      <c r="AB89" s="163">
        <v>1781373.6722256839</v>
      </c>
      <c r="AC89" s="163">
        <v>654897.04531940818</v>
      </c>
      <c r="AD89" s="163">
        <v>402002.26664508879</v>
      </c>
      <c r="AE89" s="163">
        <v>-7510064.2839395702</v>
      </c>
      <c r="AF89" s="163">
        <v>-16443683.651746243</v>
      </c>
      <c r="AG89" s="163">
        <v>-13124752.49835819</v>
      </c>
    </row>
    <row r="90" spans="16:33" ht="15.75" customHeight="1">
      <c r="P90" s="162"/>
      <c r="Q90" s="162">
        <v>73</v>
      </c>
      <c r="R90" s="163">
        <v>-40974481.216609418</v>
      </c>
      <c r="S90" s="163">
        <v>-30770284.056096077</v>
      </c>
      <c r="T90" s="163">
        <v>-15999518.021825477</v>
      </c>
      <c r="U90" s="163">
        <v>-6360355.2210580409</v>
      </c>
      <c r="V90" s="163">
        <v>-8022091.0334307104</v>
      </c>
      <c r="W90" s="164">
        <v>-3564868.9928553104</v>
      </c>
      <c r="X90" s="163">
        <v>10157437.748683393</v>
      </c>
      <c r="Y90" s="163">
        <v>-819283.91174094379</v>
      </c>
      <c r="Z90" s="163">
        <v>4564610.1790098101</v>
      </c>
      <c r="AA90" s="163">
        <v>3073487.5765681863</v>
      </c>
      <c r="AB90" s="163">
        <v>3838342.8940143287</v>
      </c>
      <c r="AC90" s="163">
        <v>18591929.749441341</v>
      </c>
      <c r="AD90" s="163">
        <v>8549860.3420943171</v>
      </c>
      <c r="AE90" s="163">
        <v>-3676340.7131716907</v>
      </c>
      <c r="AF90" s="163">
        <v>-14478193.338533625</v>
      </c>
      <c r="AG90" s="163">
        <v>-14079374.595491216</v>
      </c>
    </row>
    <row r="91" spans="16:33" ht="15.75" customHeight="1">
      <c r="P91" s="162"/>
      <c r="Q91" s="162">
        <v>74</v>
      </c>
      <c r="R91" s="163">
        <v>-36196068.555461451</v>
      </c>
      <c r="S91" s="163">
        <v>-31790326.37544921</v>
      </c>
      <c r="T91" s="163">
        <v>-19003260.090734079</v>
      </c>
      <c r="U91" s="163">
        <v>-15314251.935398221</v>
      </c>
      <c r="V91" s="163">
        <v>6728348.8570196331</v>
      </c>
      <c r="W91" s="164">
        <v>3186425.8382481933</v>
      </c>
      <c r="X91" s="163">
        <v>12395603.204316229</v>
      </c>
      <c r="Y91" s="163">
        <v>15917625.501512811</v>
      </c>
      <c r="Z91" s="163">
        <v>11564864.871980771</v>
      </c>
      <c r="AA91" s="163">
        <v>9043668.0313945413</v>
      </c>
      <c r="AB91" s="163">
        <v>1617716.6595114321</v>
      </c>
      <c r="AC91" s="163">
        <v>1979337.0719470978</v>
      </c>
      <c r="AD91" s="163">
        <v>-2525414.1677363366</v>
      </c>
      <c r="AE91" s="163">
        <v>-5847433.5745787323</v>
      </c>
      <c r="AF91" s="163">
        <v>-6408684.9952075779</v>
      </c>
      <c r="AG91" s="163">
        <v>-21774699.747031003</v>
      </c>
    </row>
    <row r="92" spans="16:33" ht="15.75" customHeight="1">
      <c r="P92" s="162"/>
      <c r="Q92" s="162">
        <v>75</v>
      </c>
      <c r="R92" s="163">
        <v>-32618255.827112481</v>
      </c>
      <c r="S92" s="163">
        <v>-28565300.774974227</v>
      </c>
      <c r="T92" s="163">
        <v>-27819218.328768656</v>
      </c>
      <c r="U92" s="163">
        <v>-7738523.0665145665</v>
      </c>
      <c r="V92" s="163">
        <v>-1385020.976160422</v>
      </c>
      <c r="W92" s="164">
        <v>9731008.6176980734</v>
      </c>
      <c r="X92" s="163">
        <v>9146884.7203509212</v>
      </c>
      <c r="Y92" s="163">
        <v>2372519.4937084168</v>
      </c>
      <c r="Z92" s="163">
        <v>4789505.6608303636</v>
      </c>
      <c r="AA92" s="163">
        <v>24161571.920580819</v>
      </c>
      <c r="AB92" s="163">
        <v>8450671.3129520118</v>
      </c>
      <c r="AC92" s="163">
        <v>11801878.30043833</v>
      </c>
      <c r="AD92" s="163">
        <v>5079106.3001894355</v>
      </c>
      <c r="AE92" s="163">
        <v>1784430.9994471669</v>
      </c>
      <c r="AF92" s="163">
        <v>-10163109.624377847</v>
      </c>
      <c r="AG92" s="163">
        <v>-18869204.098786071</v>
      </c>
    </row>
    <row r="93" spans="16:33" ht="15.75" customHeight="1">
      <c r="P93" s="162"/>
      <c r="Q93" s="162">
        <v>76</v>
      </c>
      <c r="R93" s="163">
        <v>-29918738.67992042</v>
      </c>
      <c r="S93" s="163">
        <v>-27234921.452796832</v>
      </c>
      <c r="T93" s="163">
        <v>-18046228.708618388</v>
      </c>
      <c r="U93" s="163">
        <v>-5381870.4763908386</v>
      </c>
      <c r="V93" s="163">
        <v>3983319.8598793</v>
      </c>
      <c r="W93" s="164">
        <v>-226828.74567762017</v>
      </c>
      <c r="X93" s="163">
        <v>-3215298.1868798137</v>
      </c>
      <c r="Y93" s="163">
        <v>11339193.844368815</v>
      </c>
      <c r="Z93" s="163">
        <v>12264307.010972172</v>
      </c>
      <c r="AA93" s="163">
        <v>607465.01570165157</v>
      </c>
      <c r="AB93" s="163">
        <v>7483925.8269097209</v>
      </c>
      <c r="AC93" s="163">
        <v>511085.75043711066</v>
      </c>
      <c r="AD93" s="163">
        <v>-3828474.0945405066</v>
      </c>
      <c r="AE93" s="163">
        <v>3295099.8172627687</v>
      </c>
      <c r="AF93" s="163">
        <v>-8893294.288942188</v>
      </c>
      <c r="AG93" s="163">
        <v>-17303699.203416556</v>
      </c>
    </row>
    <row r="94" spans="16:33" ht="15.75" customHeight="1">
      <c r="P94" s="162"/>
      <c r="Q94" s="162">
        <v>77</v>
      </c>
      <c r="R94" s="163">
        <v>-38590854.608053237</v>
      </c>
      <c r="S94" s="163">
        <v>-35158719.90144591</v>
      </c>
      <c r="T94" s="163">
        <v>-10125515.797007218</v>
      </c>
      <c r="U94" s="163">
        <v>-6469645.6813232899</v>
      </c>
      <c r="V94" s="163">
        <v>6029358.1033497155</v>
      </c>
      <c r="W94" s="164">
        <v>8146885.8934001327</v>
      </c>
      <c r="X94" s="163">
        <v>11121193.999964908</v>
      </c>
      <c r="Y94" s="163">
        <v>13209965.610990614</v>
      </c>
      <c r="Z94" s="163">
        <v>13712132.245973945</v>
      </c>
      <c r="AA94" s="163">
        <v>11299782.16857411</v>
      </c>
      <c r="AB94" s="163">
        <v>19552643.193903327</v>
      </c>
      <c r="AC94" s="163">
        <v>8270408.4098211527</v>
      </c>
      <c r="AD94" s="163">
        <v>-1916789.9865064919</v>
      </c>
      <c r="AE94" s="163">
        <v>-1986081.6695295572</v>
      </c>
      <c r="AF94" s="163">
        <v>-16977341.41083245</v>
      </c>
      <c r="AG94" s="163">
        <v>-19508922.056660295</v>
      </c>
    </row>
    <row r="95" spans="16:33" ht="15.75" customHeight="1">
      <c r="P95" s="162"/>
      <c r="Q95" s="162">
        <v>78</v>
      </c>
      <c r="R95" s="163">
        <v>-38240426.93238382</v>
      </c>
      <c r="S95" s="163">
        <v>-28898135.409672067</v>
      </c>
      <c r="T95" s="163">
        <v>-16766098.499093011</v>
      </c>
      <c r="U95" s="163">
        <v>-7454943.7925148606</v>
      </c>
      <c r="V95" s="163">
        <v>-2122729.5026617944</v>
      </c>
      <c r="W95" s="164">
        <v>-1135314.9159036875</v>
      </c>
      <c r="X95" s="163">
        <v>3159913.8399074078</v>
      </c>
      <c r="Y95" s="163">
        <v>20655352.730200812</v>
      </c>
      <c r="Z95" s="163">
        <v>14903015.115417331</v>
      </c>
      <c r="AA95" s="163">
        <v>-2920274.2981118113</v>
      </c>
      <c r="AB95" s="163">
        <v>9583070.7077509165</v>
      </c>
      <c r="AC95" s="163">
        <v>10091994.104024142</v>
      </c>
      <c r="AD95" s="163">
        <v>2123949.8916286975</v>
      </c>
      <c r="AE95" s="163">
        <v>-349593.62035131454</v>
      </c>
      <c r="AF95" s="163">
        <v>-4828587.548288554</v>
      </c>
      <c r="AG95" s="163">
        <v>-21016473.441730946</v>
      </c>
    </row>
    <row r="96" spans="16:33" ht="15.75" customHeight="1">
      <c r="P96" s="162"/>
      <c r="Q96" s="162">
        <v>79</v>
      </c>
      <c r="R96" s="163">
        <v>-37903080.728615269</v>
      </c>
      <c r="S96" s="163">
        <v>-25770955.400610656</v>
      </c>
      <c r="T96" s="163">
        <v>-22047704.530832499</v>
      </c>
      <c r="U96" s="163">
        <v>-10887351.990975082</v>
      </c>
      <c r="V96" s="163">
        <v>5982116.7600801438</v>
      </c>
      <c r="W96" s="164">
        <v>2649769.2292604446</v>
      </c>
      <c r="X96" s="163">
        <v>9386972.8409732282</v>
      </c>
      <c r="Y96" s="163">
        <v>1025389.9234736115</v>
      </c>
      <c r="Z96" s="163">
        <v>16343574.267873615</v>
      </c>
      <c r="AA96" s="163">
        <v>7511012.3388468474</v>
      </c>
      <c r="AB96" s="163">
        <v>17722270.052809566</v>
      </c>
      <c r="AC96" s="163">
        <v>5728703.2165199369</v>
      </c>
      <c r="AD96" s="163">
        <v>-4128481.0836498737</v>
      </c>
      <c r="AE96" s="163">
        <v>885014.6058704704</v>
      </c>
      <c r="AF96" s="163">
        <v>-10619165.176402211</v>
      </c>
      <c r="AG96" s="163">
        <v>-9388828.5470032394</v>
      </c>
    </row>
    <row r="97" spans="16:33" ht="15.75" customHeight="1">
      <c r="P97" s="162"/>
      <c r="Q97" s="162">
        <v>80</v>
      </c>
      <c r="R97" s="163">
        <v>-42380590.026206687</v>
      </c>
      <c r="S97" s="163">
        <v>-32154621.55968602</v>
      </c>
      <c r="T97" s="163">
        <v>-19980297.956178948</v>
      </c>
      <c r="U97" s="163">
        <v>-880750.45240394771</v>
      </c>
      <c r="V97" s="163">
        <v>-9296498.1398934424</v>
      </c>
      <c r="W97" s="164">
        <v>6502781.2952467799</v>
      </c>
      <c r="X97" s="163">
        <v>10331143.993146136</v>
      </c>
      <c r="Y97" s="163">
        <v>919718.01704132557</v>
      </c>
      <c r="Z97" s="163">
        <v>-3115826.6863103062</v>
      </c>
      <c r="AA97" s="163">
        <v>11250586.516592667</v>
      </c>
      <c r="AB97" s="163">
        <v>8924657.5557099283</v>
      </c>
      <c r="AC97" s="163">
        <v>-1162366.3167647123</v>
      </c>
      <c r="AD97" s="163">
        <v>8185691.6670852602</v>
      </c>
      <c r="AE97" s="163">
        <v>-2995303.0206358284</v>
      </c>
      <c r="AF97" s="163">
        <v>-8219108.6380457431</v>
      </c>
      <c r="AG97" s="163">
        <v>-20742902.305619121</v>
      </c>
    </row>
    <row r="98" spans="16:33" ht="15.75" customHeight="1">
      <c r="P98" s="162"/>
      <c r="Q98" s="162">
        <v>81</v>
      </c>
      <c r="R98" s="163">
        <v>-37873573.253598258</v>
      </c>
      <c r="S98" s="163">
        <v>-23820207.979143575</v>
      </c>
      <c r="T98" s="163">
        <v>-20672637.554018676</v>
      </c>
      <c r="U98" s="163">
        <v>-9912631.9805623293</v>
      </c>
      <c r="V98" s="163">
        <v>-5089263.4727018923</v>
      </c>
      <c r="W98" s="164">
        <v>-3154049.2847575247</v>
      </c>
      <c r="X98" s="163">
        <v>5844668.3672662675</v>
      </c>
      <c r="Y98" s="163">
        <v>10193447.266444966</v>
      </c>
      <c r="Z98" s="163">
        <v>12790416.647323385</v>
      </c>
      <c r="AA98" s="163">
        <v>7358794.4409541935</v>
      </c>
      <c r="AB98" s="163">
        <v>19814463.893844575</v>
      </c>
      <c r="AC98" s="163">
        <v>4635922.8417865187</v>
      </c>
      <c r="AD98" s="163">
        <v>-2584535.0005344152</v>
      </c>
      <c r="AE98" s="163">
        <v>1060845.6936439127</v>
      </c>
      <c r="AF98" s="163">
        <v>-182711.43797805905</v>
      </c>
      <c r="AG98" s="163">
        <v>-19140030.213587254</v>
      </c>
    </row>
    <row r="99" spans="16:33" ht="15.75" customHeight="1">
      <c r="P99" s="162"/>
      <c r="Q99" s="162">
        <v>82</v>
      </c>
      <c r="R99" s="163">
        <v>-40623801.736487806</v>
      </c>
      <c r="S99" s="163">
        <v>-28432004.319202542</v>
      </c>
      <c r="T99" s="163">
        <v>-15057242.772517651</v>
      </c>
      <c r="U99" s="163">
        <v>-11347546.536734834</v>
      </c>
      <c r="V99" s="163">
        <v>-7496783.0010077357</v>
      </c>
      <c r="W99" s="164">
        <v>-1698901.1958070397</v>
      </c>
      <c r="X99" s="163">
        <v>11552974.104674369</v>
      </c>
      <c r="Y99" s="163">
        <v>11687731.432588458</v>
      </c>
      <c r="Z99" s="163">
        <v>13607083.721268684</v>
      </c>
      <c r="AA99" s="163">
        <v>12390486.24097085</v>
      </c>
      <c r="AB99" s="163">
        <v>19753011.828648806</v>
      </c>
      <c r="AC99" s="163">
        <v>6037816.3385043293</v>
      </c>
      <c r="AD99" s="163">
        <v>3837381.2449798137</v>
      </c>
      <c r="AE99" s="163">
        <v>-8816980.680562675</v>
      </c>
      <c r="AF99" s="163">
        <v>-6053926.6978532076</v>
      </c>
      <c r="AG99" s="163">
        <v>-22062189.781600401</v>
      </c>
    </row>
    <row r="100" spans="16:33" ht="15.75" customHeight="1">
      <c r="P100" s="162"/>
      <c r="Q100" s="162">
        <v>83</v>
      </c>
      <c r="R100" s="163">
        <v>-35853494.496562064</v>
      </c>
      <c r="S100" s="163">
        <v>-26463761.451702192</v>
      </c>
      <c r="T100" s="163">
        <v>-12363464.676523313</v>
      </c>
      <c r="U100" s="163">
        <v>-9289673.3980883807</v>
      </c>
      <c r="V100" s="163">
        <v>-6865193.7959250212</v>
      </c>
      <c r="W100" s="164">
        <v>7353127.005911842</v>
      </c>
      <c r="X100" s="163">
        <v>8729442.5617516339</v>
      </c>
      <c r="Y100" s="163">
        <v>6521602.2032525092</v>
      </c>
      <c r="Z100" s="163">
        <v>7302100.2940078229</v>
      </c>
      <c r="AA100" s="163">
        <v>9324281.3826308399</v>
      </c>
      <c r="AB100" s="163">
        <v>12011434.949771911</v>
      </c>
      <c r="AC100" s="163">
        <v>-5427850.3258421868</v>
      </c>
      <c r="AD100" s="163">
        <v>10296626.489086092</v>
      </c>
      <c r="AE100" s="163">
        <v>-1632805.7185177058</v>
      </c>
      <c r="AF100" s="163">
        <v>-17850730.165095538</v>
      </c>
      <c r="AG100" s="163">
        <v>-10002128.00502941</v>
      </c>
    </row>
    <row r="101" spans="16:33" ht="15.75" customHeight="1">
      <c r="P101" s="162"/>
      <c r="Q101" s="162">
        <v>84</v>
      </c>
      <c r="R101" s="163">
        <v>-35976230.183910057</v>
      </c>
      <c r="S101" s="163">
        <v>-22354130.312336743</v>
      </c>
      <c r="T101" s="163">
        <v>-19571919.837194964</v>
      </c>
      <c r="U101" s="163">
        <v>-11683888.395249993</v>
      </c>
      <c r="V101" s="163">
        <v>4676403.4765474498</v>
      </c>
      <c r="W101" s="164">
        <v>-1107122.5178914368</v>
      </c>
      <c r="X101" s="163">
        <v>2792586.5711542368</v>
      </c>
      <c r="Y101" s="163">
        <v>17940418.639206246</v>
      </c>
      <c r="Z101" s="163">
        <v>12295519.019795075</v>
      </c>
      <c r="AA101" s="163">
        <v>2235499.5370231569</v>
      </c>
      <c r="AB101" s="163">
        <v>4767639.1896209866</v>
      </c>
      <c r="AC101" s="163">
        <v>17054032.456256375</v>
      </c>
      <c r="AD101" s="163">
        <v>1626463.2008651644</v>
      </c>
      <c r="AE101" s="163">
        <v>-3788625.0363512933</v>
      </c>
      <c r="AF101" s="163">
        <v>-15733280.878529772</v>
      </c>
      <c r="AG101" s="163">
        <v>-16439578.659221411</v>
      </c>
    </row>
    <row r="102" spans="16:33" ht="15.75" customHeight="1">
      <c r="P102" s="162"/>
      <c r="Q102" s="162">
        <v>85</v>
      </c>
      <c r="R102" s="163">
        <v>-33980278.058742702</v>
      </c>
      <c r="S102" s="163">
        <v>-18785827.273640037</v>
      </c>
      <c r="T102" s="163">
        <v>-14677114.848187119</v>
      </c>
      <c r="U102" s="163">
        <v>-2754779.5919104218</v>
      </c>
      <c r="V102" s="163">
        <v>1534763.1492692977</v>
      </c>
      <c r="W102" s="164">
        <v>13254374.530768707</v>
      </c>
      <c r="X102" s="163">
        <v>-1132560.6210362762</v>
      </c>
      <c r="Y102" s="163">
        <v>11917490.431763455</v>
      </c>
      <c r="Z102" s="163">
        <v>6976576.0975438952</v>
      </c>
      <c r="AA102" s="163">
        <v>15105033.613339409</v>
      </c>
      <c r="AB102" s="163">
        <v>4956624.4491000772</v>
      </c>
      <c r="AC102" s="163">
        <v>7316172.2088269442</v>
      </c>
      <c r="AD102" s="163">
        <v>5892631.5167225599</v>
      </c>
      <c r="AE102" s="163">
        <v>-6688152.4379596412</v>
      </c>
      <c r="AF102" s="163">
        <v>-5877669.6674101204</v>
      </c>
      <c r="AG102" s="163">
        <v>-21273667.23857753</v>
      </c>
    </row>
    <row r="103" spans="16:33" ht="15.75" customHeight="1">
      <c r="P103" s="162"/>
      <c r="Q103" s="162">
        <v>86</v>
      </c>
      <c r="R103" s="163">
        <v>-33589950.871729821</v>
      </c>
      <c r="S103" s="163">
        <v>-23403132.109596372</v>
      </c>
      <c r="T103" s="163">
        <v>-16627653.447481543</v>
      </c>
      <c r="U103" s="163">
        <v>-8850314.8434920907</v>
      </c>
      <c r="V103" s="163">
        <v>-6040111.5877236426</v>
      </c>
      <c r="W103" s="164">
        <v>2946441.2411344647</v>
      </c>
      <c r="X103" s="163">
        <v>14756041.328485563</v>
      </c>
      <c r="Y103" s="163">
        <v>6522940.5152721703</v>
      </c>
      <c r="Z103" s="163">
        <v>3202542.5526583195</v>
      </c>
      <c r="AA103" s="163">
        <v>12304267.1252909</v>
      </c>
      <c r="AB103" s="163">
        <v>10673109.256843835</v>
      </c>
      <c r="AC103" s="163">
        <v>1041064.7513156682</v>
      </c>
      <c r="AD103" s="163">
        <v>1009021.4461808205</v>
      </c>
      <c r="AE103" s="163">
        <v>-8265734.6084140986</v>
      </c>
      <c r="AF103" s="163">
        <v>-21727154.625430867</v>
      </c>
      <c r="AG103" s="163">
        <v>-20241178.156331971</v>
      </c>
    </row>
    <row r="104" spans="16:33" ht="15.75" customHeight="1">
      <c r="P104" s="162"/>
      <c r="Q104" s="162">
        <v>87</v>
      </c>
      <c r="R104" s="163">
        <v>-36607776.966562271</v>
      </c>
      <c r="S104" s="163">
        <v>-21541580.288901433</v>
      </c>
      <c r="T104" s="163">
        <v>-14977219.238365784</v>
      </c>
      <c r="U104" s="163">
        <v>-6730906.0076879561</v>
      </c>
      <c r="V104" s="163">
        <v>-2117813.4929274321</v>
      </c>
      <c r="W104" s="164">
        <v>-1661967.2227679044</v>
      </c>
      <c r="X104" s="163">
        <v>5354280.3133224249</v>
      </c>
      <c r="Y104" s="163">
        <v>7990989.4276972711</v>
      </c>
      <c r="Z104" s="163">
        <v>19328567.606261998</v>
      </c>
      <c r="AA104" s="163">
        <v>15649053.164595574</v>
      </c>
      <c r="AB104" s="163">
        <v>4015735.6100932509</v>
      </c>
      <c r="AC104" s="163">
        <v>-2198238.2330719978</v>
      </c>
      <c r="AD104" s="163">
        <v>14632460.540450647</v>
      </c>
      <c r="AE104" s="163">
        <v>-8451294.4011954963</v>
      </c>
      <c r="AF104" s="163">
        <v>-11678515.720410019</v>
      </c>
      <c r="AG104" s="163">
        <v>-28242537.057046697</v>
      </c>
    </row>
    <row r="105" spans="16:33" ht="15.75" customHeight="1">
      <c r="P105" s="162"/>
      <c r="Q105" s="162">
        <v>88</v>
      </c>
      <c r="R105" s="163">
        <v>-31780217.51974538</v>
      </c>
      <c r="S105" s="163">
        <v>-20496172.621936783</v>
      </c>
      <c r="T105" s="163">
        <v>-4588319.5394582748</v>
      </c>
      <c r="U105" s="163">
        <v>-3691241.7667164803</v>
      </c>
      <c r="V105" s="163">
        <v>11284588.697961256</v>
      </c>
      <c r="W105" s="164">
        <v>768170.20219109952</v>
      </c>
      <c r="X105" s="163">
        <v>2453835.0796334147</v>
      </c>
      <c r="Y105" s="163">
        <v>7621026.4485530555</v>
      </c>
      <c r="Z105" s="163">
        <v>4690022.5347256362</v>
      </c>
      <c r="AA105" s="163">
        <v>13234396.145896569</v>
      </c>
      <c r="AB105" s="163">
        <v>19965544.67170845</v>
      </c>
      <c r="AC105" s="163">
        <v>8361117.8828194439</v>
      </c>
      <c r="AD105" s="163">
        <v>955834.46286706626</v>
      </c>
      <c r="AE105" s="163">
        <v>-14459686.801666483</v>
      </c>
      <c r="AF105" s="163">
        <v>-9356994.3754990846</v>
      </c>
      <c r="AG105" s="163">
        <v>-18993393.967718199</v>
      </c>
    </row>
    <row r="106" spans="16:33" ht="15.75" customHeight="1">
      <c r="P106" s="162"/>
      <c r="Q106" s="162">
        <v>89</v>
      </c>
      <c r="R106" s="163">
        <v>-35351058.235998675</v>
      </c>
      <c r="S106" s="163">
        <v>-21738133.008218721</v>
      </c>
      <c r="T106" s="163">
        <v>-20370557.631405324</v>
      </c>
      <c r="U106" s="163">
        <v>1305162.8069349229</v>
      </c>
      <c r="V106" s="163">
        <v>-9955070.867091164</v>
      </c>
      <c r="W106" s="164">
        <v>13780501.364273295</v>
      </c>
      <c r="X106" s="163">
        <v>2417441.1447752565</v>
      </c>
      <c r="Y106" s="163">
        <v>17799243.459452674</v>
      </c>
      <c r="Z106" s="163">
        <v>2625129.5417936444</v>
      </c>
      <c r="AA106" s="163">
        <v>3420568.1910738349</v>
      </c>
      <c r="AB106" s="163">
        <v>19646253.238439932</v>
      </c>
      <c r="AC106" s="163">
        <v>8029365.9130448997</v>
      </c>
      <c r="AD106" s="163">
        <v>-9474239.9779306799</v>
      </c>
      <c r="AE106" s="163">
        <v>-443584.16357624531</v>
      </c>
      <c r="AF106" s="163">
        <v>-1979285.9130419046</v>
      </c>
      <c r="AG106" s="163">
        <v>-22655825.008081794</v>
      </c>
    </row>
    <row r="107" spans="16:33" ht="15.75" customHeight="1">
      <c r="P107" s="162"/>
      <c r="Q107" s="162">
        <v>90</v>
      </c>
      <c r="R107" s="163">
        <v>-31451655.54454203</v>
      </c>
      <c r="S107" s="163">
        <v>-24418467.234578148</v>
      </c>
      <c r="T107" s="163">
        <v>-14332723.745917872</v>
      </c>
      <c r="U107" s="163">
        <v>-10801697.398414955</v>
      </c>
      <c r="V107" s="163">
        <v>-9821533.7382008433</v>
      </c>
      <c r="W107" s="164">
        <v>-1429293.8134006858</v>
      </c>
      <c r="X107" s="163">
        <v>16513102.509873807</v>
      </c>
      <c r="Y107" s="163">
        <v>12432770.153683126</v>
      </c>
      <c r="Z107" s="163">
        <v>17429236.058601663</v>
      </c>
      <c r="AA107" s="163">
        <v>7663469.2273364365</v>
      </c>
      <c r="AB107" s="163">
        <v>12572162.804791361</v>
      </c>
      <c r="AC107" s="163">
        <v>-4697913.2704016566</v>
      </c>
      <c r="AD107" s="163">
        <v>5237557.0191549957</v>
      </c>
      <c r="AE107" s="163">
        <v>-6644397.920971483</v>
      </c>
      <c r="AF107" s="163">
        <v>-9581518.9766431898</v>
      </c>
      <c r="AG107" s="163">
        <v>-19139791.829245508</v>
      </c>
    </row>
    <row r="108" spans="16:33" ht="15.75" customHeight="1">
      <c r="P108" s="162"/>
      <c r="Q108" s="162">
        <v>91</v>
      </c>
      <c r="R108" s="163">
        <v>-30855443.430309147</v>
      </c>
      <c r="S108" s="163">
        <v>-27032996.553422928</v>
      </c>
      <c r="T108" s="163">
        <v>-23991517.249252185</v>
      </c>
      <c r="U108" s="163">
        <v>-2940389.269924745</v>
      </c>
      <c r="V108" s="163">
        <v>8435775.9710202664</v>
      </c>
      <c r="W108" s="164">
        <v>6061674.05388771</v>
      </c>
      <c r="X108" s="163">
        <v>4641514.6321458668</v>
      </c>
      <c r="Y108" s="163">
        <v>7386157.492843166</v>
      </c>
      <c r="Z108" s="163">
        <v>10483775.018248767</v>
      </c>
      <c r="AA108" s="163">
        <v>8475270.6153597683</v>
      </c>
      <c r="AB108" s="163">
        <v>11513846.949180603</v>
      </c>
      <c r="AC108" s="163">
        <v>5171453.3539475799</v>
      </c>
      <c r="AD108" s="163">
        <v>-8266281.0723146945</v>
      </c>
      <c r="AE108" s="163">
        <v>-10147065.103879213</v>
      </c>
      <c r="AF108" s="163">
        <v>-4700860.8899835199</v>
      </c>
      <c r="AG108" s="163">
        <v>-17266657.926381037</v>
      </c>
    </row>
    <row r="109" spans="16:33" ht="15.75" customHeight="1">
      <c r="P109" s="162"/>
      <c r="Q109" s="162">
        <v>92</v>
      </c>
      <c r="R109" s="163">
        <v>-33699616.773743436</v>
      </c>
      <c r="S109" s="163">
        <v>-21842391.556892917</v>
      </c>
      <c r="T109" s="163">
        <v>-17270087.636948839</v>
      </c>
      <c r="U109" s="163">
        <v>-11651113.426538587</v>
      </c>
      <c r="V109" s="163">
        <v>11596840.286324129</v>
      </c>
      <c r="W109" s="164">
        <v>2076160.3947242647</v>
      </c>
      <c r="X109" s="163">
        <v>8287673.5506940484</v>
      </c>
      <c r="Y109" s="163">
        <v>3114382.948739633</v>
      </c>
      <c r="Z109" s="163">
        <v>23898812.990600482</v>
      </c>
      <c r="AA109" s="163">
        <v>17927961.751017407</v>
      </c>
      <c r="AB109" s="163">
        <v>16918196.242225751</v>
      </c>
      <c r="AC109" s="163">
        <v>9292304.4436910748</v>
      </c>
      <c r="AD109" s="163">
        <v>-8726712.5626600087</v>
      </c>
      <c r="AE109" s="163">
        <v>-2632985.0273401439</v>
      </c>
      <c r="AF109" s="163">
        <v>-9382001.2400903851</v>
      </c>
      <c r="AG109" s="163">
        <v>-25716526.344466954</v>
      </c>
    </row>
    <row r="110" spans="16:33" ht="15.75" customHeight="1">
      <c r="P110" s="162"/>
      <c r="Q110" s="162">
        <v>93</v>
      </c>
      <c r="R110" s="163">
        <v>-35225139.041869074</v>
      </c>
      <c r="S110" s="163">
        <v>-16162552.077539191</v>
      </c>
      <c r="T110" s="163">
        <v>-15636947.92128776</v>
      </c>
      <c r="U110" s="163">
        <v>-10394134.970108137</v>
      </c>
      <c r="V110" s="163">
        <v>4467756.2574973851</v>
      </c>
      <c r="W110" s="164">
        <v>-1640712.8600807935</v>
      </c>
      <c r="X110" s="163">
        <v>17336594.986866787</v>
      </c>
      <c r="Y110" s="163">
        <v>6497864.8025385588</v>
      </c>
      <c r="Z110" s="163">
        <v>-1065213.6851573586</v>
      </c>
      <c r="AA110" s="163">
        <v>18687739.30122532</v>
      </c>
      <c r="AB110" s="163">
        <v>5288614.4452245981</v>
      </c>
      <c r="AC110" s="163">
        <v>15846175.611282751</v>
      </c>
      <c r="AD110" s="163">
        <v>5290653.8462423831</v>
      </c>
      <c r="AE110" s="163">
        <v>245119.54929602146</v>
      </c>
      <c r="AF110" s="163">
        <v>-5648160.31231682</v>
      </c>
      <c r="AG110" s="163">
        <v>-12552533.704336077</v>
      </c>
    </row>
    <row r="111" spans="16:33" ht="15.75" customHeight="1">
      <c r="P111" s="162"/>
      <c r="Q111" s="162">
        <v>94</v>
      </c>
      <c r="R111" s="163">
        <v>-37093006.812826827</v>
      </c>
      <c r="S111" s="163">
        <v>-19681392.720030874</v>
      </c>
      <c r="T111" s="163">
        <v>-11057139.122359037</v>
      </c>
      <c r="U111" s="163">
        <v>-9681554.0168634951</v>
      </c>
      <c r="V111" s="163">
        <v>-317712.36647331715</v>
      </c>
      <c r="W111" s="164">
        <v>180367.07234987617</v>
      </c>
      <c r="X111" s="163">
        <v>4845333.0013781637</v>
      </c>
      <c r="Y111" s="163">
        <v>9674451.7839652747</v>
      </c>
      <c r="Z111" s="163">
        <v>19173135.345671698</v>
      </c>
      <c r="AA111" s="163">
        <v>14870216.363047838</v>
      </c>
      <c r="AB111" s="163">
        <v>6182655.806828469</v>
      </c>
      <c r="AC111" s="163">
        <v>-943278.34987746179</v>
      </c>
      <c r="AD111" s="163">
        <v>-2512075.0001153648</v>
      </c>
      <c r="AE111" s="163">
        <v>-5178454.9283641875</v>
      </c>
      <c r="AF111" s="163">
        <v>-15163646.499519423</v>
      </c>
      <c r="AG111" s="163">
        <v>-18176248.275882572</v>
      </c>
    </row>
    <row r="112" spans="16:33" ht="15.75" customHeight="1">
      <c r="P112" s="162"/>
      <c r="Q112" s="162">
        <v>95</v>
      </c>
      <c r="R112" s="163">
        <v>-41446040.003610924</v>
      </c>
      <c r="S112" s="163">
        <v>-18446890.710400701</v>
      </c>
      <c r="T112" s="163">
        <v>-9020711.3307329267</v>
      </c>
      <c r="U112" s="163">
        <v>-9913383.333890304</v>
      </c>
      <c r="V112" s="163">
        <v>-5367305.3017271161</v>
      </c>
      <c r="W112" s="164">
        <v>6146304.6152435541</v>
      </c>
      <c r="X112" s="163">
        <v>10092654.506445885</v>
      </c>
      <c r="Y112" s="163">
        <v>17380522.046994403</v>
      </c>
      <c r="Z112" s="163">
        <v>8463839.6619307399</v>
      </c>
      <c r="AA112" s="163">
        <v>13664946.395523071</v>
      </c>
      <c r="AB112" s="163">
        <v>9833093.0043064803</v>
      </c>
      <c r="AC112" s="163">
        <v>3042227.6899652779</v>
      </c>
      <c r="AD112" s="163">
        <v>7224186.132367</v>
      </c>
      <c r="AE112" s="163">
        <v>6747951.7465274334</v>
      </c>
      <c r="AF112" s="163">
        <v>-4755031.273181662</v>
      </c>
      <c r="AG112" s="163">
        <v>-22058716.385512844</v>
      </c>
    </row>
    <row r="113" spans="16:33" ht="15.75" customHeight="1">
      <c r="P113" s="162"/>
      <c r="Q113" s="162">
        <v>96</v>
      </c>
      <c r="R113" s="163">
        <v>-43110763.428773388</v>
      </c>
      <c r="S113" s="163">
        <v>-26046900.59641926</v>
      </c>
      <c r="T113" s="163">
        <v>-18775462.273767754</v>
      </c>
      <c r="U113" s="163">
        <v>-8001528.7680838108</v>
      </c>
      <c r="V113" s="163">
        <v>-1393008.9686665088</v>
      </c>
      <c r="W113" s="164">
        <v>10755514.89732033</v>
      </c>
      <c r="X113" s="163">
        <v>8484042.8885438889</v>
      </c>
      <c r="Y113" s="163">
        <v>11835321.697127625</v>
      </c>
      <c r="Z113" s="163">
        <v>13506195.451134205</v>
      </c>
      <c r="AA113" s="163">
        <v>23536324.667625636</v>
      </c>
      <c r="AB113" s="163">
        <v>11294064.143862873</v>
      </c>
      <c r="AC113" s="163">
        <v>2336020.3840418458</v>
      </c>
      <c r="AD113" s="163">
        <v>-4214661.1779423505</v>
      </c>
      <c r="AE113" s="163">
        <v>-4909489.9557697922</v>
      </c>
      <c r="AF113" s="163">
        <v>-14794412.022330344</v>
      </c>
      <c r="AG113" s="163">
        <v>-10127007.139255583</v>
      </c>
    </row>
    <row r="114" spans="16:33" ht="15.75" customHeight="1">
      <c r="P114" s="162"/>
      <c r="Q114" s="162">
        <v>97</v>
      </c>
      <c r="R114" s="163">
        <v>-38082127.439260408</v>
      </c>
      <c r="S114" s="163">
        <v>-18375462.557631761</v>
      </c>
      <c r="T114" s="163">
        <v>-17273454.45260945</v>
      </c>
      <c r="U114" s="163">
        <v>-9846551.6531636119</v>
      </c>
      <c r="V114" s="163">
        <v>-4542987.7972972393</v>
      </c>
      <c r="W114" s="164">
        <v>9767049.7647748142</v>
      </c>
      <c r="X114" s="163">
        <v>4154809.8480966538</v>
      </c>
      <c r="Y114" s="163">
        <v>19343897.654738531</v>
      </c>
      <c r="Z114" s="163">
        <v>9601794.2512075156</v>
      </c>
      <c r="AA114" s="163">
        <v>16456596.073213443</v>
      </c>
      <c r="AB114" s="163">
        <v>8048206.6177214533</v>
      </c>
      <c r="AC114" s="163">
        <v>-2723898.7800925523</v>
      </c>
      <c r="AD114" s="163">
        <v>-1781349.7933529317</v>
      </c>
      <c r="AE114" s="163">
        <v>-6838340.6090113223</v>
      </c>
      <c r="AF114" s="163">
        <v>-14104808.09945637</v>
      </c>
      <c r="AG114" s="163">
        <v>-16991757.561831445</v>
      </c>
    </row>
    <row r="115" spans="16:33" ht="15.75" customHeight="1">
      <c r="P115" s="162"/>
      <c r="Q115" s="162">
        <v>98</v>
      </c>
      <c r="R115" s="163">
        <v>-35269183.003272206</v>
      </c>
      <c r="S115" s="163">
        <v>-30135417.916049227</v>
      </c>
      <c r="T115" s="163">
        <v>-13568176.511664703</v>
      </c>
      <c r="U115" s="163">
        <v>-7338448.4706354886</v>
      </c>
      <c r="V115" s="163">
        <v>-5403701.8148159236</v>
      </c>
      <c r="W115" s="164">
        <v>6229513.3075415492</v>
      </c>
      <c r="X115" s="163">
        <v>5244876.7874794453</v>
      </c>
      <c r="Y115" s="163">
        <v>8717677.8770152032</v>
      </c>
      <c r="Z115" s="163">
        <v>8275805.763997674</v>
      </c>
      <c r="AA115" s="163">
        <v>12980673.341689855</v>
      </c>
      <c r="AB115" s="163">
        <v>12466268.898439944</v>
      </c>
      <c r="AC115" s="163">
        <v>2171272.4692292064</v>
      </c>
      <c r="AD115" s="163">
        <v>-5709868.7514351457</v>
      </c>
      <c r="AE115" s="163">
        <v>-1090756.4672660083</v>
      </c>
      <c r="AF115" s="163">
        <v>-5372807.6435230672</v>
      </c>
      <c r="AG115" s="163">
        <v>-14403351.524769783</v>
      </c>
    </row>
    <row r="116" spans="16:33" ht="15.75" customHeight="1">
      <c r="P116" s="162"/>
      <c r="Q116" s="162">
        <v>99</v>
      </c>
      <c r="R116" s="163">
        <v>-36486842.903321445</v>
      </c>
      <c r="S116" s="163">
        <v>-30233690.504297003</v>
      </c>
      <c r="T116" s="163">
        <v>-17333957.636987537</v>
      </c>
      <c r="U116" s="163">
        <v>-8194458.783005774</v>
      </c>
      <c r="V116" s="163">
        <v>-435843.99690063298</v>
      </c>
      <c r="W116" s="164">
        <v>-4310339.2300650924</v>
      </c>
      <c r="X116" s="163">
        <v>6277869.2793469876</v>
      </c>
      <c r="Y116" s="163">
        <v>3701352.3760433644</v>
      </c>
      <c r="Z116" s="163">
        <v>11832861.077329427</v>
      </c>
      <c r="AA116" s="163">
        <v>9297974.5292029381</v>
      </c>
      <c r="AB116" s="163">
        <v>9846425.4469876587</v>
      </c>
      <c r="AC116" s="163">
        <v>-1997280.3955786079</v>
      </c>
      <c r="AD116" s="163">
        <v>1710281.49520275</v>
      </c>
      <c r="AE116" s="163">
        <v>-9754751.4993208498</v>
      </c>
      <c r="AF116" s="163">
        <v>-4681497.6878118962</v>
      </c>
      <c r="AG116" s="163">
        <v>-9451314.5915722698</v>
      </c>
    </row>
    <row r="117" spans="16:33" ht="15.75" customHeight="1">
      <c r="P117" s="162"/>
      <c r="Q117" s="162">
        <v>100</v>
      </c>
      <c r="R117" s="163">
        <v>-37098798.271054104</v>
      </c>
      <c r="S117" s="163">
        <v>-16047033.589053228</v>
      </c>
      <c r="T117" s="163">
        <v>-15904614.052870363</v>
      </c>
      <c r="U117" s="163">
        <v>-11860980.208643511</v>
      </c>
      <c r="V117" s="163">
        <v>6313431.2538574785</v>
      </c>
      <c r="W117" s="164">
        <v>6444148.1712547988</v>
      </c>
      <c r="X117" s="163">
        <v>10023295.953909412</v>
      </c>
      <c r="Y117" s="163">
        <v>13755909.665050089</v>
      </c>
      <c r="Z117" s="163">
        <v>22060426.120929539</v>
      </c>
      <c r="AA117" s="163">
        <v>10953701.84111692</v>
      </c>
      <c r="AB117" s="163">
        <v>13097444.412303746</v>
      </c>
      <c r="AC117" s="163">
        <v>4502357.2304355502</v>
      </c>
      <c r="AD117" s="163">
        <v>5896875.7444468588</v>
      </c>
      <c r="AE117" s="163">
        <v>8773698.2948258817</v>
      </c>
      <c r="AF117" s="163">
        <v>-8183047.5552970618</v>
      </c>
      <c r="AG117" s="163">
        <v>-14996052.061892286</v>
      </c>
    </row>
    <row r="118" spans="16:33" ht="15.75" customHeight="1">
      <c r="P118" s="162"/>
      <c r="Q118" s="162">
        <v>101</v>
      </c>
      <c r="R118" s="163">
        <v>-35303793.529711455</v>
      </c>
      <c r="S118" s="163">
        <v>-23268970.002704054</v>
      </c>
      <c r="T118" s="163">
        <v>-15386032.575305119</v>
      </c>
      <c r="U118" s="163">
        <v>-15713987.533303633</v>
      </c>
      <c r="V118" s="163">
        <v>3359296.9314469099</v>
      </c>
      <c r="W118" s="164">
        <v>-3832429.7744881362</v>
      </c>
      <c r="X118" s="163">
        <v>6787738.4576281309</v>
      </c>
      <c r="Y118" s="163">
        <v>10731864.693291187</v>
      </c>
      <c r="Z118" s="163">
        <v>11339500.354724646</v>
      </c>
      <c r="AA118" s="163">
        <v>13668793.153893486</v>
      </c>
      <c r="AB118" s="163">
        <v>7844123.6560360938</v>
      </c>
      <c r="AC118" s="163">
        <v>9226673.2682855427</v>
      </c>
      <c r="AD118" s="163">
        <v>3519503.4278387576</v>
      </c>
      <c r="AE118" s="163">
        <v>-17458489.070516363</v>
      </c>
      <c r="AF118" s="163">
        <v>-10475992.067279637</v>
      </c>
      <c r="AG118" s="163">
        <v>-17917032.385690749</v>
      </c>
    </row>
    <row r="119" spans="16:33" ht="15.75" customHeight="1">
      <c r="P119" s="162"/>
      <c r="Q119" s="162">
        <v>102</v>
      </c>
      <c r="R119" s="163">
        <v>-28282850.588234887</v>
      </c>
      <c r="S119" s="163">
        <v>-33225655.75274843</v>
      </c>
      <c r="T119" s="163">
        <v>-14292058.624681816</v>
      </c>
      <c r="U119" s="163">
        <v>-8833591.37214306</v>
      </c>
      <c r="V119" s="163">
        <v>8447418.6173828542</v>
      </c>
      <c r="W119" s="164">
        <v>-1999036.6124777645</v>
      </c>
      <c r="X119" s="163">
        <v>17199562.597797289</v>
      </c>
      <c r="Y119" s="163">
        <v>6324159.5802718401</v>
      </c>
      <c r="Z119" s="163">
        <v>5625026.4512626082</v>
      </c>
      <c r="AA119" s="163">
        <v>21895723.138949335</v>
      </c>
      <c r="AB119" s="163">
        <v>7883492.2670834363</v>
      </c>
      <c r="AC119" s="163">
        <v>7155798.7904116511</v>
      </c>
      <c r="AD119" s="163">
        <v>-2215241.4672406167</v>
      </c>
      <c r="AE119" s="163">
        <v>-6743932.1007013023</v>
      </c>
      <c r="AF119" s="163">
        <v>-16685775.357182533</v>
      </c>
      <c r="AG119" s="163">
        <v>-20256333.057551593</v>
      </c>
    </row>
    <row r="120" spans="16:33" ht="15.75" customHeight="1">
      <c r="P120" s="162"/>
      <c r="Q120" s="162">
        <v>103</v>
      </c>
      <c r="R120" s="163">
        <v>-24625608.032414496</v>
      </c>
      <c r="S120" s="163">
        <v>-30643201.818398431</v>
      </c>
      <c r="T120" s="163">
        <v>-14809985.348634556</v>
      </c>
      <c r="U120" s="163">
        <v>-3118099.204511404</v>
      </c>
      <c r="V120" s="163">
        <v>4595939.301750049</v>
      </c>
      <c r="W120" s="164">
        <v>1730964.5583840162</v>
      </c>
      <c r="X120" s="163">
        <v>-809880.80489496887</v>
      </c>
      <c r="Y120" s="163">
        <v>9322751.8696014732</v>
      </c>
      <c r="Z120" s="163">
        <v>20407342.678583145</v>
      </c>
      <c r="AA120" s="163">
        <v>20350154.23727788</v>
      </c>
      <c r="AB120" s="163">
        <v>2030661.9477524757</v>
      </c>
      <c r="AC120" s="163">
        <v>17299290.51878655</v>
      </c>
      <c r="AD120" s="163">
        <v>401705.03398771584</v>
      </c>
      <c r="AE120" s="163">
        <v>6148889.1285606027</v>
      </c>
      <c r="AF120" s="163">
        <v>-15391214.587697208</v>
      </c>
      <c r="AG120" s="163">
        <v>-16802520.235728636</v>
      </c>
    </row>
    <row r="121" spans="16:33" ht="15.75" customHeight="1">
      <c r="P121" s="162"/>
      <c r="Q121" s="162">
        <v>104</v>
      </c>
      <c r="R121" s="163">
        <v>-27234198.806765154</v>
      </c>
      <c r="S121" s="163">
        <v>-19189400.114061415</v>
      </c>
      <c r="T121" s="163">
        <v>-19772191.011812985</v>
      </c>
      <c r="U121" s="163">
        <v>-473358.98581384122</v>
      </c>
      <c r="V121" s="163">
        <v>-1843999.4119457304</v>
      </c>
      <c r="W121" s="164">
        <v>4967413.0221386999</v>
      </c>
      <c r="X121" s="163">
        <v>6904600.5408286899</v>
      </c>
      <c r="Y121" s="163">
        <v>11980861.355585158</v>
      </c>
      <c r="Z121" s="163">
        <v>10807995.072747841</v>
      </c>
      <c r="AA121" s="163">
        <v>8355509.4087811559</v>
      </c>
      <c r="AB121" s="163">
        <v>10013042.010780022</v>
      </c>
      <c r="AC121" s="163">
        <v>1283665.9371004999</v>
      </c>
      <c r="AD121" s="163">
        <v>13096973.521818891</v>
      </c>
      <c r="AE121" s="163">
        <v>-131417.50023588538</v>
      </c>
      <c r="AF121" s="163">
        <v>-11318964.623244077</v>
      </c>
      <c r="AG121" s="163">
        <v>-14652608.009229302</v>
      </c>
    </row>
    <row r="122" spans="16:33" ht="15.75" customHeight="1">
      <c r="P122" s="162"/>
      <c r="Q122" s="162">
        <v>105</v>
      </c>
      <c r="R122" s="163">
        <v>-36616059.442209348</v>
      </c>
      <c r="S122" s="163">
        <v>-30099456.427281812</v>
      </c>
      <c r="T122" s="163">
        <v>-15399299.154538319</v>
      </c>
      <c r="U122" s="163">
        <v>-14598287.078049585</v>
      </c>
      <c r="V122" s="163">
        <v>-5867836.3852881789</v>
      </c>
      <c r="W122" s="164">
        <v>-2863263.4603372216</v>
      </c>
      <c r="X122" s="163">
        <v>596536.0287540853</v>
      </c>
      <c r="Y122" s="163">
        <v>15935232.632177636</v>
      </c>
      <c r="Z122" s="163">
        <v>6238014.3414394706</v>
      </c>
      <c r="AA122" s="163">
        <v>12618830.35336037</v>
      </c>
      <c r="AB122" s="163">
        <v>12857215.258666471</v>
      </c>
      <c r="AC122" s="163">
        <v>7680452.8193795681</v>
      </c>
      <c r="AD122" s="163">
        <v>-6082868.8989705443</v>
      </c>
      <c r="AE122" s="163">
        <v>8452569.333539024</v>
      </c>
      <c r="AF122" s="163">
        <v>-7516357.1740828454</v>
      </c>
      <c r="AG122" s="163">
        <v>-17400884.665875256</v>
      </c>
    </row>
    <row r="123" spans="16:33" ht="15.75" customHeight="1">
      <c r="P123" s="162"/>
      <c r="Q123" s="162">
        <v>106</v>
      </c>
      <c r="R123" s="163">
        <v>-29543489.282678038</v>
      </c>
      <c r="S123" s="163">
        <v>-34207780.269037917</v>
      </c>
      <c r="T123" s="163">
        <v>-12375290.830946937</v>
      </c>
      <c r="U123" s="163">
        <v>-1082486.7519062757</v>
      </c>
      <c r="V123" s="163">
        <v>-6808438.4766245186</v>
      </c>
      <c r="W123" s="164">
        <v>-8072259.781582132</v>
      </c>
      <c r="X123" s="163">
        <v>9672632.898479268</v>
      </c>
      <c r="Y123" s="163">
        <v>7070079.3858748078</v>
      </c>
      <c r="Z123" s="163">
        <v>9018794.2743618637</v>
      </c>
      <c r="AA123" s="163">
        <v>14447844.526592731</v>
      </c>
      <c r="AB123" s="163">
        <v>9395750.0304271877</v>
      </c>
      <c r="AC123" s="163">
        <v>7866693.8226204365</v>
      </c>
      <c r="AD123" s="163">
        <v>-7138543.6448544711</v>
      </c>
      <c r="AE123" s="163">
        <v>2472001.6313674748</v>
      </c>
      <c r="AF123" s="163">
        <v>740872.261754632</v>
      </c>
      <c r="AG123" s="163">
        <v>-11279349.025132522</v>
      </c>
    </row>
    <row r="124" spans="16:33" ht="15.75" customHeight="1">
      <c r="P124" s="162"/>
      <c r="Q124" s="162">
        <v>107</v>
      </c>
      <c r="R124" s="163">
        <v>-32674542.302019998</v>
      </c>
      <c r="S124" s="163">
        <v>-24444776.151474044</v>
      </c>
      <c r="T124" s="163">
        <v>-21843785.309619248</v>
      </c>
      <c r="U124" s="163">
        <v>-5418011.5488835573</v>
      </c>
      <c r="V124" s="163">
        <v>-15138685.573286563</v>
      </c>
      <c r="W124" s="164">
        <v>1749483.029542625</v>
      </c>
      <c r="X124" s="163">
        <v>10046812.708096817</v>
      </c>
      <c r="Y124" s="163">
        <v>6780941.0998740196</v>
      </c>
      <c r="Z124" s="163">
        <v>18811221.950007349</v>
      </c>
      <c r="AA124" s="163">
        <v>13740153.32272321</v>
      </c>
      <c r="AB124" s="163">
        <v>2397733.7422677577</v>
      </c>
      <c r="AC124" s="163">
        <v>1250624.7832969725</v>
      </c>
      <c r="AD124" s="163">
        <v>11253262.097091436</v>
      </c>
      <c r="AE124" s="163">
        <v>-3595586.9452667087</v>
      </c>
      <c r="AF124" s="163">
        <v>-8806866.2597197294</v>
      </c>
      <c r="AG124" s="163">
        <v>-10641166.958903149</v>
      </c>
    </row>
    <row r="125" spans="16:33" ht="15.75" customHeight="1">
      <c r="P125" s="162"/>
      <c r="Q125" s="162">
        <v>108</v>
      </c>
      <c r="R125" s="163">
        <v>-36204604.003893673</v>
      </c>
      <c r="S125" s="163">
        <v>-24390661.560026556</v>
      </c>
      <c r="T125" s="163">
        <v>-11191535.37336868</v>
      </c>
      <c r="U125" s="163">
        <v>-3598556.0053867251</v>
      </c>
      <c r="V125" s="163">
        <v>-16705362.868399829</v>
      </c>
      <c r="W125" s="164">
        <v>8238625.5079716593</v>
      </c>
      <c r="X125" s="163">
        <v>15931324.541245759</v>
      </c>
      <c r="Y125" s="163">
        <v>16399459.019341499</v>
      </c>
      <c r="Z125" s="163">
        <v>14201349.213566288</v>
      </c>
      <c r="AA125" s="163">
        <v>14410569.969750673</v>
      </c>
      <c r="AB125" s="163">
        <v>13755059.023941725</v>
      </c>
      <c r="AC125" s="163">
        <v>12776514.578305602</v>
      </c>
      <c r="AD125" s="163">
        <v>11238314.95758602</v>
      </c>
      <c r="AE125" s="163">
        <v>-5306174.9325848371</v>
      </c>
      <c r="AF125" s="163">
        <v>-4699169.7336911708</v>
      </c>
      <c r="AG125" s="163">
        <v>-22888606.87841472</v>
      </c>
    </row>
    <row r="126" spans="16:33" ht="15.75" customHeight="1">
      <c r="P126" s="162"/>
      <c r="Q126" s="162">
        <v>109</v>
      </c>
      <c r="R126" s="163">
        <v>-34269569.698300689</v>
      </c>
      <c r="S126" s="163">
        <v>-29658179.423006296</v>
      </c>
      <c r="T126" s="163">
        <v>-25861301.927738965</v>
      </c>
      <c r="U126" s="163">
        <v>-9671598.6403509974</v>
      </c>
      <c r="V126" s="163">
        <v>86804.804386049509</v>
      </c>
      <c r="W126" s="164">
        <v>11519671.916762918</v>
      </c>
      <c r="X126" s="163">
        <v>-5163012.262103647</v>
      </c>
      <c r="Y126" s="163">
        <v>17897522.368712366</v>
      </c>
      <c r="Z126" s="163">
        <v>15467030.549404845</v>
      </c>
      <c r="AA126" s="163">
        <v>12799275.924678326</v>
      </c>
      <c r="AB126" s="163">
        <v>6907140.9718316197</v>
      </c>
      <c r="AC126" s="163">
        <v>-2700901.0565187633</v>
      </c>
      <c r="AD126" s="163">
        <v>2005711.0206475258</v>
      </c>
      <c r="AE126" s="163">
        <v>748928.8626985997</v>
      </c>
      <c r="AF126" s="163">
        <v>-12178342.630029172</v>
      </c>
      <c r="AG126" s="163">
        <v>-20838241.706190124</v>
      </c>
    </row>
    <row r="127" spans="16:33" ht="15.75" customHeight="1">
      <c r="P127" s="162"/>
      <c r="Q127" s="162">
        <v>110</v>
      </c>
      <c r="R127" s="163">
        <v>-33570249.461732998</v>
      </c>
      <c r="S127" s="163">
        <v>-30700983.839174554</v>
      </c>
      <c r="T127" s="163">
        <v>-17547795.369221017</v>
      </c>
      <c r="U127" s="163">
        <v>-9699861.6872791946</v>
      </c>
      <c r="V127" s="163">
        <v>-1531206.2606896013</v>
      </c>
      <c r="W127" s="164">
        <v>9643942.9384337366</v>
      </c>
      <c r="X127" s="163">
        <v>9168940.5598332286</v>
      </c>
      <c r="Y127" s="163">
        <v>11034338.204554424</v>
      </c>
      <c r="Z127" s="163">
        <v>10355630.570967123</v>
      </c>
      <c r="AA127" s="163">
        <v>-971589.74775336683</v>
      </c>
      <c r="AB127" s="163">
        <v>15407624.072826564</v>
      </c>
      <c r="AC127" s="163">
        <v>6108707.5829181522</v>
      </c>
      <c r="AD127" s="163">
        <v>-863017.79992631078</v>
      </c>
      <c r="AE127" s="163">
        <v>-195545.66052013636</v>
      </c>
      <c r="AF127" s="163">
        <v>-5860092.7748640776</v>
      </c>
      <c r="AG127" s="163">
        <v>-20112721.657927051</v>
      </c>
    </row>
    <row r="128" spans="16:33" ht="15.75" customHeight="1">
      <c r="P128" s="162"/>
      <c r="Q128" s="162">
        <v>111</v>
      </c>
      <c r="R128" s="163">
        <v>-32973967.604480937</v>
      </c>
      <c r="S128" s="163">
        <v>-27489440.990888864</v>
      </c>
      <c r="T128" s="163">
        <v>-18244406.167688146</v>
      </c>
      <c r="U128" s="163">
        <v>-12491477.579691768</v>
      </c>
      <c r="V128" s="163">
        <v>1118825.3479060382</v>
      </c>
      <c r="W128" s="164">
        <v>-2834807.4645374715</v>
      </c>
      <c r="X128" s="163">
        <v>10628113.318061426</v>
      </c>
      <c r="Y128" s="163">
        <v>5330625.8576651514</v>
      </c>
      <c r="Z128" s="163">
        <v>15374703.200413808</v>
      </c>
      <c r="AA128" s="163">
        <v>11621302.621072248</v>
      </c>
      <c r="AB128" s="163">
        <v>1698713.7433072627</v>
      </c>
      <c r="AC128" s="163">
        <v>3018368.5134086609</v>
      </c>
      <c r="AD128" s="163">
        <v>2233879.0790457278</v>
      </c>
      <c r="AE128" s="163">
        <v>-2123886.1309721917</v>
      </c>
      <c r="AF128" s="163">
        <v>-17031638.120795876</v>
      </c>
      <c r="AG128" s="163">
        <v>-19808771.560054719</v>
      </c>
    </row>
    <row r="129" spans="16:33" ht="15.75" customHeight="1">
      <c r="P129" s="162"/>
      <c r="Q129" s="162">
        <v>112</v>
      </c>
      <c r="R129" s="163">
        <v>-33811628.503310204</v>
      </c>
      <c r="S129" s="163">
        <v>-26545638.430803671</v>
      </c>
      <c r="T129" s="163">
        <v>-15240584.363884732</v>
      </c>
      <c r="U129" s="163">
        <v>-8465123.1162468791</v>
      </c>
      <c r="V129" s="163">
        <v>-1136487.9035946727</v>
      </c>
      <c r="W129" s="164">
        <v>9351279.6107206196</v>
      </c>
      <c r="X129" s="163">
        <v>14183400.603640258</v>
      </c>
      <c r="Y129" s="163">
        <v>10965063.884891093</v>
      </c>
      <c r="Z129" s="163">
        <v>15655339.496046737</v>
      </c>
      <c r="AA129" s="163">
        <v>604789.27528260648</v>
      </c>
      <c r="AB129" s="163">
        <v>21827988.044401795</v>
      </c>
      <c r="AC129" s="163">
        <v>5796775.3442572057</v>
      </c>
      <c r="AD129" s="163">
        <v>1764277.5486043394</v>
      </c>
      <c r="AE129" s="163">
        <v>-6215385.2184738368</v>
      </c>
      <c r="AF129" s="163">
        <v>-295055.72313378751</v>
      </c>
      <c r="AG129" s="163">
        <v>-22982633.775664106</v>
      </c>
    </row>
    <row r="130" spans="16:33" ht="15.75" customHeight="1">
      <c r="P130" s="162"/>
      <c r="Q130" s="162">
        <v>113</v>
      </c>
      <c r="R130" s="163">
        <v>-28962572.80738017</v>
      </c>
      <c r="S130" s="163">
        <v>-27364486.859083414</v>
      </c>
      <c r="T130" s="163">
        <v>-12032193.601296917</v>
      </c>
      <c r="U130" s="163">
        <v>2855511.5487699509</v>
      </c>
      <c r="V130" s="163">
        <v>2204159.4604082555</v>
      </c>
      <c r="W130" s="164">
        <v>10869531.711835131</v>
      </c>
      <c r="X130" s="163">
        <v>13497527.155983597</v>
      </c>
      <c r="Y130" s="163">
        <v>15975207.889010087</v>
      </c>
      <c r="Z130" s="163">
        <v>14274910.603539214</v>
      </c>
      <c r="AA130" s="163">
        <v>9779500.4559383541</v>
      </c>
      <c r="AB130" s="163">
        <v>6647358.2049115747</v>
      </c>
      <c r="AC130" s="163">
        <v>9784207.1248885989</v>
      </c>
      <c r="AD130" s="163">
        <v>1056991.5800695419</v>
      </c>
      <c r="AE130" s="163">
        <v>8562781.07043311</v>
      </c>
      <c r="AF130" s="163">
        <v>-10852044.399860874</v>
      </c>
      <c r="AG130" s="163">
        <v>-21038204.067447528</v>
      </c>
    </row>
    <row r="131" spans="16:33" ht="15.75" customHeight="1">
      <c r="P131" s="162"/>
      <c r="Q131" s="162">
        <v>114</v>
      </c>
      <c r="R131" s="163">
        <v>-38848332.946994722</v>
      </c>
      <c r="S131" s="163">
        <v>-29806553.643369973</v>
      </c>
      <c r="T131" s="163">
        <v>-21163666.762387484</v>
      </c>
      <c r="U131" s="163">
        <v>-6409021.07353881</v>
      </c>
      <c r="V131" s="163">
        <v>-3751776.1613403112</v>
      </c>
      <c r="W131" s="164">
        <v>2427276.167642206</v>
      </c>
      <c r="X131" s="163">
        <v>1611663.3284412175</v>
      </c>
      <c r="Y131" s="163">
        <v>8200568.0024622679</v>
      </c>
      <c r="Z131" s="163">
        <v>12236296.581779644</v>
      </c>
      <c r="AA131" s="163">
        <v>22651990.136129007</v>
      </c>
      <c r="AB131" s="163">
        <v>12429432.882279515</v>
      </c>
      <c r="AC131" s="163">
        <v>24313038.008843169</v>
      </c>
      <c r="AD131" s="163">
        <v>6377859.5466652215</v>
      </c>
      <c r="AE131" s="163">
        <v>-8127482.7130002081</v>
      </c>
      <c r="AF131" s="163">
        <v>-4325312.6914139539</v>
      </c>
      <c r="AG131" s="163">
        <v>-14462160.057762146</v>
      </c>
    </row>
    <row r="132" spans="16:33" ht="15.75" customHeight="1">
      <c r="P132" s="162"/>
      <c r="Q132" s="162">
        <v>115</v>
      </c>
      <c r="R132" s="163">
        <v>-33726143.054044902</v>
      </c>
      <c r="S132" s="163">
        <v>-36566096.367788911</v>
      </c>
      <c r="T132" s="163">
        <v>-16003127.104904026</v>
      </c>
      <c r="U132" s="163">
        <v>-11817311.951120391</v>
      </c>
      <c r="V132" s="163">
        <v>-8306210.3253069073</v>
      </c>
      <c r="W132" s="164">
        <v>5200257.8193130195</v>
      </c>
      <c r="X132" s="163">
        <v>3980572.5533126444</v>
      </c>
      <c r="Y132" s="163">
        <v>11221015.090339318</v>
      </c>
      <c r="Z132" s="163">
        <v>5920259.0461704433</v>
      </c>
      <c r="AA132" s="163">
        <v>6699347.4237722605</v>
      </c>
      <c r="AB132" s="163">
        <v>20200238.807505757</v>
      </c>
      <c r="AC132" s="163">
        <v>6349959.2419676036</v>
      </c>
      <c r="AD132" s="163">
        <v>6189118.6774621159</v>
      </c>
      <c r="AE132" s="163">
        <v>1646952.3598752171</v>
      </c>
      <c r="AF132" s="163">
        <v>-6164953.1403568685</v>
      </c>
      <c r="AG132" s="163">
        <v>-20479218.978641331</v>
      </c>
    </row>
    <row r="133" spans="16:33" ht="15.75" customHeight="1">
      <c r="P133" s="162"/>
      <c r="Q133" s="162">
        <v>116</v>
      </c>
      <c r="R133" s="163">
        <v>-34071296.431459859</v>
      </c>
      <c r="S133" s="163">
        <v>-30250009.998883724</v>
      </c>
      <c r="T133" s="163">
        <v>-8683750.5040367693</v>
      </c>
      <c r="U133" s="163">
        <v>-4539732.0576453358</v>
      </c>
      <c r="V133" s="163">
        <v>-17677415.929341674</v>
      </c>
      <c r="W133" s="164">
        <v>-7678549.9893262088</v>
      </c>
      <c r="X133" s="163">
        <v>9734565.0921203494</v>
      </c>
      <c r="Y133" s="163">
        <v>22188827.909867808</v>
      </c>
      <c r="Z133" s="163">
        <v>19740721.387452334</v>
      </c>
      <c r="AA133" s="163">
        <v>4248192.9207640737</v>
      </c>
      <c r="AB133" s="163">
        <v>-288792.76111859083</v>
      </c>
      <c r="AC133" s="163">
        <v>3774896.8105835021</v>
      </c>
      <c r="AD133" s="163">
        <v>10771111.158775941</v>
      </c>
      <c r="AE133" s="163">
        <v>789427.13605369627</v>
      </c>
      <c r="AF133" s="163">
        <v>-5478910.8733734787</v>
      </c>
      <c r="AG133" s="163">
        <v>-8592486.095990479</v>
      </c>
    </row>
    <row r="134" spans="16:33" ht="15.75" customHeight="1">
      <c r="P134" s="162"/>
      <c r="Q134" s="162">
        <v>117</v>
      </c>
      <c r="R134" s="163">
        <v>-27318453.590335056</v>
      </c>
      <c r="S134" s="163">
        <v>-20516821.167949751</v>
      </c>
      <c r="T134" s="163">
        <v>-20151579.603655472</v>
      </c>
      <c r="U134" s="163">
        <v>1718464.8501973152</v>
      </c>
      <c r="V134" s="163">
        <v>4548961.9735801965</v>
      </c>
      <c r="W134" s="164">
        <v>5567764.7837717533</v>
      </c>
      <c r="X134" s="163">
        <v>4864330.1780361384</v>
      </c>
      <c r="Y134" s="163">
        <v>7774204.5482215285</v>
      </c>
      <c r="Z134" s="163">
        <v>14225284.900593862</v>
      </c>
      <c r="AA134" s="163">
        <v>11273827.253533006</v>
      </c>
      <c r="AB134" s="163">
        <v>13305264.050797313</v>
      </c>
      <c r="AC134" s="163">
        <v>5044985.4070938677</v>
      </c>
      <c r="AD134" s="163">
        <v>5222635.8570860326</v>
      </c>
      <c r="AE134" s="163">
        <v>-4920158.0812669694</v>
      </c>
      <c r="AF134" s="163">
        <v>-7182006.9699001014</v>
      </c>
      <c r="AG134" s="163">
        <v>-16049437.632956937</v>
      </c>
    </row>
    <row r="135" spans="16:33" ht="15.75" customHeight="1">
      <c r="P135" s="162"/>
      <c r="Q135" s="162">
        <v>118</v>
      </c>
      <c r="R135" s="163">
        <v>-36006364.03898336</v>
      </c>
      <c r="S135" s="163">
        <v>-28055370.442388788</v>
      </c>
      <c r="T135" s="163">
        <v>-15480836.884724736</v>
      </c>
      <c r="U135" s="163">
        <v>-5433447.450596571</v>
      </c>
      <c r="V135" s="163">
        <v>-8256786.5848248303</v>
      </c>
      <c r="W135" s="164">
        <v>-1425330.0724591017</v>
      </c>
      <c r="X135" s="163">
        <v>5378893.8695661873</v>
      </c>
      <c r="Y135" s="163">
        <v>6918083.1985263824</v>
      </c>
      <c r="Z135" s="163">
        <v>8623397.9620945603</v>
      </c>
      <c r="AA135" s="163">
        <v>14581389.78262493</v>
      </c>
      <c r="AB135" s="163">
        <v>11235048.399549842</v>
      </c>
      <c r="AC135" s="163">
        <v>5955275.2683581263</v>
      </c>
      <c r="AD135" s="163">
        <v>2621921.4654983729</v>
      </c>
      <c r="AE135" s="163">
        <v>7389109.6487230659</v>
      </c>
      <c r="AF135" s="163">
        <v>-16581322.099355385</v>
      </c>
      <c r="AG135" s="163">
        <v>-22597189.551407069</v>
      </c>
    </row>
    <row r="136" spans="16:33" ht="15.75" customHeight="1">
      <c r="P136" s="162"/>
      <c r="Q136" s="162">
        <v>119</v>
      </c>
      <c r="R136" s="163">
        <v>-34931404.97633329</v>
      </c>
      <c r="S136" s="163">
        <v>-27379759.155899823</v>
      </c>
      <c r="T136" s="163">
        <v>-17636646.484753594</v>
      </c>
      <c r="U136" s="163">
        <v>-12736434.912506044</v>
      </c>
      <c r="V136" s="163">
        <v>-17878958.643214285</v>
      </c>
      <c r="W136" s="164">
        <v>-3388379.5162658095</v>
      </c>
      <c r="X136" s="163">
        <v>11051195.525975823</v>
      </c>
      <c r="Y136" s="163">
        <v>9001483.4671284556</v>
      </c>
      <c r="Z136" s="163">
        <v>13724505.059851989</v>
      </c>
      <c r="AA136" s="163">
        <v>17102218.379458621</v>
      </c>
      <c r="AB136" s="163">
        <v>5952449.2120982111</v>
      </c>
      <c r="AC136" s="163">
        <v>14424930.552631825</v>
      </c>
      <c r="AD136" s="163">
        <v>4642019.4714946449</v>
      </c>
      <c r="AE136" s="163">
        <v>-2971412.1982699484</v>
      </c>
      <c r="AF136" s="163">
        <v>-11552378.841759264</v>
      </c>
      <c r="AG136" s="163">
        <v>-26943712.452580154</v>
      </c>
    </row>
    <row r="137" spans="16:33" ht="15.75" customHeight="1">
      <c r="P137" s="162"/>
      <c r="Q137" s="162">
        <v>120</v>
      </c>
      <c r="R137" s="163">
        <v>-36130333.04059428</v>
      </c>
      <c r="S137" s="163">
        <v>-28076043.839783773</v>
      </c>
      <c r="T137" s="163">
        <v>-9156745.1000881344</v>
      </c>
      <c r="U137" s="163">
        <v>-4226518.6726898551</v>
      </c>
      <c r="V137" s="163">
        <v>2843769.2874181718</v>
      </c>
      <c r="W137" s="164">
        <v>990783.54009582102</v>
      </c>
      <c r="X137" s="163">
        <v>5919368.0535789728</v>
      </c>
      <c r="Y137" s="163">
        <v>11180483.168767989</v>
      </c>
      <c r="Z137" s="163">
        <v>16641215.758447379</v>
      </c>
      <c r="AA137" s="163">
        <v>8863462.7435896546</v>
      </c>
      <c r="AB137" s="163">
        <v>6550906.9266807884</v>
      </c>
      <c r="AC137" s="163">
        <v>13908206.130467296</v>
      </c>
      <c r="AD137" s="163">
        <v>4803130.8718469888</v>
      </c>
      <c r="AE137" s="163">
        <v>2275589.2281008214</v>
      </c>
      <c r="AF137" s="163">
        <v>-5716998.5098209828</v>
      </c>
      <c r="AG137" s="163">
        <v>-24074091.77488026</v>
      </c>
    </row>
    <row r="138" spans="16:33" ht="15.75" customHeight="1">
      <c r="P138" s="162"/>
      <c r="Q138" s="162">
        <v>121</v>
      </c>
      <c r="R138" s="163">
        <v>-36943066.025843143</v>
      </c>
      <c r="S138" s="163">
        <v>-24900774.586518064</v>
      </c>
      <c r="T138" s="163">
        <v>-17165149.027947858</v>
      </c>
      <c r="U138" s="163">
        <v>-11355532.655200854</v>
      </c>
      <c r="V138" s="163">
        <v>-6571889.6739168763</v>
      </c>
      <c r="W138" s="164">
        <v>-795612.06994225085</v>
      </c>
      <c r="X138" s="163">
        <v>11083926.024310887</v>
      </c>
      <c r="Y138" s="163">
        <v>7102136.6230286062</v>
      </c>
      <c r="Z138" s="163">
        <v>5750571.9937423766</v>
      </c>
      <c r="AA138" s="163">
        <v>13366381.252946258</v>
      </c>
      <c r="AB138" s="163">
        <v>11021485.518799141</v>
      </c>
      <c r="AC138" s="163">
        <v>1707306.6056845337</v>
      </c>
      <c r="AD138" s="163">
        <v>3251032.5838531405</v>
      </c>
      <c r="AE138" s="163">
        <v>-5856823.0510582924</v>
      </c>
      <c r="AF138" s="163">
        <v>-1392985.7740291357</v>
      </c>
      <c r="AG138" s="163">
        <v>-22873007.319957852</v>
      </c>
    </row>
    <row r="139" spans="16:33" ht="15.75" customHeight="1">
      <c r="P139" s="162"/>
      <c r="Q139" s="162">
        <v>122</v>
      </c>
      <c r="R139" s="163">
        <v>-34525319.816369474</v>
      </c>
      <c r="S139" s="163">
        <v>-22609625.83424136</v>
      </c>
      <c r="T139" s="163">
        <v>-24062046.965380162</v>
      </c>
      <c r="U139" s="163">
        <v>-5400269.7070860416</v>
      </c>
      <c r="V139" s="163">
        <v>-7553581.9051732123</v>
      </c>
      <c r="W139" s="164">
        <v>8138784.0428119153</v>
      </c>
      <c r="X139" s="163">
        <v>15284000.00365895</v>
      </c>
      <c r="Y139" s="163">
        <v>2752677.8439585268</v>
      </c>
      <c r="Z139" s="163">
        <v>18566974.762275919</v>
      </c>
      <c r="AA139" s="163">
        <v>9544412.3275035024</v>
      </c>
      <c r="AB139" s="163">
        <v>3368361.0733858049</v>
      </c>
      <c r="AC139" s="163">
        <v>12170055.705153555</v>
      </c>
      <c r="AD139" s="163">
        <v>-8330510.9914298356</v>
      </c>
      <c r="AE139" s="163">
        <v>1376556.0526502132</v>
      </c>
      <c r="AF139" s="163">
        <v>-19006568.752880737</v>
      </c>
      <c r="AG139" s="163">
        <v>-7003170.994336769</v>
      </c>
    </row>
    <row r="140" spans="16:33" ht="15.75" customHeight="1">
      <c r="P140" s="162"/>
      <c r="Q140" s="162">
        <v>123</v>
      </c>
      <c r="R140" s="163">
        <v>-37612690.175922871</v>
      </c>
      <c r="S140" s="163">
        <v>-29413990.437898576</v>
      </c>
      <c r="T140" s="163">
        <v>-9644784.1797690541</v>
      </c>
      <c r="U140" s="163">
        <v>-11821120.458616808</v>
      </c>
      <c r="V140" s="163">
        <v>-3582759.7669874728</v>
      </c>
      <c r="W140" s="164">
        <v>16868552.885458916</v>
      </c>
      <c r="X140" s="163">
        <v>6294477.3819448054</v>
      </c>
      <c r="Y140" s="163">
        <v>20955663.665033937</v>
      </c>
      <c r="Z140" s="163">
        <v>13195492.195064798</v>
      </c>
      <c r="AA140" s="163">
        <v>6792204.8874861747</v>
      </c>
      <c r="AB140" s="163">
        <v>14644853.345037714</v>
      </c>
      <c r="AC140" s="163">
        <v>8613714.10377267</v>
      </c>
      <c r="AD140" s="163">
        <v>-881188.95059430599</v>
      </c>
      <c r="AE140" s="163">
        <v>-1667607.9311532229</v>
      </c>
      <c r="AF140" s="163">
        <v>-10399481.681294858</v>
      </c>
      <c r="AG140" s="163">
        <v>-16117599.055663288</v>
      </c>
    </row>
    <row r="141" spans="16:33" ht="15.75" customHeight="1">
      <c r="P141" s="162"/>
      <c r="Q141" s="162">
        <v>124</v>
      </c>
      <c r="R141" s="163">
        <v>-35390454.410018951</v>
      </c>
      <c r="S141" s="163">
        <v>-32357581.642738</v>
      </c>
      <c r="T141" s="163">
        <v>-22780291.079663977</v>
      </c>
      <c r="U141" s="163">
        <v>-8431857.3032200187</v>
      </c>
      <c r="V141" s="163">
        <v>-3167397.1874601692</v>
      </c>
      <c r="W141" s="164">
        <v>-3169964.697716549</v>
      </c>
      <c r="X141" s="163">
        <v>15767325.898066089</v>
      </c>
      <c r="Y141" s="163">
        <v>10450958.241478011</v>
      </c>
      <c r="Z141" s="163">
        <v>13939465.660625815</v>
      </c>
      <c r="AA141" s="163">
        <v>7303049.6849277765</v>
      </c>
      <c r="AB141" s="163">
        <v>10692229.423193961</v>
      </c>
      <c r="AC141" s="163">
        <v>7654622.886180371</v>
      </c>
      <c r="AD141" s="163">
        <v>11520369.402785152</v>
      </c>
      <c r="AE141" s="163">
        <v>-5187991.457865715</v>
      </c>
      <c r="AF141" s="163">
        <v>-1607763.2107612044</v>
      </c>
      <c r="AG141" s="163">
        <v>-16964058.787710637</v>
      </c>
    </row>
    <row r="142" spans="16:33" ht="15.75" customHeight="1">
      <c r="P142" s="162"/>
      <c r="Q142" s="162">
        <v>125</v>
      </c>
      <c r="R142" s="163">
        <v>-42484139.006250829</v>
      </c>
      <c r="S142" s="163">
        <v>-31368614.232118845</v>
      </c>
      <c r="T142" s="163">
        <v>-12297155.936362356</v>
      </c>
      <c r="U142" s="163">
        <v>-7672126.7745259702</v>
      </c>
      <c r="V142" s="163">
        <v>12787861.212121621</v>
      </c>
      <c r="W142" s="164">
        <v>14441305.666848838</v>
      </c>
      <c r="X142" s="163">
        <v>4727531.6536797434</v>
      </c>
      <c r="Y142" s="163">
        <v>3605764.2621896565</v>
      </c>
      <c r="Z142" s="163">
        <v>21464716.619566113</v>
      </c>
      <c r="AA142" s="163">
        <v>881433.85155129433</v>
      </c>
      <c r="AB142" s="163">
        <v>23872017.473337591</v>
      </c>
      <c r="AC142" s="163">
        <v>4798171.0236460418</v>
      </c>
      <c r="AD142" s="163">
        <v>-1985.455512419343</v>
      </c>
      <c r="AE142" s="163">
        <v>-1406019.9564740658</v>
      </c>
      <c r="AF142" s="163">
        <v>-9698158.8482623547</v>
      </c>
      <c r="AG142" s="163">
        <v>-16937670.319641858</v>
      </c>
    </row>
    <row r="143" spans="16:33" ht="15.75" customHeight="1">
      <c r="P143" s="162"/>
      <c r="Q143" s="162">
        <v>126</v>
      </c>
      <c r="R143" s="163">
        <v>-35292048.903762519</v>
      </c>
      <c r="S143" s="163">
        <v>-21105441.512914747</v>
      </c>
      <c r="T143" s="163">
        <v>-20049748.334026083</v>
      </c>
      <c r="U143" s="163">
        <v>2254489.6080701798</v>
      </c>
      <c r="V143" s="163">
        <v>586487.18925103545</v>
      </c>
      <c r="W143" s="164">
        <v>6427111.5049690008</v>
      </c>
      <c r="X143" s="163">
        <v>16921626.434823245</v>
      </c>
      <c r="Y143" s="163">
        <v>10434353.216756061</v>
      </c>
      <c r="Z143" s="163">
        <v>6874824.2497578561</v>
      </c>
      <c r="AA143" s="163">
        <v>9237373.9495636523</v>
      </c>
      <c r="AB143" s="163">
        <v>11192133.893565953</v>
      </c>
      <c r="AC143" s="163">
        <v>3877759.983048752</v>
      </c>
      <c r="AD143" s="163">
        <v>4722422.4295591116</v>
      </c>
      <c r="AE143" s="163">
        <v>-3939325.3865272552</v>
      </c>
      <c r="AF143" s="163">
        <v>-8576823.9042900652</v>
      </c>
      <c r="AG143" s="163">
        <v>-23811848.050473243</v>
      </c>
    </row>
    <row r="144" spans="16:33" ht="15.75" customHeight="1">
      <c r="P144" s="162"/>
      <c r="Q144" s="162">
        <v>127</v>
      </c>
      <c r="R144" s="163">
        <v>-36373977.438928381</v>
      </c>
      <c r="S144" s="163">
        <v>-23940820.769650772</v>
      </c>
      <c r="T144" s="163">
        <v>-8128496.1234844178</v>
      </c>
      <c r="U144" s="163">
        <v>-9949529.9303082377</v>
      </c>
      <c r="V144" s="163">
        <v>4880690.7687713057</v>
      </c>
      <c r="W144" s="164">
        <v>12895535.667152852</v>
      </c>
      <c r="X144" s="163">
        <v>8257803.0886836201</v>
      </c>
      <c r="Y144" s="163">
        <v>9876517.2166128606</v>
      </c>
      <c r="Z144" s="163">
        <v>11125138.459839463</v>
      </c>
      <c r="AA144" s="163">
        <v>12331030.371897727</v>
      </c>
      <c r="AB144" s="163">
        <v>15408119.339997083</v>
      </c>
      <c r="AC144" s="163">
        <v>-981995.89328730106</v>
      </c>
      <c r="AD144" s="163">
        <v>2433345.2915292084</v>
      </c>
      <c r="AE144" s="163">
        <v>-3442899.9446239471</v>
      </c>
      <c r="AF144" s="163">
        <v>-5943519.1742721051</v>
      </c>
      <c r="AG144" s="163">
        <v>-13728508.163646102</v>
      </c>
    </row>
    <row r="145" spans="16:33" ht="15.75" customHeight="1">
      <c r="P145" s="162"/>
      <c r="Q145" s="162">
        <v>128</v>
      </c>
      <c r="R145" s="163">
        <v>-36729963.596228972</v>
      </c>
      <c r="S145" s="163">
        <v>-24798799.037175447</v>
      </c>
      <c r="T145" s="163">
        <v>-13148600.795245811</v>
      </c>
      <c r="U145" s="163">
        <v>-2307141.9550623447</v>
      </c>
      <c r="V145" s="163">
        <v>-7836839.0431411713</v>
      </c>
      <c r="W145" s="164">
        <v>355358.21530523896</v>
      </c>
      <c r="X145" s="163">
        <v>7432464.3411320597</v>
      </c>
      <c r="Y145" s="163">
        <v>11177190.308995917</v>
      </c>
      <c r="Z145" s="163">
        <v>18122389.75925079</v>
      </c>
      <c r="AA145" s="163">
        <v>5079166.74287045</v>
      </c>
      <c r="AB145" s="163">
        <v>10795613.292338222</v>
      </c>
      <c r="AC145" s="163">
        <v>2164004.474817425</v>
      </c>
      <c r="AD145" s="163">
        <v>8549962.177751556</v>
      </c>
      <c r="AE145" s="163">
        <v>2897590.338928923</v>
      </c>
      <c r="AF145" s="163">
        <v>-14645938.762047902</v>
      </c>
      <c r="AG145" s="163">
        <v>-29353330.750338525</v>
      </c>
    </row>
    <row r="146" spans="16:33" ht="15.75" customHeight="1">
      <c r="P146" s="162"/>
      <c r="Q146" s="162">
        <v>129</v>
      </c>
      <c r="R146" s="163">
        <v>-35891255.795231923</v>
      </c>
      <c r="S146" s="163">
        <v>-28842055.291502357</v>
      </c>
      <c r="T146" s="163">
        <v>-19526158.704444885</v>
      </c>
      <c r="U146" s="163">
        <v>-17231325.518358365</v>
      </c>
      <c r="V146" s="163">
        <v>10084918.650926992</v>
      </c>
      <c r="W146" s="164">
        <v>1200867.053720206</v>
      </c>
      <c r="X146" s="163">
        <v>10572915.214382887</v>
      </c>
      <c r="Y146" s="163">
        <v>10073963.71981585</v>
      </c>
      <c r="Z146" s="163">
        <v>12613223.278783381</v>
      </c>
      <c r="AA146" s="163">
        <v>23976922.350511506</v>
      </c>
      <c r="AB146" s="163">
        <v>10843522.891607836</v>
      </c>
      <c r="AC146" s="163">
        <v>14783863.740247935</v>
      </c>
      <c r="AD146" s="163">
        <v>5324517.3610095084</v>
      </c>
      <c r="AE146" s="163">
        <v>-4738307.0755422264</v>
      </c>
      <c r="AF146" s="163">
        <v>-5124718.8291785419</v>
      </c>
      <c r="AG146" s="163">
        <v>-22620759.98395738</v>
      </c>
    </row>
    <row r="147" spans="16:33" ht="15.75" customHeight="1">
      <c r="P147" s="162"/>
      <c r="Q147" s="162">
        <v>130</v>
      </c>
      <c r="R147" s="163">
        <v>-36164623.13299723</v>
      </c>
      <c r="S147" s="163">
        <v>-22911393.246207833</v>
      </c>
      <c r="T147" s="163">
        <v>-7852567.6793340743</v>
      </c>
      <c r="U147" s="163">
        <v>-4738278.0987536013</v>
      </c>
      <c r="V147" s="163">
        <v>4734138.7382185906</v>
      </c>
      <c r="W147" s="164">
        <v>-2672989.1585633159</v>
      </c>
      <c r="X147" s="163">
        <v>18627923.543575794</v>
      </c>
      <c r="Y147" s="163">
        <v>-570688.38606864214</v>
      </c>
      <c r="Z147" s="163">
        <v>9300841.6032861322</v>
      </c>
      <c r="AA147" s="163">
        <v>15631861.348804832</v>
      </c>
      <c r="AB147" s="163">
        <v>14701974.472121343</v>
      </c>
      <c r="AC147" s="163">
        <v>8812524.8875735849</v>
      </c>
      <c r="AD147" s="163">
        <v>8470267.2930655777</v>
      </c>
      <c r="AE147" s="163">
        <v>-266370.68678182364</v>
      </c>
      <c r="AF147" s="163">
        <v>-3580405.2630862594</v>
      </c>
      <c r="AG147" s="163">
        <v>-11865745.75669983</v>
      </c>
    </row>
    <row r="148" spans="16:33" ht="15.75" customHeight="1">
      <c r="P148" s="162"/>
      <c r="Q148" s="162">
        <v>131</v>
      </c>
      <c r="R148" s="163">
        <v>-34191456.987712756</v>
      </c>
      <c r="S148" s="163">
        <v>-29800146.980384469</v>
      </c>
      <c r="T148" s="163">
        <v>-13880051.926702157</v>
      </c>
      <c r="U148" s="163">
        <v>-5111529.3188430518</v>
      </c>
      <c r="V148" s="163">
        <v>3114655.6567007899</v>
      </c>
      <c r="W148" s="164">
        <v>-3189499.9492225349</v>
      </c>
      <c r="X148" s="163">
        <v>9291042.863025099</v>
      </c>
      <c r="Y148" s="163">
        <v>6994917.1422584206</v>
      </c>
      <c r="Z148" s="163">
        <v>2771509.9428510219</v>
      </c>
      <c r="AA148" s="163">
        <v>5687554.5845301896</v>
      </c>
      <c r="AB148" s="163">
        <v>4899177.0432541221</v>
      </c>
      <c r="AC148" s="163">
        <v>775182.22402368486</v>
      </c>
      <c r="AD148" s="163">
        <v>2400293.5813712925</v>
      </c>
      <c r="AE148" s="163">
        <v>3095076.3197084069</v>
      </c>
      <c r="AF148" s="163">
        <v>-8615338.8022947013</v>
      </c>
      <c r="AG148" s="163">
        <v>-18599553.271714836</v>
      </c>
    </row>
    <row r="149" spans="16:33" ht="15.75" customHeight="1">
      <c r="P149" s="162"/>
      <c r="Q149" s="162">
        <v>132</v>
      </c>
      <c r="R149" s="163">
        <v>-33082638.722801924</v>
      </c>
      <c r="S149" s="163">
        <v>-26302342.51969932</v>
      </c>
      <c r="T149" s="163">
        <v>-13505301.64887692</v>
      </c>
      <c r="U149" s="163">
        <v>-8231132.9868912399</v>
      </c>
      <c r="V149" s="163">
        <v>877215.81965643167</v>
      </c>
      <c r="W149" s="164">
        <v>-1936770.9458765388</v>
      </c>
      <c r="X149" s="163">
        <v>4147278.8047452867</v>
      </c>
      <c r="Y149" s="163">
        <v>4201613.7034689188</v>
      </c>
      <c r="Z149" s="163">
        <v>11842166.471093997</v>
      </c>
      <c r="AA149" s="163">
        <v>15378367.711434588</v>
      </c>
      <c r="AB149" s="163">
        <v>1136204.1150218844</v>
      </c>
      <c r="AC149" s="163">
        <v>-371242.07643613219</v>
      </c>
      <c r="AD149" s="163">
        <v>-1183700.0923879892</v>
      </c>
      <c r="AE149" s="163">
        <v>1726976.2826364487</v>
      </c>
      <c r="AF149" s="163">
        <v>-12298120.643320322</v>
      </c>
      <c r="AG149" s="163">
        <v>-16734238.389067411</v>
      </c>
    </row>
    <row r="150" spans="16:33" ht="15.75" customHeight="1">
      <c r="P150" s="162"/>
      <c r="Q150" s="162">
        <v>133</v>
      </c>
      <c r="R150" s="163">
        <v>-37660211.5963967</v>
      </c>
      <c r="S150" s="163">
        <v>-23162887.96758768</v>
      </c>
      <c r="T150" s="163">
        <v>-18677498.40294987</v>
      </c>
      <c r="U150" s="163">
        <v>-12848237.09234786</v>
      </c>
      <c r="V150" s="163">
        <v>-1944376.5772253275</v>
      </c>
      <c r="W150" s="164">
        <v>-5158970.4854145944</v>
      </c>
      <c r="X150" s="163">
        <v>14181331.797549993</v>
      </c>
      <c r="Y150" s="163">
        <v>18364014.591195554</v>
      </c>
      <c r="Z150" s="163">
        <v>16460411.139262825</v>
      </c>
      <c r="AA150" s="163">
        <v>14311134.869119212</v>
      </c>
      <c r="AB150" s="163">
        <v>5344287.6200239807</v>
      </c>
      <c r="AC150" s="163">
        <v>-2739216.2671402395</v>
      </c>
      <c r="AD150" s="163">
        <v>4378927.4333601445</v>
      </c>
      <c r="AE150" s="163">
        <v>-11091037.54884322</v>
      </c>
      <c r="AF150" s="163">
        <v>2358620.0704905093</v>
      </c>
      <c r="AG150" s="163">
        <v>-20581137.341588199</v>
      </c>
    </row>
    <row r="151" spans="16:33" ht="15.75" customHeight="1">
      <c r="P151" s="162"/>
      <c r="Q151" s="162">
        <v>134</v>
      </c>
      <c r="R151" s="163">
        <v>-34881488.77940771</v>
      </c>
      <c r="S151" s="163">
        <v>-29878509.11447674</v>
      </c>
      <c r="T151" s="163">
        <v>-24085988.775144488</v>
      </c>
      <c r="U151" s="163">
        <v>-5036798.7093997747</v>
      </c>
      <c r="V151" s="163">
        <v>5477463.6719532162</v>
      </c>
      <c r="W151" s="164">
        <v>11436560.207100153</v>
      </c>
      <c r="X151" s="163">
        <v>12765942.980064675</v>
      </c>
      <c r="Y151" s="163">
        <v>4710559.9457179904</v>
      </c>
      <c r="Z151" s="163">
        <v>13283724.266910747</v>
      </c>
      <c r="AA151" s="163">
        <v>5632599.2759422213</v>
      </c>
      <c r="AB151" s="163">
        <v>12369801.293251514</v>
      </c>
      <c r="AC151" s="163">
        <v>2571133.4313291013</v>
      </c>
      <c r="AD151" s="163">
        <v>-70459.441533774137</v>
      </c>
      <c r="AE151" s="163">
        <v>-726004.1466332972</v>
      </c>
      <c r="AF151" s="163">
        <v>2863424.2984477729</v>
      </c>
      <c r="AG151" s="163">
        <v>-15589446.830825686</v>
      </c>
    </row>
    <row r="152" spans="16:33" ht="15.75" customHeight="1">
      <c r="P152" s="162"/>
      <c r="Q152" s="162">
        <v>135</v>
      </c>
      <c r="R152" s="163">
        <v>-37699481.519037455</v>
      </c>
      <c r="S152" s="163">
        <v>-29481229.4224682</v>
      </c>
      <c r="T152" s="163">
        <v>-7454209.6221802235</v>
      </c>
      <c r="U152" s="163">
        <v>-10781529.583090201</v>
      </c>
      <c r="V152" s="163">
        <v>-308344.53321255744</v>
      </c>
      <c r="W152" s="164">
        <v>1823408.8109642267</v>
      </c>
      <c r="X152" s="163">
        <v>6092417.7193194181</v>
      </c>
      <c r="Y152" s="163">
        <v>21186420.107467368</v>
      </c>
      <c r="Z152" s="163">
        <v>5065870.272395879</v>
      </c>
      <c r="AA152" s="163">
        <v>8809027.4968219101</v>
      </c>
      <c r="AB152" s="163">
        <v>21147811.308823109</v>
      </c>
      <c r="AC152" s="163">
        <v>11145674.191830784</v>
      </c>
      <c r="AD152" s="163">
        <v>1724238.9339153022</v>
      </c>
      <c r="AE152" s="163">
        <v>-6151578.5591802597</v>
      </c>
      <c r="AF152" s="163">
        <v>-5181637.567770943</v>
      </c>
      <c r="AG152" s="163">
        <v>-13795782.800086573</v>
      </c>
    </row>
    <row r="153" spans="16:33" ht="15.75" customHeight="1">
      <c r="P153" s="162"/>
      <c r="Q153" s="162">
        <v>136</v>
      </c>
      <c r="R153" s="163">
        <v>-37688195.399785116</v>
      </c>
      <c r="S153" s="163">
        <v>-31548891.966536731</v>
      </c>
      <c r="T153" s="163">
        <v>-13869392.218819842</v>
      </c>
      <c r="U153" s="163">
        <v>-10882111.413040578</v>
      </c>
      <c r="V153" s="163">
        <v>7505070.9638957977</v>
      </c>
      <c r="W153" s="164">
        <v>9622264.7283381969</v>
      </c>
      <c r="X153" s="163">
        <v>11362441.349612415</v>
      </c>
      <c r="Y153" s="163">
        <v>14526673.903802007</v>
      </c>
      <c r="Z153" s="163">
        <v>21381403.640167564</v>
      </c>
      <c r="AA153" s="163">
        <v>11756224.40918985</v>
      </c>
      <c r="AB153" s="163">
        <v>12628156.944298744</v>
      </c>
      <c r="AC153" s="163">
        <v>10600265.776936069</v>
      </c>
      <c r="AD153" s="163">
        <v>-1325068.1495259553</v>
      </c>
      <c r="AE153" s="163">
        <v>10968087.45207122</v>
      </c>
      <c r="AF153" s="163">
        <v>-16188637.055350006</v>
      </c>
      <c r="AG153" s="163">
        <v>-14358002.990626752</v>
      </c>
    </row>
    <row r="154" spans="16:33" ht="15.75" customHeight="1">
      <c r="P154" s="162"/>
      <c r="Q154" s="162">
        <v>137</v>
      </c>
      <c r="R154" s="163">
        <v>-41243435.153384447</v>
      </c>
      <c r="S154" s="163">
        <v>-19648736.53215681</v>
      </c>
      <c r="T154" s="163">
        <v>-13449513.866137996</v>
      </c>
      <c r="U154" s="163">
        <v>-14865535.89763248</v>
      </c>
      <c r="V154" s="163">
        <v>11148182.584516823</v>
      </c>
      <c r="W154" s="164">
        <v>-2849881.8823311627</v>
      </c>
      <c r="X154" s="163">
        <v>10769707.976857856</v>
      </c>
      <c r="Y154" s="163">
        <v>14963632.716522321</v>
      </c>
      <c r="Z154" s="163">
        <v>9798370.7873825878</v>
      </c>
      <c r="AA154" s="163">
        <v>782992.03192609549</v>
      </c>
      <c r="AB154" s="163">
        <v>18949513.89346607</v>
      </c>
      <c r="AC154" s="163">
        <v>15157424.016971186</v>
      </c>
      <c r="AD154" s="163">
        <v>4258278.5193592012</v>
      </c>
      <c r="AE154" s="163">
        <v>2295707.7880916148</v>
      </c>
      <c r="AF154" s="163">
        <v>-19432757.12352787</v>
      </c>
      <c r="AG154" s="163">
        <v>-11010524.744943976</v>
      </c>
    </row>
    <row r="155" spans="16:33" ht="15.75" customHeight="1">
      <c r="P155" s="162"/>
      <c r="Q155" s="162">
        <v>138</v>
      </c>
      <c r="R155" s="163">
        <v>-25060089.238341376</v>
      </c>
      <c r="S155" s="163">
        <v>-26000479.617403731</v>
      </c>
      <c r="T155" s="163">
        <v>-20032820.579141766</v>
      </c>
      <c r="U155" s="163">
        <v>-3660541.8386005461</v>
      </c>
      <c r="V155" s="163">
        <v>-1213667.4505281299</v>
      </c>
      <c r="W155" s="164">
        <v>1976372.286244601</v>
      </c>
      <c r="X155" s="163">
        <v>11485725.043666124</v>
      </c>
      <c r="Y155" s="163">
        <v>1736298.1387953907</v>
      </c>
      <c r="Z155" s="163">
        <v>12432637.757467762</v>
      </c>
      <c r="AA155" s="163">
        <v>11144882.813036934</v>
      </c>
      <c r="AB155" s="163">
        <v>7947267.7938527465</v>
      </c>
      <c r="AC155" s="163">
        <v>14529650.347989231</v>
      </c>
      <c r="AD155" s="163">
        <v>4092516.9674674869</v>
      </c>
      <c r="AE155" s="163">
        <v>8381143.2315360457</v>
      </c>
      <c r="AF155" s="163">
        <v>-13401613.824049681</v>
      </c>
      <c r="AG155" s="163">
        <v>-10249552.846563041</v>
      </c>
    </row>
    <row r="156" spans="16:33" ht="15.75" customHeight="1">
      <c r="P156" s="162"/>
      <c r="Q156" s="162">
        <v>139</v>
      </c>
      <c r="R156" s="163">
        <v>-32362718.588669285</v>
      </c>
      <c r="S156" s="163">
        <v>-26566182.373217687</v>
      </c>
      <c r="T156" s="163">
        <v>-19080857.885555431</v>
      </c>
      <c r="U156" s="163">
        <v>-7962929.9449524879</v>
      </c>
      <c r="V156" s="163">
        <v>8506658.9742114842</v>
      </c>
      <c r="W156" s="164">
        <v>-9613657.8117873371</v>
      </c>
      <c r="X156" s="163">
        <v>13820433.631900609</v>
      </c>
      <c r="Y156" s="163">
        <v>15283504.19550027</v>
      </c>
      <c r="Z156" s="163">
        <v>4317821.5150764287</v>
      </c>
      <c r="AA156" s="163">
        <v>-959644.1452729553</v>
      </c>
      <c r="AB156" s="163">
        <v>5363965.1741103828</v>
      </c>
      <c r="AC156" s="163">
        <v>11305895.202745363</v>
      </c>
      <c r="AD156" s="163">
        <v>389194.32168902457</v>
      </c>
      <c r="AE156" s="163">
        <v>-3441788.7213273793</v>
      </c>
      <c r="AF156" s="163">
        <v>-7685104.8445337564</v>
      </c>
      <c r="AG156" s="163">
        <v>-15724968.25621374</v>
      </c>
    </row>
    <row r="157" spans="16:33" ht="15.75" customHeight="1">
      <c r="P157" s="162"/>
      <c r="Q157" s="162">
        <v>140</v>
      </c>
      <c r="R157" s="163">
        <v>-36981467.748807758</v>
      </c>
      <c r="S157" s="163">
        <v>-26065780.741046533</v>
      </c>
      <c r="T157" s="163">
        <v>-18904528.586718068</v>
      </c>
      <c r="U157" s="163">
        <v>-8532185.6975995898</v>
      </c>
      <c r="V157" s="163">
        <v>15494730.109229192</v>
      </c>
      <c r="W157" s="164">
        <v>10728371.882507414</v>
      </c>
      <c r="X157" s="163">
        <v>5912872.935582146</v>
      </c>
      <c r="Y157" s="163">
        <v>10770672.85817647</v>
      </c>
      <c r="Z157" s="163">
        <v>24188799.503967255</v>
      </c>
      <c r="AA157" s="163">
        <v>10000394.663046807</v>
      </c>
      <c r="AB157" s="163">
        <v>13416474.593254119</v>
      </c>
      <c r="AC157" s="163">
        <v>2940405.1326559782</v>
      </c>
      <c r="AD157" s="163">
        <v>4449793.9486850649</v>
      </c>
      <c r="AE157" s="163">
        <v>-3245774.5185914338</v>
      </c>
      <c r="AF157" s="163">
        <v>-10762466.970959291</v>
      </c>
      <c r="AG157" s="163">
        <v>-18922597.02530767</v>
      </c>
    </row>
    <row r="158" spans="16:33" ht="15.75" customHeight="1">
      <c r="P158" s="162"/>
      <c r="Q158" s="162">
        <v>141</v>
      </c>
      <c r="R158" s="163">
        <v>-36848522.246086299</v>
      </c>
      <c r="S158" s="163">
        <v>-27293315.995072216</v>
      </c>
      <c r="T158" s="163">
        <v>-18820527.420955524</v>
      </c>
      <c r="U158" s="163">
        <v>-9104436.1870130897</v>
      </c>
      <c r="V158" s="163">
        <v>-11151013.347881675</v>
      </c>
      <c r="W158" s="164">
        <v>13411767.456756502</v>
      </c>
      <c r="X158" s="163">
        <v>9472816.8908332139</v>
      </c>
      <c r="Y158" s="163">
        <v>8845816.5053544492</v>
      </c>
      <c r="Z158" s="163">
        <v>6985306.8179994375</v>
      </c>
      <c r="AA158" s="163">
        <v>10978697.315131038</v>
      </c>
      <c r="AB158" s="163">
        <v>-2790423.8939374089</v>
      </c>
      <c r="AC158" s="163">
        <v>8282093.223962158</v>
      </c>
      <c r="AD158" s="163">
        <v>2398376.1488481462</v>
      </c>
      <c r="AE158" s="163">
        <v>-9102428.1122065783</v>
      </c>
      <c r="AF158" s="163">
        <v>-4404179.3392740339</v>
      </c>
      <c r="AG158" s="163">
        <v>-20434725.12472482</v>
      </c>
    </row>
    <row r="159" spans="16:33" ht="15.75" customHeight="1">
      <c r="P159" s="162"/>
      <c r="Q159" s="162">
        <v>142</v>
      </c>
      <c r="R159" s="163">
        <v>-43898516.544891149</v>
      </c>
      <c r="S159" s="163">
        <v>-29635161.561061904</v>
      </c>
      <c r="T159" s="163">
        <v>-25969896.967600137</v>
      </c>
      <c r="U159" s="163">
        <v>-9121451.736890316</v>
      </c>
      <c r="V159" s="163">
        <v>-5797620.1017919034</v>
      </c>
      <c r="W159" s="164">
        <v>5210994.1616695821</v>
      </c>
      <c r="X159" s="163">
        <v>11426222.393679768</v>
      </c>
      <c r="Y159" s="163">
        <v>20416060.704413101</v>
      </c>
      <c r="Z159" s="163">
        <v>8442338.34560287</v>
      </c>
      <c r="AA159" s="163">
        <v>6373309.0037159473</v>
      </c>
      <c r="AB159" s="163">
        <v>12995650.831279263</v>
      </c>
      <c r="AC159" s="163">
        <v>9852264.981732294</v>
      </c>
      <c r="AD159" s="163">
        <v>4113446.397745505</v>
      </c>
      <c r="AE159" s="163">
        <v>-5860330.5064205378</v>
      </c>
      <c r="AF159" s="163">
        <v>-4327263.1399148405</v>
      </c>
      <c r="AG159" s="163">
        <v>-28369873.205008417</v>
      </c>
    </row>
    <row r="160" spans="16:33" ht="15.75" customHeight="1">
      <c r="P160" s="162"/>
      <c r="Q160" s="162">
        <v>143</v>
      </c>
      <c r="R160" s="163">
        <v>-42360138.673140496</v>
      </c>
      <c r="S160" s="163">
        <v>-25179208.430744022</v>
      </c>
      <c r="T160" s="163">
        <v>-11389490.087394685</v>
      </c>
      <c r="U160" s="163">
        <v>-10869185.41651915</v>
      </c>
      <c r="V160" s="163">
        <v>6105691.9455572218</v>
      </c>
      <c r="W160" s="164">
        <v>8672366.7068451643</v>
      </c>
      <c r="X160" s="163">
        <v>13398159.233637691</v>
      </c>
      <c r="Y160" s="163">
        <v>19061298.243705496</v>
      </c>
      <c r="Z160" s="163">
        <v>7721450.8995984346</v>
      </c>
      <c r="AA160" s="163">
        <v>5870921.9608220607</v>
      </c>
      <c r="AB160" s="163">
        <v>19718564.899655163</v>
      </c>
      <c r="AC160" s="163">
        <v>7432149.560274899</v>
      </c>
      <c r="AD160" s="163">
        <v>5640572.9442818612</v>
      </c>
      <c r="AE160" s="163">
        <v>6434464.5861878842</v>
      </c>
      <c r="AF160" s="163">
        <v>-6987146.9969276339</v>
      </c>
      <c r="AG160" s="163">
        <v>-16275097.441840231</v>
      </c>
    </row>
    <row r="161" spans="16:33" ht="15.75" customHeight="1">
      <c r="P161" s="162"/>
      <c r="Q161" s="162">
        <v>144</v>
      </c>
      <c r="R161" s="163">
        <v>-31555791.727235302</v>
      </c>
      <c r="S161" s="163">
        <v>-17912619.606047347</v>
      </c>
      <c r="T161" s="163">
        <v>-7285878.4811663628</v>
      </c>
      <c r="U161" s="163">
        <v>-2831276.3344233036</v>
      </c>
      <c r="V161" s="163">
        <v>2979118.1864564568</v>
      </c>
      <c r="W161" s="164">
        <v>5921419.3359045982</v>
      </c>
      <c r="X161" s="163">
        <v>8909701.2029218674</v>
      </c>
      <c r="Y161" s="163">
        <v>16070338.889948145</v>
      </c>
      <c r="Z161" s="163">
        <v>8293180.6528979242</v>
      </c>
      <c r="AA161" s="163">
        <v>7852839.1380724609</v>
      </c>
      <c r="AB161" s="163">
        <v>6482196.8007853329</v>
      </c>
      <c r="AC161" s="163">
        <v>6248494.579986766</v>
      </c>
      <c r="AD161" s="163">
        <v>-4360020.1034669429</v>
      </c>
      <c r="AE161" s="163">
        <v>5784186.3638669848</v>
      </c>
      <c r="AF161" s="163">
        <v>-4400220.9690321982</v>
      </c>
      <c r="AG161" s="163">
        <v>-20291159.449152112</v>
      </c>
    </row>
    <row r="162" spans="16:33" ht="15.75" customHeight="1">
      <c r="P162" s="162"/>
      <c r="Q162" s="162">
        <v>145</v>
      </c>
      <c r="R162" s="163">
        <v>-29692063.19054085</v>
      </c>
      <c r="S162" s="163">
        <v>-30786090.970913976</v>
      </c>
      <c r="T162" s="163">
        <v>-20634462.574340492</v>
      </c>
      <c r="U162" s="163">
        <v>3782298.1255064756</v>
      </c>
      <c r="V162" s="163">
        <v>2609250.3548768312</v>
      </c>
      <c r="W162" s="164">
        <v>7333019.629920423</v>
      </c>
      <c r="X162" s="163">
        <v>17994007.623738393</v>
      </c>
      <c r="Y162" s="163">
        <v>16770427.47414653</v>
      </c>
      <c r="Z162" s="163">
        <v>15656344.519086182</v>
      </c>
      <c r="AA162" s="163">
        <v>-644691.43681880832</v>
      </c>
      <c r="AB162" s="163">
        <v>6860144.0923286825</v>
      </c>
      <c r="AC162" s="163">
        <v>13808002.461550221</v>
      </c>
      <c r="AD162" s="163">
        <v>94004.11557765305</v>
      </c>
      <c r="AE162" s="163">
        <v>-7099168.2044825554</v>
      </c>
      <c r="AF162" s="163">
        <v>-22665339.271446854</v>
      </c>
      <c r="AG162" s="163">
        <v>-19808662.233370632</v>
      </c>
    </row>
    <row r="163" spans="16:33" ht="15.75" customHeight="1">
      <c r="P163" s="162"/>
      <c r="Q163" s="162">
        <v>146</v>
      </c>
      <c r="R163" s="163">
        <v>-33208466.481527805</v>
      </c>
      <c r="S163" s="163">
        <v>-23569607.230709821</v>
      </c>
      <c r="T163" s="163">
        <v>-18283182.157555729</v>
      </c>
      <c r="U163" s="163">
        <v>-7926980.4462992549</v>
      </c>
      <c r="V163" s="163">
        <v>-4605651.8744599521</v>
      </c>
      <c r="W163" s="164">
        <v>-4807546.9119632095</v>
      </c>
      <c r="X163" s="163">
        <v>-5962373.5069108605</v>
      </c>
      <c r="Y163" s="163">
        <v>-1309347.969673574</v>
      </c>
      <c r="Z163" s="163">
        <v>15750073.779689595</v>
      </c>
      <c r="AA163" s="163">
        <v>12434658.492135584</v>
      </c>
      <c r="AB163" s="163">
        <v>11867258.072951525</v>
      </c>
      <c r="AC163" s="163">
        <v>16080545.756026611</v>
      </c>
      <c r="AD163" s="163">
        <v>8141635.5106505305</v>
      </c>
      <c r="AE163" s="163">
        <v>-10094951.737712815</v>
      </c>
      <c r="AF163" s="163">
        <v>-10895000.515092582</v>
      </c>
      <c r="AG163" s="163">
        <v>-15914435.55545111</v>
      </c>
    </row>
    <row r="164" spans="16:33" ht="15.75" customHeight="1">
      <c r="P164" s="162"/>
      <c r="Q164" s="162">
        <v>147</v>
      </c>
      <c r="R164" s="163">
        <v>-35485292.755643755</v>
      </c>
      <c r="S164" s="163">
        <v>-25109064.270724833</v>
      </c>
      <c r="T164" s="163">
        <v>-20706178.042386144</v>
      </c>
      <c r="U164" s="163">
        <v>-7248127.9079526812</v>
      </c>
      <c r="V164" s="163">
        <v>9795133.7457336634</v>
      </c>
      <c r="W164" s="164">
        <v>-5628878.6722401679</v>
      </c>
      <c r="X164" s="163">
        <v>11561425.945414335</v>
      </c>
      <c r="Y164" s="163">
        <v>9989138.675239414</v>
      </c>
      <c r="Z164" s="163">
        <v>13549443.351171702</v>
      </c>
      <c r="AA164" s="163">
        <v>6900677.0991989374</v>
      </c>
      <c r="AB164" s="163">
        <v>6507990.3464725167</v>
      </c>
      <c r="AC164" s="163">
        <v>6101336.1678387076</v>
      </c>
      <c r="AD164" s="163">
        <v>9182939.8772340566</v>
      </c>
      <c r="AE164" s="163">
        <v>-4378756.2702816427</v>
      </c>
      <c r="AF164" s="163">
        <v>-14983863.083376244</v>
      </c>
      <c r="AG164" s="163">
        <v>-7315536.4163961112</v>
      </c>
    </row>
    <row r="165" spans="16:33" ht="15.75" customHeight="1">
      <c r="P165" s="162"/>
      <c r="Q165" s="162">
        <v>148</v>
      </c>
      <c r="R165" s="163">
        <v>-31847158.145018995</v>
      </c>
      <c r="S165" s="163">
        <v>-31500067.246554613</v>
      </c>
      <c r="T165" s="163">
        <v>-12947884.493354335</v>
      </c>
      <c r="U165" s="163">
        <v>-7790777.9297432601</v>
      </c>
      <c r="V165" s="163">
        <v>-5917314.4497531056</v>
      </c>
      <c r="W165" s="164">
        <v>2656679.4720102996</v>
      </c>
      <c r="X165" s="163">
        <v>15637759.943260595</v>
      </c>
      <c r="Y165" s="163">
        <v>9803674.1793110818</v>
      </c>
      <c r="Z165" s="163">
        <v>14580628.136388883</v>
      </c>
      <c r="AA165" s="163">
        <v>15141731.911866948</v>
      </c>
      <c r="AB165" s="163">
        <v>12466146.141409382</v>
      </c>
      <c r="AC165" s="163">
        <v>-5883325.4747347385</v>
      </c>
      <c r="AD165" s="163">
        <v>-1381645.0135561079</v>
      </c>
      <c r="AE165" s="163">
        <v>-7759501.3139705658</v>
      </c>
      <c r="AF165" s="163">
        <v>-5291608.6371524036</v>
      </c>
      <c r="AG165" s="163">
        <v>-11953004.950105458</v>
      </c>
    </row>
    <row r="166" spans="16:33" ht="15.75" customHeight="1">
      <c r="P166" s="162"/>
      <c r="Q166" s="162">
        <v>149</v>
      </c>
      <c r="R166" s="163">
        <v>-37371119.585986257</v>
      </c>
      <c r="S166" s="163">
        <v>-30458290.668757647</v>
      </c>
      <c r="T166" s="163">
        <v>-15537787.22806339</v>
      </c>
      <c r="U166" s="163">
        <v>-8392714.3734752536</v>
      </c>
      <c r="V166" s="163">
        <v>8619485.7742981464</v>
      </c>
      <c r="W166" s="164">
        <v>-5676582.750418067</v>
      </c>
      <c r="X166" s="163">
        <v>9657738.8584880382</v>
      </c>
      <c r="Y166" s="163">
        <v>11069976.857296139</v>
      </c>
      <c r="Z166" s="163">
        <v>12141934.760193661</v>
      </c>
      <c r="AA166" s="163">
        <v>10999803.260360196</v>
      </c>
      <c r="AB166" s="163">
        <v>1513352.8897900432</v>
      </c>
      <c r="AC166" s="163">
        <v>16634842.039051771</v>
      </c>
      <c r="AD166" s="163">
        <v>3813999.64880988</v>
      </c>
      <c r="AE166" s="163">
        <v>-4046418.7516505122</v>
      </c>
      <c r="AF166" s="163">
        <v>-4201485.5708396137</v>
      </c>
      <c r="AG166" s="163">
        <v>-19344080.377314419</v>
      </c>
    </row>
    <row r="167" spans="16:33" ht="15.75" customHeight="1">
      <c r="P167" s="162"/>
      <c r="Q167" s="162">
        <v>150</v>
      </c>
      <c r="R167" s="163">
        <v>-36401222.652937591</v>
      </c>
      <c r="S167" s="163">
        <v>-27727010.728086755</v>
      </c>
      <c r="T167" s="163">
        <v>-16738986.981014714</v>
      </c>
      <c r="U167" s="163">
        <v>-10919371.632353738</v>
      </c>
      <c r="V167" s="163">
        <v>-1632187.8866284639</v>
      </c>
      <c r="W167" s="164">
        <v>1446578.4955551475</v>
      </c>
      <c r="X167" s="163">
        <v>7024797.5977624804</v>
      </c>
      <c r="Y167" s="163">
        <v>9056838.9640343338</v>
      </c>
      <c r="Z167" s="163">
        <v>16123425.703242809</v>
      </c>
      <c r="AA167" s="163">
        <v>11474709.468966931</v>
      </c>
      <c r="AB167" s="163">
        <v>9100065.4459631592</v>
      </c>
      <c r="AC167" s="163">
        <v>10556093.078710213</v>
      </c>
      <c r="AD167" s="163">
        <v>8378048.4028081447</v>
      </c>
      <c r="AE167" s="163">
        <v>871777.98627625406</v>
      </c>
      <c r="AF167" s="163">
        <v>-20837507.160391942</v>
      </c>
      <c r="AG167" s="163">
        <v>-14246882.31741339</v>
      </c>
    </row>
    <row r="168" spans="16:33" ht="15.75" customHeight="1">
      <c r="P168" s="162"/>
      <c r="Q168" s="162">
        <v>151</v>
      </c>
      <c r="R168" s="163">
        <v>-36824036.626030907</v>
      </c>
      <c r="S168" s="163">
        <v>-24336068.254466251</v>
      </c>
      <c r="T168" s="163">
        <v>-16309445.799265936</v>
      </c>
      <c r="U168" s="163">
        <v>-4220162.1504839063</v>
      </c>
      <c r="V168" s="163">
        <v>4351687.678607434</v>
      </c>
      <c r="W168" s="164">
        <v>2712855.0792849511</v>
      </c>
      <c r="X168" s="163">
        <v>17910511.099277571</v>
      </c>
      <c r="Y168" s="163">
        <v>5640137.9935262948</v>
      </c>
      <c r="Z168" s="163">
        <v>16393710.534108132</v>
      </c>
      <c r="AA168" s="163">
        <v>948744.66832774878</v>
      </c>
      <c r="AB168" s="163">
        <v>4967581.7147681564</v>
      </c>
      <c r="AC168" s="163">
        <v>6352502.9227811992</v>
      </c>
      <c r="AD168" s="163">
        <v>3224359.6017765552</v>
      </c>
      <c r="AE168" s="163">
        <v>-2387985.8259354532</v>
      </c>
      <c r="AF168" s="163">
        <v>-8591663.6090814471</v>
      </c>
      <c r="AG168" s="163">
        <v>-12498858.468961746</v>
      </c>
    </row>
    <row r="169" spans="16:33" ht="15.75" customHeight="1">
      <c r="P169" s="162"/>
      <c r="Q169" s="162">
        <v>152</v>
      </c>
      <c r="R169" s="163">
        <v>-39739141.801745221</v>
      </c>
      <c r="S169" s="163">
        <v>-29188284.758388728</v>
      </c>
      <c r="T169" s="163">
        <v>-12413136.592254803</v>
      </c>
      <c r="U169" s="163">
        <v>-2814702.0136997998</v>
      </c>
      <c r="V169" s="163">
        <v>-6263396.0386002362</v>
      </c>
      <c r="W169" s="164">
        <v>7483240.0201074481</v>
      </c>
      <c r="X169" s="163">
        <v>3982915.7836338878</v>
      </c>
      <c r="Y169" s="163">
        <v>7689415.2935092151</v>
      </c>
      <c r="Z169" s="163">
        <v>21111261.908103079</v>
      </c>
      <c r="AA169" s="163">
        <v>1630550.4926276952</v>
      </c>
      <c r="AB169" s="163">
        <v>15152789.335846931</v>
      </c>
      <c r="AC169" s="163">
        <v>4692021.3152375817</v>
      </c>
      <c r="AD169" s="163">
        <v>-530674.32273389399</v>
      </c>
      <c r="AE169" s="163">
        <v>955931.97494031489</v>
      </c>
      <c r="AF169" s="163">
        <v>-10290023.303068787</v>
      </c>
      <c r="AG169" s="163">
        <v>-20549348.783259273</v>
      </c>
    </row>
    <row r="170" spans="16:33" ht="15.75" customHeight="1">
      <c r="P170" s="162"/>
      <c r="Q170" s="162">
        <v>153</v>
      </c>
      <c r="R170" s="163">
        <v>-36093022.136865348</v>
      </c>
      <c r="S170" s="163">
        <v>-23366607.752618819</v>
      </c>
      <c r="T170" s="163">
        <v>-18347064.038727388</v>
      </c>
      <c r="U170" s="163">
        <v>-10244333.575126022</v>
      </c>
      <c r="V170" s="163">
        <v>-5571306.7082496583</v>
      </c>
      <c r="W170" s="164">
        <v>3519518.9530838728</v>
      </c>
      <c r="X170" s="163">
        <v>14246732.42499581</v>
      </c>
      <c r="Y170" s="163">
        <v>9497951.1224048287</v>
      </c>
      <c r="Z170" s="163">
        <v>11619020.470972985</v>
      </c>
      <c r="AA170" s="163">
        <v>12049601.142111436</v>
      </c>
      <c r="AB170" s="163">
        <v>13444695.004183739</v>
      </c>
      <c r="AC170" s="163">
        <v>3188357.178335622</v>
      </c>
      <c r="AD170" s="163">
        <v>-705841.09988708794</v>
      </c>
      <c r="AE170" s="163">
        <v>-9925680.8287574202</v>
      </c>
      <c r="AF170" s="163">
        <v>-15351290.183790237</v>
      </c>
      <c r="AG170" s="163">
        <v>-11494893.753019243</v>
      </c>
    </row>
    <row r="171" spans="16:33" ht="15.75" customHeight="1">
      <c r="P171" s="162"/>
      <c r="Q171" s="162">
        <v>154</v>
      </c>
      <c r="R171" s="163">
        <v>-35760517.748881027</v>
      </c>
      <c r="S171" s="163">
        <v>-20742612.166125506</v>
      </c>
      <c r="T171" s="163">
        <v>-20235921.436501279</v>
      </c>
      <c r="U171" s="163">
        <v>-14704122.878877386</v>
      </c>
      <c r="V171" s="163">
        <v>165337.40887245536</v>
      </c>
      <c r="W171" s="164">
        <v>10815953.079173476</v>
      </c>
      <c r="X171" s="163">
        <v>7908454.9815853834</v>
      </c>
      <c r="Y171" s="163">
        <v>10439002.592147231</v>
      </c>
      <c r="Z171" s="163">
        <v>13039203.613101095</v>
      </c>
      <c r="AA171" s="163">
        <v>10947835.852041587</v>
      </c>
      <c r="AB171" s="163">
        <v>11480917.852761135</v>
      </c>
      <c r="AC171" s="163">
        <v>11323533.397514731</v>
      </c>
      <c r="AD171" s="163">
        <v>6199247.6392654479</v>
      </c>
      <c r="AE171" s="163">
        <v>2038747.2658226639</v>
      </c>
      <c r="AF171" s="163">
        <v>-13757684.895548165</v>
      </c>
      <c r="AG171" s="163">
        <v>-26033357.625047147</v>
      </c>
    </row>
    <row r="172" spans="16:33" ht="15.75" customHeight="1">
      <c r="P172" s="162"/>
      <c r="Q172" s="162">
        <v>155</v>
      </c>
      <c r="R172" s="163">
        <v>-38630738.972460926</v>
      </c>
      <c r="S172" s="163">
        <v>-23120897.922051758</v>
      </c>
      <c r="T172" s="163">
        <v>-13628308.043595269</v>
      </c>
      <c r="U172" s="163">
        <v>1749552.5110559613</v>
      </c>
      <c r="V172" s="163">
        <v>-28100.286351561546</v>
      </c>
      <c r="W172" s="164">
        <v>-3061422.1681676805</v>
      </c>
      <c r="X172" s="163">
        <v>5436704.2372741252</v>
      </c>
      <c r="Y172" s="163">
        <v>-2112237.7616777867</v>
      </c>
      <c r="Z172" s="163">
        <v>7518084.9061958343</v>
      </c>
      <c r="AA172" s="163">
        <v>288752.89617875218</v>
      </c>
      <c r="AB172" s="163">
        <v>11325676.095452815</v>
      </c>
      <c r="AC172" s="163">
        <v>3075860.1365492791</v>
      </c>
      <c r="AD172" s="163">
        <v>1269311.1562968791</v>
      </c>
      <c r="AE172" s="163">
        <v>-5531035.5841258913</v>
      </c>
      <c r="AF172" s="163">
        <v>-7957986.0142916888</v>
      </c>
      <c r="AG172" s="163">
        <v>-17140978.469085053</v>
      </c>
    </row>
    <row r="173" spans="16:33" ht="15.75" customHeight="1">
      <c r="P173" s="162"/>
      <c r="Q173" s="162">
        <v>156</v>
      </c>
      <c r="R173" s="163">
        <v>-37708679.093708619</v>
      </c>
      <c r="S173" s="163">
        <v>-21117137.722625703</v>
      </c>
      <c r="T173" s="163">
        <v>-13745139.801178709</v>
      </c>
      <c r="U173" s="163">
        <v>-11493569.716342449</v>
      </c>
      <c r="V173" s="163">
        <v>-410299.27507404983</v>
      </c>
      <c r="W173" s="164">
        <v>7685746.2548664361</v>
      </c>
      <c r="X173" s="163">
        <v>15329837.69718264</v>
      </c>
      <c r="Y173" s="163">
        <v>20709252.79812488</v>
      </c>
      <c r="Z173" s="163">
        <v>21396107.138532355</v>
      </c>
      <c r="AA173" s="163">
        <v>12480579.110121563</v>
      </c>
      <c r="AB173" s="163">
        <v>16736101.06276004</v>
      </c>
      <c r="AC173" s="163">
        <v>14711307.104275018</v>
      </c>
      <c r="AD173" s="163">
        <v>6693476.0190075934</v>
      </c>
      <c r="AE173" s="163">
        <v>1881560.0488681793</v>
      </c>
      <c r="AF173" s="163">
        <v>-7130226.9271962494</v>
      </c>
      <c r="AG173" s="163">
        <v>-19916534.562649548</v>
      </c>
    </row>
    <row r="174" spans="16:33" ht="15.75" customHeight="1">
      <c r="P174" s="162"/>
      <c r="Q174" s="162">
        <v>157</v>
      </c>
      <c r="R174" s="163">
        <v>-34329069.948153675</v>
      </c>
      <c r="S174" s="163">
        <v>-19869453.458315611</v>
      </c>
      <c r="T174" s="163">
        <v>-14496251.415396467</v>
      </c>
      <c r="U174" s="163">
        <v>-2411004.2692023963</v>
      </c>
      <c r="V174" s="163">
        <v>-5546057.3297485709</v>
      </c>
      <c r="W174" s="164">
        <v>9854240.0754851401</v>
      </c>
      <c r="X174" s="163">
        <v>12099584.955170333</v>
      </c>
      <c r="Y174" s="163">
        <v>4273296.1787398905</v>
      </c>
      <c r="Z174" s="163">
        <v>17996870.301114514</v>
      </c>
      <c r="AA174" s="163">
        <v>4306089.009141311</v>
      </c>
      <c r="AB174" s="163">
        <v>11267698.07155183</v>
      </c>
      <c r="AC174" s="163">
        <v>8532491.7789793909</v>
      </c>
      <c r="AD174" s="163">
        <v>10170805.31903851</v>
      </c>
      <c r="AE174" s="163">
        <v>6537495.1793002635</v>
      </c>
      <c r="AF174" s="163">
        <v>-12978396.416836396</v>
      </c>
      <c r="AG174" s="163">
        <v>-25484166.929905683</v>
      </c>
    </row>
    <row r="175" spans="16:33" ht="15.75" customHeight="1">
      <c r="P175" s="162"/>
      <c r="Q175" s="162">
        <v>158</v>
      </c>
      <c r="R175" s="163">
        <v>-33574085.175350279</v>
      </c>
      <c r="S175" s="163">
        <v>-23497551.948525235</v>
      </c>
      <c r="T175" s="163">
        <v>-16230972.055631384</v>
      </c>
      <c r="U175" s="163">
        <v>-11909296.201699063</v>
      </c>
      <c r="V175" s="163">
        <v>-5764480.4605367929</v>
      </c>
      <c r="W175" s="164">
        <v>2203827.9968554825</v>
      </c>
      <c r="X175" s="163">
        <v>-8240878.7275388241</v>
      </c>
      <c r="Y175" s="163">
        <v>16670266.136138782</v>
      </c>
      <c r="Z175" s="163">
        <v>4314963.1640343815</v>
      </c>
      <c r="AA175" s="163">
        <v>17596080.455712125</v>
      </c>
      <c r="AB175" s="163">
        <v>1724788.0379600376</v>
      </c>
      <c r="AC175" s="163">
        <v>17318808.199991748</v>
      </c>
      <c r="AD175" s="163">
        <v>-1295086.6807661206</v>
      </c>
      <c r="AE175" s="163">
        <v>-8332246.1773454547</v>
      </c>
      <c r="AF175" s="163">
        <v>-16787412.576856896</v>
      </c>
      <c r="AG175" s="163">
        <v>-23754358.343967602</v>
      </c>
    </row>
    <row r="176" spans="16:33" ht="15.75" customHeight="1">
      <c r="P176" s="162"/>
      <c r="Q176" s="162">
        <v>159</v>
      </c>
      <c r="R176" s="163">
        <v>-42180039.359966218</v>
      </c>
      <c r="S176" s="163">
        <v>-17073984.738805369</v>
      </c>
      <c r="T176" s="163">
        <v>-26292484.870435655</v>
      </c>
      <c r="U176" s="163">
        <v>-4947490.8588740528</v>
      </c>
      <c r="V176" s="163">
        <v>3283428.9701737612</v>
      </c>
      <c r="W176" s="164">
        <v>10110473.426529005</v>
      </c>
      <c r="X176" s="163">
        <v>4580851.4579911679</v>
      </c>
      <c r="Y176" s="163">
        <v>14281568.516921729</v>
      </c>
      <c r="Z176" s="163">
        <v>15171573.575992405</v>
      </c>
      <c r="AA176" s="163">
        <v>10179173.612212598</v>
      </c>
      <c r="AB176" s="163">
        <v>12526270.58497417</v>
      </c>
      <c r="AC176" s="163">
        <v>17076885.142635733</v>
      </c>
      <c r="AD176" s="163">
        <v>6806536.0016313791</v>
      </c>
      <c r="AE176" s="163">
        <v>-6484616.7538663894</v>
      </c>
      <c r="AF176" s="163">
        <v>-14468062.685337245</v>
      </c>
      <c r="AG176" s="163">
        <v>-16641527.039421901</v>
      </c>
    </row>
    <row r="177" spans="16:33" ht="15.75" customHeight="1">
      <c r="P177" s="162"/>
      <c r="Q177" s="162">
        <v>160</v>
      </c>
      <c r="R177" s="163">
        <v>-30339208.698935241</v>
      </c>
      <c r="S177" s="163">
        <v>-28510944.758159101</v>
      </c>
      <c r="T177" s="163">
        <v>-20089555.381375775</v>
      </c>
      <c r="U177" s="163">
        <v>-17624713.556287602</v>
      </c>
      <c r="V177" s="163">
        <v>2161368.7185010463</v>
      </c>
      <c r="W177" s="164">
        <v>6739178.2488684207</v>
      </c>
      <c r="X177" s="163">
        <v>16739886.868562669</v>
      </c>
      <c r="Y177" s="163">
        <v>4091545.4805953801</v>
      </c>
      <c r="Z177" s="163">
        <v>17576302.04242146</v>
      </c>
      <c r="AA177" s="163">
        <v>3595578.485217467</v>
      </c>
      <c r="AB177" s="163">
        <v>6422847.7259672582</v>
      </c>
      <c r="AC177" s="163">
        <v>3278650.5814430118</v>
      </c>
      <c r="AD177" s="163">
        <v>-899411.92745293677</v>
      </c>
      <c r="AE177" s="163">
        <v>-2113246.6712541133</v>
      </c>
      <c r="AF177" s="163">
        <v>-13453059.288035482</v>
      </c>
      <c r="AG177" s="163">
        <v>-26418814.720829278</v>
      </c>
    </row>
    <row r="178" spans="16:33" ht="15.75" customHeight="1">
      <c r="P178" s="162"/>
      <c r="Q178" s="162">
        <v>161</v>
      </c>
      <c r="R178" s="163">
        <v>-34926956.437177554</v>
      </c>
      <c r="S178" s="163">
        <v>-26976578.262279287</v>
      </c>
      <c r="T178" s="163">
        <v>-11821385.54929845</v>
      </c>
      <c r="U178" s="163">
        <v>-14362830.722961605</v>
      </c>
      <c r="V178" s="163">
        <v>-2457649.8132918775</v>
      </c>
      <c r="W178" s="164">
        <v>19523355.845549881</v>
      </c>
      <c r="X178" s="163">
        <v>-7711209.821493715</v>
      </c>
      <c r="Y178" s="163">
        <v>11028647.846531913</v>
      </c>
      <c r="Z178" s="163">
        <v>12402199.313450992</v>
      </c>
      <c r="AA178" s="163">
        <v>23456512.169799998</v>
      </c>
      <c r="AB178" s="163">
        <v>12204026.520249516</v>
      </c>
      <c r="AC178" s="163">
        <v>7871188.3531117141</v>
      </c>
      <c r="AD178" s="163">
        <v>8150473.4229166061</v>
      </c>
      <c r="AE178" s="163">
        <v>7045476.498708427</v>
      </c>
      <c r="AF178" s="163">
        <v>-15452881.385942951</v>
      </c>
      <c r="AG178" s="163">
        <v>-17647824.006277412</v>
      </c>
    </row>
    <row r="179" spans="16:33" ht="15.75" customHeight="1">
      <c r="P179" s="162"/>
      <c r="Q179" s="162">
        <v>162</v>
      </c>
      <c r="R179" s="163">
        <v>-33987808.964376137</v>
      </c>
      <c r="S179" s="163">
        <v>-18930036.427794695</v>
      </c>
      <c r="T179" s="163">
        <v>-25818812.764454469</v>
      </c>
      <c r="U179" s="163">
        <v>-11575968.218353271</v>
      </c>
      <c r="V179" s="163">
        <v>-6085320.5468622297</v>
      </c>
      <c r="W179" s="164">
        <v>5205339.267896533</v>
      </c>
      <c r="X179" s="163">
        <v>187363.26231153309</v>
      </c>
      <c r="Y179" s="163">
        <v>-934754.38423711061</v>
      </c>
      <c r="Z179" s="163">
        <v>11720747.495150164</v>
      </c>
      <c r="AA179" s="163">
        <v>6673745.4076482505</v>
      </c>
      <c r="AB179" s="163">
        <v>17244025.509790361</v>
      </c>
      <c r="AC179" s="163">
        <v>7533041.0488662571</v>
      </c>
      <c r="AD179" s="163">
        <v>1347142.9958771914</v>
      </c>
      <c r="AE179" s="163">
        <v>-14154411.598060668</v>
      </c>
      <c r="AF179" s="163">
        <v>-10299610.900499448</v>
      </c>
      <c r="AG179" s="163">
        <v>-21469218.418753117</v>
      </c>
    </row>
    <row r="180" spans="16:33" ht="15.75" customHeight="1">
      <c r="P180" s="162"/>
      <c r="Q180" s="162">
        <v>163</v>
      </c>
      <c r="R180" s="163">
        <v>-35741049.457902879</v>
      </c>
      <c r="S180" s="163">
        <v>-20141026.337302476</v>
      </c>
      <c r="T180" s="163">
        <v>-8307857.3999081105</v>
      </c>
      <c r="U180" s="163">
        <v>-9961290.8238152415</v>
      </c>
      <c r="V180" s="163">
        <v>-3546714.0222897083</v>
      </c>
      <c r="W180" s="164">
        <v>6167768.0065291524</v>
      </c>
      <c r="X180" s="163">
        <v>12635982.805490643</v>
      </c>
      <c r="Y180" s="163">
        <v>14721935.03815113</v>
      </c>
      <c r="Z180" s="163">
        <v>24688070.98561132</v>
      </c>
      <c r="AA180" s="163">
        <v>109068.45720632374</v>
      </c>
      <c r="AB180" s="163">
        <v>7385936.6390776634</v>
      </c>
      <c r="AC180" s="163">
        <v>10433938.859641433</v>
      </c>
      <c r="AD180" s="163">
        <v>7841340.9526712298</v>
      </c>
      <c r="AE180" s="163">
        <v>-6785077.8754927516</v>
      </c>
      <c r="AF180" s="163">
        <v>-7246724.6191502064</v>
      </c>
      <c r="AG180" s="163">
        <v>-17335688.752058506</v>
      </c>
    </row>
    <row r="181" spans="16:33" ht="15.75" customHeight="1">
      <c r="P181" s="162"/>
      <c r="Q181" s="162">
        <v>164</v>
      </c>
      <c r="R181" s="163">
        <v>-40952738.838755399</v>
      </c>
      <c r="S181" s="163">
        <v>-16287645.761346951</v>
      </c>
      <c r="T181" s="163">
        <v>-10577640.305047229</v>
      </c>
      <c r="U181" s="163">
        <v>-8983105.6692197323</v>
      </c>
      <c r="V181" s="163">
        <v>-7493816.9168473929</v>
      </c>
      <c r="W181" s="164">
        <v>6898221.3037669957</v>
      </c>
      <c r="X181" s="163">
        <v>1500270.4639007598</v>
      </c>
      <c r="Y181" s="163">
        <v>14243869.509295046</v>
      </c>
      <c r="Z181" s="163">
        <v>19814408.062773466</v>
      </c>
      <c r="AA181" s="163">
        <v>24120351.028712451</v>
      </c>
      <c r="AB181" s="163">
        <v>8707700.1821866482</v>
      </c>
      <c r="AC181" s="163">
        <v>4149095.3446204513</v>
      </c>
      <c r="AD181" s="163">
        <v>1994490.3431015611</v>
      </c>
      <c r="AE181" s="163">
        <v>-7556369.9324204922</v>
      </c>
      <c r="AF181" s="163">
        <v>-9629985.8412143886</v>
      </c>
      <c r="AG181" s="163">
        <v>-20660513.873528451</v>
      </c>
    </row>
    <row r="182" spans="16:33" ht="15.75" customHeight="1">
      <c r="P182" s="162"/>
      <c r="Q182" s="162">
        <v>165</v>
      </c>
      <c r="R182" s="163">
        <v>-34755733.57069613</v>
      </c>
      <c r="S182" s="163">
        <v>-30328432.321764708</v>
      </c>
      <c r="T182" s="163">
        <v>-14309113.21088399</v>
      </c>
      <c r="U182" s="163">
        <v>-11908322.846251294</v>
      </c>
      <c r="V182" s="163">
        <v>-7125914.3167605847</v>
      </c>
      <c r="W182" s="164">
        <v>12464726.308923393</v>
      </c>
      <c r="X182" s="163">
        <v>-555481.87612228096</v>
      </c>
      <c r="Y182" s="163">
        <v>12516258.678521663</v>
      </c>
      <c r="Z182" s="163">
        <v>10193972.782361463</v>
      </c>
      <c r="AA182" s="163">
        <v>16456483.064216062</v>
      </c>
      <c r="AB182" s="163">
        <v>16940178.581749976</v>
      </c>
      <c r="AC182" s="163">
        <v>10886878.447731242</v>
      </c>
      <c r="AD182" s="163">
        <v>-402159.57686461508</v>
      </c>
      <c r="AE182" s="163">
        <v>-7881722.8673583716</v>
      </c>
      <c r="AF182" s="163">
        <v>-10884148.890190899</v>
      </c>
      <c r="AG182" s="163">
        <v>-19721621.784584045</v>
      </c>
    </row>
    <row r="183" spans="16:33" ht="15.75" customHeight="1">
      <c r="P183" s="162"/>
      <c r="Q183" s="162">
        <v>166</v>
      </c>
      <c r="R183" s="163">
        <v>-37197416.398689583</v>
      </c>
      <c r="S183" s="163">
        <v>-26855289.739062756</v>
      </c>
      <c r="T183" s="163">
        <v>-12607114.930327132</v>
      </c>
      <c r="U183" s="163">
        <v>-11911043.786741421</v>
      </c>
      <c r="V183" s="163">
        <v>-5426240.5590469092</v>
      </c>
      <c r="W183" s="164">
        <v>4367928.9988559186</v>
      </c>
      <c r="X183" s="163">
        <v>12279160.484028518</v>
      </c>
      <c r="Y183" s="163">
        <v>13160935.446481958</v>
      </c>
      <c r="Z183" s="163">
        <v>-7400658.2502427846</v>
      </c>
      <c r="AA183" s="163">
        <v>12857063.354915529</v>
      </c>
      <c r="AB183" s="163">
        <v>7432796.9038347006</v>
      </c>
      <c r="AC183" s="163">
        <v>4464559.2817467004</v>
      </c>
      <c r="AD183" s="163">
        <v>516673.20162758231</v>
      </c>
      <c r="AE183" s="163">
        <v>-10405687.482213944</v>
      </c>
      <c r="AF183" s="163">
        <v>-10366347.733402789</v>
      </c>
      <c r="AG183" s="163">
        <v>-18681674.706857994</v>
      </c>
    </row>
    <row r="184" spans="16:33" ht="15.75" customHeight="1">
      <c r="P184" s="162"/>
      <c r="Q184" s="162">
        <v>167</v>
      </c>
      <c r="R184" s="163">
        <v>-33199075.233865365</v>
      </c>
      <c r="S184" s="163">
        <v>-23242314.458732933</v>
      </c>
      <c r="T184" s="163">
        <v>-8455694.9591672421</v>
      </c>
      <c r="U184" s="163">
        <v>-8885358.956459567</v>
      </c>
      <c r="V184" s="163">
        <v>-790372.69388963282</v>
      </c>
      <c r="W184" s="164">
        <v>6225344.6061434597</v>
      </c>
      <c r="X184" s="163">
        <v>1207424.4969549477</v>
      </c>
      <c r="Y184" s="163">
        <v>10498076.404957443</v>
      </c>
      <c r="Z184" s="163">
        <v>11420128.791514128</v>
      </c>
      <c r="AA184" s="163">
        <v>7965014.9557142109</v>
      </c>
      <c r="AB184" s="163">
        <v>2265785.3890930265</v>
      </c>
      <c r="AC184" s="163">
        <v>4177130.4418629855</v>
      </c>
      <c r="AD184" s="163">
        <v>1360797.0468165427</v>
      </c>
      <c r="AE184" s="163">
        <v>3851378.3800858855</v>
      </c>
      <c r="AF184" s="163">
        <v>-3095672.7587648034</v>
      </c>
      <c r="AG184" s="163">
        <v>-20228141.130066872</v>
      </c>
    </row>
    <row r="185" spans="16:33" ht="15.75" customHeight="1">
      <c r="P185" s="162"/>
      <c r="Q185" s="162">
        <v>168</v>
      </c>
      <c r="R185" s="163">
        <v>-37490843.850809157</v>
      </c>
      <c r="S185" s="163">
        <v>-19545590.907493085</v>
      </c>
      <c r="T185" s="163">
        <v>-15070183.609394222</v>
      </c>
      <c r="U185" s="163">
        <v>-2915911.6433033049</v>
      </c>
      <c r="V185" s="163">
        <v>-5588752.2887650728</v>
      </c>
      <c r="W185" s="164">
        <v>2023387.8931320012</v>
      </c>
      <c r="X185" s="163">
        <v>9251317.099832505</v>
      </c>
      <c r="Y185" s="163">
        <v>9488599.9810631573</v>
      </c>
      <c r="Z185" s="163">
        <v>1484906.1746713966</v>
      </c>
      <c r="AA185" s="163">
        <v>8519028.6340716034</v>
      </c>
      <c r="AB185" s="163">
        <v>13921450.680877343</v>
      </c>
      <c r="AC185" s="163">
        <v>487111.52108611166</v>
      </c>
      <c r="AD185" s="163">
        <v>-664212.72913208604</v>
      </c>
      <c r="AE185" s="163">
        <v>-9173870.8433842808</v>
      </c>
      <c r="AF185" s="163">
        <v>-2673313.3742767721</v>
      </c>
      <c r="AG185" s="163">
        <v>-18182200.314801186</v>
      </c>
    </row>
    <row r="186" spans="16:33" ht="15.75" customHeight="1">
      <c r="P186" s="162"/>
      <c r="Q186" s="162">
        <v>169</v>
      </c>
      <c r="R186" s="163">
        <v>-33892195.867043167</v>
      </c>
      <c r="S186" s="163">
        <v>-22622803.089887559</v>
      </c>
      <c r="T186" s="163">
        <v>-15815466.731088281</v>
      </c>
      <c r="U186" s="163">
        <v>-9202260.9393084943</v>
      </c>
      <c r="V186" s="163">
        <v>2331006.2826521546</v>
      </c>
      <c r="W186" s="164">
        <v>-3916397.4271223545</v>
      </c>
      <c r="X186" s="163">
        <v>8864185.9726932496</v>
      </c>
      <c r="Y186" s="163">
        <v>17461294.497570664</v>
      </c>
      <c r="Z186" s="163">
        <v>7694051.8781707138</v>
      </c>
      <c r="AA186" s="163">
        <v>30255091.707149878</v>
      </c>
      <c r="AB186" s="163">
        <v>5365065.6696498692</v>
      </c>
      <c r="AC186" s="163">
        <v>2448699.6765348613</v>
      </c>
      <c r="AD186" s="163">
        <v>-10079646.47771363</v>
      </c>
      <c r="AE186" s="163">
        <v>-6344417.7918926626</v>
      </c>
      <c r="AF186" s="163">
        <v>-12590128.764141083</v>
      </c>
      <c r="AG186" s="163">
        <v>-14062431.477685899</v>
      </c>
    </row>
    <row r="187" spans="16:33" ht="15.75" customHeight="1">
      <c r="P187" s="162"/>
      <c r="Q187" s="162">
        <v>170</v>
      </c>
      <c r="R187" s="163">
        <v>-38246258.663691327</v>
      </c>
      <c r="S187" s="163">
        <v>-30529600.882920071</v>
      </c>
      <c r="T187" s="163">
        <v>-5422757.8642708659</v>
      </c>
      <c r="U187" s="163">
        <v>-15687480.895776615</v>
      </c>
      <c r="V187" s="163">
        <v>-6777176.7516097128</v>
      </c>
      <c r="W187" s="164">
        <v>3468062.7934902906</v>
      </c>
      <c r="X187" s="163">
        <v>8388571.2746343464</v>
      </c>
      <c r="Y187" s="163">
        <v>21118644.20157586</v>
      </c>
      <c r="Z187" s="163">
        <v>18135887.860201389</v>
      </c>
      <c r="AA187" s="163">
        <v>29133287.435690135</v>
      </c>
      <c r="AB187" s="163">
        <v>5518247.8842862546</v>
      </c>
      <c r="AC187" s="163">
        <v>7595099.2258722931</v>
      </c>
      <c r="AD187" s="163">
        <v>841237.13009533286</v>
      </c>
      <c r="AE187" s="163">
        <v>-4384470.6651027203</v>
      </c>
      <c r="AF187" s="163">
        <v>-5222409.6587841809</v>
      </c>
      <c r="AG187" s="163">
        <v>-21848116.920634717</v>
      </c>
    </row>
    <row r="188" spans="16:33" ht="15.75" customHeight="1">
      <c r="P188" s="162"/>
      <c r="Q188" s="162">
        <v>171</v>
      </c>
      <c r="R188" s="163">
        <v>-36339971.044188291</v>
      </c>
      <c r="S188" s="163">
        <v>-30315034.259177208</v>
      </c>
      <c r="T188" s="163">
        <v>-20110243.927263558</v>
      </c>
      <c r="U188" s="163">
        <v>-4544815.6972367913</v>
      </c>
      <c r="V188" s="163">
        <v>-8516976.490598768</v>
      </c>
      <c r="W188" s="164">
        <v>1903726.2298433632</v>
      </c>
      <c r="X188" s="163">
        <v>8032198.8717616796</v>
      </c>
      <c r="Y188" s="163">
        <v>21125129.430050105</v>
      </c>
      <c r="Z188" s="163">
        <v>10828652.658129841</v>
      </c>
      <c r="AA188" s="163">
        <v>8274050.6398018599</v>
      </c>
      <c r="AB188" s="163">
        <v>4354273.7893027812</v>
      </c>
      <c r="AC188" s="163">
        <v>6640271.260803178</v>
      </c>
      <c r="AD188" s="163">
        <v>2845973.2645688206</v>
      </c>
      <c r="AE188" s="163">
        <v>-9125748.770309478</v>
      </c>
      <c r="AF188" s="163">
        <v>-20076229.508315325</v>
      </c>
      <c r="AG188" s="163">
        <v>-6371155.7957408428</v>
      </c>
    </row>
    <row r="189" spans="16:33" ht="15.75" customHeight="1">
      <c r="P189" s="162"/>
      <c r="Q189" s="162">
        <v>172</v>
      </c>
      <c r="R189" s="163">
        <v>-38489684.72583282</v>
      </c>
      <c r="S189" s="163">
        <v>-25733804.476134583</v>
      </c>
      <c r="T189" s="163">
        <v>-10804577.675770879</v>
      </c>
      <c r="U189" s="163">
        <v>-956005.94189620018</v>
      </c>
      <c r="V189" s="163">
        <v>-6567806.0092241615</v>
      </c>
      <c r="W189" s="164">
        <v>10108568.207941115</v>
      </c>
      <c r="X189" s="163">
        <v>4965151.2177844942</v>
      </c>
      <c r="Y189" s="163">
        <v>1134839.4756569117</v>
      </c>
      <c r="Z189" s="163">
        <v>9432579.9048361331</v>
      </c>
      <c r="AA189" s="163">
        <v>3464265.3085107654</v>
      </c>
      <c r="AB189" s="163">
        <v>8511400.1138792038</v>
      </c>
      <c r="AC189" s="163">
        <v>9951465.9132658839</v>
      </c>
      <c r="AD189" s="163">
        <v>6672752.5602217168</v>
      </c>
      <c r="AE189" s="163">
        <v>-1362971.5762391388</v>
      </c>
      <c r="AF189" s="163">
        <v>-3242534.7727943361</v>
      </c>
      <c r="AG189" s="163">
        <v>-19524176.17371048</v>
      </c>
    </row>
    <row r="190" spans="16:33" ht="15.75" customHeight="1">
      <c r="P190" s="162"/>
      <c r="Q190" s="162">
        <v>173</v>
      </c>
      <c r="R190" s="163">
        <v>-32933419.530089259</v>
      </c>
      <c r="S190" s="163">
        <v>-22754378.386034071</v>
      </c>
      <c r="T190" s="163">
        <v>-11182106.36893706</v>
      </c>
      <c r="U190" s="163">
        <v>-16143896.474936515</v>
      </c>
      <c r="V190" s="163">
        <v>3262084.1956749409</v>
      </c>
      <c r="W190" s="164">
        <v>3153036.6726850271</v>
      </c>
      <c r="X190" s="163">
        <v>4541298.3115147054</v>
      </c>
      <c r="Y190" s="163">
        <v>6616252.3030448556</v>
      </c>
      <c r="Z190" s="163">
        <v>1164879.7647671551</v>
      </c>
      <c r="AA190" s="163">
        <v>10796871.219193324</v>
      </c>
      <c r="AB190" s="163">
        <v>8803019.0390019119</v>
      </c>
      <c r="AC190" s="163">
        <v>13732141.535672903</v>
      </c>
      <c r="AD190" s="163">
        <v>15626098.873482928</v>
      </c>
      <c r="AE190" s="163">
        <v>1012797.2569793314</v>
      </c>
      <c r="AF190" s="163">
        <v>-9957079.3575832546</v>
      </c>
      <c r="AG190" s="163">
        <v>-20360431.631194249</v>
      </c>
    </row>
    <row r="191" spans="16:33" ht="15.75" customHeight="1">
      <c r="P191" s="162"/>
      <c r="Q191" s="162">
        <v>174</v>
      </c>
      <c r="R191" s="163">
        <v>-39355752.135095358</v>
      </c>
      <c r="S191" s="163">
        <v>-25674551.063644081</v>
      </c>
      <c r="T191" s="163">
        <v>-16772557.783293515</v>
      </c>
      <c r="U191" s="163">
        <v>-20647629.18058686</v>
      </c>
      <c r="V191" s="163">
        <v>6040595.9073091</v>
      </c>
      <c r="W191" s="164">
        <v>16682536.910625204</v>
      </c>
      <c r="X191" s="163">
        <v>6568867.1214489788</v>
      </c>
      <c r="Y191" s="163">
        <v>11113883.337680027</v>
      </c>
      <c r="Z191" s="163">
        <v>14103064.504275069</v>
      </c>
      <c r="AA191" s="163">
        <v>5861866.9466248751</v>
      </c>
      <c r="AB191" s="163">
        <v>6316643.6911263764</v>
      </c>
      <c r="AC191" s="163">
        <v>7618993.757000953</v>
      </c>
      <c r="AD191" s="163">
        <v>-569268.4180406034</v>
      </c>
      <c r="AE191" s="163">
        <v>-10435227.690168202</v>
      </c>
      <c r="AF191" s="163">
        <v>-6000797.3749537021</v>
      </c>
      <c r="AG191" s="163">
        <v>-23965895.611936465</v>
      </c>
    </row>
    <row r="192" spans="16:33" ht="15.75" customHeight="1">
      <c r="P192" s="162"/>
      <c r="Q192" s="162">
        <v>175</v>
      </c>
      <c r="R192" s="163">
        <v>-36084739.605827183</v>
      </c>
      <c r="S192" s="163">
        <v>-25010332.892247707</v>
      </c>
      <c r="T192" s="163">
        <v>-18502680.785471424</v>
      </c>
      <c r="U192" s="163">
        <v>-10302196.792881474</v>
      </c>
      <c r="V192" s="163">
        <v>-2702261.1655692756</v>
      </c>
      <c r="W192" s="164">
        <v>6045337.744616881</v>
      </c>
      <c r="X192" s="163">
        <v>8598605.3237965703</v>
      </c>
      <c r="Y192" s="163">
        <v>10151184.037733421</v>
      </c>
      <c r="Z192" s="163">
        <v>15958699.585543275</v>
      </c>
      <c r="AA192" s="163">
        <v>9411618.6526822895</v>
      </c>
      <c r="AB192" s="163">
        <v>-5467961.0213536173</v>
      </c>
      <c r="AC192" s="163">
        <v>8729425.0279237181</v>
      </c>
      <c r="AD192" s="163">
        <v>3746441.0743418634</v>
      </c>
      <c r="AE192" s="163">
        <v>7381462.181303829</v>
      </c>
      <c r="AF192" s="163">
        <v>-17585002.188676268</v>
      </c>
      <c r="AG192" s="163">
        <v>-21542985.854026332</v>
      </c>
    </row>
    <row r="193" spans="16:33" ht="15.75" customHeight="1">
      <c r="P193" s="162"/>
      <c r="Q193" s="162">
        <v>176</v>
      </c>
      <c r="R193" s="163">
        <v>-40223929.723502055</v>
      </c>
      <c r="S193" s="163">
        <v>-23230680.984300911</v>
      </c>
      <c r="T193" s="163">
        <v>-20083669.549816221</v>
      </c>
      <c r="U193" s="163">
        <v>-10292032.721596956</v>
      </c>
      <c r="V193" s="163">
        <v>2820260.4035517275</v>
      </c>
      <c r="W193" s="164">
        <v>2328012.2852410376</v>
      </c>
      <c r="X193" s="163">
        <v>6909975.6698679924</v>
      </c>
      <c r="Y193" s="163">
        <v>1703005.8055704832</v>
      </c>
      <c r="Z193" s="163">
        <v>7792513.9574363679</v>
      </c>
      <c r="AA193" s="163">
        <v>14296091.451013297</v>
      </c>
      <c r="AB193" s="163">
        <v>43138.182034343481</v>
      </c>
      <c r="AC193" s="163">
        <v>-2850303.1062088907</v>
      </c>
      <c r="AD193" s="163">
        <v>853358.93754513562</v>
      </c>
      <c r="AE193" s="163">
        <v>-17085282.089485332</v>
      </c>
      <c r="AF193" s="163">
        <v>-2584251.0451100618</v>
      </c>
      <c r="AG193" s="163">
        <v>-23235304.67274642</v>
      </c>
    </row>
    <row r="194" spans="16:33" ht="15.75" customHeight="1">
      <c r="P194" s="162"/>
      <c r="Q194" s="162">
        <v>177</v>
      </c>
      <c r="R194" s="163">
        <v>-36600467.709721595</v>
      </c>
      <c r="S194" s="163">
        <v>-25938615.726033315</v>
      </c>
      <c r="T194" s="163">
        <v>-17005940.405042008</v>
      </c>
      <c r="U194" s="163">
        <v>3316589.8278469145</v>
      </c>
      <c r="V194" s="163">
        <v>1281753.843329221</v>
      </c>
      <c r="W194" s="164">
        <v>10928443.073357269</v>
      </c>
      <c r="X194" s="163">
        <v>578422.26522040367</v>
      </c>
      <c r="Y194" s="163">
        <v>-5417218.7572900653</v>
      </c>
      <c r="Z194" s="163">
        <v>10471192.181862831</v>
      </c>
      <c r="AA194" s="163">
        <v>9475292.8093459606</v>
      </c>
      <c r="AB194" s="163">
        <v>13367437.381933242</v>
      </c>
      <c r="AC194" s="163">
        <v>12767101.072938457</v>
      </c>
      <c r="AD194" s="163">
        <v>981977.50949178636</v>
      </c>
      <c r="AE194" s="163">
        <v>-6054005.3971315473</v>
      </c>
      <c r="AF194" s="163">
        <v>-18599549.659558311</v>
      </c>
      <c r="AG194" s="163">
        <v>-23891092.027149677</v>
      </c>
    </row>
    <row r="195" spans="16:33" ht="15.75" customHeight="1">
      <c r="P195" s="162"/>
      <c r="Q195" s="162">
        <v>178</v>
      </c>
      <c r="R195" s="163">
        <v>-30855698.17261517</v>
      </c>
      <c r="S195" s="163">
        <v>-30986590.691138223</v>
      </c>
      <c r="T195" s="163">
        <v>-17355693.989077702</v>
      </c>
      <c r="U195" s="163">
        <v>-7217839.861431241</v>
      </c>
      <c r="V195" s="163">
        <v>-1436789.8428158015</v>
      </c>
      <c r="W195" s="164">
        <v>12341257.266146243</v>
      </c>
      <c r="X195" s="163">
        <v>8581398.0228552818</v>
      </c>
      <c r="Y195" s="163">
        <v>12733785.357894868</v>
      </c>
      <c r="Z195" s="163">
        <v>14102556.751841381</v>
      </c>
      <c r="AA195" s="163">
        <v>18938880.328524694</v>
      </c>
      <c r="AB195" s="163">
        <v>5309627.9349098802</v>
      </c>
      <c r="AC195" s="163">
        <v>16353869.025332138</v>
      </c>
      <c r="AD195" s="163">
        <v>-1549789.4147531688</v>
      </c>
      <c r="AE195" s="163">
        <v>-8003764.0427362621</v>
      </c>
      <c r="AF195" s="163">
        <v>-17016068.382146791</v>
      </c>
      <c r="AG195" s="163">
        <v>-16599662.631977752</v>
      </c>
    </row>
    <row r="196" spans="16:33" ht="15.75" customHeight="1">
      <c r="P196" s="162"/>
      <c r="Q196" s="162">
        <v>179</v>
      </c>
      <c r="R196" s="163">
        <v>-28071133.151623875</v>
      </c>
      <c r="S196" s="163">
        <v>-24358948.140021443</v>
      </c>
      <c r="T196" s="163">
        <v>-10449671.104693785</v>
      </c>
      <c r="U196" s="163">
        <v>-3465198.8182551116</v>
      </c>
      <c r="V196" s="163">
        <v>3856968.6421703845</v>
      </c>
      <c r="W196" s="164">
        <v>2003094.7745094746</v>
      </c>
      <c r="X196" s="163">
        <v>15342501.168893784</v>
      </c>
      <c r="Y196" s="163">
        <v>13649031.25444822</v>
      </c>
      <c r="Z196" s="163">
        <v>12113188.809231013</v>
      </c>
      <c r="AA196" s="163">
        <v>10241216.682134077</v>
      </c>
      <c r="AB196" s="163">
        <v>1592854.953293249</v>
      </c>
      <c r="AC196" s="163">
        <v>15070896.94247365</v>
      </c>
      <c r="AD196" s="163">
        <v>-1019664.6707403362</v>
      </c>
      <c r="AE196" s="163">
        <v>-3015004.8868005872</v>
      </c>
      <c r="AF196" s="163">
        <v>-13514569.730665579</v>
      </c>
      <c r="AG196" s="163">
        <v>-13925641.728651688</v>
      </c>
    </row>
    <row r="197" spans="16:33" ht="15.75" customHeight="1">
      <c r="P197" s="162"/>
      <c r="Q197" s="162">
        <v>180</v>
      </c>
      <c r="R197" s="163">
        <v>-37695893.969038039</v>
      </c>
      <c r="S197" s="163">
        <v>-28304689.352727041</v>
      </c>
      <c r="T197" s="163">
        <v>-30678261.0706103</v>
      </c>
      <c r="U197" s="163">
        <v>-6020738.6324281394</v>
      </c>
      <c r="V197" s="163">
        <v>11298182.934592932</v>
      </c>
      <c r="W197" s="164">
        <v>2270293.4326738715</v>
      </c>
      <c r="X197" s="163">
        <v>1952352.9611843526</v>
      </c>
      <c r="Y197" s="163">
        <v>13081163.00650382</v>
      </c>
      <c r="Z197" s="163">
        <v>19587475.944869369</v>
      </c>
      <c r="AA197" s="163">
        <v>15522803.92901054</v>
      </c>
      <c r="AB197" s="163">
        <v>11110085.37833254</v>
      </c>
      <c r="AC197" s="163">
        <v>2285348.4375125468</v>
      </c>
      <c r="AD197" s="163">
        <v>1472721.002613157</v>
      </c>
      <c r="AE197" s="163">
        <v>1584579.9606644213</v>
      </c>
      <c r="AF197" s="163">
        <v>-9089331.3884292543</v>
      </c>
      <c r="AG197" s="163">
        <v>-22773971.228931829</v>
      </c>
    </row>
    <row r="198" spans="16:33" ht="15.75" customHeight="1">
      <c r="P198" s="162"/>
      <c r="Q198" s="162">
        <v>181</v>
      </c>
      <c r="R198" s="163">
        <v>-31543278.200280324</v>
      </c>
      <c r="S198" s="163">
        <v>-20168690.999002874</v>
      </c>
      <c r="T198" s="163">
        <v>-18844341.117422715</v>
      </c>
      <c r="U198" s="163">
        <v>-1053650.3829693198</v>
      </c>
      <c r="V198" s="163">
        <v>-732179.87695881724</v>
      </c>
      <c r="W198" s="164">
        <v>5480166.3343230635</v>
      </c>
      <c r="X198" s="163">
        <v>17922299.388331413</v>
      </c>
      <c r="Y198" s="163">
        <v>23742580.095164612</v>
      </c>
      <c r="Z198" s="163">
        <v>13510344.046444669</v>
      </c>
      <c r="AA198" s="163">
        <v>10050995.186088711</v>
      </c>
      <c r="AB198" s="163">
        <v>13072615.65275681</v>
      </c>
      <c r="AC198" s="163">
        <v>4342146.4101979434</v>
      </c>
      <c r="AD198" s="163">
        <v>4385680.4178249836</v>
      </c>
      <c r="AE198" s="163">
        <v>-853538.49210762978</v>
      </c>
      <c r="AF198" s="163">
        <v>-8764411.0517072082</v>
      </c>
      <c r="AG198" s="163">
        <v>-22094078.862891346</v>
      </c>
    </row>
    <row r="199" spans="16:33" ht="15.75" customHeight="1">
      <c r="P199" s="162"/>
      <c r="Q199" s="162">
        <v>182</v>
      </c>
      <c r="R199" s="163">
        <v>-37891211.620475173</v>
      </c>
      <c r="S199" s="163">
        <v>-19848104.380054995</v>
      </c>
      <c r="T199" s="163">
        <v>-24493995.261445269</v>
      </c>
      <c r="U199" s="163">
        <v>-5305484.9325715899</v>
      </c>
      <c r="V199" s="163">
        <v>5586528.555792287</v>
      </c>
      <c r="W199" s="164">
        <v>14345238.917443752</v>
      </c>
      <c r="X199" s="163">
        <v>7917521.0564559698</v>
      </c>
      <c r="Y199" s="163">
        <v>3798090.7049389184</v>
      </c>
      <c r="Z199" s="163">
        <v>8853903.4626403898</v>
      </c>
      <c r="AA199" s="163">
        <v>17100960.497341797</v>
      </c>
      <c r="AB199" s="163">
        <v>27052914.499694109</v>
      </c>
      <c r="AC199" s="163">
        <v>-845181.82548968494</v>
      </c>
      <c r="AD199" s="163">
        <v>8969259.5971711278</v>
      </c>
      <c r="AE199" s="163">
        <v>-3596210.7941607386</v>
      </c>
      <c r="AF199" s="163">
        <v>-9726299.1381727606</v>
      </c>
      <c r="AG199" s="163">
        <v>-7113885.244756043</v>
      </c>
    </row>
    <row r="200" spans="16:33" ht="15.75" customHeight="1">
      <c r="P200" s="162"/>
      <c r="Q200" s="162">
        <v>183</v>
      </c>
      <c r="R200" s="163">
        <v>-42112709.912809193</v>
      </c>
      <c r="S200" s="163">
        <v>-18388426.968090355</v>
      </c>
      <c r="T200" s="163">
        <v>-10075324.909123123</v>
      </c>
      <c r="U200" s="163">
        <v>-19906934.915587917</v>
      </c>
      <c r="V200" s="163">
        <v>-2582506.2737830728</v>
      </c>
      <c r="W200" s="164">
        <v>1997357.1297316104</v>
      </c>
      <c r="X200" s="163">
        <v>14462882.854295716</v>
      </c>
      <c r="Y200" s="163">
        <v>22217641.287425697</v>
      </c>
      <c r="Z200" s="163">
        <v>9320575.7241618037</v>
      </c>
      <c r="AA200" s="163">
        <v>-3424106.661890626</v>
      </c>
      <c r="AB200" s="163">
        <v>8129038.8855129778</v>
      </c>
      <c r="AC200" s="163">
        <v>10025362.389646485</v>
      </c>
      <c r="AD200" s="163">
        <v>-3137103.94033584</v>
      </c>
      <c r="AE200" s="163">
        <v>-4061636.9757895619</v>
      </c>
      <c r="AF200" s="163">
        <v>-22817122.208705693</v>
      </c>
      <c r="AG200" s="163">
        <v>-20889833.424898475</v>
      </c>
    </row>
    <row r="201" spans="16:33" ht="15.75" customHeight="1">
      <c r="P201" s="162"/>
      <c r="Q201" s="162">
        <v>184</v>
      </c>
      <c r="R201" s="163">
        <v>-34429809.057893902</v>
      </c>
      <c r="S201" s="163">
        <v>-21946492.410200834</v>
      </c>
      <c r="T201" s="163">
        <v>-21752249.456581295</v>
      </c>
      <c r="U201" s="163">
        <v>-9230180.0181115121</v>
      </c>
      <c r="V201" s="163">
        <v>5037026.95623824</v>
      </c>
      <c r="W201" s="164">
        <v>7080287.2735940814</v>
      </c>
      <c r="X201" s="163">
        <v>10077456.566025019</v>
      </c>
      <c r="Y201" s="163">
        <v>13920300.334254101</v>
      </c>
      <c r="Z201" s="163">
        <v>10192009.700185835</v>
      </c>
      <c r="AA201" s="163">
        <v>-672333.54494784772</v>
      </c>
      <c r="AB201" s="163">
        <v>9519168.4768047482</v>
      </c>
      <c r="AC201" s="163">
        <v>-2897149.4675403684</v>
      </c>
      <c r="AD201" s="163">
        <v>9034505.9994907975</v>
      </c>
      <c r="AE201" s="163">
        <v>-1582208.3450361043</v>
      </c>
      <c r="AF201" s="163">
        <v>-2863445.0911584049</v>
      </c>
      <c r="AG201" s="163">
        <v>-18713822.730379835</v>
      </c>
    </row>
    <row r="202" spans="16:33" ht="15.75" customHeight="1">
      <c r="P202" s="162"/>
      <c r="Q202" s="162">
        <v>185</v>
      </c>
      <c r="R202" s="163">
        <v>-33736905.216215193</v>
      </c>
      <c r="S202" s="163">
        <v>-21816814.066927224</v>
      </c>
      <c r="T202" s="163">
        <v>-14789877.637300938</v>
      </c>
      <c r="U202" s="163">
        <v>-14416699.296587572</v>
      </c>
      <c r="V202" s="163">
        <v>3514760.0977626145</v>
      </c>
      <c r="W202" s="164">
        <v>1442848.9408270121</v>
      </c>
      <c r="X202" s="163">
        <v>12795341.85968633</v>
      </c>
      <c r="Y202" s="163">
        <v>2769426.7976332009</v>
      </c>
      <c r="Z202" s="163">
        <v>13301379.657225117</v>
      </c>
      <c r="AA202" s="163">
        <v>9480802.5125667453</v>
      </c>
      <c r="AB202" s="163">
        <v>11794736.030140638</v>
      </c>
      <c r="AC202" s="163">
        <v>4828840.9547813088</v>
      </c>
      <c r="AD202" s="163">
        <v>-2502317.5431611389</v>
      </c>
      <c r="AE202" s="163">
        <v>-7622228.7785234153</v>
      </c>
      <c r="AF202" s="163">
        <v>-701718.47110007703</v>
      </c>
      <c r="AG202" s="163">
        <v>-23445488.710052937</v>
      </c>
    </row>
    <row r="203" spans="16:33" ht="15.75" customHeight="1">
      <c r="P203" s="162"/>
      <c r="Q203" s="162">
        <v>186</v>
      </c>
      <c r="R203" s="163">
        <v>-28891172.524198353</v>
      </c>
      <c r="S203" s="163">
        <v>-28873821.180601075</v>
      </c>
      <c r="T203" s="163">
        <v>-21714221.669996172</v>
      </c>
      <c r="U203" s="163">
        <v>-1793601.1246954948</v>
      </c>
      <c r="V203" s="163">
        <v>-8934883.6805407703</v>
      </c>
      <c r="W203" s="164">
        <v>9807346.8075888902</v>
      </c>
      <c r="X203" s="163">
        <v>17715039.689059064</v>
      </c>
      <c r="Y203" s="163">
        <v>23384762.123443201</v>
      </c>
      <c r="Z203" s="163">
        <v>401822.86967456341</v>
      </c>
      <c r="AA203" s="163">
        <v>8381478.3247432709</v>
      </c>
      <c r="AB203" s="163">
        <v>14174861.185588092</v>
      </c>
      <c r="AC203" s="163">
        <v>1817405.0855557024</v>
      </c>
      <c r="AD203" s="163">
        <v>1501011.8536078781</v>
      </c>
      <c r="AE203" s="163">
        <v>5993113.0537402481</v>
      </c>
      <c r="AF203" s="163">
        <v>-11569663.645830676</v>
      </c>
      <c r="AG203" s="163">
        <v>-9376950.119654417</v>
      </c>
    </row>
    <row r="204" spans="16:33" ht="15.75" customHeight="1">
      <c r="P204" s="162"/>
      <c r="Q204" s="162">
        <v>187</v>
      </c>
      <c r="R204" s="163">
        <v>-35019336.982062906</v>
      </c>
      <c r="S204" s="163">
        <v>-22863778.957829416</v>
      </c>
      <c r="T204" s="163">
        <v>-12591160.888176546</v>
      </c>
      <c r="U204" s="163">
        <v>-8621667.6782814413</v>
      </c>
      <c r="V204" s="163">
        <v>-7220994.0442365855</v>
      </c>
      <c r="W204" s="164">
        <v>-6502759.9048575163</v>
      </c>
      <c r="X204" s="163">
        <v>-808180.36496450007</v>
      </c>
      <c r="Y204" s="163">
        <v>21022206.770663202</v>
      </c>
      <c r="Z204" s="163">
        <v>10150887.015130326</v>
      </c>
      <c r="AA204" s="163">
        <v>14283530.275614247</v>
      </c>
      <c r="AB204" s="163">
        <v>12211539.054158315</v>
      </c>
      <c r="AC204" s="163">
        <v>631346.8476921916</v>
      </c>
      <c r="AD204" s="163">
        <v>12671178.852418661</v>
      </c>
      <c r="AE204" s="163">
        <v>-8429668.9604711086</v>
      </c>
      <c r="AF204" s="163">
        <v>-5527446.9595606625</v>
      </c>
      <c r="AG204" s="163">
        <v>-18452228.055633724</v>
      </c>
    </row>
    <row r="205" spans="16:33" ht="15.75" customHeight="1">
      <c r="P205" s="162"/>
      <c r="Q205" s="162">
        <v>188</v>
      </c>
      <c r="R205" s="163">
        <v>-27553131.295642629</v>
      </c>
      <c r="S205" s="163">
        <v>-22832323.741633534</v>
      </c>
      <c r="T205" s="163">
        <v>-22482875.232890442</v>
      </c>
      <c r="U205" s="163">
        <v>-2194957.9570128918</v>
      </c>
      <c r="V205" s="163">
        <v>-2099904.5329016596</v>
      </c>
      <c r="W205" s="164">
        <v>3045241.8870688081</v>
      </c>
      <c r="X205" s="163">
        <v>11924819.323952898</v>
      </c>
      <c r="Y205" s="163">
        <v>2458209.1975435168</v>
      </c>
      <c r="Z205" s="163">
        <v>22534228.258251846</v>
      </c>
      <c r="AA205" s="163">
        <v>12980711.899709418</v>
      </c>
      <c r="AB205" s="163">
        <v>5339100.9896584451</v>
      </c>
      <c r="AC205" s="163">
        <v>1629136.0241959691</v>
      </c>
      <c r="AD205" s="163">
        <v>-1807272.8078293949</v>
      </c>
      <c r="AE205" s="163">
        <v>-7935366.7413609028</v>
      </c>
      <c r="AF205" s="163">
        <v>-9880839.3159519583</v>
      </c>
      <c r="AG205" s="163">
        <v>-17847324.785073742</v>
      </c>
    </row>
    <row r="206" spans="16:33" ht="15.75" customHeight="1">
      <c r="P206" s="162"/>
      <c r="Q206" s="162">
        <v>189</v>
      </c>
      <c r="R206" s="163">
        <v>-33856336.353223324</v>
      </c>
      <c r="S206" s="163">
        <v>-27100856.921306208</v>
      </c>
      <c r="T206" s="163">
        <v>-16644640.16791299</v>
      </c>
      <c r="U206" s="163">
        <v>-8401849.8276543915</v>
      </c>
      <c r="V206" s="163">
        <v>4490403.0209797472</v>
      </c>
      <c r="W206" s="164">
        <v>6629750.19255355</v>
      </c>
      <c r="X206" s="163">
        <v>7542357.0221817195</v>
      </c>
      <c r="Y206" s="163">
        <v>5789994.2905926406</v>
      </c>
      <c r="Z206" s="163">
        <v>6618499.0685012788</v>
      </c>
      <c r="AA206" s="163">
        <v>5360827.1744105816</v>
      </c>
      <c r="AB206" s="163">
        <v>1835621.9585402608</v>
      </c>
      <c r="AC206" s="163">
        <v>11935471.511194885</v>
      </c>
      <c r="AD206" s="163">
        <v>-408214.27004854381</v>
      </c>
      <c r="AE206" s="163">
        <v>-9416652.373013109</v>
      </c>
      <c r="AF206" s="163">
        <v>-7436445.5706228763</v>
      </c>
      <c r="AG206" s="163">
        <v>-15477443.853509665</v>
      </c>
    </row>
    <row r="207" spans="16:33" ht="15.75" customHeight="1">
      <c r="P207" s="162"/>
      <c r="Q207" s="162">
        <v>190</v>
      </c>
      <c r="R207" s="163">
        <v>-38268839.792723447</v>
      </c>
      <c r="S207" s="163">
        <v>-28285164.234859377</v>
      </c>
      <c r="T207" s="163">
        <v>-15760507.392319113</v>
      </c>
      <c r="U207" s="163">
        <v>-7282148.2386366427</v>
      </c>
      <c r="V207" s="163">
        <v>-3502428.9133181721</v>
      </c>
      <c r="W207" s="164">
        <v>4873197.8880468905</v>
      </c>
      <c r="X207" s="163">
        <v>4001440.0381525308</v>
      </c>
      <c r="Y207" s="163">
        <v>4842722.5724078119</v>
      </c>
      <c r="Z207" s="163">
        <v>10855798.274572998</v>
      </c>
      <c r="AA207" s="163">
        <v>8271117.2331883758</v>
      </c>
      <c r="AB207" s="163">
        <v>8600068.1605019569</v>
      </c>
      <c r="AC207" s="163">
        <v>4277419.4463565797</v>
      </c>
      <c r="AD207" s="163">
        <v>4505225.3749160916</v>
      </c>
      <c r="AE207" s="163">
        <v>-9129498.0581725985</v>
      </c>
      <c r="AF207" s="163">
        <v>-2678896.7953303754</v>
      </c>
      <c r="AG207" s="163">
        <v>-27885791.809305519</v>
      </c>
    </row>
    <row r="208" spans="16:33" ht="15.75" customHeight="1">
      <c r="P208" s="162"/>
      <c r="Q208" s="162">
        <v>191</v>
      </c>
      <c r="R208" s="163">
        <v>-42032237.828892887</v>
      </c>
      <c r="S208" s="163">
        <v>-26522326.271465704</v>
      </c>
      <c r="T208" s="163">
        <v>-11253661.319563925</v>
      </c>
      <c r="U208" s="163">
        <v>-11058922.489382386</v>
      </c>
      <c r="V208" s="163">
        <v>6327820.3197688609</v>
      </c>
      <c r="W208" s="164">
        <v>5808235.0372193456</v>
      </c>
      <c r="X208" s="163">
        <v>18424258.480333775</v>
      </c>
      <c r="Y208" s="163">
        <v>16439114.658967301</v>
      </c>
      <c r="Z208" s="163">
        <v>13215967.715240523</v>
      </c>
      <c r="AA208" s="163">
        <v>3229410.3587724864</v>
      </c>
      <c r="AB208" s="163">
        <v>7602388.5192855895</v>
      </c>
      <c r="AC208" s="163">
        <v>15278867.400873601</v>
      </c>
      <c r="AD208" s="163">
        <v>11679508.008765668</v>
      </c>
      <c r="AE208" s="163">
        <v>-6121477.3504789919</v>
      </c>
      <c r="AF208" s="163">
        <v>-16292252.697531551</v>
      </c>
      <c r="AG208" s="163">
        <v>-22944407.609931558</v>
      </c>
    </row>
    <row r="209" spans="16:33" ht="15.75" customHeight="1">
      <c r="P209" s="162"/>
      <c r="Q209" s="162">
        <v>192</v>
      </c>
      <c r="R209" s="163">
        <v>-37170803.017137602</v>
      </c>
      <c r="S209" s="163">
        <v>-23525282.101987034</v>
      </c>
      <c r="T209" s="163">
        <v>-14232153.224456325</v>
      </c>
      <c r="U209" s="163">
        <v>-4073188.4532811493</v>
      </c>
      <c r="V209" s="163">
        <v>-8039237.885073036</v>
      </c>
      <c r="W209" s="164">
        <v>-1469294.487877965</v>
      </c>
      <c r="X209" s="163">
        <v>10614663.850224212</v>
      </c>
      <c r="Y209" s="163">
        <v>-141449.3756608665</v>
      </c>
      <c r="Z209" s="163">
        <v>18429737.348862097</v>
      </c>
      <c r="AA209" s="163">
        <v>16572508.722641483</v>
      </c>
      <c r="AB209" s="163">
        <v>-611089.94573780894</v>
      </c>
      <c r="AC209" s="163">
        <v>7322159.8020551205</v>
      </c>
      <c r="AD209" s="163">
        <v>-5391551.0433245599</v>
      </c>
      <c r="AE209" s="163">
        <v>-13173710.345328242</v>
      </c>
      <c r="AF209" s="163">
        <v>-16311314.220803291</v>
      </c>
      <c r="AG209" s="163">
        <v>-15201201.224059805</v>
      </c>
    </row>
    <row r="210" spans="16:33" ht="15.75" customHeight="1">
      <c r="P210" s="162"/>
      <c r="Q210" s="162">
        <v>193</v>
      </c>
      <c r="R210" s="163">
        <v>-37943909.151767433</v>
      </c>
      <c r="S210" s="163">
        <v>-30793968.610603407</v>
      </c>
      <c r="T210" s="163">
        <v>-11974175.549462765</v>
      </c>
      <c r="U210" s="163">
        <v>6766010.3125026077</v>
      </c>
      <c r="V210" s="163">
        <v>-1319952.9794350713</v>
      </c>
      <c r="W210" s="164">
        <v>-2752382.6546353698</v>
      </c>
      <c r="X210" s="163">
        <v>13645142.69332166</v>
      </c>
      <c r="Y210" s="163">
        <v>11600104.934766158</v>
      </c>
      <c r="Z210" s="163">
        <v>13963963.428140923</v>
      </c>
      <c r="AA210" s="163">
        <v>4709627.5843221098</v>
      </c>
      <c r="AB210" s="163">
        <v>15886085.456596583</v>
      </c>
      <c r="AC210" s="163">
        <v>534259.73410314322</v>
      </c>
      <c r="AD210" s="163">
        <v>-5418008.1775500178</v>
      </c>
      <c r="AE210" s="163">
        <v>-3174087.6309697181</v>
      </c>
      <c r="AF210" s="163">
        <v>-8684947.7148172706</v>
      </c>
      <c r="AG210" s="163">
        <v>-18655534.817542166</v>
      </c>
    </row>
    <row r="211" spans="16:33" ht="15.75" customHeight="1">
      <c r="P211" s="162"/>
      <c r="Q211" s="162">
        <v>194</v>
      </c>
      <c r="R211" s="163">
        <v>-29154741.035606444</v>
      </c>
      <c r="S211" s="163">
        <v>-30693741.295107052</v>
      </c>
      <c r="T211" s="163">
        <v>-12274960.727249786</v>
      </c>
      <c r="U211" s="163">
        <v>-8162615.1313851327</v>
      </c>
      <c r="V211" s="163">
        <v>-521769.13906142116</v>
      </c>
      <c r="W211" s="164">
        <v>9624798.6820370108</v>
      </c>
      <c r="X211" s="163">
        <v>6875454.6285445541</v>
      </c>
      <c r="Y211" s="163">
        <v>19242755.643171325</v>
      </c>
      <c r="Z211" s="163">
        <v>6676677.5608505309</v>
      </c>
      <c r="AA211" s="163">
        <v>8060076.7520623952</v>
      </c>
      <c r="AB211" s="163">
        <v>9875169.11385867</v>
      </c>
      <c r="AC211" s="163">
        <v>11348269.516194955</v>
      </c>
      <c r="AD211" s="163">
        <v>-1621597.3417170793</v>
      </c>
      <c r="AE211" s="163">
        <v>-2049258.6028443128</v>
      </c>
      <c r="AF211" s="163">
        <v>-8709206.1130683273</v>
      </c>
      <c r="AG211" s="163">
        <v>-15521319.946711093</v>
      </c>
    </row>
    <row r="212" spans="16:33" ht="15.75" customHeight="1">
      <c r="P212" s="162"/>
      <c r="Q212" s="162">
        <v>195</v>
      </c>
      <c r="R212" s="163">
        <v>-36774412.721799433</v>
      </c>
      <c r="S212" s="163">
        <v>-21303207.073996261</v>
      </c>
      <c r="T212" s="163">
        <v>-17815657.54750587</v>
      </c>
      <c r="U212" s="163">
        <v>3639861.5501357019</v>
      </c>
      <c r="V212" s="163">
        <v>1968848.0096162856</v>
      </c>
      <c r="W212" s="164">
        <v>-6711527.8363493681</v>
      </c>
      <c r="X212" s="163">
        <v>-904324.01070193946</v>
      </c>
      <c r="Y212" s="163">
        <v>7226124.7041782737</v>
      </c>
      <c r="Z212" s="163">
        <v>16852694.921406388</v>
      </c>
      <c r="AA212" s="163">
        <v>16972192.668622077</v>
      </c>
      <c r="AB212" s="163">
        <v>6910405.4393997937</v>
      </c>
      <c r="AC212" s="163">
        <v>12671163.340863928</v>
      </c>
      <c r="AD212" s="163">
        <v>4804089.638904959</v>
      </c>
      <c r="AE212" s="163">
        <v>-7050123.7891006768</v>
      </c>
      <c r="AF212" s="163">
        <v>-6212152.1360395849</v>
      </c>
      <c r="AG212" s="163">
        <v>-17653411.523200423</v>
      </c>
    </row>
    <row r="213" spans="16:33" ht="15.75" customHeight="1">
      <c r="P213" s="162"/>
      <c r="Q213" s="162">
        <v>196</v>
      </c>
      <c r="R213" s="163">
        <v>-32495426.04186523</v>
      </c>
      <c r="S213" s="163">
        <v>-31293723.709740669</v>
      </c>
      <c r="T213" s="163">
        <v>-19979563.718403876</v>
      </c>
      <c r="U213" s="163">
        <v>-1990860.7193864435</v>
      </c>
      <c r="V213" s="163">
        <v>1677298.3649814725</v>
      </c>
      <c r="W213" s="164">
        <v>11095928.211043566</v>
      </c>
      <c r="X213" s="163">
        <v>-1172898.7143847942</v>
      </c>
      <c r="Y213" s="163">
        <v>17741539.545291632</v>
      </c>
      <c r="Z213" s="163">
        <v>11805542.464931265</v>
      </c>
      <c r="AA213" s="163">
        <v>10839189.165849447</v>
      </c>
      <c r="AB213" s="163">
        <v>15372693.261553913</v>
      </c>
      <c r="AC213" s="163">
        <v>7927902.3591553122</v>
      </c>
      <c r="AD213" s="163">
        <v>7324165.1420654058</v>
      </c>
      <c r="AE213" s="163">
        <v>-3990117.1763123125</v>
      </c>
      <c r="AF213" s="163">
        <v>-12224474.394851699</v>
      </c>
      <c r="AG213" s="163">
        <v>-29890832.867655724</v>
      </c>
    </row>
    <row r="214" spans="16:33" ht="15.75" customHeight="1">
      <c r="P214" s="162"/>
      <c r="Q214" s="162">
        <v>197</v>
      </c>
      <c r="R214" s="163">
        <v>-36198444.525349766</v>
      </c>
      <c r="S214" s="163">
        <v>-29295609.328176394</v>
      </c>
      <c r="T214" s="163">
        <v>-18563231.536099404</v>
      </c>
      <c r="U214" s="163">
        <v>-8010817.7661585659</v>
      </c>
      <c r="V214" s="163">
        <v>947057.15795001388</v>
      </c>
      <c r="W214" s="164">
        <v>-3276280.6389531344</v>
      </c>
      <c r="X214" s="163">
        <v>1749262.7808368206</v>
      </c>
      <c r="Y214" s="163">
        <v>16399498.795354381</v>
      </c>
      <c r="Z214" s="163">
        <v>12179343.012364537</v>
      </c>
      <c r="AA214" s="163">
        <v>8249795.3580302149</v>
      </c>
      <c r="AB214" s="163">
        <v>9643090.5210357904</v>
      </c>
      <c r="AC214" s="163">
        <v>3274452.0981789827</v>
      </c>
      <c r="AD214" s="163">
        <v>-4933640.6148891598</v>
      </c>
      <c r="AE214" s="163">
        <v>3325209.3589683622</v>
      </c>
      <c r="AF214" s="163">
        <v>-6421626.1526074708</v>
      </c>
      <c r="AG214" s="163">
        <v>-12406213.759064838</v>
      </c>
    </row>
    <row r="215" spans="16:33" ht="15.75" customHeight="1">
      <c r="P215" s="162"/>
      <c r="Q215" s="162">
        <v>198</v>
      </c>
      <c r="R215" s="163">
        <v>-28688847.220110238</v>
      </c>
      <c r="S215" s="163">
        <v>-26938719.203135803</v>
      </c>
      <c r="T215" s="163">
        <v>-20562936.339468047</v>
      </c>
      <c r="U215" s="163">
        <v>-4130447.2789843976</v>
      </c>
      <c r="V215" s="163">
        <v>-8304678.4430661947</v>
      </c>
      <c r="W215" s="164">
        <v>3139077.7572049648</v>
      </c>
      <c r="X215" s="163">
        <v>21316269.206467107</v>
      </c>
      <c r="Y215" s="163">
        <v>1130739.7413102984</v>
      </c>
      <c r="Z215" s="163">
        <v>22747792.621030971</v>
      </c>
      <c r="AA215" s="163">
        <v>8185924.9087839574</v>
      </c>
      <c r="AB215" s="163">
        <v>11127684.995703489</v>
      </c>
      <c r="AC215" s="163">
        <v>2570469.8781441152</v>
      </c>
      <c r="AD215" s="163">
        <v>2877189.9252090305</v>
      </c>
      <c r="AE215" s="163">
        <v>-7533228.3407746553</v>
      </c>
      <c r="AF215" s="163">
        <v>-9454063.6280202866</v>
      </c>
      <c r="AG215" s="163">
        <v>-19282751.587980002</v>
      </c>
    </row>
    <row r="216" spans="16:33" ht="15.75" customHeight="1">
      <c r="P216" s="162"/>
      <c r="Q216" s="162">
        <v>199</v>
      </c>
      <c r="R216" s="163">
        <v>-38920020.280246064</v>
      </c>
      <c r="S216" s="163">
        <v>-22179166.86159569</v>
      </c>
      <c r="T216" s="163">
        <v>-18795811.060438409</v>
      </c>
      <c r="U216" s="163">
        <v>-7652788.6203541756</v>
      </c>
      <c r="V216" s="163">
        <v>-6469437.016747579</v>
      </c>
      <c r="W216" s="164">
        <v>-6267471.0975801051</v>
      </c>
      <c r="X216" s="163">
        <v>8922407.5745947063</v>
      </c>
      <c r="Y216" s="163">
        <v>8380747.8644706309</v>
      </c>
      <c r="Z216" s="163">
        <v>2523132.7551841736</v>
      </c>
      <c r="AA216" s="163">
        <v>5613515.7960905284</v>
      </c>
      <c r="AB216" s="163">
        <v>11944497.32168746</v>
      </c>
      <c r="AC216" s="163">
        <v>85697.753264710307</v>
      </c>
      <c r="AD216" s="163">
        <v>-1153507.0004172772</v>
      </c>
      <c r="AE216" s="163">
        <v>-8204369.350545004</v>
      </c>
      <c r="AF216" s="163">
        <v>-11946621.769155294</v>
      </c>
      <c r="AG216" s="163">
        <v>-11457512.049950987</v>
      </c>
    </row>
    <row r="217" spans="16:33" ht="15.75" customHeight="1">
      <c r="P217" s="162"/>
      <c r="Q217" s="162">
        <v>200</v>
      </c>
      <c r="R217" s="163">
        <v>-38390132.963436931</v>
      </c>
      <c r="S217" s="163">
        <v>-22998629.22670567</v>
      </c>
      <c r="T217" s="163">
        <v>-20729872.901769459</v>
      </c>
      <c r="U217" s="163">
        <v>-1375972.7655266821</v>
      </c>
      <c r="V217" s="163">
        <v>-1009037.6308285445</v>
      </c>
      <c r="W217" s="164">
        <v>6162558.789306432</v>
      </c>
      <c r="X217" s="163">
        <v>7010256.8124902993</v>
      </c>
      <c r="Y217" s="163">
        <v>11593408.448441356</v>
      </c>
      <c r="Z217" s="163">
        <v>15712009.116320163</v>
      </c>
      <c r="AA217" s="163">
        <v>12552082.133102551</v>
      </c>
      <c r="AB217" s="163">
        <v>1046883.1615717262</v>
      </c>
      <c r="AC217" s="163">
        <v>13181349.512806475</v>
      </c>
      <c r="AD217" s="163">
        <v>1920618.994914189</v>
      </c>
      <c r="AE217" s="163">
        <v>-9518433.760689646</v>
      </c>
      <c r="AF217" s="163">
        <v>-14042393.802809432</v>
      </c>
      <c r="AG217" s="163">
        <v>-10005692.620064929</v>
      </c>
    </row>
    <row r="218" spans="16:33" ht="15.75" customHeight="1">
      <c r="P218" s="162"/>
      <c r="Q218" s="162">
        <v>201</v>
      </c>
      <c r="R218" s="163">
        <v>-31650345.746627927</v>
      </c>
      <c r="S218" s="163">
        <v>-26288102.73759824</v>
      </c>
      <c r="T218" s="163">
        <v>-14541653.896531388</v>
      </c>
      <c r="U218" s="163">
        <v>-11206045.47677888</v>
      </c>
      <c r="V218" s="163">
        <v>6739338.7550017536</v>
      </c>
      <c r="W218" s="164">
        <v>-27240.517880350351</v>
      </c>
      <c r="X218" s="163">
        <v>-6071126.7702096403</v>
      </c>
      <c r="Y218" s="163">
        <v>7117140.2618306577</v>
      </c>
      <c r="Z218" s="163">
        <v>3621867.0502680242</v>
      </c>
      <c r="AA218" s="163">
        <v>12166652.818603575</v>
      </c>
      <c r="AB218" s="163">
        <v>13714904.710688919</v>
      </c>
      <c r="AC218" s="163">
        <v>364173.13797089458</v>
      </c>
      <c r="AD218" s="163">
        <v>6847139.3918820471</v>
      </c>
      <c r="AE218" s="163">
        <v>-10144377.616022021</v>
      </c>
      <c r="AF218" s="163">
        <v>-10193007.759810388</v>
      </c>
      <c r="AG218" s="163">
        <v>-23694818.043377936</v>
      </c>
    </row>
    <row r="219" spans="16:33" ht="15.75" customHeight="1">
      <c r="P219" s="162"/>
      <c r="Q219" s="162">
        <v>202</v>
      </c>
      <c r="R219" s="163">
        <v>-32314253.627822623</v>
      </c>
      <c r="S219" s="163">
        <v>-21870662.218600363</v>
      </c>
      <c r="T219" s="163">
        <v>-16649417.171977296</v>
      </c>
      <c r="U219" s="163">
        <v>-11025770.469455928</v>
      </c>
      <c r="V219" s="163">
        <v>3277521.6812144667</v>
      </c>
      <c r="W219" s="164">
        <v>2796951.5214995295</v>
      </c>
      <c r="X219" s="163">
        <v>8148397.0989963114</v>
      </c>
      <c r="Y219" s="163">
        <v>11287142.859754726</v>
      </c>
      <c r="Z219" s="163">
        <v>6595536.1583051831</v>
      </c>
      <c r="AA219" s="163">
        <v>12769067.394335583</v>
      </c>
      <c r="AB219" s="163">
        <v>6784479.9923078865</v>
      </c>
      <c r="AC219" s="163">
        <v>4460198.332881704</v>
      </c>
      <c r="AD219" s="163">
        <v>-5296113.4685218334</v>
      </c>
      <c r="AE219" s="163">
        <v>193294.52778060734</v>
      </c>
      <c r="AF219" s="163">
        <v>-12248552.570643812</v>
      </c>
      <c r="AG219" s="163">
        <v>-19141394.224309951</v>
      </c>
    </row>
    <row r="220" spans="16:33" ht="15.75" customHeight="1">
      <c r="P220" s="162"/>
      <c r="Q220" s="162">
        <v>203</v>
      </c>
      <c r="R220" s="163">
        <v>-33968242.057587475</v>
      </c>
      <c r="S220" s="163">
        <v>-32541998.537737817</v>
      </c>
      <c r="T220" s="163">
        <v>-10666880.205629081</v>
      </c>
      <c r="U220" s="163">
        <v>-11991908.222913638</v>
      </c>
      <c r="V220" s="163">
        <v>-8714900.2901399583</v>
      </c>
      <c r="W220" s="164">
        <v>-2074282.9218657911</v>
      </c>
      <c r="X220" s="163">
        <v>10859690.604182765</v>
      </c>
      <c r="Y220" s="163">
        <v>8350066.6827623099</v>
      </c>
      <c r="Z220" s="163">
        <v>15634918.484865472</v>
      </c>
      <c r="AA220" s="163">
        <v>11604093.002007604</v>
      </c>
      <c r="AB220" s="163">
        <v>20838365.650388986</v>
      </c>
      <c r="AC220" s="163">
        <v>8629440.577861473</v>
      </c>
      <c r="AD220" s="163">
        <v>4819149.3446215689</v>
      </c>
      <c r="AE220" s="163">
        <v>-5488307.9729602337</v>
      </c>
      <c r="AF220" s="163">
        <v>-3396343.7137395591</v>
      </c>
      <c r="AG220" s="163">
        <v>-17480525.878026217</v>
      </c>
    </row>
    <row r="221" spans="16:33" ht="15.75" customHeight="1">
      <c r="P221" s="162"/>
      <c r="Q221" s="162">
        <v>204</v>
      </c>
      <c r="R221" s="163">
        <v>-27325175.476218909</v>
      </c>
      <c r="S221" s="163">
        <v>-21819699.678130403</v>
      </c>
      <c r="T221" s="163">
        <v>-14711449.445857599</v>
      </c>
      <c r="U221" s="163">
        <v>-6355774.5103203058</v>
      </c>
      <c r="V221" s="163">
        <v>-1474941.684616372</v>
      </c>
      <c r="W221" s="164">
        <v>644515.34752494097</v>
      </c>
      <c r="X221" s="163">
        <v>-9677739.4006421864</v>
      </c>
      <c r="Y221" s="163">
        <v>9973037.8098816574</v>
      </c>
      <c r="Z221" s="163">
        <v>13530983.107623205</v>
      </c>
      <c r="AA221" s="163">
        <v>6761312.2938466072</v>
      </c>
      <c r="AB221" s="163">
        <v>4180308.6463524103</v>
      </c>
      <c r="AC221" s="163">
        <v>11271881.65557158</v>
      </c>
      <c r="AD221" s="163">
        <v>4652166.1897244453</v>
      </c>
      <c r="AE221" s="163">
        <v>4390578.8429608196</v>
      </c>
      <c r="AF221" s="163">
        <v>-9865388.4816001207</v>
      </c>
      <c r="AG221" s="163">
        <v>-16458052.648771286</v>
      </c>
    </row>
    <row r="222" spans="16:33" ht="15.75" customHeight="1">
      <c r="P222" s="162"/>
      <c r="Q222" s="162">
        <v>205</v>
      </c>
      <c r="R222" s="163">
        <v>-39992370.439164013</v>
      </c>
      <c r="S222" s="163">
        <v>-30567802.471145928</v>
      </c>
      <c r="T222" s="163">
        <v>-12550495.160937712</v>
      </c>
      <c r="U222" s="163">
        <v>65960.842575967312</v>
      </c>
      <c r="V222" s="163">
        <v>-2373229.4914889783</v>
      </c>
      <c r="W222" s="164">
        <v>5446582.2367409617</v>
      </c>
      <c r="X222" s="163">
        <v>8520577.5182631612</v>
      </c>
      <c r="Y222" s="163">
        <v>5999487.8288039565</v>
      </c>
      <c r="Z222" s="163">
        <v>17650025.974942341</v>
      </c>
      <c r="AA222" s="163">
        <v>19105951.988824412</v>
      </c>
      <c r="AB222" s="163">
        <v>17815212.089838073</v>
      </c>
      <c r="AC222" s="163">
        <v>3931050.7972102612</v>
      </c>
      <c r="AD222" s="163">
        <v>3056288.383322522</v>
      </c>
      <c r="AE222" s="163">
        <v>-3320627.6434844434</v>
      </c>
      <c r="AF222" s="163">
        <v>-23097603.642852694</v>
      </c>
      <c r="AG222" s="163">
        <v>-19087571.643568724</v>
      </c>
    </row>
    <row r="223" spans="16:33" ht="15.75" customHeight="1">
      <c r="P223" s="162"/>
      <c r="Q223" s="162">
        <v>206</v>
      </c>
      <c r="R223" s="163">
        <v>-35081798.84086065</v>
      </c>
      <c r="S223" s="163">
        <v>-23487955.17031233</v>
      </c>
      <c r="T223" s="163">
        <v>-25445319.288855299</v>
      </c>
      <c r="U223" s="163">
        <v>-14193424.550667495</v>
      </c>
      <c r="V223" s="163">
        <v>2732086.6032595187</v>
      </c>
      <c r="W223" s="164">
        <v>-964910.50177006423</v>
      </c>
      <c r="X223" s="163">
        <v>9161689.9671255648</v>
      </c>
      <c r="Y223" s="163">
        <v>4819611.3471555263</v>
      </c>
      <c r="Z223" s="163">
        <v>16077212.472032666</v>
      </c>
      <c r="AA223" s="163">
        <v>14004421.40287149</v>
      </c>
      <c r="AB223" s="163">
        <v>9730210.2091219127</v>
      </c>
      <c r="AC223" s="163">
        <v>9347876.5898278356</v>
      </c>
      <c r="AD223" s="163">
        <v>-69584.501297682524</v>
      </c>
      <c r="AE223" s="163">
        <v>-3123445.4651310146</v>
      </c>
      <c r="AF223" s="163">
        <v>-13715212.154023111</v>
      </c>
      <c r="AG223" s="163">
        <v>-18892754.829695135</v>
      </c>
    </row>
    <row r="224" spans="16:33" ht="15.75" customHeight="1">
      <c r="P224" s="162"/>
      <c r="Q224" s="162">
        <v>207</v>
      </c>
      <c r="R224" s="163">
        <v>-35587425.545667246</v>
      </c>
      <c r="S224" s="163">
        <v>-22126671.404924586</v>
      </c>
      <c r="T224" s="163">
        <v>-11295798.457698584</v>
      </c>
      <c r="U224" s="163">
        <v>-6386046.3864693344</v>
      </c>
      <c r="V224" s="163">
        <v>-4715628.7878633142</v>
      </c>
      <c r="W224" s="164">
        <v>-205959.12855407596</v>
      </c>
      <c r="X224" s="163">
        <v>9989272.0533262491</v>
      </c>
      <c r="Y224" s="163">
        <v>16727963.999092966</v>
      </c>
      <c r="Z224" s="163">
        <v>14591799.488618106</v>
      </c>
      <c r="AA224" s="163">
        <v>15130260.569061562</v>
      </c>
      <c r="AB224" s="163">
        <v>17351622.82637687</v>
      </c>
      <c r="AC224" s="163">
        <v>13745189.238227963</v>
      </c>
      <c r="AD224" s="163">
        <v>7099091.2407698631</v>
      </c>
      <c r="AE224" s="163">
        <v>-558237.43095964193</v>
      </c>
      <c r="AF224" s="163">
        <v>-10237397.949897811</v>
      </c>
      <c r="AG224" s="163">
        <v>-20215136.722890511</v>
      </c>
    </row>
    <row r="225" spans="16:33" ht="15.75" customHeight="1">
      <c r="P225" s="162"/>
      <c r="Q225" s="162">
        <v>208</v>
      </c>
      <c r="R225" s="163">
        <v>-35286154.392196462</v>
      </c>
      <c r="S225" s="163">
        <v>-31473644.138959765</v>
      </c>
      <c r="T225" s="163">
        <v>-24831036.246885061</v>
      </c>
      <c r="U225" s="163">
        <v>-11904929.991037562</v>
      </c>
      <c r="V225" s="163">
        <v>480161.96577529609</v>
      </c>
      <c r="W225" s="164">
        <v>8084070.9851850867</v>
      </c>
      <c r="X225" s="163">
        <v>14257275.790308878</v>
      </c>
      <c r="Y225" s="163">
        <v>8012937.2988237143</v>
      </c>
      <c r="Z225" s="163">
        <v>14693428.572290763</v>
      </c>
      <c r="AA225" s="163">
        <v>16973926.556609526</v>
      </c>
      <c r="AB225" s="163">
        <v>16468929.291776925</v>
      </c>
      <c r="AC225" s="163">
        <v>3067728.9348898083</v>
      </c>
      <c r="AD225" s="163">
        <v>-1372373.6869786382</v>
      </c>
      <c r="AE225" s="163">
        <v>-2741872.3908575624</v>
      </c>
      <c r="AF225" s="163">
        <v>-8759973.0058119297</v>
      </c>
      <c r="AG225" s="163">
        <v>-13491877.086535767</v>
      </c>
    </row>
    <row r="226" spans="16:33" ht="15.75" customHeight="1">
      <c r="P226" s="162"/>
      <c r="Q226" s="162">
        <v>209</v>
      </c>
      <c r="R226" s="163">
        <v>-39034124.632788017</v>
      </c>
      <c r="S226" s="163">
        <v>-26726401.780275479</v>
      </c>
      <c r="T226" s="163">
        <v>-13103912.900775969</v>
      </c>
      <c r="U226" s="163">
        <v>-9085243.2277183831</v>
      </c>
      <c r="V226" s="163">
        <v>871956.70645223558</v>
      </c>
      <c r="W226" s="164">
        <v>8198350.6252552569</v>
      </c>
      <c r="X226" s="163">
        <v>13762931.506843165</v>
      </c>
      <c r="Y226" s="163">
        <v>17012320.713764668</v>
      </c>
      <c r="Z226" s="163">
        <v>8491176.2414767891</v>
      </c>
      <c r="AA226" s="163">
        <v>13311861.992145941</v>
      </c>
      <c r="AB226" s="163">
        <v>7628260.845934391</v>
      </c>
      <c r="AC226" s="163">
        <v>10573024.801776931</v>
      </c>
      <c r="AD226" s="163">
        <v>-344335.44165605307</v>
      </c>
      <c r="AE226" s="163">
        <v>-700423.17329093814</v>
      </c>
      <c r="AF226" s="163">
        <v>-2918404.3427847326</v>
      </c>
      <c r="AG226" s="163">
        <v>-14121379.298682362</v>
      </c>
    </row>
    <row r="227" spans="16:33" ht="15.75" customHeight="1">
      <c r="P227" s="162"/>
      <c r="Q227" s="162">
        <v>210</v>
      </c>
      <c r="R227" s="163">
        <v>-28241699.41289793</v>
      </c>
      <c r="S227" s="163">
        <v>-27041313.092524707</v>
      </c>
      <c r="T227" s="163">
        <v>-13511813.03310594</v>
      </c>
      <c r="U227" s="163">
        <v>-9950500.9700342715</v>
      </c>
      <c r="V227" s="163">
        <v>-2988835.7257420868</v>
      </c>
      <c r="W227" s="164">
        <v>6109679.9248039424</v>
      </c>
      <c r="X227" s="163">
        <v>15294794.280148074</v>
      </c>
      <c r="Y227" s="163">
        <v>10377314.70862402</v>
      </c>
      <c r="Z227" s="163">
        <v>9022476.7379457653</v>
      </c>
      <c r="AA227" s="163">
        <v>5815840.0930782259</v>
      </c>
      <c r="AB227" s="163">
        <v>1442421.850098446</v>
      </c>
      <c r="AC227" s="163">
        <v>87239.563315570354</v>
      </c>
      <c r="AD227" s="163">
        <v>4540081.049420163</v>
      </c>
      <c r="AE227" s="163">
        <v>-7756043.7344691455</v>
      </c>
      <c r="AF227" s="163">
        <v>-11380160.759165019</v>
      </c>
      <c r="AG227" s="163">
        <v>-16468367.859903976</v>
      </c>
    </row>
    <row r="228" spans="16:33" ht="15.75" customHeight="1">
      <c r="P228" s="162"/>
      <c r="Q228" s="162">
        <v>211</v>
      </c>
      <c r="R228" s="163">
        <v>-37346296.692634195</v>
      </c>
      <c r="S228" s="163">
        <v>-28347673.649931863</v>
      </c>
      <c r="T228" s="163">
        <v>-16378352.922569647</v>
      </c>
      <c r="U228" s="163">
        <v>-558793.3507912755</v>
      </c>
      <c r="V228" s="163">
        <v>2575951.8656307906</v>
      </c>
      <c r="W228" s="164">
        <v>8569434.7638067007</v>
      </c>
      <c r="X228" s="163">
        <v>15495894.438477799</v>
      </c>
      <c r="Y228" s="163">
        <v>17715830.781485513</v>
      </c>
      <c r="Z228" s="163">
        <v>12383693.393056646</v>
      </c>
      <c r="AA228" s="163">
        <v>8048866.5979451239</v>
      </c>
      <c r="AB228" s="163">
        <v>11301830.944668755</v>
      </c>
      <c r="AC228" s="163">
        <v>17903974.002610892</v>
      </c>
      <c r="AD228" s="163">
        <v>8113480.7794875503</v>
      </c>
      <c r="AE228" s="163">
        <v>-985218.65990026295</v>
      </c>
      <c r="AF228" s="163">
        <v>-7553131.900155291</v>
      </c>
      <c r="AG228" s="163">
        <v>-14860309.855893463</v>
      </c>
    </row>
    <row r="229" spans="16:33" ht="15.75" customHeight="1">
      <c r="P229" s="162"/>
      <c r="Q229" s="162">
        <v>212</v>
      </c>
      <c r="R229" s="163">
        <v>-28557097.764545649</v>
      </c>
      <c r="S229" s="163">
        <v>-24812907.858598635</v>
      </c>
      <c r="T229" s="163">
        <v>-22606548.530559093</v>
      </c>
      <c r="U229" s="163">
        <v>-9207215.2419077009</v>
      </c>
      <c r="V229" s="163">
        <v>-227567.6953600049</v>
      </c>
      <c r="W229" s="164">
        <v>687025.34738141298</v>
      </c>
      <c r="X229" s="163">
        <v>9949419.130343318</v>
      </c>
      <c r="Y229" s="163">
        <v>7333948.0867023617</v>
      </c>
      <c r="Z229" s="163">
        <v>4538346.7157931924</v>
      </c>
      <c r="AA229" s="163">
        <v>12175400.545032382</v>
      </c>
      <c r="AB229" s="163">
        <v>9024568.6519973725</v>
      </c>
      <c r="AC229" s="163">
        <v>14347242.164781436</v>
      </c>
      <c r="AD229" s="163">
        <v>1617692.230431661</v>
      </c>
      <c r="AE229" s="163">
        <v>2228951.2659547478</v>
      </c>
      <c r="AF229" s="163">
        <v>-12953961.080065683</v>
      </c>
      <c r="AG229" s="163">
        <v>-17373946.468734175</v>
      </c>
    </row>
    <row r="230" spans="16:33" ht="15.75" customHeight="1">
      <c r="P230" s="162"/>
      <c r="Q230" s="162">
        <v>213</v>
      </c>
      <c r="R230" s="163">
        <v>-31605838.790497139</v>
      </c>
      <c r="S230" s="163">
        <v>-19335932.13684772</v>
      </c>
      <c r="T230" s="163">
        <v>-13000427.598549321</v>
      </c>
      <c r="U230" s="163">
        <v>-2902930.2785664946</v>
      </c>
      <c r="V230" s="163">
        <v>626048.25762714446</v>
      </c>
      <c r="W230" s="164">
        <v>2778240.097070545</v>
      </c>
      <c r="X230" s="163">
        <v>3117016.2646816373</v>
      </c>
      <c r="Y230" s="163">
        <v>3115350.4830741733</v>
      </c>
      <c r="Z230" s="163">
        <v>10321288.802058131</v>
      </c>
      <c r="AA230" s="163">
        <v>10293167.90591839</v>
      </c>
      <c r="AB230" s="163">
        <v>4402051.6561344564</v>
      </c>
      <c r="AC230" s="163">
        <v>1772346.8103167117</v>
      </c>
      <c r="AD230" s="163">
        <v>5193124.7107205838</v>
      </c>
      <c r="AE230" s="163">
        <v>-9347803.7523397803</v>
      </c>
      <c r="AF230" s="163">
        <v>-11009295.054945543</v>
      </c>
      <c r="AG230" s="163">
        <v>-16958853.162704214</v>
      </c>
    </row>
    <row r="231" spans="16:33" ht="15.75" customHeight="1">
      <c r="P231" s="162"/>
      <c r="Q231" s="162">
        <v>214</v>
      </c>
      <c r="R231" s="163">
        <v>-34485085.728618219</v>
      </c>
      <c r="S231" s="163">
        <v>-23682905.115220189</v>
      </c>
      <c r="T231" s="163">
        <v>-13060918.486415043</v>
      </c>
      <c r="U231" s="163">
        <v>-2116334.8171980679</v>
      </c>
      <c r="V231" s="163">
        <v>-1000383.4293096811</v>
      </c>
      <c r="W231" s="164">
        <v>10050901.799206868</v>
      </c>
      <c r="X231" s="163">
        <v>12124652.176000535</v>
      </c>
      <c r="Y231" s="163">
        <v>14142619.784427553</v>
      </c>
      <c r="Z231" s="163">
        <v>11933600.882216722</v>
      </c>
      <c r="AA231" s="163">
        <v>12596505.015790612</v>
      </c>
      <c r="AB231" s="163">
        <v>2036535.7200659811</v>
      </c>
      <c r="AC231" s="163">
        <v>13816860.019020543</v>
      </c>
      <c r="AD231" s="163">
        <v>-952761.55803793669</v>
      </c>
      <c r="AE231" s="163">
        <v>-3387351.8400769979</v>
      </c>
      <c r="AF231" s="163">
        <v>-12668976.329616979</v>
      </c>
      <c r="AG231" s="163">
        <v>-22096726.657658815</v>
      </c>
    </row>
    <row r="232" spans="16:33" ht="15.75" customHeight="1">
      <c r="P232" s="162"/>
      <c r="Q232" s="162">
        <v>215</v>
      </c>
      <c r="R232" s="163">
        <v>-40683765.778020099</v>
      </c>
      <c r="S232" s="163">
        <v>-25937573.180981636</v>
      </c>
      <c r="T232" s="163">
        <v>-14123754.284261227</v>
      </c>
      <c r="U232" s="163">
        <v>-9535602.1706191152</v>
      </c>
      <c r="V232" s="163">
        <v>6417355.0529831499</v>
      </c>
      <c r="W232" s="164">
        <v>2442609.6307517439</v>
      </c>
      <c r="X232" s="163">
        <v>-2259505.1463667452</v>
      </c>
      <c r="Y232" s="163">
        <v>6108435.853394866</v>
      </c>
      <c r="Z232" s="163">
        <v>3832375.9758517891</v>
      </c>
      <c r="AA232" s="163">
        <v>17412458.450300813</v>
      </c>
      <c r="AB232" s="163">
        <v>24007442.575028077</v>
      </c>
      <c r="AC232" s="163">
        <v>3777123.2390018404</v>
      </c>
      <c r="AD232" s="163">
        <v>5829269.6365341544</v>
      </c>
      <c r="AE232" s="163">
        <v>-7707757.9868515581</v>
      </c>
      <c r="AF232" s="163">
        <v>-7308772.912662223</v>
      </c>
      <c r="AG232" s="163">
        <v>-29577374.960508347</v>
      </c>
    </row>
    <row r="233" spans="16:33" ht="15.75" customHeight="1">
      <c r="P233" s="162"/>
      <c r="Q233" s="162">
        <v>216</v>
      </c>
      <c r="R233" s="163">
        <v>-31246718.540060878</v>
      </c>
      <c r="S233" s="163">
        <v>-31407648.185181424</v>
      </c>
      <c r="T233" s="163">
        <v>-17512767.642578766</v>
      </c>
      <c r="U233" s="163">
        <v>-4203322.4208206087</v>
      </c>
      <c r="V233" s="163">
        <v>-3891113.2122611105</v>
      </c>
      <c r="W233" s="164">
        <v>1823619.0969564319</v>
      </c>
      <c r="X233" s="163">
        <v>3593218.6504860669</v>
      </c>
      <c r="Y233" s="163">
        <v>1618987.4626122862</v>
      </c>
      <c r="Z233" s="163">
        <v>300967.02906635404</v>
      </c>
      <c r="AA233" s="163">
        <v>12503970.464949623</v>
      </c>
      <c r="AB233" s="163">
        <v>7913995.6056975126</v>
      </c>
      <c r="AC233" s="163">
        <v>11805766.673224121</v>
      </c>
      <c r="AD233" s="163">
        <v>7853498.2525609136</v>
      </c>
      <c r="AE233" s="163">
        <v>138821.04442122579</v>
      </c>
      <c r="AF233" s="163">
        <v>-6387616.2073123008</v>
      </c>
      <c r="AG233" s="163">
        <v>-18211766.453313977</v>
      </c>
    </row>
    <row r="234" spans="16:33" ht="15.75" customHeight="1">
      <c r="P234" s="162"/>
      <c r="Q234" s="162">
        <v>217</v>
      </c>
      <c r="R234" s="163">
        <v>-33264373.491040275</v>
      </c>
      <c r="S234" s="163">
        <v>-28671778.762509048</v>
      </c>
      <c r="T234" s="163">
        <v>-13969758.47406739</v>
      </c>
      <c r="U234" s="163">
        <v>-2882988.9758058041</v>
      </c>
      <c r="V234" s="163">
        <v>-7352827.8846937865</v>
      </c>
      <c r="W234" s="164">
        <v>2551924.4645873606</v>
      </c>
      <c r="X234" s="163">
        <v>5194497.9253807813</v>
      </c>
      <c r="Y234" s="163">
        <v>12351102.896312743</v>
      </c>
      <c r="Z234" s="163">
        <v>5645032.1233058721</v>
      </c>
      <c r="AA234" s="163">
        <v>-122988.56830497086</v>
      </c>
      <c r="AB234" s="163">
        <v>13980222.494584352</v>
      </c>
      <c r="AC234" s="163">
        <v>8418778.9434916824</v>
      </c>
      <c r="AD234" s="163">
        <v>-3712136.4678593874</v>
      </c>
      <c r="AE234" s="163">
        <v>-8674783.905811727</v>
      </c>
      <c r="AF234" s="163">
        <v>-6360260.2540084571</v>
      </c>
      <c r="AG234" s="163">
        <v>-19886684.379347742</v>
      </c>
    </row>
    <row r="235" spans="16:33" ht="15.75" customHeight="1">
      <c r="P235" s="162"/>
      <c r="Q235" s="162">
        <v>218</v>
      </c>
      <c r="R235" s="163">
        <v>-42942301.485822454</v>
      </c>
      <c r="S235" s="163">
        <v>-26220002.632634923</v>
      </c>
      <c r="T235" s="163">
        <v>-9456632.9678019583</v>
      </c>
      <c r="U235" s="163">
        <v>243188.12989258766</v>
      </c>
      <c r="V235" s="163">
        <v>3684531.1314616203</v>
      </c>
      <c r="W235" s="164">
        <v>8743484.4713399112</v>
      </c>
      <c r="X235" s="163">
        <v>13443347.86415723</v>
      </c>
      <c r="Y235" s="163">
        <v>8101445.2149091214</v>
      </c>
      <c r="Z235" s="163">
        <v>14233283.058899447</v>
      </c>
      <c r="AA235" s="163">
        <v>14322166.264454335</v>
      </c>
      <c r="AB235" s="163">
        <v>14740848.319406807</v>
      </c>
      <c r="AC235" s="163">
        <v>9292524.6412884593</v>
      </c>
      <c r="AD235" s="163">
        <v>5980364.2833250761</v>
      </c>
      <c r="AE235" s="163">
        <v>-16735894.989600047</v>
      </c>
      <c r="AF235" s="163">
        <v>-9485387.1868704259</v>
      </c>
      <c r="AG235" s="163">
        <v>-11058635.633834898</v>
      </c>
    </row>
    <row r="236" spans="16:33" ht="15.75" customHeight="1">
      <c r="P236" s="162"/>
      <c r="Q236" s="162">
        <v>219</v>
      </c>
      <c r="R236" s="163">
        <v>-39126988.067801252</v>
      </c>
      <c r="S236" s="163">
        <v>-28967479.771806195</v>
      </c>
      <c r="T236" s="163">
        <v>-20938785.207513273</v>
      </c>
      <c r="U236" s="163">
        <v>-17712151.504468068</v>
      </c>
      <c r="V236" s="163">
        <v>-162304.54949896038</v>
      </c>
      <c r="W236" s="164">
        <v>3312960.4682815522</v>
      </c>
      <c r="X236" s="163">
        <v>8410526.1576194614</v>
      </c>
      <c r="Y236" s="163">
        <v>10476544.563374266</v>
      </c>
      <c r="Z236" s="163">
        <v>6957657.7323100418</v>
      </c>
      <c r="AA236" s="163">
        <v>12107350.714350313</v>
      </c>
      <c r="AB236" s="163">
        <v>8049490.3482956588</v>
      </c>
      <c r="AC236" s="163">
        <v>4610470.5508980006</v>
      </c>
      <c r="AD236" s="163">
        <v>3819295.6737947613</v>
      </c>
      <c r="AE236" s="163">
        <v>-6160057.4506963789</v>
      </c>
      <c r="AF236" s="163">
        <v>-5690866.5277883112</v>
      </c>
      <c r="AG236" s="163">
        <v>-19341475.03719449</v>
      </c>
    </row>
    <row r="237" spans="16:33" ht="15.75" customHeight="1">
      <c r="P237" s="162"/>
      <c r="Q237" s="162">
        <v>220</v>
      </c>
      <c r="R237" s="163">
        <v>-39313655.837946981</v>
      </c>
      <c r="S237" s="163">
        <v>-23752019.247662216</v>
      </c>
      <c r="T237" s="163">
        <v>-15533884.953099877</v>
      </c>
      <c r="U237" s="163">
        <v>-14926579.729035214</v>
      </c>
      <c r="V237" s="163">
        <v>-6044978.4748384207</v>
      </c>
      <c r="W237" s="164">
        <v>11214049.79677549</v>
      </c>
      <c r="X237" s="163">
        <v>9427291.0918623805</v>
      </c>
      <c r="Y237" s="163">
        <v>8270695.5380597562</v>
      </c>
      <c r="Z237" s="163">
        <v>3062417.1465204507</v>
      </c>
      <c r="AA237" s="163">
        <v>9551015.2263847739</v>
      </c>
      <c r="AB237" s="163">
        <v>13009141.379528344</v>
      </c>
      <c r="AC237" s="163">
        <v>-1500348.5467353165</v>
      </c>
      <c r="AD237" s="163">
        <v>-1150466.3092265278</v>
      </c>
      <c r="AE237" s="163">
        <v>5527983.2984198779</v>
      </c>
      <c r="AF237" s="163">
        <v>-11192311.035077065</v>
      </c>
      <c r="AG237" s="163">
        <v>-27166951.385223091</v>
      </c>
    </row>
    <row r="238" spans="16:33" ht="15.75" customHeight="1">
      <c r="P238" s="162"/>
      <c r="Q238" s="162">
        <v>221</v>
      </c>
      <c r="R238" s="163">
        <v>-28480584.908199549</v>
      </c>
      <c r="S238" s="163">
        <v>-32432318.251302853</v>
      </c>
      <c r="T238" s="163">
        <v>-17909444.484730482</v>
      </c>
      <c r="U238" s="163">
        <v>-6560214.2376084626</v>
      </c>
      <c r="V238" s="163">
        <v>-2606253.7992732674</v>
      </c>
      <c r="W238" s="164">
        <v>9752578.9956734478</v>
      </c>
      <c r="X238" s="163">
        <v>20455825.22969313</v>
      </c>
      <c r="Y238" s="163">
        <v>14465058.102322727</v>
      </c>
      <c r="Z238" s="163">
        <v>21426917.076440662</v>
      </c>
      <c r="AA238" s="163">
        <v>7898848.3678311706</v>
      </c>
      <c r="AB238" s="163">
        <v>773075.08874638379</v>
      </c>
      <c r="AC238" s="163">
        <v>2876260.4659044296</v>
      </c>
      <c r="AD238" s="163">
        <v>-3267656.8149601966</v>
      </c>
      <c r="AE238" s="163">
        <v>-4957903.8639906049</v>
      </c>
      <c r="AF238" s="163">
        <v>-5565812.5001415014</v>
      </c>
      <c r="AG238" s="163">
        <v>-9839998.621280238</v>
      </c>
    </row>
    <row r="239" spans="16:33" ht="15.75" customHeight="1">
      <c r="P239" s="162"/>
      <c r="Q239" s="162">
        <v>222</v>
      </c>
      <c r="R239" s="163">
        <v>-38799255.695066676</v>
      </c>
      <c r="S239" s="163">
        <v>-23903325.49157697</v>
      </c>
      <c r="T239" s="163">
        <v>-12465596.2873362</v>
      </c>
      <c r="U239" s="163">
        <v>5380221.4769510478</v>
      </c>
      <c r="V239" s="163">
        <v>-6251118.5738458782</v>
      </c>
      <c r="W239" s="164">
        <v>9200819.9107689261</v>
      </c>
      <c r="X239" s="163">
        <v>13463995.170438781</v>
      </c>
      <c r="Y239" s="163">
        <v>20446101.855080977</v>
      </c>
      <c r="Z239" s="163">
        <v>3063608.1202747524</v>
      </c>
      <c r="AA239" s="163">
        <v>11975725.215068549</v>
      </c>
      <c r="AB239" s="163">
        <v>8889907.5979030877</v>
      </c>
      <c r="AC239" s="163">
        <v>9450556.2355791777</v>
      </c>
      <c r="AD239" s="163">
        <v>8725447.8071020246</v>
      </c>
      <c r="AE239" s="163">
        <v>-4232657.5539786071</v>
      </c>
      <c r="AF239" s="163">
        <v>-18961849.38615194</v>
      </c>
      <c r="AG239" s="163">
        <v>-26568363.935296461</v>
      </c>
    </row>
    <row r="240" spans="16:33" ht="15.75" customHeight="1">
      <c r="P240" s="162"/>
      <c r="Q240" s="162">
        <v>223</v>
      </c>
      <c r="R240" s="163">
        <v>-39707414.954580605</v>
      </c>
      <c r="S240" s="163">
        <v>-19697115.409789652</v>
      </c>
      <c r="T240" s="163">
        <v>-9988530.9299091995</v>
      </c>
      <c r="U240" s="163">
        <v>-11135056.680442989</v>
      </c>
      <c r="V240" s="163">
        <v>3223992.1252601147</v>
      </c>
      <c r="W240" s="164">
        <v>7570053.7640968412</v>
      </c>
      <c r="X240" s="163">
        <v>4335875.199601844</v>
      </c>
      <c r="Y240" s="163">
        <v>11327871.56163992</v>
      </c>
      <c r="Z240" s="163">
        <v>11697655.673282877</v>
      </c>
      <c r="AA240" s="163">
        <v>16070919.215250179</v>
      </c>
      <c r="AB240" s="163">
        <v>12444143.801525608</v>
      </c>
      <c r="AC240" s="163">
        <v>6657295.8605743796</v>
      </c>
      <c r="AD240" s="163">
        <v>-4526877.0380111635</v>
      </c>
      <c r="AE240" s="163">
        <v>-2623922.3032207191</v>
      </c>
      <c r="AF240" s="163">
        <v>-9297517.0023117959</v>
      </c>
      <c r="AG240" s="163">
        <v>-26251811.960926771</v>
      </c>
    </row>
    <row r="241" spans="16:33" ht="15.75" customHeight="1">
      <c r="P241" s="162"/>
      <c r="Q241" s="162">
        <v>224</v>
      </c>
      <c r="R241" s="163">
        <v>-38126075.335741296</v>
      </c>
      <c r="S241" s="163">
        <v>-24328031.132220209</v>
      </c>
      <c r="T241" s="163">
        <v>-21112889.923092768</v>
      </c>
      <c r="U241" s="163">
        <v>-2596507.8686093092</v>
      </c>
      <c r="V241" s="163">
        <v>5613608.2424640805</v>
      </c>
      <c r="W241" s="164">
        <v>7166944.6573942602</v>
      </c>
      <c r="X241" s="163">
        <v>7636690.4554684907</v>
      </c>
      <c r="Y241" s="163">
        <v>2218275.3239901066</v>
      </c>
      <c r="Z241" s="163">
        <v>1360910.9933568239</v>
      </c>
      <c r="AA241" s="163">
        <v>9964988.4594863653</v>
      </c>
      <c r="AB241" s="163">
        <v>19001749.316109985</v>
      </c>
      <c r="AC241" s="163">
        <v>7394430.3789755404</v>
      </c>
      <c r="AD241" s="163">
        <v>8351168.9021240175</v>
      </c>
      <c r="AE241" s="163">
        <v>-12117999.461961508</v>
      </c>
      <c r="AF241" s="163">
        <v>-6994439.6075922549</v>
      </c>
      <c r="AG241" s="163">
        <v>-16413401.741621822</v>
      </c>
    </row>
    <row r="242" spans="16:33" ht="15.75" customHeight="1">
      <c r="P242" s="162"/>
      <c r="Q242" s="162">
        <v>225</v>
      </c>
      <c r="R242" s="163">
        <v>-28266683.59765777</v>
      </c>
      <c r="S242" s="163">
        <v>-28875696.503147408</v>
      </c>
      <c r="T242" s="163">
        <v>-9570415.6383502483</v>
      </c>
      <c r="U242" s="163">
        <v>-9266259.8734710515</v>
      </c>
      <c r="V242" s="163">
        <v>1129097.3617196828</v>
      </c>
      <c r="W242" s="164">
        <v>-9357061.4373605102</v>
      </c>
      <c r="X242" s="163">
        <v>4506624.2101066113</v>
      </c>
      <c r="Y242" s="163">
        <v>3455276.463460654</v>
      </c>
      <c r="Z242" s="163">
        <v>8373405.5481743217</v>
      </c>
      <c r="AA242" s="163">
        <v>13274057.783427313</v>
      </c>
      <c r="AB242" s="163">
        <v>12300278.454202205</v>
      </c>
      <c r="AC242" s="163">
        <v>8328166.3764094114</v>
      </c>
      <c r="AD242" s="163">
        <v>-7737146.4888176322</v>
      </c>
      <c r="AE242" s="163">
        <v>8725536.7216563076</v>
      </c>
      <c r="AF242" s="163">
        <v>-8025774.3087932765</v>
      </c>
      <c r="AG242" s="163">
        <v>-12321500.428062439</v>
      </c>
    </row>
    <row r="243" spans="16:33" ht="15.75" customHeight="1">
      <c r="P243" s="162"/>
      <c r="Q243" s="162">
        <v>226</v>
      </c>
      <c r="R243" s="163">
        <v>-34845664.796914369</v>
      </c>
      <c r="S243" s="163">
        <v>-23134181.413069472</v>
      </c>
      <c r="T243" s="163">
        <v>-18727017.605621412</v>
      </c>
      <c r="U243" s="163">
        <v>-12811682.809117645</v>
      </c>
      <c r="V243" s="163">
        <v>2887307.9817112982</v>
      </c>
      <c r="W243" s="164">
        <v>7772839.912184</v>
      </c>
      <c r="X243" s="163">
        <v>8846091.9366787076</v>
      </c>
      <c r="Y243" s="163">
        <v>6517096.837621063</v>
      </c>
      <c r="Z243" s="163">
        <v>4151514.7743811458</v>
      </c>
      <c r="AA243" s="163">
        <v>9836690.8745055646</v>
      </c>
      <c r="AB243" s="163">
        <v>8036378.37363787</v>
      </c>
      <c r="AC243" s="163">
        <v>7927947.8572168052</v>
      </c>
      <c r="AD243" s="163">
        <v>2480046.7412249893</v>
      </c>
      <c r="AE243" s="163">
        <v>-3918571.3991497904</v>
      </c>
      <c r="AF243" s="163">
        <v>-2101490.0158755928</v>
      </c>
      <c r="AG243" s="163">
        <v>-27163351.370277703</v>
      </c>
    </row>
    <row r="244" spans="16:33" ht="15.75" customHeight="1">
      <c r="P244" s="162"/>
      <c r="Q244" s="162">
        <v>227</v>
      </c>
      <c r="R244" s="163">
        <v>-39931738.582230121</v>
      </c>
      <c r="S244" s="163">
        <v>-28588333.749469444</v>
      </c>
      <c r="T244" s="163">
        <v>-10356438.574344128</v>
      </c>
      <c r="U244" s="163">
        <v>-5635937.262671113</v>
      </c>
      <c r="V244" s="163">
        <v>-141596.80319803953</v>
      </c>
      <c r="W244" s="164">
        <v>-8796081.267896831</v>
      </c>
      <c r="X244" s="163">
        <v>9726815.1286061853</v>
      </c>
      <c r="Y244" s="163">
        <v>9968777.4258231074</v>
      </c>
      <c r="Z244" s="163">
        <v>7869933.4849451333</v>
      </c>
      <c r="AA244" s="163">
        <v>5928661.3409288973</v>
      </c>
      <c r="AB244" s="163">
        <v>23207387.475516617</v>
      </c>
      <c r="AC244" s="163">
        <v>3955217.8258404583</v>
      </c>
      <c r="AD244" s="163">
        <v>1756260.6763684899</v>
      </c>
      <c r="AE244" s="163">
        <v>-7928759.9510296136</v>
      </c>
      <c r="AF244" s="163">
        <v>-4969382.7914762199</v>
      </c>
      <c r="AG244" s="163">
        <v>-22203086.910077527</v>
      </c>
    </row>
    <row r="245" spans="16:33" ht="15.75" customHeight="1">
      <c r="P245" s="162"/>
      <c r="Q245" s="162">
        <v>228</v>
      </c>
      <c r="R245" s="163">
        <v>-31304543.012116164</v>
      </c>
      <c r="S245" s="163">
        <v>-28468232.288273215</v>
      </c>
      <c r="T245" s="163">
        <v>-5450933.8742657453</v>
      </c>
      <c r="U245" s="163">
        <v>-4929893.6421567053</v>
      </c>
      <c r="V245" s="163">
        <v>-8905486.6903754622</v>
      </c>
      <c r="W245" s="164">
        <v>9748605.8315451145</v>
      </c>
      <c r="X245" s="163">
        <v>7903778.9364006966</v>
      </c>
      <c r="Y245" s="163">
        <v>12155042.372044206</v>
      </c>
      <c r="Z245" s="163">
        <v>17543960.957675189</v>
      </c>
      <c r="AA245" s="163">
        <v>11791820.079972833</v>
      </c>
      <c r="AB245" s="163">
        <v>15590527.976054221</v>
      </c>
      <c r="AC245" s="163">
        <v>2368983.798254475</v>
      </c>
      <c r="AD245" s="163">
        <v>-2200217.9490404576</v>
      </c>
      <c r="AE245" s="163">
        <v>-3209573.627213344</v>
      </c>
      <c r="AF245" s="163">
        <v>159078.6846473068</v>
      </c>
      <c r="AG245" s="163">
        <v>-21602858.799458176</v>
      </c>
    </row>
    <row r="246" spans="16:33" ht="15.75" customHeight="1">
      <c r="P246" s="162"/>
      <c r="Q246" s="162">
        <v>229</v>
      </c>
      <c r="R246" s="163">
        <v>-39723835.504748881</v>
      </c>
      <c r="S246" s="163">
        <v>-24481484.113553852</v>
      </c>
      <c r="T246" s="163">
        <v>-11004384.353677526</v>
      </c>
      <c r="U246" s="163">
        <v>-10139397.397383898</v>
      </c>
      <c r="V246" s="163">
        <v>-8578033.3511088789</v>
      </c>
      <c r="W246" s="164">
        <v>397708.38870371878</v>
      </c>
      <c r="X246" s="163">
        <v>5287944.9972450286</v>
      </c>
      <c r="Y246" s="163">
        <v>17142383.335598201</v>
      </c>
      <c r="Z246" s="163">
        <v>15470636.720439643</v>
      </c>
      <c r="AA246" s="163">
        <v>22835531.807715878</v>
      </c>
      <c r="AB246" s="163">
        <v>12728137.775171459</v>
      </c>
      <c r="AC246" s="163">
        <v>13559050.510665163</v>
      </c>
      <c r="AD246" s="163">
        <v>7588972.6779832095</v>
      </c>
      <c r="AE246" s="163">
        <v>-8470432.9744039476</v>
      </c>
      <c r="AF246" s="163">
        <v>-9106079.7158246487</v>
      </c>
      <c r="AG246" s="163">
        <v>-25333034.247574136</v>
      </c>
    </row>
    <row r="247" spans="16:33" ht="15.75" customHeight="1">
      <c r="P247" s="162"/>
      <c r="Q247" s="162">
        <v>230</v>
      </c>
      <c r="R247" s="163">
        <v>-35643451.927362353</v>
      </c>
      <c r="S247" s="163">
        <v>-21272796.558067784</v>
      </c>
      <c r="T247" s="163">
        <v>-21883349.726125389</v>
      </c>
      <c r="U247" s="163">
        <v>1740954.3832404315</v>
      </c>
      <c r="V247" s="163">
        <v>299683.03845022619</v>
      </c>
      <c r="W247" s="164">
        <v>-11126874.476307929</v>
      </c>
      <c r="X247" s="163">
        <v>17606844.078732654</v>
      </c>
      <c r="Y247" s="163">
        <v>14336885.218554661</v>
      </c>
      <c r="Z247" s="163">
        <v>14139379.354263663</v>
      </c>
      <c r="AA247" s="163">
        <v>12594928.346584857</v>
      </c>
      <c r="AB247" s="163">
        <v>13731566.986705244</v>
      </c>
      <c r="AC247" s="163">
        <v>10512683.858150125</v>
      </c>
      <c r="AD247" s="163">
        <v>2188121.7837661952</v>
      </c>
      <c r="AE247" s="163">
        <v>-1928124.9471108317</v>
      </c>
      <c r="AF247" s="163">
        <v>-15813866.495389849</v>
      </c>
      <c r="AG247" s="163">
        <v>-18231984.322015509</v>
      </c>
    </row>
    <row r="248" spans="16:33" ht="15.75" customHeight="1">
      <c r="P248" s="162"/>
      <c r="Q248" s="162">
        <v>231</v>
      </c>
      <c r="R248" s="163">
        <v>-31627898.449098334</v>
      </c>
      <c r="S248" s="163">
        <v>-24140626.34192504</v>
      </c>
      <c r="T248" s="163">
        <v>-14559564.620287597</v>
      </c>
      <c r="U248" s="163">
        <v>-4459272.8849853724</v>
      </c>
      <c r="V248" s="163">
        <v>3781785.2135631889</v>
      </c>
      <c r="W248" s="164">
        <v>2323037.2085600048</v>
      </c>
      <c r="X248" s="163">
        <v>-271239.39234562218</v>
      </c>
      <c r="Y248" s="163">
        <v>6091078.3940527588</v>
      </c>
      <c r="Z248" s="163">
        <v>9446516.7958782762</v>
      </c>
      <c r="AA248" s="163">
        <v>7148270.009556368</v>
      </c>
      <c r="AB248" s="163">
        <v>9220168.2375536412</v>
      </c>
      <c r="AC248" s="163">
        <v>-6125057.5485096872</v>
      </c>
      <c r="AD248" s="163">
        <v>-3467161.2419098318</v>
      </c>
      <c r="AE248" s="163">
        <v>-5485544.0248201489</v>
      </c>
      <c r="AF248" s="163">
        <v>-14106032.155864969</v>
      </c>
      <c r="AG248" s="163">
        <v>-19213025.344728619</v>
      </c>
    </row>
    <row r="249" spans="16:33" ht="15.75" customHeight="1">
      <c r="P249" s="162"/>
      <c r="Q249" s="162">
        <v>232</v>
      </c>
      <c r="R249" s="163">
        <v>-30064185.662988544</v>
      </c>
      <c r="S249" s="163">
        <v>-24796936.626396209</v>
      </c>
      <c r="T249" s="163">
        <v>-20150331.390485719</v>
      </c>
      <c r="U249" s="163">
        <v>-14620978.597097784</v>
      </c>
      <c r="V249" s="163">
        <v>-4330995.1105477959</v>
      </c>
      <c r="W249" s="164">
        <v>6676357.8598683029</v>
      </c>
      <c r="X249" s="163">
        <v>-1247198.9851263911</v>
      </c>
      <c r="Y249" s="163">
        <v>5731730.7939285487</v>
      </c>
      <c r="Z249" s="163">
        <v>5752981.9547513127</v>
      </c>
      <c r="AA249" s="163">
        <v>19062568.380456477</v>
      </c>
      <c r="AB249" s="163">
        <v>3487853.1039561331</v>
      </c>
      <c r="AC249" s="163">
        <v>-7288980.3117916882</v>
      </c>
      <c r="AD249" s="163">
        <v>11130712.126636937</v>
      </c>
      <c r="AE249" s="163">
        <v>-5324346.7475579232</v>
      </c>
      <c r="AF249" s="163">
        <v>-17383629.524634451</v>
      </c>
      <c r="AG249" s="163">
        <v>-18546697.907554775</v>
      </c>
    </row>
    <row r="250" spans="16:33" ht="15.75" customHeight="1">
      <c r="P250" s="162"/>
      <c r="Q250" s="162">
        <v>233</v>
      </c>
      <c r="R250" s="163">
        <v>-33081119.298455656</v>
      </c>
      <c r="S250" s="163">
        <v>-34502394.682114035</v>
      </c>
      <c r="T250" s="163">
        <v>-14006381.586561322</v>
      </c>
      <c r="U250" s="163">
        <v>-11999657.079476908</v>
      </c>
      <c r="V250" s="163">
        <v>222265.02631306648</v>
      </c>
      <c r="W250" s="164">
        <v>7741661.9189178497</v>
      </c>
      <c r="X250" s="163">
        <v>15831405.508144885</v>
      </c>
      <c r="Y250" s="163">
        <v>4994503.1190930605</v>
      </c>
      <c r="Z250" s="163">
        <v>4449573.7924379855</v>
      </c>
      <c r="AA250" s="163">
        <v>10367836.360644683</v>
      </c>
      <c r="AB250" s="163">
        <v>12122002.027452737</v>
      </c>
      <c r="AC250" s="163">
        <v>4848164.8107498735</v>
      </c>
      <c r="AD250" s="163">
        <v>4600626.8083652705</v>
      </c>
      <c r="AE250" s="163">
        <v>1519692.7694647908</v>
      </c>
      <c r="AF250" s="163">
        <v>-13854838.967510521</v>
      </c>
      <c r="AG250" s="163">
        <v>-17891538.159440085</v>
      </c>
    </row>
    <row r="251" spans="16:33" ht="15.75" customHeight="1">
      <c r="P251" s="162"/>
      <c r="Q251" s="162">
        <v>234</v>
      </c>
      <c r="R251" s="163">
        <v>-33749979.121673107</v>
      </c>
      <c r="S251" s="163">
        <v>-24106074.546662807</v>
      </c>
      <c r="T251" s="163">
        <v>-20242905.145038366</v>
      </c>
      <c r="U251" s="163">
        <v>-7589964.4800967127</v>
      </c>
      <c r="V251" s="163">
        <v>-6731025.4713338912</v>
      </c>
      <c r="W251" s="164">
        <v>-5028012.1559121758</v>
      </c>
      <c r="X251" s="163">
        <v>-3874511.3195274919</v>
      </c>
      <c r="Y251" s="163">
        <v>3834134.8002848476</v>
      </c>
      <c r="Z251" s="163">
        <v>13803203.835511774</v>
      </c>
      <c r="AA251" s="163">
        <v>5710270.6666755229</v>
      </c>
      <c r="AB251" s="163">
        <v>11166128.103147224</v>
      </c>
      <c r="AC251" s="163">
        <v>8681945.8987918198</v>
      </c>
      <c r="AD251" s="163">
        <v>-5200166.9119433165</v>
      </c>
      <c r="AE251" s="163">
        <v>-14030489.655194029</v>
      </c>
      <c r="AF251" s="163">
        <v>-15503347.860911041</v>
      </c>
      <c r="AG251" s="163">
        <v>-18060171.012026012</v>
      </c>
    </row>
    <row r="252" spans="16:33" ht="15.75" customHeight="1">
      <c r="P252" s="162"/>
      <c r="Q252" s="162">
        <v>235</v>
      </c>
      <c r="R252" s="163">
        <v>-39282007.28594844</v>
      </c>
      <c r="S252" s="163">
        <v>-25358419.774344623</v>
      </c>
      <c r="T252" s="163">
        <v>-9049514.4569816887</v>
      </c>
      <c r="U252" s="163">
        <v>-22424773.923757732</v>
      </c>
      <c r="V252" s="163">
        <v>-604809.51110446453</v>
      </c>
      <c r="W252" s="164">
        <v>10521982.092364788</v>
      </c>
      <c r="X252" s="163">
        <v>11993689.4411906</v>
      </c>
      <c r="Y252" s="163">
        <v>3859604.2620690465</v>
      </c>
      <c r="Z252" s="163">
        <v>8318428.0412217528</v>
      </c>
      <c r="AA252" s="163">
        <v>10390796.850266352</v>
      </c>
      <c r="AB252" s="163">
        <v>3915917.1180016398</v>
      </c>
      <c r="AC252" s="163">
        <v>6346765.6770415306</v>
      </c>
      <c r="AD252" s="163">
        <v>8294615.6695288271</v>
      </c>
      <c r="AE252" s="163">
        <v>-9238843.3665420115</v>
      </c>
      <c r="AF252" s="163">
        <v>-18291045.392543048</v>
      </c>
      <c r="AG252" s="163">
        <v>-13302145.881480575</v>
      </c>
    </row>
    <row r="253" spans="16:33" ht="15.75" customHeight="1">
      <c r="P253" s="162"/>
      <c r="Q253" s="162">
        <v>236</v>
      </c>
      <c r="R253" s="163">
        <v>-39463466.684903353</v>
      </c>
      <c r="S253" s="163">
        <v>-32827279.860174924</v>
      </c>
      <c r="T253" s="163">
        <v>-10703686.497267157</v>
      </c>
      <c r="U253" s="163">
        <v>-13635781.820959136</v>
      </c>
      <c r="V253" s="163">
        <v>2811109.4769145846</v>
      </c>
      <c r="W253" s="164">
        <v>13406356.019346461</v>
      </c>
      <c r="X253" s="163">
        <v>8065202.0328893363</v>
      </c>
      <c r="Y253" s="163">
        <v>5515480.3132154346</v>
      </c>
      <c r="Z253" s="163">
        <v>11175610.415284917</v>
      </c>
      <c r="AA253" s="163">
        <v>12029047.491824836</v>
      </c>
      <c r="AB253" s="163">
        <v>13617388.768788785</v>
      </c>
      <c r="AC253" s="163">
        <v>14564912.650962681</v>
      </c>
      <c r="AD253" s="163">
        <v>2186318.9941389859</v>
      </c>
      <c r="AE253" s="163">
        <v>-1708977.5105955154</v>
      </c>
      <c r="AF253" s="163">
        <v>-12222991.634851545</v>
      </c>
      <c r="AG253" s="163">
        <v>-19124877.578482226</v>
      </c>
    </row>
    <row r="254" spans="16:33" ht="15.75" customHeight="1">
      <c r="P254" s="162"/>
      <c r="Q254" s="162">
        <v>237</v>
      </c>
      <c r="R254" s="163">
        <v>-34375777.642270803</v>
      </c>
      <c r="S254" s="163">
        <v>-23396137.933290035</v>
      </c>
      <c r="T254" s="163">
        <v>-15424271.781322226</v>
      </c>
      <c r="U254" s="163">
        <v>-11987265.977377534</v>
      </c>
      <c r="V254" s="163">
        <v>-5377888.6849031895</v>
      </c>
      <c r="W254" s="164">
        <v>12366532.781199634</v>
      </c>
      <c r="X254" s="163">
        <v>9855896.6256241798</v>
      </c>
      <c r="Y254" s="163">
        <v>14133644.069788441</v>
      </c>
      <c r="Z254" s="163">
        <v>11010592.703874975</v>
      </c>
      <c r="AA254" s="163">
        <v>-880047.14069747925</v>
      </c>
      <c r="AB254" s="163">
        <v>13633132.086899877</v>
      </c>
      <c r="AC254" s="163">
        <v>20474932.098241568</v>
      </c>
      <c r="AD254" s="163">
        <v>3004828.3126108199</v>
      </c>
      <c r="AE254" s="163">
        <v>-4867217.7073145211</v>
      </c>
      <c r="AF254" s="163">
        <v>-8485698.2657388896</v>
      </c>
      <c r="AG254" s="163">
        <v>-20052217.749101818</v>
      </c>
    </row>
    <row r="255" spans="16:33" ht="15.75" customHeight="1">
      <c r="P255" s="162"/>
      <c r="Q255" s="162">
        <v>238</v>
      </c>
      <c r="R255" s="163">
        <v>-40211960.214581311</v>
      </c>
      <c r="S255" s="163">
        <v>-31287486.441305667</v>
      </c>
      <c r="T255" s="163">
        <v>-12105202.183234856</v>
      </c>
      <c r="U255" s="163">
        <v>-4682511.967327401</v>
      </c>
      <c r="V255" s="163">
        <v>605464.85056906939</v>
      </c>
      <c r="W255" s="164">
        <v>10565214.329185084</v>
      </c>
      <c r="X255" s="163">
        <v>2916675.5562075824</v>
      </c>
      <c r="Y255" s="163">
        <v>-451231.43515594304</v>
      </c>
      <c r="Z255" s="163">
        <v>12772910.471663862</v>
      </c>
      <c r="AA255" s="163">
        <v>13617484.612086326</v>
      </c>
      <c r="AB255" s="163">
        <v>10057316.110297963</v>
      </c>
      <c r="AC255" s="163">
        <v>4196899.7194093168</v>
      </c>
      <c r="AD255" s="163">
        <v>-6615951.9929067343</v>
      </c>
      <c r="AE255" s="163">
        <v>-3147266.2303324938</v>
      </c>
      <c r="AF255" s="163">
        <v>-20957687.260591909</v>
      </c>
      <c r="AG255" s="163">
        <v>-13602731.394343227</v>
      </c>
    </row>
    <row r="256" spans="16:33" ht="15.75" customHeight="1">
      <c r="P256" s="162"/>
      <c r="Q256" s="162">
        <v>239</v>
      </c>
      <c r="R256" s="163">
        <v>-36935005.446403548</v>
      </c>
      <c r="S256" s="163">
        <v>-26383234.449267358</v>
      </c>
      <c r="T256" s="163">
        <v>-15272171.838527381</v>
      </c>
      <c r="U256" s="163">
        <v>-6097476.986877203</v>
      </c>
      <c r="V256" s="163">
        <v>-10783078.807616815</v>
      </c>
      <c r="W256" s="164">
        <v>-2633019.0430304855</v>
      </c>
      <c r="X256" s="163">
        <v>14789440.521306545</v>
      </c>
      <c r="Y256" s="163">
        <v>3021048.1503970325</v>
      </c>
      <c r="Z256" s="163">
        <v>10193714.856704473</v>
      </c>
      <c r="AA256" s="163">
        <v>12777010.861644521</v>
      </c>
      <c r="AB256" s="163">
        <v>-3836339.1949878633</v>
      </c>
      <c r="AC256" s="163">
        <v>13003253.094932988</v>
      </c>
      <c r="AD256" s="163">
        <v>-894608.63411690295</v>
      </c>
      <c r="AE256" s="163">
        <v>-4264874.0704671293</v>
      </c>
      <c r="AF256" s="163">
        <v>-7610981.8682179004</v>
      </c>
      <c r="AG256" s="163">
        <v>-20906124.831504121</v>
      </c>
    </row>
    <row r="257" spans="16:33" ht="15.75" customHeight="1">
      <c r="P257" s="162"/>
      <c r="Q257" s="162">
        <v>240</v>
      </c>
      <c r="R257" s="163">
        <v>-35846131.703796655</v>
      </c>
      <c r="S257" s="163">
        <v>-24574468.031508803</v>
      </c>
      <c r="T257" s="163">
        <v>-16348450.868074372</v>
      </c>
      <c r="U257" s="163">
        <v>-14288895.794103056</v>
      </c>
      <c r="V257" s="163">
        <v>-6463402.2253138423</v>
      </c>
      <c r="W257" s="164">
        <v>4039174.3199731708</v>
      </c>
      <c r="X257" s="163">
        <v>17375923.943858787</v>
      </c>
      <c r="Y257" s="163">
        <v>17352338.833932683</v>
      </c>
      <c r="Z257" s="163">
        <v>10431677.37266463</v>
      </c>
      <c r="AA257" s="163">
        <v>16803335.320376739</v>
      </c>
      <c r="AB257" s="163">
        <v>11319412.669024706</v>
      </c>
      <c r="AC257" s="163">
        <v>4851100.0908983946</v>
      </c>
      <c r="AD257" s="163">
        <v>2521360.2536140382</v>
      </c>
      <c r="AE257" s="163">
        <v>-2135566.1235719323</v>
      </c>
      <c r="AF257" s="163">
        <v>-11008263.918809637</v>
      </c>
      <c r="AG257" s="163">
        <v>-16908721.429494888</v>
      </c>
    </row>
    <row r="258" spans="16:33" ht="15.75" customHeight="1">
      <c r="P258" s="162"/>
      <c r="Q258" s="162">
        <v>241</v>
      </c>
      <c r="R258" s="163">
        <v>-34177358.271188065</v>
      </c>
      <c r="S258" s="163">
        <v>-28569513.393014878</v>
      </c>
      <c r="T258" s="163">
        <v>-15814756.59022367</v>
      </c>
      <c r="U258" s="163">
        <v>-4530633.0202663988</v>
      </c>
      <c r="V258" s="163">
        <v>858126.31649881601</v>
      </c>
      <c r="W258" s="164">
        <v>9169242.2445711643</v>
      </c>
      <c r="X258" s="163">
        <v>6590359.3618104011</v>
      </c>
      <c r="Y258" s="163">
        <v>18207870.995690331</v>
      </c>
      <c r="Z258" s="163">
        <v>11724973.884100333</v>
      </c>
      <c r="AA258" s="163">
        <v>8787516.3522356451</v>
      </c>
      <c r="AB258" s="163">
        <v>10208579.243453801</v>
      </c>
      <c r="AC258" s="163">
        <v>20715214.235505164</v>
      </c>
      <c r="AD258" s="163">
        <v>110319.11224171519</v>
      </c>
      <c r="AE258" s="163">
        <v>8499822.1097389907</v>
      </c>
      <c r="AF258" s="163">
        <v>-4921403.7306603938</v>
      </c>
      <c r="AG258" s="163">
        <v>-15822006.546190619</v>
      </c>
    </row>
    <row r="259" spans="16:33" ht="15.75" customHeight="1">
      <c r="P259" s="162"/>
      <c r="Q259" s="162">
        <v>242</v>
      </c>
      <c r="R259" s="163">
        <v>-32443963.383351654</v>
      </c>
      <c r="S259" s="163">
        <v>-25211952.770790488</v>
      </c>
      <c r="T259" s="163">
        <v>-16189004.129292354</v>
      </c>
      <c r="U259" s="163">
        <v>-6206385.3402717412</v>
      </c>
      <c r="V259" s="163">
        <v>-2049341.9111276269</v>
      </c>
      <c r="W259" s="164">
        <v>8688163.549533993</v>
      </c>
      <c r="X259" s="163">
        <v>10496044.647500038</v>
      </c>
      <c r="Y259" s="163">
        <v>7528826.1923288852</v>
      </c>
      <c r="Z259" s="163">
        <v>19865637.245464608</v>
      </c>
      <c r="AA259" s="163">
        <v>14711476.119705215</v>
      </c>
      <c r="AB259" s="163">
        <v>4420683.5619495362</v>
      </c>
      <c r="AC259" s="163">
        <v>5567436.4984935671</v>
      </c>
      <c r="AD259" s="163">
        <v>10978203.956789479</v>
      </c>
      <c r="AE259" s="163">
        <v>-1694466.8959418684</v>
      </c>
      <c r="AF259" s="163">
        <v>-7757228.0154930353</v>
      </c>
      <c r="AG259" s="163">
        <v>-15346478.3930659</v>
      </c>
    </row>
    <row r="260" spans="16:33" ht="15.75" customHeight="1">
      <c r="P260" s="162"/>
      <c r="Q260" s="162">
        <v>243</v>
      </c>
      <c r="R260" s="163">
        <v>-41060616.156399533</v>
      </c>
      <c r="S260" s="163">
        <v>-22826129.061110944</v>
      </c>
      <c r="T260" s="163">
        <v>-19668009.020088658</v>
      </c>
      <c r="U260" s="163">
        <v>-16617152.11006327</v>
      </c>
      <c r="V260" s="163">
        <v>5882858.603779614</v>
      </c>
      <c r="W260" s="164">
        <v>3133447.9549436718</v>
      </c>
      <c r="X260" s="163">
        <v>9794058.7106188387</v>
      </c>
      <c r="Y260" s="163">
        <v>18607062.168940604</v>
      </c>
      <c r="Z260" s="163">
        <v>6974317.9104490876</v>
      </c>
      <c r="AA260" s="163">
        <v>17134071.390466169</v>
      </c>
      <c r="AB260" s="163">
        <v>8089615.4733583629</v>
      </c>
      <c r="AC260" s="163">
        <v>8898992.4949253649</v>
      </c>
      <c r="AD260" s="163">
        <v>-981959.35844153166</v>
      </c>
      <c r="AE260" s="163">
        <v>1356986.1692998707</v>
      </c>
      <c r="AF260" s="163">
        <v>-11518670.096844003</v>
      </c>
      <c r="AG260" s="163">
        <v>-20227617.002778172</v>
      </c>
    </row>
    <row r="261" spans="16:33" ht="15.75" customHeight="1">
      <c r="P261" s="162"/>
      <c r="Q261" s="162">
        <v>244</v>
      </c>
      <c r="R261" s="163">
        <v>-36767821.207509294</v>
      </c>
      <c r="S261" s="163">
        <v>-19236230.427609265</v>
      </c>
      <c r="T261" s="163">
        <v>-9392679.9385148138</v>
      </c>
      <c r="U261" s="163">
        <v>-5375635.2072797865</v>
      </c>
      <c r="V261" s="163">
        <v>-12535035.289196536</v>
      </c>
      <c r="W261" s="164">
        <v>16155516.410552174</v>
      </c>
      <c r="X261" s="163">
        <v>7989821.5853023231</v>
      </c>
      <c r="Y261" s="163">
        <v>10615133.697750643</v>
      </c>
      <c r="Z261" s="163">
        <v>12408652.828763291</v>
      </c>
      <c r="AA261" s="163">
        <v>14197315.114019603</v>
      </c>
      <c r="AB261" s="163">
        <v>995895.0257807672</v>
      </c>
      <c r="AC261" s="163">
        <v>17483309.877563849</v>
      </c>
      <c r="AD261" s="163">
        <v>5561488.1774045527</v>
      </c>
      <c r="AE261" s="163">
        <v>-4715524.7156643718</v>
      </c>
      <c r="AF261" s="163">
        <v>-13678224.515774578</v>
      </c>
      <c r="AG261" s="163">
        <v>-24141236.64716804</v>
      </c>
    </row>
    <row r="262" spans="16:33" ht="15.75" customHeight="1">
      <c r="P262" s="162"/>
      <c r="Q262" s="162">
        <v>245</v>
      </c>
      <c r="R262" s="163">
        <v>-37899497.657402366</v>
      </c>
      <c r="S262" s="163">
        <v>-29016976.800059706</v>
      </c>
      <c r="T262" s="163">
        <v>-15171191.189340651</v>
      </c>
      <c r="U262" s="163">
        <v>-5532443.960864082</v>
      </c>
      <c r="V262" s="163">
        <v>2583107.9867399335</v>
      </c>
      <c r="W262" s="164">
        <v>5176042.5433371067</v>
      </c>
      <c r="X262" s="163">
        <v>11228557.895306781</v>
      </c>
      <c r="Y262" s="163">
        <v>8181497.9069095403</v>
      </c>
      <c r="Z262" s="163">
        <v>17161776.498250917</v>
      </c>
      <c r="AA262" s="163">
        <v>7727234.1522273719</v>
      </c>
      <c r="AB262" s="163">
        <v>3624914.9112459421</v>
      </c>
      <c r="AC262" s="163">
        <v>4883428.8340438008</v>
      </c>
      <c r="AD262" s="163">
        <v>5160717.4313784689</v>
      </c>
      <c r="AE262" s="163">
        <v>-7890803.1038150489</v>
      </c>
      <c r="AF262" s="163">
        <v>-6434367.6473021656</v>
      </c>
      <c r="AG262" s="163">
        <v>-16400764.949651465</v>
      </c>
    </row>
    <row r="263" spans="16:33" ht="15.75" customHeight="1">
      <c r="P263" s="162"/>
      <c r="Q263" s="162">
        <v>246</v>
      </c>
      <c r="R263" s="163">
        <v>-34724870.897250459</v>
      </c>
      <c r="S263" s="163">
        <v>-24599087.012258887</v>
      </c>
      <c r="T263" s="163">
        <v>-15142634.047777504</v>
      </c>
      <c r="U263" s="163">
        <v>-11850650.75199835</v>
      </c>
      <c r="V263" s="163">
        <v>1163925.2556600571</v>
      </c>
      <c r="W263" s="164">
        <v>-6637019.1506726295</v>
      </c>
      <c r="X263" s="163">
        <v>-3612755.9255709052</v>
      </c>
      <c r="Y263" s="163">
        <v>17956074.28202945</v>
      </c>
      <c r="Z263" s="163">
        <v>-1879304.4857081622</v>
      </c>
      <c r="AA263" s="163">
        <v>21721597.431734204</v>
      </c>
      <c r="AB263" s="163">
        <v>3289545.502731815</v>
      </c>
      <c r="AC263" s="163">
        <v>-8908235.1113259345</v>
      </c>
      <c r="AD263" s="163">
        <v>627281.72808492184</v>
      </c>
      <c r="AE263" s="163">
        <v>-6505641.9924477488</v>
      </c>
      <c r="AF263" s="163">
        <v>-13692100.293928713</v>
      </c>
      <c r="AG263" s="163">
        <v>-19593595.715255007</v>
      </c>
    </row>
    <row r="264" spans="16:33" ht="15.75" customHeight="1">
      <c r="P264" s="162"/>
      <c r="Q264" s="162">
        <v>247</v>
      </c>
      <c r="R264" s="163">
        <v>-33607107.213163584</v>
      </c>
      <c r="S264" s="163">
        <v>-16391809.747252613</v>
      </c>
      <c r="T264" s="163">
        <v>-19467838.069841281</v>
      </c>
      <c r="U264" s="163">
        <v>-10798655.620994493</v>
      </c>
      <c r="V264" s="163">
        <v>-248474.22394359112</v>
      </c>
      <c r="W264" s="164">
        <v>8006910.7725388557</v>
      </c>
      <c r="X264" s="163">
        <v>3221777.6278736591</v>
      </c>
      <c r="Y264" s="163">
        <v>6757176.9827865809</v>
      </c>
      <c r="Z264" s="163">
        <v>17140675.660685554</v>
      </c>
      <c r="AA264" s="163">
        <v>13630626.529975072</v>
      </c>
      <c r="AB264" s="163">
        <v>7130079.6863104999</v>
      </c>
      <c r="AC264" s="163">
        <v>-3671151.5440345258</v>
      </c>
      <c r="AD264" s="163">
        <v>4080100.2302731127</v>
      </c>
      <c r="AE264" s="163">
        <v>-4532604.9593155682</v>
      </c>
      <c r="AF264" s="163">
        <v>-5539876.180662483</v>
      </c>
      <c r="AG264" s="163">
        <v>-23305213.670699477</v>
      </c>
    </row>
    <row r="265" spans="16:33" ht="15.75" customHeight="1">
      <c r="P265" s="162"/>
      <c r="Q265" s="162">
        <v>248</v>
      </c>
      <c r="R265" s="163">
        <v>-35813140.343244463</v>
      </c>
      <c r="S265" s="163">
        <v>-25732273.229653895</v>
      </c>
      <c r="T265" s="163">
        <v>-19110540.461238354</v>
      </c>
      <c r="U265" s="163">
        <v>-23417841.961714104</v>
      </c>
      <c r="V265" s="163">
        <v>-5920641.0169628263</v>
      </c>
      <c r="W265" s="164">
        <v>6035788.7682787776</v>
      </c>
      <c r="X265" s="163">
        <v>18697498.89547956</v>
      </c>
      <c r="Y265" s="163">
        <v>4371534.7703912258</v>
      </c>
      <c r="Z265" s="163">
        <v>15061796.840063989</v>
      </c>
      <c r="AA265" s="163">
        <v>5785950.1845926642</v>
      </c>
      <c r="AB265" s="163">
        <v>11140575.315630376</v>
      </c>
      <c r="AC265" s="163">
        <v>3294353.2948448211</v>
      </c>
      <c r="AD265" s="163">
        <v>84250.926085412502</v>
      </c>
      <c r="AE265" s="163">
        <v>1653659.0183347911</v>
      </c>
      <c r="AF265" s="163">
        <v>-1293062.3734657168</v>
      </c>
      <c r="AG265" s="163">
        <v>-10351909.328125805</v>
      </c>
    </row>
    <row r="266" spans="16:33" ht="15.75" customHeight="1">
      <c r="P266" s="162"/>
      <c r="Q266" s="162">
        <v>249</v>
      </c>
      <c r="R266" s="163">
        <v>-36378902.218530789</v>
      </c>
      <c r="S266" s="163">
        <v>-24427219.348336563</v>
      </c>
      <c r="T266" s="163">
        <v>-3442813.5350474715</v>
      </c>
      <c r="U266" s="163">
        <v>-6541761.2599422038</v>
      </c>
      <c r="V266" s="163">
        <v>1131655.5635126084</v>
      </c>
      <c r="W266" s="164">
        <v>-728433.18280658126</v>
      </c>
      <c r="X266" s="163">
        <v>10714082.846488893</v>
      </c>
      <c r="Y266" s="163">
        <v>11654098.243690908</v>
      </c>
      <c r="Z266" s="163">
        <v>19098145.463181779</v>
      </c>
      <c r="AA266" s="163">
        <v>16346177.914253309</v>
      </c>
      <c r="AB266" s="163">
        <v>17792452.253327593</v>
      </c>
      <c r="AC266" s="163">
        <v>9528427.0710564852</v>
      </c>
      <c r="AD266" s="163">
        <v>7883646.5766772032</v>
      </c>
      <c r="AE266" s="163">
        <v>-2731571.0818119049</v>
      </c>
      <c r="AF266" s="163">
        <v>-14603059.869492739</v>
      </c>
      <c r="AG266" s="163">
        <v>-12404222.838441029</v>
      </c>
    </row>
    <row r="267" spans="16:33" ht="15.75" customHeight="1">
      <c r="P267" s="162"/>
      <c r="Q267" s="162">
        <v>250</v>
      </c>
      <c r="R267" s="163">
        <v>-40590516.916098446</v>
      </c>
      <c r="S267" s="163">
        <v>-27548497.165204495</v>
      </c>
      <c r="T267" s="163">
        <v>-12556940.306098357</v>
      </c>
      <c r="U267" s="163">
        <v>-3235611.5401775092</v>
      </c>
      <c r="V267" s="163">
        <v>-8828569.3015145957</v>
      </c>
      <c r="W267" s="164">
        <v>12621528.808609322</v>
      </c>
      <c r="X267" s="163">
        <v>6575459.8630144447</v>
      </c>
      <c r="Y267" s="163">
        <v>10627087.092173412</v>
      </c>
      <c r="Z267" s="163">
        <v>9718046.2559387833</v>
      </c>
      <c r="AA267" s="163">
        <v>2801169.3649606556</v>
      </c>
      <c r="AB267" s="163">
        <v>12628562.487454057</v>
      </c>
      <c r="AC267" s="163">
        <v>4329736.2218345553</v>
      </c>
      <c r="AD267" s="163">
        <v>7647961.0894293934</v>
      </c>
      <c r="AE267" s="163">
        <v>-10723348.543771908</v>
      </c>
      <c r="AF267" s="163">
        <v>-1630371.8857560009</v>
      </c>
      <c r="AG267" s="163">
        <v>-10644394.358986527</v>
      </c>
    </row>
    <row r="268" spans="16:33" ht="15.75" customHeight="1">
      <c r="P268" s="162"/>
      <c r="Q268" s="162">
        <v>251</v>
      </c>
      <c r="R268" s="163">
        <v>-34107086.807035863</v>
      </c>
      <c r="S268" s="163">
        <v>-20730433.63414821</v>
      </c>
      <c r="T268" s="163">
        <v>-12356393.761569917</v>
      </c>
      <c r="U268" s="163">
        <v>291052.41807372868</v>
      </c>
      <c r="V268" s="163">
        <v>2807817.2153818309</v>
      </c>
      <c r="W268" s="164">
        <v>17492613.365764394</v>
      </c>
      <c r="X268" s="163">
        <v>3196130.5251335055</v>
      </c>
      <c r="Y268" s="163">
        <v>6882806.5114720017</v>
      </c>
      <c r="Z268" s="163">
        <v>5450402.0927970856</v>
      </c>
      <c r="AA268" s="163">
        <v>18872205.205024004</v>
      </c>
      <c r="AB268" s="163">
        <v>15561860.118036762</v>
      </c>
      <c r="AC268" s="163">
        <v>14605171.881708533</v>
      </c>
      <c r="AD268" s="163">
        <v>2784844.9757160395</v>
      </c>
      <c r="AE268" s="163">
        <v>-6622087.9961731881</v>
      </c>
      <c r="AF268" s="163">
        <v>-10794550.639260039</v>
      </c>
      <c r="AG268" s="163">
        <v>-16187467.139207438</v>
      </c>
    </row>
    <row r="269" spans="16:33" ht="15.75" customHeight="1">
      <c r="P269" s="162"/>
      <c r="Q269" s="162">
        <v>252</v>
      </c>
      <c r="R269" s="163">
        <v>-41332940.275826246</v>
      </c>
      <c r="S269" s="163">
        <v>-29566419.156995147</v>
      </c>
      <c r="T269" s="163">
        <v>-17012755.171540707</v>
      </c>
      <c r="U269" s="163">
        <v>-3081987.8671985567</v>
      </c>
      <c r="V269" s="163">
        <v>-8664935.7035802901</v>
      </c>
      <c r="W269" s="164">
        <v>6401790.0566322953</v>
      </c>
      <c r="X269" s="163">
        <v>7007616.9848485738</v>
      </c>
      <c r="Y269" s="163">
        <v>13206188.993870124</v>
      </c>
      <c r="Z269" s="163">
        <v>7780185.2414099425</v>
      </c>
      <c r="AA269" s="163">
        <v>12036480.554582536</v>
      </c>
      <c r="AB269" s="163">
        <v>12716663.720723659</v>
      </c>
      <c r="AC269" s="163">
        <v>747284.88217151165</v>
      </c>
      <c r="AD269" s="163">
        <v>-625733.2005084902</v>
      </c>
      <c r="AE269" s="163">
        <v>-9164657.1579091847</v>
      </c>
      <c r="AF269" s="163">
        <v>-3089509.6161049455</v>
      </c>
      <c r="AG269" s="163">
        <v>-19592317.944218144</v>
      </c>
    </row>
    <row r="270" spans="16:33" ht="15.75" customHeight="1">
      <c r="P270" s="162"/>
      <c r="Q270" s="162">
        <v>253</v>
      </c>
      <c r="R270" s="163">
        <v>-34790076.186049253</v>
      </c>
      <c r="S270" s="163">
        <v>-26430130.711833447</v>
      </c>
      <c r="T270" s="163">
        <v>-19013602.56744948</v>
      </c>
      <c r="U270" s="163">
        <v>-7587908.6477397978</v>
      </c>
      <c r="V270" s="163">
        <v>947894.73023295403</v>
      </c>
      <c r="W270" s="164">
        <v>2807698.7242722064</v>
      </c>
      <c r="X270" s="163">
        <v>9262204.1339972019</v>
      </c>
      <c r="Y270" s="163">
        <v>18615472.451220438</v>
      </c>
      <c r="Z270" s="163">
        <v>6527568.9657356739</v>
      </c>
      <c r="AA270" s="163">
        <v>9810022.0786057413</v>
      </c>
      <c r="AB270" s="163">
        <v>6517921.701580584</v>
      </c>
      <c r="AC270" s="163">
        <v>5452027.7884014249</v>
      </c>
      <c r="AD270" s="163">
        <v>5038069.9896201044</v>
      </c>
      <c r="AE270" s="163">
        <v>-6291201.2416322231</v>
      </c>
      <c r="AF270" s="163">
        <v>-5634913.4032828212</v>
      </c>
      <c r="AG270" s="163">
        <v>-18050323.928073689</v>
      </c>
    </row>
    <row r="271" spans="16:33" ht="15.75" customHeight="1">
      <c r="P271" s="162"/>
      <c r="Q271" s="162">
        <v>254</v>
      </c>
      <c r="R271" s="163">
        <v>-33560257.754730776</v>
      </c>
      <c r="S271" s="163">
        <v>-18267490.070988908</v>
      </c>
      <c r="T271" s="163">
        <v>-15380494.9731002</v>
      </c>
      <c r="U271" s="163">
        <v>-6083037.36201711</v>
      </c>
      <c r="V271" s="163">
        <v>-6357418.1332896203</v>
      </c>
      <c r="W271" s="164">
        <v>3706442.8285880983</v>
      </c>
      <c r="X271" s="163">
        <v>16138298.787457898</v>
      </c>
      <c r="Y271" s="163">
        <v>10865989.751354381</v>
      </c>
      <c r="Z271" s="163">
        <v>5701142.7241285592</v>
      </c>
      <c r="AA271" s="163">
        <v>10032041.433254182</v>
      </c>
      <c r="AB271" s="163">
        <v>12770851.108030275</v>
      </c>
      <c r="AC271" s="163">
        <v>11950107.719105661</v>
      </c>
      <c r="AD271" s="163">
        <v>-3916772.4371970445</v>
      </c>
      <c r="AE271" s="163">
        <v>4442623.002927646</v>
      </c>
      <c r="AF271" s="163">
        <v>-15633268.599650279</v>
      </c>
      <c r="AG271" s="163">
        <v>-12822932.934526145</v>
      </c>
    </row>
    <row r="272" spans="16:33" ht="15.75" customHeight="1">
      <c r="P272" s="162"/>
      <c r="Q272" s="162">
        <v>255</v>
      </c>
      <c r="R272" s="163">
        <v>-27323207.033151895</v>
      </c>
      <c r="S272" s="163">
        <v>-23357064.312040702</v>
      </c>
      <c r="T272" s="163">
        <v>-14917985.830599323</v>
      </c>
      <c r="U272" s="163">
        <v>-8047532.6233839542</v>
      </c>
      <c r="V272" s="163">
        <v>5910726.5515068322</v>
      </c>
      <c r="W272" s="164">
        <v>4976045.9421880245</v>
      </c>
      <c r="X272" s="163">
        <v>3704541.5249722004</v>
      </c>
      <c r="Y272" s="163">
        <v>19346668.762961611</v>
      </c>
      <c r="Z272" s="163">
        <v>13612837.093747124</v>
      </c>
      <c r="AA272" s="163">
        <v>3727972.1801250428</v>
      </c>
      <c r="AB272" s="163">
        <v>4393720.5556297153</v>
      </c>
      <c r="AC272" s="163">
        <v>2853433.9548657238</v>
      </c>
      <c r="AD272" s="163">
        <v>2200105.8996066898</v>
      </c>
      <c r="AE272" s="163">
        <v>-9181459.8354465812</v>
      </c>
      <c r="AF272" s="163">
        <v>-5272188.272961691</v>
      </c>
      <c r="AG272" s="163">
        <v>-11735863.098335311</v>
      </c>
    </row>
    <row r="273" spans="16:33" ht="15.75" customHeight="1">
      <c r="P273" s="162"/>
      <c r="Q273" s="162">
        <v>256</v>
      </c>
      <c r="R273" s="163">
        <v>-32034897.281190425</v>
      </c>
      <c r="S273" s="163">
        <v>-24434301.906041071</v>
      </c>
      <c r="T273" s="163">
        <v>-22049763.785126984</v>
      </c>
      <c r="U273" s="163">
        <v>7934553.3263156861</v>
      </c>
      <c r="V273" s="163">
        <v>-3839924.8420105726</v>
      </c>
      <c r="W273" s="164">
        <v>5457437.6905827522</v>
      </c>
      <c r="X273" s="163">
        <v>7179266.2157325447</v>
      </c>
      <c r="Y273" s="163">
        <v>15088869.183188587</v>
      </c>
      <c r="Z273" s="163">
        <v>8527150.1659860313</v>
      </c>
      <c r="AA273" s="163">
        <v>10770400.611081347</v>
      </c>
      <c r="AB273" s="163">
        <v>13605456.167146638</v>
      </c>
      <c r="AC273" s="163">
        <v>-190170.82136319578</v>
      </c>
      <c r="AD273" s="163">
        <v>10429776.278172836</v>
      </c>
      <c r="AE273" s="163">
        <v>-7813308.9137331843</v>
      </c>
      <c r="AF273" s="163">
        <v>-18554365.464641064</v>
      </c>
      <c r="AG273" s="163">
        <v>-11019129.226455316</v>
      </c>
    </row>
    <row r="274" spans="16:33" ht="15.75" customHeight="1">
      <c r="P274" s="162"/>
      <c r="Q274" s="162">
        <v>257</v>
      </c>
      <c r="R274" s="163">
        <v>-27804746.006966799</v>
      </c>
      <c r="S274" s="163">
        <v>-19160364.285016194</v>
      </c>
      <c r="T274" s="163">
        <v>-24055451.412137538</v>
      </c>
      <c r="U274" s="163">
        <v>-8446592.2755489945</v>
      </c>
      <c r="V274" s="163">
        <v>-3304878.5467016548</v>
      </c>
      <c r="W274" s="164">
        <v>9202727.377558589</v>
      </c>
      <c r="X274" s="163">
        <v>4466846.8223273307</v>
      </c>
      <c r="Y274" s="163">
        <v>14026492.80803068</v>
      </c>
      <c r="Z274" s="163">
        <v>12002657.530247733</v>
      </c>
      <c r="AA274" s="163">
        <v>14401604.366572469</v>
      </c>
      <c r="AB274" s="163">
        <v>26133304.465154022</v>
      </c>
      <c r="AC274" s="163">
        <v>13329290.175220579</v>
      </c>
      <c r="AD274" s="163">
        <v>5272182.3011832237</v>
      </c>
      <c r="AE274" s="163">
        <v>-10535602.579146117</v>
      </c>
      <c r="AF274" s="163">
        <v>-3845813.4219342619</v>
      </c>
      <c r="AG274" s="163">
        <v>-20562283.225995481</v>
      </c>
    </row>
    <row r="275" spans="16:33" ht="15.75" customHeight="1">
      <c r="P275" s="162"/>
      <c r="Q275" s="162">
        <v>258</v>
      </c>
      <c r="R275" s="163">
        <v>-32110408.953915551</v>
      </c>
      <c r="S275" s="163">
        <v>-22104679.825160921</v>
      </c>
      <c r="T275" s="163">
        <v>-2991548.8927845359</v>
      </c>
      <c r="U275" s="163">
        <v>-8317802.2577918917</v>
      </c>
      <c r="V275" s="163">
        <v>4142279.2012042254</v>
      </c>
      <c r="W275" s="164">
        <v>-3083000.6368738264</v>
      </c>
      <c r="X275" s="163">
        <v>6318020.9744854569</v>
      </c>
      <c r="Y275" s="163">
        <v>7106825.5986124575</v>
      </c>
      <c r="Z275" s="163">
        <v>20306899.770157427</v>
      </c>
      <c r="AA275" s="163">
        <v>9059584.8030787855</v>
      </c>
      <c r="AB275" s="163">
        <v>-6668161.1482154727</v>
      </c>
      <c r="AC275" s="163">
        <v>3383073.9811639786</v>
      </c>
      <c r="AD275" s="163">
        <v>663462.38838239014</v>
      </c>
      <c r="AE275" s="163">
        <v>6377079.9597989619</v>
      </c>
      <c r="AF275" s="163">
        <v>-10287409.802651137</v>
      </c>
      <c r="AG275" s="163">
        <v>-22538560.38489005</v>
      </c>
    </row>
    <row r="276" spans="16:33" ht="15.75" customHeight="1">
      <c r="P276" s="162"/>
      <c r="Q276" s="162">
        <v>259</v>
      </c>
      <c r="R276" s="163">
        <v>-36453001.434786052</v>
      </c>
      <c r="S276" s="163">
        <v>-20269747.911521107</v>
      </c>
      <c r="T276" s="163">
        <v>-14311184.253650159</v>
      </c>
      <c r="U276" s="163">
        <v>-9734139.3906749338</v>
      </c>
      <c r="V276" s="163">
        <v>-3473051.4666876942</v>
      </c>
      <c r="W276" s="164">
        <v>3857490.630659312</v>
      </c>
      <c r="X276" s="163">
        <v>9908088.161268115</v>
      </c>
      <c r="Y276" s="163">
        <v>15116745.457455695</v>
      </c>
      <c r="Z276" s="163">
        <v>10330090.958370283</v>
      </c>
      <c r="AA276" s="163">
        <v>3114149.2339284867</v>
      </c>
      <c r="AB276" s="163">
        <v>19649813.095659509</v>
      </c>
      <c r="AC276" s="163">
        <v>3968374.9984412789</v>
      </c>
      <c r="AD276" s="163">
        <v>2446577.9643464088</v>
      </c>
      <c r="AE276" s="163">
        <v>66540.589861780405</v>
      </c>
      <c r="AF276" s="163">
        <v>-7472687.488850981</v>
      </c>
      <c r="AG276" s="163">
        <v>-14738419.936180428</v>
      </c>
    </row>
    <row r="277" spans="16:33" ht="15.75" customHeight="1">
      <c r="P277" s="162"/>
      <c r="Q277" s="162">
        <v>260</v>
      </c>
      <c r="R277" s="163">
        <v>-29289290.887699917</v>
      </c>
      <c r="S277" s="163">
        <v>-22517080.813866109</v>
      </c>
      <c r="T277" s="163">
        <v>-19698225.174407661</v>
      </c>
      <c r="U277" s="163">
        <v>-13042981.843383059</v>
      </c>
      <c r="V277" s="163">
        <v>820441.00032867491</v>
      </c>
      <c r="W277" s="164">
        <v>2517124.1460813582</v>
      </c>
      <c r="X277" s="163">
        <v>8885042.8528899103</v>
      </c>
      <c r="Y277" s="163">
        <v>25236651.992387667</v>
      </c>
      <c r="Z277" s="163">
        <v>12495033.782409206</v>
      </c>
      <c r="AA277" s="163">
        <v>11262194.062847763</v>
      </c>
      <c r="AB277" s="163">
        <v>3837581.0351512879</v>
      </c>
      <c r="AC277" s="163">
        <v>7558912.8169115335</v>
      </c>
      <c r="AD277" s="163">
        <v>7424879.0323544294</v>
      </c>
      <c r="AE277" s="163">
        <v>-2393740.5580404401</v>
      </c>
      <c r="AF277" s="163">
        <v>-4533490.1281762123</v>
      </c>
      <c r="AG277" s="163">
        <v>-18772176.000112355</v>
      </c>
    </row>
    <row r="278" spans="16:33" ht="15.75" customHeight="1">
      <c r="P278" s="162"/>
      <c r="Q278" s="162">
        <v>261</v>
      </c>
      <c r="R278" s="163">
        <v>-29996762.681702435</v>
      </c>
      <c r="S278" s="163">
        <v>-32465743.186117232</v>
      </c>
      <c r="T278" s="163">
        <v>-19793074.362804607</v>
      </c>
      <c r="U278" s="163">
        <v>-6905125.4717527628</v>
      </c>
      <c r="V278" s="163">
        <v>3696255.832610473</v>
      </c>
      <c r="W278" s="164">
        <v>-4100161.8764535487</v>
      </c>
      <c r="X278" s="163">
        <v>4031107.4617910385</v>
      </c>
      <c r="Y278" s="163">
        <v>4406845.4078724831</v>
      </c>
      <c r="Z278" s="163">
        <v>9395076.0140073895</v>
      </c>
      <c r="AA278" s="163">
        <v>13181998.624769881</v>
      </c>
      <c r="AB278" s="163">
        <v>13104933.382606164</v>
      </c>
      <c r="AC278" s="163">
        <v>13872960.633941159</v>
      </c>
      <c r="AD278" s="163">
        <v>5400786.3227904886</v>
      </c>
      <c r="AE278" s="163">
        <v>1658524.9759119302</v>
      </c>
      <c r="AF278" s="163">
        <v>-13820933.560573369</v>
      </c>
      <c r="AG278" s="163">
        <v>-17533582.602017209</v>
      </c>
    </row>
    <row r="279" spans="16:33" ht="15.75" customHeight="1">
      <c r="P279" s="162"/>
      <c r="Q279" s="162">
        <v>262</v>
      </c>
      <c r="R279" s="163">
        <v>-35248970.146519452</v>
      </c>
      <c r="S279" s="163">
        <v>-17054271.802725643</v>
      </c>
      <c r="T279" s="163">
        <v>-14094667.385965943</v>
      </c>
      <c r="U279" s="163">
        <v>3997968.3048626781</v>
      </c>
      <c r="V279" s="163">
        <v>-7482180.5749133974</v>
      </c>
      <c r="W279" s="164">
        <v>-4744067.2744217217</v>
      </c>
      <c r="X279" s="163">
        <v>9346132.2425529808</v>
      </c>
      <c r="Y279" s="163">
        <v>-2033124.5485527515</v>
      </c>
      <c r="Z279" s="163">
        <v>14980907.258991063</v>
      </c>
      <c r="AA279" s="163">
        <v>15451760.479847148</v>
      </c>
      <c r="AB279" s="163">
        <v>2798570.287124157</v>
      </c>
      <c r="AC279" s="163">
        <v>9809722.8282396644</v>
      </c>
      <c r="AD279" s="163">
        <v>2154775.0110441148</v>
      </c>
      <c r="AE279" s="163">
        <v>-2657896.1867812425</v>
      </c>
      <c r="AF279" s="163">
        <v>-1958845.5673057884</v>
      </c>
      <c r="AG279" s="163">
        <v>-26319099.401158154</v>
      </c>
    </row>
    <row r="280" spans="16:33" ht="15.75" customHeight="1">
      <c r="P280" s="162"/>
      <c r="Q280" s="162">
        <v>263</v>
      </c>
      <c r="R280" s="163">
        <v>-33149837.443461984</v>
      </c>
      <c r="S280" s="163">
        <v>-21884933.288449392</v>
      </c>
      <c r="T280" s="163">
        <v>-23314078.860950798</v>
      </c>
      <c r="U280" s="163">
        <v>-3195087.9536868781</v>
      </c>
      <c r="V280" s="163">
        <v>6380221.6439185143</v>
      </c>
      <c r="W280" s="164">
        <v>8950946.806881234</v>
      </c>
      <c r="X280" s="163">
        <v>12037857.369330227</v>
      </c>
      <c r="Y280" s="163">
        <v>-357068.73174996674</v>
      </c>
      <c r="Z280" s="163">
        <v>12939712.125374049</v>
      </c>
      <c r="AA280" s="163">
        <v>18208094.668688834</v>
      </c>
      <c r="AB280" s="163">
        <v>12432464.684881344</v>
      </c>
      <c r="AC280" s="163">
        <v>11572261.750303358</v>
      </c>
      <c r="AD280" s="163">
        <v>11521420.096045673</v>
      </c>
      <c r="AE280" s="163">
        <v>-6511992.9511964023</v>
      </c>
      <c r="AF280" s="163">
        <v>-14303128.645228699</v>
      </c>
      <c r="AG280" s="163">
        <v>-9230627.811541006</v>
      </c>
    </row>
    <row r="281" spans="16:33" ht="15.75" customHeight="1">
      <c r="P281" s="162"/>
      <c r="Q281" s="162">
        <v>264</v>
      </c>
      <c r="R281" s="163">
        <v>-28801878.076470971</v>
      </c>
      <c r="S281" s="163">
        <v>-22739837.473481372</v>
      </c>
      <c r="T281" s="163">
        <v>-33810265.78443636</v>
      </c>
      <c r="U281" s="163">
        <v>924805.63202111423</v>
      </c>
      <c r="V281" s="163">
        <v>997474.31859496236</v>
      </c>
      <c r="W281" s="164">
        <v>-828817.07122389972</v>
      </c>
      <c r="X281" s="163">
        <v>7568789.9708178341</v>
      </c>
      <c r="Y281" s="163">
        <v>10024442.834244728</v>
      </c>
      <c r="Z281" s="163">
        <v>8791763.5548268259</v>
      </c>
      <c r="AA281" s="163">
        <v>8740132.776120469</v>
      </c>
      <c r="AB281" s="163">
        <v>16208769.596129835</v>
      </c>
      <c r="AC281" s="163">
        <v>10481220.111752495</v>
      </c>
      <c r="AD281" s="163">
        <v>6227620.3188410401</v>
      </c>
      <c r="AE281" s="163">
        <v>11120207.204896435</v>
      </c>
      <c r="AF281" s="163">
        <v>-11537250.74391146</v>
      </c>
      <c r="AG281" s="163">
        <v>-17602563.627072886</v>
      </c>
    </row>
    <row r="282" spans="16:33" ht="15.75" customHeight="1">
      <c r="P282" s="162"/>
      <c r="Q282" s="162">
        <v>265</v>
      </c>
      <c r="R282" s="163">
        <v>-29405789.243789047</v>
      </c>
      <c r="S282" s="163">
        <v>-26524607.895463109</v>
      </c>
      <c r="T282" s="163">
        <v>-13826214.23801364</v>
      </c>
      <c r="U282" s="163">
        <v>-5597961.3533204198</v>
      </c>
      <c r="V282" s="163">
        <v>-5080834.866704762</v>
      </c>
      <c r="W282" s="164">
        <v>3575022.1707015783</v>
      </c>
      <c r="X282" s="163">
        <v>19825248.254593238</v>
      </c>
      <c r="Y282" s="163">
        <v>8257449.9971495122</v>
      </c>
      <c r="Z282" s="163">
        <v>9971663.7155847549</v>
      </c>
      <c r="AA282" s="163">
        <v>9781548.230993554</v>
      </c>
      <c r="AB282" s="163">
        <v>7996066.8036241531</v>
      </c>
      <c r="AC282" s="163">
        <v>4416880.3337478191</v>
      </c>
      <c r="AD282" s="163">
        <v>3256163.1828048229</v>
      </c>
      <c r="AE282" s="163">
        <v>4806663.8150372654</v>
      </c>
      <c r="AF282" s="163">
        <v>2107055.2129987776</v>
      </c>
      <c r="AG282" s="163">
        <v>-24181277.872715086</v>
      </c>
    </row>
    <row r="283" spans="16:33" ht="15.75" customHeight="1">
      <c r="P283" s="162"/>
      <c r="Q283" s="162">
        <v>266</v>
      </c>
      <c r="R283" s="163">
        <v>-34845225.984643847</v>
      </c>
      <c r="S283" s="163">
        <v>-24920491.696761385</v>
      </c>
      <c r="T283" s="163">
        <v>-12328414.119857952</v>
      </c>
      <c r="U283" s="163">
        <v>-2278588.4176301509</v>
      </c>
      <c r="V283" s="163">
        <v>-770342.77186343074</v>
      </c>
      <c r="W283" s="164">
        <v>6906029.4728033394</v>
      </c>
      <c r="X283" s="163">
        <v>8525254.8312251717</v>
      </c>
      <c r="Y283" s="163">
        <v>4656584.8715964407</v>
      </c>
      <c r="Z283" s="163">
        <v>6088124.2169259936</v>
      </c>
      <c r="AA283" s="163">
        <v>1777550.1675087959</v>
      </c>
      <c r="AB283" s="163">
        <v>1529955.8115338236</v>
      </c>
      <c r="AC283" s="163">
        <v>7872433.9713769704</v>
      </c>
      <c r="AD283" s="163">
        <v>4942344.5977443755</v>
      </c>
      <c r="AE283" s="163">
        <v>-13575208.98999919</v>
      </c>
      <c r="AF283" s="163">
        <v>-1082823.9414959401</v>
      </c>
      <c r="AG283" s="163">
        <v>-25868579.098667517</v>
      </c>
    </row>
    <row r="284" spans="16:33" ht="15.75" customHeight="1">
      <c r="P284" s="162"/>
      <c r="Q284" s="162">
        <v>267</v>
      </c>
      <c r="R284" s="163">
        <v>-31856022.752270222</v>
      </c>
      <c r="S284" s="163">
        <v>-26199258.623354286</v>
      </c>
      <c r="T284" s="163">
        <v>-15844903.827650219</v>
      </c>
      <c r="U284" s="163">
        <v>-8520082.2226779312</v>
      </c>
      <c r="V284" s="163">
        <v>-6138426.4122537225</v>
      </c>
      <c r="W284" s="164">
        <v>-5291121.2421036661</v>
      </c>
      <c r="X284" s="163">
        <v>19817969.313246503</v>
      </c>
      <c r="Y284" s="163">
        <v>15450193.467650175</v>
      </c>
      <c r="Z284" s="163">
        <v>23803569.387825906</v>
      </c>
      <c r="AA284" s="163">
        <v>7354937.0546711087</v>
      </c>
      <c r="AB284" s="163">
        <v>19934059.29359597</v>
      </c>
      <c r="AC284" s="163">
        <v>4644734.3108888865</v>
      </c>
      <c r="AD284" s="163">
        <v>-1205800.1405093372</v>
      </c>
      <c r="AE284" s="163">
        <v>-7661085.5094107091</v>
      </c>
      <c r="AF284" s="163">
        <v>-4986888.4776657075</v>
      </c>
      <c r="AG284" s="163">
        <v>-18662697.220007047</v>
      </c>
    </row>
    <row r="285" spans="16:33" ht="15.75" customHeight="1">
      <c r="P285" s="162"/>
      <c r="Q285" s="162">
        <v>268</v>
      </c>
      <c r="R285" s="163">
        <v>-41029229.891281307</v>
      </c>
      <c r="S285" s="163">
        <v>-29171499.020785481</v>
      </c>
      <c r="T285" s="163">
        <v>-18971389.105292052</v>
      </c>
      <c r="U285" s="163">
        <v>-6268963.0484146476</v>
      </c>
      <c r="V285" s="163">
        <v>-14065882.910371438</v>
      </c>
      <c r="W285" s="164">
        <v>5169913.7995200455</v>
      </c>
      <c r="X285" s="163">
        <v>17203478.91146861</v>
      </c>
      <c r="Y285" s="163">
        <v>6711129.6630672812</v>
      </c>
      <c r="Z285" s="163">
        <v>7616189.5571432263</v>
      </c>
      <c r="AA285" s="163">
        <v>1689850.1442918479</v>
      </c>
      <c r="AB285" s="163">
        <v>12077859.91085586</v>
      </c>
      <c r="AC285" s="163">
        <v>2860595.5473944396</v>
      </c>
      <c r="AD285" s="163">
        <v>-4952968.276923582</v>
      </c>
      <c r="AE285" s="163">
        <v>-8814073.0973678678</v>
      </c>
      <c r="AF285" s="163">
        <v>-13209475.972940713</v>
      </c>
      <c r="AG285" s="163">
        <v>-9344291.2353519797</v>
      </c>
    </row>
    <row r="286" spans="16:33" ht="15.75" customHeight="1">
      <c r="P286" s="162"/>
      <c r="Q286" s="162">
        <v>269</v>
      </c>
      <c r="R286" s="163">
        <v>-39077058.942585319</v>
      </c>
      <c r="S286" s="163">
        <v>-23239057.097497553</v>
      </c>
      <c r="T286" s="163">
        <v>-15795231.446896851</v>
      </c>
      <c r="U286" s="163">
        <v>-9990911.5133476406</v>
      </c>
      <c r="V286" s="163">
        <v>-10325072.106932923</v>
      </c>
      <c r="W286" s="164">
        <v>285136.20569717884</v>
      </c>
      <c r="X286" s="163">
        <v>16212189.374808714</v>
      </c>
      <c r="Y286" s="163">
        <v>11798599.914865315</v>
      </c>
      <c r="Z286" s="163">
        <v>15402773.284667119</v>
      </c>
      <c r="AA286" s="163">
        <v>22277315.345961243</v>
      </c>
      <c r="AB286" s="163">
        <v>4571487.7920101434</v>
      </c>
      <c r="AC286" s="163">
        <v>4610028.5387207419</v>
      </c>
      <c r="AD286" s="163">
        <v>442217.10724657774</v>
      </c>
      <c r="AE286" s="163">
        <v>-12368596.58419688</v>
      </c>
      <c r="AF286" s="163">
        <v>-19961502.619345441</v>
      </c>
      <c r="AG286" s="163">
        <v>-15172824.311213344</v>
      </c>
    </row>
    <row r="287" spans="16:33" ht="15.75" customHeight="1">
      <c r="P287" s="162"/>
      <c r="Q287" s="162">
        <v>270</v>
      </c>
      <c r="R287" s="163">
        <v>-33468333.243521661</v>
      </c>
      <c r="S287" s="163">
        <v>-25946223.884079829</v>
      </c>
      <c r="T287" s="163">
        <v>-19375012.431212068</v>
      </c>
      <c r="U287" s="163">
        <v>-10006718.884592995</v>
      </c>
      <c r="V287" s="163">
        <v>-7419458.7623547614</v>
      </c>
      <c r="W287" s="164">
        <v>-8211170.6582297385</v>
      </c>
      <c r="X287" s="163">
        <v>5319894.2109567523</v>
      </c>
      <c r="Y287" s="163">
        <v>3459039.2490173578</v>
      </c>
      <c r="Z287" s="163">
        <v>14385506.602509171</v>
      </c>
      <c r="AA287" s="163">
        <v>7040439.9286703169</v>
      </c>
      <c r="AB287" s="163">
        <v>10357851.870247781</v>
      </c>
      <c r="AC287" s="163">
        <v>12450802.989962235</v>
      </c>
      <c r="AD287" s="163">
        <v>-2017117.4847358614</v>
      </c>
      <c r="AE287" s="163">
        <v>-3995106.9194353223</v>
      </c>
      <c r="AF287" s="163">
        <v>-13753243.849442467</v>
      </c>
      <c r="AG287" s="163">
        <v>-19517164.702136904</v>
      </c>
    </row>
    <row r="288" spans="16:33" ht="15.75" customHeight="1">
      <c r="P288" s="162"/>
      <c r="Q288" s="162">
        <v>271</v>
      </c>
      <c r="R288" s="163">
        <v>-38633269.887917221</v>
      </c>
      <c r="S288" s="163">
        <v>-29440556.11184299</v>
      </c>
      <c r="T288" s="163">
        <v>-15440244.901161894</v>
      </c>
      <c r="U288" s="163">
        <v>-1691814.9912416041</v>
      </c>
      <c r="V288" s="163">
        <v>-927874.93969765306</v>
      </c>
      <c r="W288" s="164">
        <v>9041501.6216276586</v>
      </c>
      <c r="X288" s="163">
        <v>11815924.34669897</v>
      </c>
      <c r="Y288" s="163">
        <v>15531288.76522845</v>
      </c>
      <c r="Z288" s="163">
        <v>10390749.389203042</v>
      </c>
      <c r="AA288" s="163">
        <v>8273692.6831564009</v>
      </c>
      <c r="AB288" s="163">
        <v>4738114.3782767951</v>
      </c>
      <c r="AC288" s="163">
        <v>18413105.913235247</v>
      </c>
      <c r="AD288" s="163">
        <v>6972264.4678269327</v>
      </c>
      <c r="AE288" s="163">
        <v>-1304180.8993525654</v>
      </c>
      <c r="AF288" s="163">
        <v>-11388984.698247582</v>
      </c>
      <c r="AG288" s="163">
        <v>-18912305.821848944</v>
      </c>
    </row>
    <row r="289" spans="16:33" ht="15.75" customHeight="1">
      <c r="P289" s="162"/>
      <c r="Q289" s="162">
        <v>272</v>
      </c>
      <c r="R289" s="163">
        <v>-41093633.562425882</v>
      </c>
      <c r="S289" s="163">
        <v>-31983671.232845157</v>
      </c>
      <c r="T289" s="163">
        <v>-20065505.51680626</v>
      </c>
      <c r="U289" s="163">
        <v>-7830174.6100414097</v>
      </c>
      <c r="V289" s="163">
        <v>799938.6164522022</v>
      </c>
      <c r="W289" s="164">
        <v>-2560618.3161415309</v>
      </c>
      <c r="X289" s="163">
        <v>2677692.125890702</v>
      </c>
      <c r="Y289" s="163">
        <v>20122295.112988353</v>
      </c>
      <c r="Z289" s="163">
        <v>16797307.612523228</v>
      </c>
      <c r="AA289" s="163">
        <v>13986323.128057986</v>
      </c>
      <c r="AB289" s="163">
        <v>10419441.20025526</v>
      </c>
      <c r="AC289" s="163">
        <v>6508068.6059833467</v>
      </c>
      <c r="AD289" s="163">
        <v>1741307.2744160295</v>
      </c>
      <c r="AE289" s="163">
        <v>-14336971.143278256</v>
      </c>
      <c r="AF289" s="163">
        <v>-11098297.840058506</v>
      </c>
      <c r="AG289" s="163">
        <v>-19640476.317324251</v>
      </c>
    </row>
    <row r="290" spans="16:33" ht="15.75" customHeight="1">
      <c r="P290" s="162"/>
      <c r="Q290" s="162">
        <v>273</v>
      </c>
      <c r="R290" s="163">
        <v>-38594648.501975402</v>
      </c>
      <c r="S290" s="163">
        <v>-20906637.210614398</v>
      </c>
      <c r="T290" s="163">
        <v>-16316963.513939083</v>
      </c>
      <c r="U290" s="163">
        <v>-10539713.216965541</v>
      </c>
      <c r="V290" s="163">
        <v>-4011546.5085043609</v>
      </c>
      <c r="W290" s="164">
        <v>165057.53264467418</v>
      </c>
      <c r="X290" s="163">
        <v>4580208.428086549</v>
      </c>
      <c r="Y290" s="163">
        <v>11726607.458838552</v>
      </c>
      <c r="Z290" s="163">
        <v>9683819.1275342703</v>
      </c>
      <c r="AA290" s="163">
        <v>14969952.387140349</v>
      </c>
      <c r="AB290" s="163">
        <v>18384377.959023416</v>
      </c>
      <c r="AC290" s="163">
        <v>7488342.1875182241</v>
      </c>
      <c r="AD290" s="163">
        <v>3786735.3272412419</v>
      </c>
      <c r="AE290" s="163">
        <v>-5072482.4657139033</v>
      </c>
      <c r="AF290" s="163">
        <v>-5875008.4241240919</v>
      </c>
      <c r="AG290" s="163">
        <v>-21609053.76449424</v>
      </c>
    </row>
    <row r="291" spans="16:33" ht="15.75" customHeight="1">
      <c r="P291" s="162"/>
      <c r="Q291" s="162">
        <v>274</v>
      </c>
      <c r="R291" s="163">
        <v>-34371859.268582165</v>
      </c>
      <c r="S291" s="163">
        <v>-28136076.296320155</v>
      </c>
      <c r="T291" s="163">
        <v>-13421939.394448772</v>
      </c>
      <c r="U291" s="163">
        <v>-6588439.3771613389</v>
      </c>
      <c r="V291" s="163">
        <v>-276483.25551819801</v>
      </c>
      <c r="W291" s="164">
        <v>519711.06053748727</v>
      </c>
      <c r="X291" s="163">
        <v>11293698.40188922</v>
      </c>
      <c r="Y291" s="163">
        <v>10795406.677744895</v>
      </c>
      <c r="Z291" s="163">
        <v>16137190.447654784</v>
      </c>
      <c r="AA291" s="163">
        <v>11970745.836301118</v>
      </c>
      <c r="AB291" s="163">
        <v>8354366.7905424386</v>
      </c>
      <c r="AC291" s="163">
        <v>2001857.6004709303</v>
      </c>
      <c r="AD291" s="163">
        <v>5159296.0790720284</v>
      </c>
      <c r="AE291" s="163">
        <v>658923.40376678109</v>
      </c>
      <c r="AF291" s="163">
        <v>-5436981.0410444736</v>
      </c>
      <c r="AG291" s="163">
        <v>-20675132.719548404</v>
      </c>
    </row>
    <row r="292" spans="16:33" ht="15.75" customHeight="1">
      <c r="P292" s="162"/>
      <c r="Q292" s="162">
        <v>275</v>
      </c>
      <c r="R292" s="163">
        <v>-31377115.788696185</v>
      </c>
      <c r="S292" s="163">
        <v>-17545780.282742843</v>
      </c>
      <c r="T292" s="163">
        <v>-20204632.284049988</v>
      </c>
      <c r="U292" s="163">
        <v>-4272869.7349868715</v>
      </c>
      <c r="V292" s="163">
        <v>2032655.1179548651</v>
      </c>
      <c r="W292" s="164">
        <v>-470157.99708713591</v>
      </c>
      <c r="X292" s="163">
        <v>4839396.6369080096</v>
      </c>
      <c r="Y292" s="163">
        <v>17175554.990163535</v>
      </c>
      <c r="Z292" s="163">
        <v>6902875.6194927543</v>
      </c>
      <c r="AA292" s="163">
        <v>18478591.979614004</v>
      </c>
      <c r="AB292" s="163">
        <v>-3581727.4873635024</v>
      </c>
      <c r="AC292" s="163">
        <v>13906622.351384163</v>
      </c>
      <c r="AD292" s="163">
        <v>-3755100.9189349562</v>
      </c>
      <c r="AE292" s="163">
        <v>-1533087.5715704858</v>
      </c>
      <c r="AF292" s="163">
        <v>-12297660.482491955</v>
      </c>
      <c r="AG292" s="163">
        <v>-13654312.065954536</v>
      </c>
    </row>
    <row r="293" spans="16:33" ht="15.75" customHeight="1">
      <c r="P293" s="162"/>
      <c r="Q293" s="162">
        <v>276</v>
      </c>
      <c r="R293" s="163">
        <v>-39374177.208593547</v>
      </c>
      <c r="S293" s="163">
        <v>-16715443.790272176</v>
      </c>
      <c r="T293" s="163">
        <v>-10011313.565263614</v>
      </c>
      <c r="U293" s="163">
        <v>-4007603.5401782244</v>
      </c>
      <c r="V293" s="163">
        <v>-9610694.4461275637</v>
      </c>
      <c r="W293" s="164">
        <v>966286.66151033342</v>
      </c>
      <c r="X293" s="163">
        <v>10288652.434444457</v>
      </c>
      <c r="Y293" s="163">
        <v>-2464938.8464109153</v>
      </c>
      <c r="Z293" s="163">
        <v>7140895.4873008877</v>
      </c>
      <c r="AA293" s="163">
        <v>10364151.728567764</v>
      </c>
      <c r="AB293" s="163">
        <v>7511095.1616262197</v>
      </c>
      <c r="AC293" s="163">
        <v>11259751.839303419</v>
      </c>
      <c r="AD293" s="163">
        <v>-6134021.3507909328</v>
      </c>
      <c r="AE293" s="163">
        <v>-1905952.0826406032</v>
      </c>
      <c r="AF293" s="163">
        <v>-6845875.2358825952</v>
      </c>
      <c r="AG293" s="163">
        <v>-24019134.793677643</v>
      </c>
    </row>
    <row r="294" spans="16:33" ht="15.75" customHeight="1">
      <c r="P294" s="162"/>
      <c r="Q294" s="162">
        <v>277</v>
      </c>
      <c r="R294" s="163">
        <v>-40459712.970757842</v>
      </c>
      <c r="S294" s="163">
        <v>-23344625.385924861</v>
      </c>
      <c r="T294" s="163">
        <v>-12585638.87270461</v>
      </c>
      <c r="U294" s="163">
        <v>-10284362.240879342</v>
      </c>
      <c r="V294" s="163">
        <v>118635.55261017382</v>
      </c>
      <c r="W294" s="164">
        <v>12914843.54602617</v>
      </c>
      <c r="X294" s="163">
        <v>9254034.2930583358</v>
      </c>
      <c r="Y294" s="163">
        <v>2083776.3963827044</v>
      </c>
      <c r="Z294" s="163">
        <v>10765714.227834046</v>
      </c>
      <c r="AA294" s="163">
        <v>13123340.775373295</v>
      </c>
      <c r="AB294" s="163">
        <v>10883918.544730917</v>
      </c>
      <c r="AC294" s="163">
        <v>12988248.197028577</v>
      </c>
      <c r="AD294" s="163">
        <v>8499218.9017228633</v>
      </c>
      <c r="AE294" s="163">
        <v>6900354.739719376</v>
      </c>
      <c r="AF294" s="163">
        <v>-2700487.557215482</v>
      </c>
      <c r="AG294" s="163">
        <v>-22994466.233912289</v>
      </c>
    </row>
    <row r="295" spans="16:33" ht="15.75" customHeight="1">
      <c r="P295" s="162"/>
      <c r="Q295" s="162">
        <v>278</v>
      </c>
      <c r="R295" s="163">
        <v>-39454502.109644905</v>
      </c>
      <c r="S295" s="163">
        <v>-24771803.097391576</v>
      </c>
      <c r="T295" s="163">
        <v>-12896716.953288898</v>
      </c>
      <c r="U295" s="163">
        <v>-2918847.6357458234</v>
      </c>
      <c r="V295" s="163">
        <v>6136004.4123034626</v>
      </c>
      <c r="W295" s="164">
        <v>-3417578.0096895844</v>
      </c>
      <c r="X295" s="163">
        <v>-1239292.0373079628</v>
      </c>
      <c r="Y295" s="163">
        <v>12765471.493477792</v>
      </c>
      <c r="Z295" s="163">
        <v>4499190.3545116782</v>
      </c>
      <c r="AA295" s="163">
        <v>8661096.8542890847</v>
      </c>
      <c r="AB295" s="163">
        <v>4093634.6128073484</v>
      </c>
      <c r="AC295" s="163">
        <v>12150822.459577799</v>
      </c>
      <c r="AD295" s="163">
        <v>3569395.2658747882</v>
      </c>
      <c r="AE295" s="163">
        <v>2431086.2571193278</v>
      </c>
      <c r="AF295" s="163">
        <v>-7175709.2681937218</v>
      </c>
      <c r="AG295" s="163">
        <v>-11450901.590517163</v>
      </c>
    </row>
    <row r="296" spans="16:33" ht="15.75" customHeight="1">
      <c r="P296" s="162"/>
      <c r="Q296" s="162">
        <v>279</v>
      </c>
      <c r="R296" s="163">
        <v>-36483059.356496304</v>
      </c>
      <c r="S296" s="163">
        <v>-27209217.891079456</v>
      </c>
      <c r="T296" s="163">
        <v>-19590726.339168355</v>
      </c>
      <c r="U296" s="163">
        <v>6580192.5627498478</v>
      </c>
      <c r="V296" s="163">
        <v>7039492.4942618608</v>
      </c>
      <c r="W296" s="164">
        <v>5627509.0595101565</v>
      </c>
      <c r="X296" s="163">
        <v>-883280.97283799946</v>
      </c>
      <c r="Y296" s="163">
        <v>3158916.8005965501</v>
      </c>
      <c r="Z296" s="163">
        <v>14529071.677437991</v>
      </c>
      <c r="AA296" s="163">
        <v>3327233.794016704</v>
      </c>
      <c r="AB296" s="163">
        <v>11521356.124926314</v>
      </c>
      <c r="AC296" s="163">
        <v>4911180.1340439916</v>
      </c>
      <c r="AD296" s="163">
        <v>-2262841.9195484817</v>
      </c>
      <c r="AE296" s="163">
        <v>-6561253.8269238323</v>
      </c>
      <c r="AF296" s="163">
        <v>-23033225.168405876</v>
      </c>
      <c r="AG296" s="163">
        <v>-21196045.273446038</v>
      </c>
    </row>
    <row r="297" spans="16:33" ht="15.75" customHeight="1">
      <c r="P297" s="162"/>
      <c r="Q297" s="162">
        <v>280</v>
      </c>
      <c r="R297" s="163">
        <v>-34988980.879165351</v>
      </c>
      <c r="S297" s="163">
        <v>-25723836.066705808</v>
      </c>
      <c r="T297" s="163">
        <v>-13766806.598953813</v>
      </c>
      <c r="U297" s="163">
        <v>-14191919.091571212</v>
      </c>
      <c r="V297" s="163">
        <v>-4897988.9768445492</v>
      </c>
      <c r="W297" s="164">
        <v>-212444.85354541242</v>
      </c>
      <c r="X297" s="163">
        <v>4088810.0803189874</v>
      </c>
      <c r="Y297" s="163">
        <v>1978675.2229248881</v>
      </c>
      <c r="Z297" s="163">
        <v>6949490.9883013368</v>
      </c>
      <c r="AA297" s="163">
        <v>14941628.834547073</v>
      </c>
      <c r="AB297" s="163">
        <v>2210589.7011698186</v>
      </c>
      <c r="AC297" s="163">
        <v>1580859.2124694884</v>
      </c>
      <c r="AD297" s="163">
        <v>1007356.0752041787</v>
      </c>
      <c r="AE297" s="163">
        <v>-6255097.9198945314</v>
      </c>
      <c r="AF297" s="163">
        <v>-13404486.137436911</v>
      </c>
      <c r="AG297" s="163">
        <v>-18651565.349451825</v>
      </c>
    </row>
    <row r="298" spans="16:33" ht="15.75" customHeight="1">
      <c r="P298" s="162"/>
      <c r="Q298" s="162">
        <v>281</v>
      </c>
      <c r="R298" s="163">
        <v>-34628034.587873518</v>
      </c>
      <c r="S298" s="163">
        <v>-24783574.565397575</v>
      </c>
      <c r="T298" s="163">
        <v>-16714332.004616827</v>
      </c>
      <c r="U298" s="163">
        <v>-3575373.2017695904</v>
      </c>
      <c r="V298" s="163">
        <v>501715.92615817487</v>
      </c>
      <c r="W298" s="164">
        <v>-613175.74554437399</v>
      </c>
      <c r="X298" s="163">
        <v>9873728.5933223218</v>
      </c>
      <c r="Y298" s="163">
        <v>7951725.8439474851</v>
      </c>
      <c r="Z298" s="163">
        <v>4536616.2043615878</v>
      </c>
      <c r="AA298" s="163">
        <v>14199420.5892113</v>
      </c>
      <c r="AB298" s="163">
        <v>11323534.734872371</v>
      </c>
      <c r="AC298" s="163">
        <v>6674594.8763663769</v>
      </c>
      <c r="AD298" s="163">
        <v>1860923.8752426952</v>
      </c>
      <c r="AE298" s="163">
        <v>3133932.5233953148</v>
      </c>
      <c r="AF298" s="163">
        <v>-21454791.249790564</v>
      </c>
      <c r="AG298" s="163">
        <v>-18488246.330537274</v>
      </c>
    </row>
    <row r="299" spans="16:33" ht="15.75" customHeight="1">
      <c r="P299" s="162"/>
      <c r="Q299" s="162">
        <v>282</v>
      </c>
      <c r="R299" s="163">
        <v>-37000277.386867657</v>
      </c>
      <c r="S299" s="163">
        <v>-18779505.030707747</v>
      </c>
      <c r="T299" s="163">
        <v>-7316128.4831223786</v>
      </c>
      <c r="U299" s="163">
        <v>-7901129.0314104855</v>
      </c>
      <c r="V299" s="163">
        <v>5720922.2079849988</v>
      </c>
      <c r="W299" s="164">
        <v>-7075803.0255549699</v>
      </c>
      <c r="X299" s="163">
        <v>7308424.308656171</v>
      </c>
      <c r="Y299" s="163">
        <v>-2225219.5909274369</v>
      </c>
      <c r="Z299" s="163">
        <v>11695101.161781237</v>
      </c>
      <c r="AA299" s="163">
        <v>13325231.442515448</v>
      </c>
      <c r="AB299" s="163">
        <v>8283037.2082307041</v>
      </c>
      <c r="AC299" s="163">
        <v>840952.55242821574</v>
      </c>
      <c r="AD299" s="163">
        <v>6308564.9125788808</v>
      </c>
      <c r="AE299" s="163">
        <v>-4686482.8810554743</v>
      </c>
      <c r="AF299" s="163">
        <v>-19471251.819827363</v>
      </c>
      <c r="AG299" s="163">
        <v>-18942583.204085663</v>
      </c>
    </row>
    <row r="300" spans="16:33" ht="15.75" customHeight="1">
      <c r="P300" s="162"/>
      <c r="Q300" s="162">
        <v>283</v>
      </c>
      <c r="R300" s="163">
        <v>-43675264.670764521</v>
      </c>
      <c r="S300" s="163">
        <v>-11283429.123316377</v>
      </c>
      <c r="T300" s="163">
        <v>-16137286.950641438</v>
      </c>
      <c r="U300" s="163">
        <v>-14228399.605209559</v>
      </c>
      <c r="V300" s="163">
        <v>-7014261.7365606278</v>
      </c>
      <c r="W300" s="164">
        <v>370803.20696368814</v>
      </c>
      <c r="X300" s="163">
        <v>2580894.3966619223</v>
      </c>
      <c r="Y300" s="163">
        <v>13793404.904587075</v>
      </c>
      <c r="Z300" s="163">
        <v>17955186.997155786</v>
      </c>
      <c r="AA300" s="163">
        <v>2540912.1057616025</v>
      </c>
      <c r="AB300" s="163">
        <v>13084060.31342724</v>
      </c>
      <c r="AC300" s="163">
        <v>3320641.8007230163</v>
      </c>
      <c r="AD300" s="163">
        <v>-182965.53535692394</v>
      </c>
      <c r="AE300" s="163">
        <v>-8834654.4090916812</v>
      </c>
      <c r="AF300" s="163">
        <v>-6749495.2354680747</v>
      </c>
      <c r="AG300" s="163">
        <v>-15593757.567519665</v>
      </c>
    </row>
    <row r="301" spans="16:33" ht="15.75" customHeight="1">
      <c r="P301" s="162"/>
      <c r="Q301" s="162">
        <v>284</v>
      </c>
      <c r="R301" s="163">
        <v>-35018289.522557646</v>
      </c>
      <c r="S301" s="163">
        <v>-23144035.475502178</v>
      </c>
      <c r="T301" s="163">
        <v>-6746042.245764181</v>
      </c>
      <c r="U301" s="163">
        <v>-441394.2954454273</v>
      </c>
      <c r="V301" s="163">
        <v>1931671.6528989822</v>
      </c>
      <c r="W301" s="164">
        <v>-1495932.4285942316</v>
      </c>
      <c r="X301" s="163">
        <v>10976223.47469376</v>
      </c>
      <c r="Y301" s="163">
        <v>18395183.84811224</v>
      </c>
      <c r="Z301" s="163">
        <v>4186825.8963101953</v>
      </c>
      <c r="AA301" s="163">
        <v>17312419.018382788</v>
      </c>
      <c r="AB301" s="163">
        <v>12077839.811445117</v>
      </c>
      <c r="AC301" s="163">
        <v>3918174.0662165731</v>
      </c>
      <c r="AD301" s="163">
        <v>17502495.669261649</v>
      </c>
      <c r="AE301" s="163">
        <v>-5411860.4174573272</v>
      </c>
      <c r="AF301" s="163">
        <v>-16726535.169992805</v>
      </c>
      <c r="AG301" s="163">
        <v>-29547627.371323466</v>
      </c>
    </row>
    <row r="302" spans="16:33" ht="15.75" customHeight="1">
      <c r="P302" s="162"/>
      <c r="Q302" s="162">
        <v>285</v>
      </c>
      <c r="R302" s="163">
        <v>-35835984.6754307</v>
      </c>
      <c r="S302" s="163">
        <v>-19062581.977782443</v>
      </c>
      <c r="T302" s="163">
        <v>-11284912.751436591</v>
      </c>
      <c r="U302" s="163">
        <v>956485.08757659793</v>
      </c>
      <c r="V302" s="163">
        <v>-4420249.7198905647</v>
      </c>
      <c r="W302" s="164">
        <v>6468558.9760382026</v>
      </c>
      <c r="X302" s="163">
        <v>12641714.417755395</v>
      </c>
      <c r="Y302" s="163">
        <v>7488496.2699944079</v>
      </c>
      <c r="Z302" s="163">
        <v>26846287.102379352</v>
      </c>
      <c r="AA302" s="163">
        <v>664589.70470155776</v>
      </c>
      <c r="AB302" s="163">
        <v>15038050.395216972</v>
      </c>
      <c r="AC302" s="163">
        <v>6704260.9465414435</v>
      </c>
      <c r="AD302" s="163">
        <v>13703199.149426192</v>
      </c>
      <c r="AE302" s="163">
        <v>-2882002.3414025456</v>
      </c>
      <c r="AF302" s="163">
        <v>-9412709.291565612</v>
      </c>
      <c r="AG302" s="163">
        <v>-26223552.420444191</v>
      </c>
    </row>
    <row r="303" spans="16:33" ht="15.75" customHeight="1">
      <c r="P303" s="162"/>
      <c r="Q303" s="162">
        <v>286</v>
      </c>
      <c r="R303" s="163">
        <v>-40074910.29629682</v>
      </c>
      <c r="S303" s="163">
        <v>-15555601.912136734</v>
      </c>
      <c r="T303" s="163">
        <v>-6266231.7428556681</v>
      </c>
      <c r="U303" s="163">
        <v>-7561191.4111886919</v>
      </c>
      <c r="V303" s="163">
        <v>9691004.7774924338</v>
      </c>
      <c r="W303" s="164">
        <v>3455737.4906814694</v>
      </c>
      <c r="X303" s="163">
        <v>3808662.7645856142</v>
      </c>
      <c r="Y303" s="163">
        <v>11063027.388884798</v>
      </c>
      <c r="Z303" s="163">
        <v>13070038.997886434</v>
      </c>
      <c r="AA303" s="163">
        <v>21301415.509394646</v>
      </c>
      <c r="AB303" s="163">
        <v>3650671.5924207121</v>
      </c>
      <c r="AC303" s="163">
        <v>6606462.6709264517</v>
      </c>
      <c r="AD303" s="163">
        <v>6466266.4617772549</v>
      </c>
      <c r="AE303" s="163">
        <v>-5112602.0690504164</v>
      </c>
      <c r="AF303" s="163">
        <v>-20588383.386994272</v>
      </c>
      <c r="AG303" s="163">
        <v>-23941783.233280957</v>
      </c>
    </row>
    <row r="304" spans="16:33" ht="15.75" customHeight="1">
      <c r="P304" s="162"/>
      <c r="Q304" s="162">
        <v>287</v>
      </c>
      <c r="R304" s="163">
        <v>-36858783.902558148</v>
      </c>
      <c r="S304" s="163">
        <v>-27977785.006953582</v>
      </c>
      <c r="T304" s="163">
        <v>-12195472.578866571</v>
      </c>
      <c r="U304" s="163">
        <v>-1483502.5754642636</v>
      </c>
      <c r="V304" s="163">
        <v>3097413.4944979995</v>
      </c>
      <c r="W304" s="164">
        <v>1023638.4997966439</v>
      </c>
      <c r="X304" s="163">
        <v>17295363.291102603</v>
      </c>
      <c r="Y304" s="163">
        <v>8060562.1186286062</v>
      </c>
      <c r="Z304" s="163">
        <v>3631775.2852160633</v>
      </c>
      <c r="AA304" s="163">
        <v>8446768.3141273707</v>
      </c>
      <c r="AB304" s="163">
        <v>2129748.1140016913</v>
      </c>
      <c r="AC304" s="163">
        <v>-8905140.5210209638</v>
      </c>
      <c r="AD304" s="163">
        <v>-5376845.0106586367</v>
      </c>
      <c r="AE304" s="163">
        <v>2279258.5754890144</v>
      </c>
      <c r="AF304" s="163">
        <v>-15533543.489407718</v>
      </c>
      <c r="AG304" s="163">
        <v>-20783278.975221321</v>
      </c>
    </row>
    <row r="305" spans="16:33" ht="15.75" customHeight="1">
      <c r="P305" s="162"/>
      <c r="Q305" s="162">
        <v>288</v>
      </c>
      <c r="R305" s="163">
        <v>-35504765.292499125</v>
      </c>
      <c r="S305" s="163">
        <v>-25788716.808460653</v>
      </c>
      <c r="T305" s="163">
        <v>-26294753.784224167</v>
      </c>
      <c r="U305" s="163">
        <v>-6816606.0065242797</v>
      </c>
      <c r="V305" s="163">
        <v>-1373451.3271869421</v>
      </c>
      <c r="W305" s="164">
        <v>7786070.4036364555</v>
      </c>
      <c r="X305" s="163">
        <v>-490447.89504782856</v>
      </c>
      <c r="Y305" s="163">
        <v>13984121.163490415</v>
      </c>
      <c r="Z305" s="163">
        <v>9954850.975142464</v>
      </c>
      <c r="AA305" s="163">
        <v>3157422.282920748</v>
      </c>
      <c r="AB305" s="163">
        <v>10364724.931257948</v>
      </c>
      <c r="AC305" s="163">
        <v>11694212.322991684</v>
      </c>
      <c r="AD305" s="163">
        <v>-9630277.6282523125</v>
      </c>
      <c r="AE305" s="163">
        <v>-8636731.3302962333</v>
      </c>
      <c r="AF305" s="163">
        <v>-10282494.840667292</v>
      </c>
      <c r="AG305" s="163">
        <v>-19797467.274437338</v>
      </c>
    </row>
    <row r="306" spans="16:33" ht="15.75" customHeight="1">
      <c r="P306" s="162"/>
      <c r="Q306" s="162">
        <v>289</v>
      </c>
      <c r="R306" s="163">
        <v>-44326024.838753119</v>
      </c>
      <c r="S306" s="163">
        <v>-24072405.787633747</v>
      </c>
      <c r="T306" s="163">
        <v>-15765267.921885028</v>
      </c>
      <c r="U306" s="163">
        <v>-9150260.6445811987</v>
      </c>
      <c r="V306" s="163">
        <v>3817941.6149402708</v>
      </c>
      <c r="W306" s="164">
        <v>7638676.1776284575</v>
      </c>
      <c r="X306" s="163">
        <v>9304261.9576193392</v>
      </c>
      <c r="Y306" s="163">
        <v>6730965.7155543417</v>
      </c>
      <c r="Z306" s="163">
        <v>8829141.0570365489</v>
      </c>
      <c r="AA306" s="163">
        <v>9034208.8377109766</v>
      </c>
      <c r="AB306" s="163">
        <v>5367953.5162568688</v>
      </c>
      <c r="AC306" s="163">
        <v>5468578.3798717558</v>
      </c>
      <c r="AD306" s="163">
        <v>938925.77097028494</v>
      </c>
      <c r="AE306" s="163">
        <v>-10162109.843479589</v>
      </c>
      <c r="AF306" s="163">
        <v>-16243570.539808795</v>
      </c>
      <c r="AG306" s="163">
        <v>-17318893.493686631</v>
      </c>
    </row>
    <row r="307" spans="16:33" ht="15.75" customHeight="1">
      <c r="P307" s="162"/>
      <c r="Q307" s="162">
        <v>290</v>
      </c>
      <c r="R307" s="163">
        <v>-41144972.395801604</v>
      </c>
      <c r="S307" s="163">
        <v>-23434312.352732226</v>
      </c>
      <c r="T307" s="163">
        <v>-11304589.930226147</v>
      </c>
      <c r="U307" s="163">
        <v>-15748994.803654671</v>
      </c>
      <c r="V307" s="163">
        <v>2546939.3214450628</v>
      </c>
      <c r="W307" s="164">
        <v>5225594.8745862097</v>
      </c>
      <c r="X307" s="163">
        <v>17099296.300521627</v>
      </c>
      <c r="Y307" s="163">
        <v>3124052.4753373265</v>
      </c>
      <c r="Z307" s="163">
        <v>9720918.4191821814</v>
      </c>
      <c r="AA307" s="163">
        <v>15944031.382350162</v>
      </c>
      <c r="AB307" s="163">
        <v>19038687.672681317</v>
      </c>
      <c r="AC307" s="163">
        <v>7970504.0021714568</v>
      </c>
      <c r="AD307" s="163">
        <v>156051.14093127847</v>
      </c>
      <c r="AE307" s="163">
        <v>-11436829.917017847</v>
      </c>
      <c r="AF307" s="163">
        <v>-3016996.2764997631</v>
      </c>
      <c r="AG307" s="163">
        <v>-10198506.904043928</v>
      </c>
    </row>
    <row r="308" spans="16:33" ht="15.75" customHeight="1">
      <c r="P308" s="162"/>
      <c r="Q308" s="162">
        <v>291</v>
      </c>
      <c r="R308" s="163">
        <v>-30239557.657129437</v>
      </c>
      <c r="S308" s="163">
        <v>-25901253.940961704</v>
      </c>
      <c r="T308" s="163">
        <v>-13786660.009400889</v>
      </c>
      <c r="U308" s="163">
        <v>-11992712.038334548</v>
      </c>
      <c r="V308" s="163">
        <v>3216969.9232162535</v>
      </c>
      <c r="W308" s="164">
        <v>7746075.5085335076</v>
      </c>
      <c r="X308" s="163">
        <v>4753579.2376057208</v>
      </c>
      <c r="Y308" s="163">
        <v>553163.15809580684</v>
      </c>
      <c r="Z308" s="163">
        <v>18301230.814674526</v>
      </c>
      <c r="AA308" s="163">
        <v>8045899.2278090715</v>
      </c>
      <c r="AB308" s="163">
        <v>20135496.116348431</v>
      </c>
      <c r="AC308" s="163">
        <v>4947970.8139212132</v>
      </c>
      <c r="AD308" s="163">
        <v>11944903.561291143</v>
      </c>
      <c r="AE308" s="163">
        <v>-16068812.15784502</v>
      </c>
      <c r="AF308" s="163">
        <v>-12255827.136868104</v>
      </c>
      <c r="AG308" s="163">
        <v>-15055268.634852767</v>
      </c>
    </row>
    <row r="309" spans="16:33" ht="15.75" customHeight="1">
      <c r="P309" s="162"/>
      <c r="Q309" s="162">
        <v>292</v>
      </c>
      <c r="R309" s="163">
        <v>-32674719.830323413</v>
      </c>
      <c r="S309" s="163">
        <v>-18820719.583064109</v>
      </c>
      <c r="T309" s="163">
        <v>-10177213.627443641</v>
      </c>
      <c r="U309" s="163">
        <v>-13750164.775990561</v>
      </c>
      <c r="V309" s="163">
        <v>6657484.5713929832</v>
      </c>
      <c r="W309" s="164">
        <v>-2149753.1552028507</v>
      </c>
      <c r="X309" s="163">
        <v>7505685.2619694024</v>
      </c>
      <c r="Y309" s="163">
        <v>8846095.2389236093</v>
      </c>
      <c r="Z309" s="163">
        <v>15224136.56941317</v>
      </c>
      <c r="AA309" s="163">
        <v>10947329.503543764</v>
      </c>
      <c r="AB309" s="163">
        <v>9623022.2698069513</v>
      </c>
      <c r="AC309" s="163">
        <v>6620700.9264354855</v>
      </c>
      <c r="AD309" s="163">
        <v>1851909.7287635952</v>
      </c>
      <c r="AE309" s="163">
        <v>-1146632.1940388829</v>
      </c>
      <c r="AF309" s="163">
        <v>-20987808.050267562</v>
      </c>
      <c r="AG309" s="163">
        <v>-15193709.712458134</v>
      </c>
    </row>
    <row r="310" spans="16:33" ht="15.75" customHeight="1">
      <c r="P310" s="162"/>
      <c r="Q310" s="162">
        <v>293</v>
      </c>
      <c r="R310" s="163">
        <v>-41117592.554548547</v>
      </c>
      <c r="S310" s="163">
        <v>-29063138.478284061</v>
      </c>
      <c r="T310" s="163">
        <v>-10161389.334342465</v>
      </c>
      <c r="U310" s="163">
        <v>-9364645.6908942461</v>
      </c>
      <c r="V310" s="163">
        <v>-2893000.6962914765</v>
      </c>
      <c r="W310" s="164">
        <v>-3600468.5655133724</v>
      </c>
      <c r="X310" s="163">
        <v>15558392.840599969</v>
      </c>
      <c r="Y310" s="163">
        <v>7191425.4292308241</v>
      </c>
      <c r="Z310" s="163">
        <v>11032450.92685999</v>
      </c>
      <c r="AA310" s="163">
        <v>10695829.556699127</v>
      </c>
      <c r="AB310" s="163">
        <v>4136502.7753129303</v>
      </c>
      <c r="AC310" s="163">
        <v>8608451.9213272631</v>
      </c>
      <c r="AD310" s="163">
        <v>787057.99380612373</v>
      </c>
      <c r="AE310" s="163">
        <v>-10168600.953981131</v>
      </c>
      <c r="AF310" s="163">
        <v>-8565870.8128944188</v>
      </c>
      <c r="AG310" s="163">
        <v>-9993222.2148520648</v>
      </c>
    </row>
    <row r="311" spans="16:33" ht="15.75" customHeight="1">
      <c r="P311" s="162"/>
      <c r="Q311" s="162">
        <v>294</v>
      </c>
      <c r="R311" s="163">
        <v>-42815351.489862308</v>
      </c>
      <c r="S311" s="163">
        <v>-19205677.906254262</v>
      </c>
      <c r="T311" s="163">
        <v>-11304225.868248329</v>
      </c>
      <c r="U311" s="163">
        <v>-9964166.3296842575</v>
      </c>
      <c r="V311" s="163">
        <v>2178593.8363240212</v>
      </c>
      <c r="W311" s="164">
        <v>327092.9738830179</v>
      </c>
      <c r="X311" s="163">
        <v>13036444.474017709</v>
      </c>
      <c r="Y311" s="163">
        <v>7489416.5616634786</v>
      </c>
      <c r="Z311" s="163">
        <v>14106066.736982688</v>
      </c>
      <c r="AA311" s="163">
        <v>12138872.384924591</v>
      </c>
      <c r="AB311" s="163">
        <v>17684580.869426817</v>
      </c>
      <c r="AC311" s="163">
        <v>13441122.686141744</v>
      </c>
      <c r="AD311" s="163">
        <v>8806666.7602732182</v>
      </c>
      <c r="AE311" s="163">
        <v>-2942774.6067577899</v>
      </c>
      <c r="AF311" s="163">
        <v>-10589122.631929383</v>
      </c>
      <c r="AG311" s="163">
        <v>-19298101.74080424</v>
      </c>
    </row>
    <row r="312" spans="16:33" ht="15.75" customHeight="1">
      <c r="P312" s="162"/>
      <c r="Q312" s="162">
        <v>295</v>
      </c>
      <c r="R312" s="163">
        <v>-36510072.014977083</v>
      </c>
      <c r="S312" s="163">
        <v>-21338067.951735601</v>
      </c>
      <c r="T312" s="163">
        <v>-16228742.759018138</v>
      </c>
      <c r="U312" s="163">
        <v>-8339571.3346577287</v>
      </c>
      <c r="V312" s="163">
        <v>-4970800.8493189067</v>
      </c>
      <c r="W312" s="164">
        <v>15484009.684508592</v>
      </c>
      <c r="X312" s="163">
        <v>11530991.39492771</v>
      </c>
      <c r="Y312" s="163">
        <v>-3814504.5001860261</v>
      </c>
      <c r="Z312" s="163">
        <v>10556382.258867949</v>
      </c>
      <c r="AA312" s="163">
        <v>13276343.143171698</v>
      </c>
      <c r="AB312" s="163">
        <v>1184666.8984095007</v>
      </c>
      <c r="AC312" s="163">
        <v>-10519605.844521374</v>
      </c>
      <c r="AD312" s="163">
        <v>1565591.9115926325</v>
      </c>
      <c r="AE312" s="163">
        <v>-13017757.734412923</v>
      </c>
      <c r="AF312" s="163">
        <v>-6901474.0668507367</v>
      </c>
      <c r="AG312" s="163">
        <v>-21235002.524075836</v>
      </c>
    </row>
    <row r="313" spans="16:33" ht="15.75" customHeight="1">
      <c r="P313" s="162"/>
      <c r="Q313" s="162">
        <v>296</v>
      </c>
      <c r="R313" s="163">
        <v>-32769767.704856783</v>
      </c>
      <c r="S313" s="163">
        <v>-21820399.994405851</v>
      </c>
      <c r="T313" s="163">
        <v>-17362565.970340118</v>
      </c>
      <c r="U313" s="163">
        <v>-12033451.289117053</v>
      </c>
      <c r="V313" s="163">
        <v>3968257.3328087628</v>
      </c>
      <c r="W313" s="164">
        <v>2576073.3173834383</v>
      </c>
      <c r="X313" s="163">
        <v>2433237.6198227555</v>
      </c>
      <c r="Y313" s="163">
        <v>7298558.1035355031</v>
      </c>
      <c r="Z313" s="163">
        <v>22436586.544285238</v>
      </c>
      <c r="AA313" s="163">
        <v>17226760.429738194</v>
      </c>
      <c r="AB313" s="163">
        <v>18221.096800982952</v>
      </c>
      <c r="AC313" s="163">
        <v>930821.67120872438</v>
      </c>
      <c r="AD313" s="163">
        <v>-5534327.5044949353</v>
      </c>
      <c r="AE313" s="163">
        <v>-4893340.4880658388</v>
      </c>
      <c r="AF313" s="163">
        <v>-4010090.1408137828</v>
      </c>
      <c r="AG313" s="163">
        <v>-21839398.009306639</v>
      </c>
    </row>
    <row r="314" spans="16:33" ht="15.75" customHeight="1">
      <c r="P314" s="162"/>
      <c r="Q314" s="162">
        <v>297</v>
      </c>
      <c r="R314" s="163">
        <v>-37320164.29000771</v>
      </c>
      <c r="S314" s="163">
        <v>-24513149.618869022</v>
      </c>
      <c r="T314" s="163">
        <v>-11447419.349950492</v>
      </c>
      <c r="U314" s="163">
        <v>-12909640.679512292</v>
      </c>
      <c r="V314" s="163">
        <v>6147238.8680038452</v>
      </c>
      <c r="W314" s="164">
        <v>-2365528.5434635282</v>
      </c>
      <c r="X314" s="163">
        <v>2490836.6367539912</v>
      </c>
      <c r="Y314" s="163">
        <v>17221949.91313678</v>
      </c>
      <c r="Z314" s="163">
        <v>867115.37822967768</v>
      </c>
      <c r="AA314" s="163">
        <v>11741179.453193262</v>
      </c>
      <c r="AB314" s="163">
        <v>4835812.0518756509</v>
      </c>
      <c r="AC314" s="163">
        <v>-5369188.2771405578</v>
      </c>
      <c r="AD314" s="163">
        <v>3253494.2562455684</v>
      </c>
      <c r="AE314" s="163">
        <v>-7863589.3827307522</v>
      </c>
      <c r="AF314" s="163">
        <v>-14624900.587981537</v>
      </c>
      <c r="AG314" s="163">
        <v>-25315779.951076746</v>
      </c>
    </row>
    <row r="315" spans="16:33" ht="15.75" customHeight="1">
      <c r="P315" s="162"/>
      <c r="Q315" s="162">
        <v>298</v>
      </c>
      <c r="R315" s="163">
        <v>-36472067.05206576</v>
      </c>
      <c r="S315" s="163">
        <v>-18913227.888824239</v>
      </c>
      <c r="T315" s="163">
        <v>-15007030.82486324</v>
      </c>
      <c r="U315" s="163">
        <v>-6525972.4908581376</v>
      </c>
      <c r="V315" s="163">
        <v>-4833792.4777568579</v>
      </c>
      <c r="W315" s="164">
        <v>-4653758.0946759135</v>
      </c>
      <c r="X315" s="163">
        <v>15935649.677483439</v>
      </c>
      <c r="Y315" s="163">
        <v>7408852.2063681036</v>
      </c>
      <c r="Z315" s="163">
        <v>-3220912.9486709386</v>
      </c>
      <c r="AA315" s="163">
        <v>19186705.064049736</v>
      </c>
      <c r="AB315" s="163">
        <v>14524840.30539158</v>
      </c>
      <c r="AC315" s="163">
        <v>1513604.9327709079</v>
      </c>
      <c r="AD315" s="163">
        <v>4705487.2653001994</v>
      </c>
      <c r="AE315" s="163">
        <v>-10044583.534933984</v>
      </c>
      <c r="AF315" s="163">
        <v>-10900287.230738968</v>
      </c>
      <c r="AG315" s="163">
        <v>-30913433.548914924</v>
      </c>
    </row>
    <row r="316" spans="16:33" ht="15.75" customHeight="1">
      <c r="P316" s="162"/>
      <c r="Q316" s="162">
        <v>299</v>
      </c>
      <c r="R316" s="163">
        <v>-37151943.239146397</v>
      </c>
      <c r="S316" s="163">
        <v>-25291186.318565205</v>
      </c>
      <c r="T316" s="163">
        <v>-21530126.990735292</v>
      </c>
      <c r="U316" s="163">
        <v>-16685256.049561515</v>
      </c>
      <c r="V316" s="163">
        <v>4668945.0278607607</v>
      </c>
      <c r="W316" s="164">
        <v>-1298802.6062790751</v>
      </c>
      <c r="X316" s="163">
        <v>3493270.4400429875</v>
      </c>
      <c r="Y316" s="163">
        <v>13228944.03284353</v>
      </c>
      <c r="Z316" s="163">
        <v>6252740.332365796</v>
      </c>
      <c r="AA316" s="163">
        <v>13162324.871469751</v>
      </c>
      <c r="AB316" s="163">
        <v>13396912.004062176</v>
      </c>
      <c r="AC316" s="163">
        <v>1582678.0558695346</v>
      </c>
      <c r="AD316" s="163">
        <v>1488003.2768576145</v>
      </c>
      <c r="AE316" s="163">
        <v>7018161.9237961918</v>
      </c>
      <c r="AF316" s="163">
        <v>-16279400.097845346</v>
      </c>
      <c r="AG316" s="163">
        <v>-13706581.379362583</v>
      </c>
    </row>
    <row r="317" spans="16:33" ht="15.75" customHeight="1">
      <c r="P317" s="162"/>
      <c r="Q317" s="162">
        <v>300</v>
      </c>
      <c r="R317" s="163">
        <v>-31873008.178610831</v>
      </c>
      <c r="S317" s="163">
        <v>-27527920.86930874</v>
      </c>
      <c r="T317" s="163">
        <v>-21408996.116385639</v>
      </c>
      <c r="U317" s="163">
        <v>-10297325.824067503</v>
      </c>
      <c r="V317" s="163">
        <v>-7961474.3139562607</v>
      </c>
      <c r="W317" s="164">
        <v>-274211.56357204914</v>
      </c>
      <c r="X317" s="163">
        <v>6277993.4762430489</v>
      </c>
      <c r="Y317" s="163">
        <v>9059103.7926091999</v>
      </c>
      <c r="Z317" s="163">
        <v>21221617.036794305</v>
      </c>
      <c r="AA317" s="163">
        <v>15511238.063228384</v>
      </c>
      <c r="AB317" s="163">
        <v>11219323.204563931</v>
      </c>
      <c r="AC317" s="163">
        <v>2784850.6066852212</v>
      </c>
      <c r="AD317" s="163">
        <v>-2471486.7492144853</v>
      </c>
      <c r="AE317" s="163">
        <v>-9375017.0200328827</v>
      </c>
      <c r="AF317" s="163">
        <v>-12103211.332506016</v>
      </c>
      <c r="AG317" s="163">
        <v>-19591899.088347882</v>
      </c>
    </row>
    <row r="318" spans="16:33" ht="15.75" customHeight="1">
      <c r="P318" s="162"/>
      <c r="Q318" s="162">
        <v>301</v>
      </c>
      <c r="R318" s="163">
        <v>-34570305.286701143</v>
      </c>
      <c r="S318" s="163">
        <v>-21182404.905085236</v>
      </c>
      <c r="T318" s="163">
        <v>-14585483.087312058</v>
      </c>
      <c r="U318" s="163">
        <v>-2921743.4075778276</v>
      </c>
      <c r="V318" s="163">
        <v>-3293228.7011531889</v>
      </c>
      <c r="W318" s="164">
        <v>3492662.5540173352</v>
      </c>
      <c r="X318" s="163">
        <v>3051205.2656845152</v>
      </c>
      <c r="Y318" s="163">
        <v>10374993.79384923</v>
      </c>
      <c r="Z318" s="163">
        <v>10700978.644216761</v>
      </c>
      <c r="AA318" s="163">
        <v>9918314.953251943</v>
      </c>
      <c r="AB318" s="163">
        <v>20369562.257559195</v>
      </c>
      <c r="AC318" s="163">
        <v>10737110.033122674</v>
      </c>
      <c r="AD318" s="163">
        <v>2446660.8025073856</v>
      </c>
      <c r="AE318" s="163">
        <v>1096591.586781621</v>
      </c>
      <c r="AF318" s="163">
        <v>-10094315.711998999</v>
      </c>
      <c r="AG318" s="163">
        <v>-21716775.608548805</v>
      </c>
    </row>
    <row r="319" spans="16:33" ht="15.75" customHeight="1">
      <c r="P319" s="162"/>
      <c r="Q319" s="162">
        <v>302</v>
      </c>
      <c r="R319" s="163">
        <v>-36103430.078193977</v>
      </c>
      <c r="S319" s="163">
        <v>-24337710.148093611</v>
      </c>
      <c r="T319" s="163">
        <v>-11555728.473666027</v>
      </c>
      <c r="U319" s="163">
        <v>-14146746.446274281</v>
      </c>
      <c r="V319" s="163">
        <v>-6393471.5252956599</v>
      </c>
      <c r="W319" s="164">
        <v>-6500378.0435030311</v>
      </c>
      <c r="X319" s="163">
        <v>-11230287.678802401</v>
      </c>
      <c r="Y319" s="163">
        <v>12652906.771659702</v>
      </c>
      <c r="Z319" s="163">
        <v>18055917.315498814</v>
      </c>
      <c r="AA319" s="163">
        <v>11257173.974264011</v>
      </c>
      <c r="AB319" s="163">
        <v>20577460.128109545</v>
      </c>
      <c r="AC319" s="163">
        <v>1485995.1427461952</v>
      </c>
      <c r="AD319" s="163">
        <v>-1963089.0402914137</v>
      </c>
      <c r="AE319" s="163">
        <v>928685.04524005949</v>
      </c>
      <c r="AF319" s="163">
        <v>-15344540.035573348</v>
      </c>
      <c r="AG319" s="163">
        <v>-11517818.790961087</v>
      </c>
    </row>
    <row r="320" spans="16:33" ht="15.75" customHeight="1">
      <c r="P320" s="162"/>
      <c r="Q320" s="162">
        <v>303</v>
      </c>
      <c r="R320" s="163">
        <v>-41880278.890808225</v>
      </c>
      <c r="S320" s="163">
        <v>-31096647.649328396</v>
      </c>
      <c r="T320" s="163">
        <v>-9819184.1518656462</v>
      </c>
      <c r="U320" s="163">
        <v>2631401.3842257857</v>
      </c>
      <c r="V320" s="163">
        <v>4516925.6968478113</v>
      </c>
      <c r="W320" s="164">
        <v>3143345.612550199</v>
      </c>
      <c r="X320" s="163">
        <v>6796706.4891756177</v>
      </c>
      <c r="Y320" s="163">
        <v>9078047.3593716025</v>
      </c>
      <c r="Z320" s="163">
        <v>240470.55652979016</v>
      </c>
      <c r="AA320" s="163">
        <v>14991114.957890213</v>
      </c>
      <c r="AB320" s="163">
        <v>3498482.289471671</v>
      </c>
      <c r="AC320" s="163">
        <v>7415817.9817640036</v>
      </c>
      <c r="AD320" s="163">
        <v>3655510.3260697424</v>
      </c>
      <c r="AE320" s="163">
        <v>-6481185.7451938689</v>
      </c>
      <c r="AF320" s="163">
        <v>-8540801.7483118922</v>
      </c>
      <c r="AG320" s="163">
        <v>-25871054.556610823</v>
      </c>
    </row>
    <row r="321" spans="16:33" ht="15.75" customHeight="1">
      <c r="P321" s="162"/>
      <c r="Q321" s="162">
        <v>304</v>
      </c>
      <c r="R321" s="163">
        <v>-37648129.155698195</v>
      </c>
      <c r="S321" s="163">
        <v>-23607424.356521651</v>
      </c>
      <c r="T321" s="163">
        <v>-19107453.269333035</v>
      </c>
      <c r="U321" s="163">
        <v>-7424126.668972075</v>
      </c>
      <c r="V321" s="163">
        <v>567543.66353720427</v>
      </c>
      <c r="W321" s="164">
        <v>10288711.77083917</v>
      </c>
      <c r="X321" s="163">
        <v>6183827.990955919</v>
      </c>
      <c r="Y321" s="163">
        <v>17897106.844954893</v>
      </c>
      <c r="Z321" s="163">
        <v>9253219.1361567676</v>
      </c>
      <c r="AA321" s="163">
        <v>6634862.9219210893</v>
      </c>
      <c r="AB321" s="163">
        <v>16945923.242491156</v>
      </c>
      <c r="AC321" s="163">
        <v>13062065.082419068</v>
      </c>
      <c r="AD321" s="163">
        <v>6600446.8691936731</v>
      </c>
      <c r="AE321" s="163">
        <v>-3329046.3368645459</v>
      </c>
      <c r="AF321" s="163">
        <v>230762.54393950105</v>
      </c>
      <c r="AG321" s="163">
        <v>-21206137.110496104</v>
      </c>
    </row>
    <row r="322" spans="16:33" ht="15.75" customHeight="1">
      <c r="P322" s="162"/>
      <c r="Q322" s="162">
        <v>305</v>
      </c>
      <c r="R322" s="163">
        <v>-36148874.362169579</v>
      </c>
      <c r="S322" s="163">
        <v>-25473452.833350733</v>
      </c>
      <c r="T322" s="163">
        <v>-13716900.779140159</v>
      </c>
      <c r="U322" s="163">
        <v>-10087186.836460054</v>
      </c>
      <c r="V322" s="163">
        <v>-2274344.171616599</v>
      </c>
      <c r="W322" s="164">
        <v>9723703.3739708662</v>
      </c>
      <c r="X322" s="163">
        <v>4267340.8967087418</v>
      </c>
      <c r="Y322" s="163">
        <v>5880011.2157622576</v>
      </c>
      <c r="Z322" s="163">
        <v>17469983.291866705</v>
      </c>
      <c r="AA322" s="163">
        <v>-23549.883937716484</v>
      </c>
      <c r="AB322" s="163">
        <v>5658197.7390423566</v>
      </c>
      <c r="AC322" s="163">
        <v>7364840.5221867412</v>
      </c>
      <c r="AD322" s="163">
        <v>-3738335.3099369705</v>
      </c>
      <c r="AE322" s="163">
        <v>-8742498.9820972979</v>
      </c>
      <c r="AF322" s="163">
        <v>-20430927.255559385</v>
      </c>
      <c r="AG322" s="163">
        <v>-2585560.4342493117</v>
      </c>
    </row>
    <row r="323" spans="16:33" ht="15.75" customHeight="1">
      <c r="P323" s="162"/>
      <c r="Q323" s="162">
        <v>306</v>
      </c>
      <c r="R323" s="163">
        <v>-26363881.37343508</v>
      </c>
      <c r="S323" s="163">
        <v>-22652289.725588635</v>
      </c>
      <c r="T323" s="163">
        <v>-16930675.755451217</v>
      </c>
      <c r="U323" s="163">
        <v>-3412657.7214059234</v>
      </c>
      <c r="V323" s="163">
        <v>-6271506.5780459344</v>
      </c>
      <c r="W323" s="164">
        <v>-13576877.66280967</v>
      </c>
      <c r="X323" s="163">
        <v>11578798.374881029</v>
      </c>
      <c r="Y323" s="163">
        <v>2474816.8213904202</v>
      </c>
      <c r="Z323" s="163">
        <v>8446905.0867639482</v>
      </c>
      <c r="AA323" s="163">
        <v>6783671.2528003454</v>
      </c>
      <c r="AB323" s="163">
        <v>11963427.867445439</v>
      </c>
      <c r="AC323" s="163">
        <v>5640787.0875130147</v>
      </c>
      <c r="AD323" s="163">
        <v>1832535.6535738856</v>
      </c>
      <c r="AE323" s="163">
        <v>-1376770.4190909863</v>
      </c>
      <c r="AF323" s="163">
        <v>-6616034.8928610533</v>
      </c>
      <c r="AG323" s="163">
        <v>-24593332.08993502</v>
      </c>
    </row>
    <row r="324" spans="16:33" ht="15.75" customHeight="1">
      <c r="P324" s="162"/>
      <c r="Q324" s="162">
        <v>307</v>
      </c>
      <c r="R324" s="163">
        <v>-42634923.061288536</v>
      </c>
      <c r="S324" s="163">
        <v>-24253349.35774076</v>
      </c>
      <c r="T324" s="163">
        <v>-19143529.561724946</v>
      </c>
      <c r="U324" s="163">
        <v>-15405715.036897019</v>
      </c>
      <c r="V324" s="163">
        <v>-3802300.6137764901</v>
      </c>
      <c r="W324" s="164">
        <v>7025168.9758726209</v>
      </c>
      <c r="X324" s="163">
        <v>8403608.3863051385</v>
      </c>
      <c r="Y324" s="163">
        <v>2931886.4279295802</v>
      </c>
      <c r="Z324" s="163">
        <v>12343298.155187666</v>
      </c>
      <c r="AA324" s="163">
        <v>5063542.7692291737</v>
      </c>
      <c r="AB324" s="163">
        <v>19219124.591229469</v>
      </c>
      <c r="AC324" s="163">
        <v>1283599.3401049972</v>
      </c>
      <c r="AD324" s="163">
        <v>4190112.977591604</v>
      </c>
      <c r="AE324" s="163">
        <v>-10509339.637041479</v>
      </c>
      <c r="AF324" s="163">
        <v>-3202150.3300580233</v>
      </c>
      <c r="AG324" s="163">
        <v>-11829304.094580844</v>
      </c>
    </row>
    <row r="325" spans="16:33" ht="15.75" customHeight="1">
      <c r="P325" s="162"/>
      <c r="Q325" s="162">
        <v>308</v>
      </c>
      <c r="R325" s="163">
        <v>-37899085.502747267</v>
      </c>
      <c r="S325" s="163">
        <v>-18470244.781742483</v>
      </c>
      <c r="T325" s="163">
        <v>-23969728.97958301</v>
      </c>
      <c r="U325" s="163">
        <v>-5840864.6981609464</v>
      </c>
      <c r="V325" s="163">
        <v>4112455.2525862306</v>
      </c>
      <c r="W325" s="164">
        <v>11946242.018607348</v>
      </c>
      <c r="X325" s="163">
        <v>18739612.282306194</v>
      </c>
      <c r="Y325" s="163">
        <v>13835074.63435404</v>
      </c>
      <c r="Z325" s="163">
        <v>7428370.4141768515</v>
      </c>
      <c r="AA325" s="163">
        <v>22392312.852781311</v>
      </c>
      <c r="AB325" s="163">
        <v>1026221.2697096318</v>
      </c>
      <c r="AC325" s="163">
        <v>4884413.8323259801</v>
      </c>
      <c r="AD325" s="163">
        <v>-6520921.2710172385</v>
      </c>
      <c r="AE325" s="163">
        <v>-4249011.3837767541</v>
      </c>
      <c r="AF325" s="163">
        <v>-3772186.2777844518</v>
      </c>
      <c r="AG325" s="163">
        <v>-24616895.736072153</v>
      </c>
    </row>
    <row r="326" spans="16:33" ht="15.75" customHeight="1">
      <c r="P326" s="162"/>
      <c r="Q326" s="162">
        <v>309</v>
      </c>
      <c r="R326" s="163">
        <v>-37250280.574691802</v>
      </c>
      <c r="S326" s="163">
        <v>-19294244.606977329</v>
      </c>
      <c r="T326" s="163">
        <v>-18000957.167567641</v>
      </c>
      <c r="U326" s="163">
        <v>-3539119.8016797751</v>
      </c>
      <c r="V326" s="163">
        <v>1386580.9696134925</v>
      </c>
      <c r="W326" s="164">
        <v>-284601.23279747367</v>
      </c>
      <c r="X326" s="163">
        <v>3080116.4561589807</v>
      </c>
      <c r="Y326" s="163">
        <v>9668501.7223644257</v>
      </c>
      <c r="Z326" s="163">
        <v>20039877.012572274</v>
      </c>
      <c r="AA326" s="163">
        <v>5435955.0486636162</v>
      </c>
      <c r="AB326" s="163">
        <v>11282440.752065912</v>
      </c>
      <c r="AC326" s="163">
        <v>-1115550.7340256572</v>
      </c>
      <c r="AD326" s="163">
        <v>14804615.195106849</v>
      </c>
      <c r="AE326" s="163">
        <v>-2595313.3600456715</v>
      </c>
      <c r="AF326" s="163">
        <v>-15551821.663551509</v>
      </c>
      <c r="AG326" s="163">
        <v>-15130418.774308115</v>
      </c>
    </row>
    <row r="327" spans="16:33" ht="15.75" customHeight="1">
      <c r="P327" s="162"/>
      <c r="Q327" s="162">
        <v>310</v>
      </c>
      <c r="R327" s="163">
        <v>-44036937.973889947</v>
      </c>
      <c r="S327" s="163">
        <v>-27282644.618716717</v>
      </c>
      <c r="T327" s="163">
        <v>-7809288.26963</v>
      </c>
      <c r="U327" s="163">
        <v>592089.31888242066</v>
      </c>
      <c r="V327" s="163">
        <v>-682209.33207415044</v>
      </c>
      <c r="W327" s="164">
        <v>1396177.7394067496</v>
      </c>
      <c r="X327" s="163">
        <v>12397502.949792251</v>
      </c>
      <c r="Y327" s="163">
        <v>2903435.7777602673</v>
      </c>
      <c r="Z327" s="163">
        <v>10771117.741444841</v>
      </c>
      <c r="AA327" s="163">
        <v>10013069.513096735</v>
      </c>
      <c r="AB327" s="163">
        <v>14361380.756504625</v>
      </c>
      <c r="AC327" s="163">
        <v>-2590270.3163451254</v>
      </c>
      <c r="AD327" s="163">
        <v>3513625.2220359892</v>
      </c>
      <c r="AE327" s="163">
        <v>195590.38102772832</v>
      </c>
      <c r="AF327" s="163">
        <v>-10852889.254394278</v>
      </c>
      <c r="AG327" s="163">
        <v>-14737719.385939777</v>
      </c>
    </row>
    <row r="328" spans="16:33" ht="15.75" customHeight="1">
      <c r="P328" s="162"/>
      <c r="Q328" s="162">
        <v>311</v>
      </c>
      <c r="R328" s="163">
        <v>-38822494.833565801</v>
      </c>
      <c r="S328" s="163">
        <v>-21831560.756720155</v>
      </c>
      <c r="T328" s="163">
        <v>-20696777.987857133</v>
      </c>
      <c r="U328" s="163">
        <v>-18321809.009385124</v>
      </c>
      <c r="V328" s="163">
        <v>-10506075.812196642</v>
      </c>
      <c r="W328" s="164">
        <v>6897602.7776457071</v>
      </c>
      <c r="X328" s="163">
        <v>19927218.830969304</v>
      </c>
      <c r="Y328" s="163">
        <v>14185893.953346714</v>
      </c>
      <c r="Z328" s="163">
        <v>5117001.692994222</v>
      </c>
      <c r="AA328" s="163">
        <v>-3793387.0661302805</v>
      </c>
      <c r="AB328" s="163">
        <v>16578518.107384413</v>
      </c>
      <c r="AC328" s="163">
        <v>4839689.1222786605</v>
      </c>
      <c r="AD328" s="163">
        <v>9099781.3440084308</v>
      </c>
      <c r="AE328" s="163">
        <v>-3344658.57192339</v>
      </c>
      <c r="AF328" s="163">
        <v>-13435608.698055834</v>
      </c>
      <c r="AG328" s="163">
        <v>-22187181.652870178</v>
      </c>
    </row>
    <row r="329" spans="16:33" ht="15.75" customHeight="1">
      <c r="P329" s="162"/>
      <c r="Q329" s="162">
        <v>312</v>
      </c>
      <c r="R329" s="163">
        <v>-39943823.016412109</v>
      </c>
      <c r="S329" s="163">
        <v>-27640559.159172773</v>
      </c>
      <c r="T329" s="163">
        <v>-20970685.632670149</v>
      </c>
      <c r="U329" s="163">
        <v>-6520115.2214241922</v>
      </c>
      <c r="V329" s="163">
        <v>2102904.6143301576</v>
      </c>
      <c r="W329" s="164">
        <v>12590720.2217049</v>
      </c>
      <c r="X329" s="163">
        <v>3046824.4190763682</v>
      </c>
      <c r="Y329" s="163">
        <v>21338874.407460585</v>
      </c>
      <c r="Z329" s="163">
        <v>9302610.6077753156</v>
      </c>
      <c r="AA329" s="163">
        <v>16709232.622959256</v>
      </c>
      <c r="AB329" s="163">
        <v>15532664.900783807</v>
      </c>
      <c r="AC329" s="163">
        <v>3987987.9638059586</v>
      </c>
      <c r="AD329" s="163">
        <v>2506132.7728289962</v>
      </c>
      <c r="AE329" s="163">
        <v>3322984.5305522829</v>
      </c>
      <c r="AF329" s="163">
        <v>-7150250.0445029289</v>
      </c>
      <c r="AG329" s="163">
        <v>-21110898.893711135</v>
      </c>
    </row>
    <row r="330" spans="16:33" ht="15.75" customHeight="1">
      <c r="P330" s="162"/>
      <c r="Q330" s="162">
        <v>313</v>
      </c>
      <c r="R330" s="163">
        <v>-42280344.725967988</v>
      </c>
      <c r="S330" s="163">
        <v>-29767710.056580186</v>
      </c>
      <c r="T330" s="163">
        <v>-17545832.21471107</v>
      </c>
      <c r="U330" s="163">
        <v>-4210938.639934659</v>
      </c>
      <c r="V330" s="163">
        <v>-9070664.7671329677</v>
      </c>
      <c r="W330" s="164">
        <v>5603793.9048094749</v>
      </c>
      <c r="X330" s="163">
        <v>-3902449.5918910503</v>
      </c>
      <c r="Y330" s="163">
        <v>8347730.5962514281</v>
      </c>
      <c r="Z330" s="163">
        <v>11958403.792213112</v>
      </c>
      <c r="AA330" s="163">
        <v>2177393.0769188255</v>
      </c>
      <c r="AB330" s="163">
        <v>14542867.779241607</v>
      </c>
      <c r="AC330" s="163">
        <v>5214568.4725662172</v>
      </c>
      <c r="AD330" s="163">
        <v>20346931.861009225</v>
      </c>
      <c r="AE330" s="163">
        <v>-13310332.707989126</v>
      </c>
      <c r="AF330" s="163">
        <v>-7782091.5985132903</v>
      </c>
      <c r="AG330" s="163">
        <v>-28509719.448115602</v>
      </c>
    </row>
    <row r="331" spans="16:33" ht="15.75" customHeight="1">
      <c r="P331" s="162"/>
      <c r="Q331" s="162">
        <v>314</v>
      </c>
      <c r="R331" s="163">
        <v>-36107562.870992333</v>
      </c>
      <c r="S331" s="163">
        <v>-28262942.135877877</v>
      </c>
      <c r="T331" s="163">
        <v>-19969085.223424777</v>
      </c>
      <c r="U331" s="163">
        <v>-12341385.43883127</v>
      </c>
      <c r="V331" s="163">
        <v>4306974.1534756571</v>
      </c>
      <c r="W331" s="164">
        <v>2498918.3444690704</v>
      </c>
      <c r="X331" s="163">
        <v>15914189.969306245</v>
      </c>
      <c r="Y331" s="163">
        <v>-6636193.2691275328</v>
      </c>
      <c r="Z331" s="163">
        <v>3216478.2770874947</v>
      </c>
      <c r="AA331" s="163">
        <v>11891642.053192705</v>
      </c>
      <c r="AB331" s="163">
        <v>10176733.19172582</v>
      </c>
      <c r="AC331" s="163">
        <v>16881070.45034568</v>
      </c>
      <c r="AD331" s="163">
        <v>-11090774.488514066</v>
      </c>
      <c r="AE331" s="163">
        <v>2825372.8315508068</v>
      </c>
      <c r="AF331" s="163">
        <v>-12222811.932261065</v>
      </c>
      <c r="AG331" s="163">
        <v>-19972888.654556468</v>
      </c>
    </row>
    <row r="332" spans="16:33" ht="15.75" customHeight="1">
      <c r="P332" s="162"/>
      <c r="Q332" s="162">
        <v>315</v>
      </c>
      <c r="R332" s="163">
        <v>-38076512.007146448</v>
      </c>
      <c r="S332" s="163">
        <v>-27461148.154506147</v>
      </c>
      <c r="T332" s="163">
        <v>-18042096.380960226</v>
      </c>
      <c r="U332" s="163">
        <v>-4341665.032659784</v>
      </c>
      <c r="V332" s="163">
        <v>-2019095.9338760674</v>
      </c>
      <c r="W332" s="164">
        <v>-3574840.2365745902</v>
      </c>
      <c r="X332" s="163">
        <v>8909603.9308659136</v>
      </c>
      <c r="Y332" s="163">
        <v>12629300.307227403</v>
      </c>
      <c r="Z332" s="163">
        <v>5191784.7887969315</v>
      </c>
      <c r="AA332" s="163">
        <v>21690530.705257118</v>
      </c>
      <c r="AB332" s="163">
        <v>3844285.0751001984</v>
      </c>
      <c r="AC332" s="163">
        <v>-5974049.2144789249</v>
      </c>
      <c r="AD332" s="163">
        <v>8018344.5096055567</v>
      </c>
      <c r="AE332" s="163">
        <v>-7241357.083651647</v>
      </c>
      <c r="AF332" s="163">
        <v>-19371748.562594071</v>
      </c>
      <c r="AG332" s="163">
        <v>-22867034.982747823</v>
      </c>
    </row>
    <row r="333" spans="16:33" ht="15.75" customHeight="1">
      <c r="P333" s="162"/>
      <c r="Q333" s="162">
        <v>316</v>
      </c>
      <c r="R333" s="163">
        <v>-44141923.762206584</v>
      </c>
      <c r="S333" s="163">
        <v>-34535542.355869412</v>
      </c>
      <c r="T333" s="163">
        <v>-16869663.807538256</v>
      </c>
      <c r="U333" s="163">
        <v>-12528760.61186561</v>
      </c>
      <c r="V333" s="163">
        <v>1260069.9317013472</v>
      </c>
      <c r="W333" s="164">
        <v>5052872.8800651282</v>
      </c>
      <c r="X333" s="163">
        <v>5430098.5417498201</v>
      </c>
      <c r="Y333" s="163">
        <v>7496008.4694317579</v>
      </c>
      <c r="Z333" s="163">
        <v>15141341.357917815</v>
      </c>
      <c r="AA333" s="163">
        <v>11359310.349335432</v>
      </c>
      <c r="AB333" s="163">
        <v>11251817.435469806</v>
      </c>
      <c r="AC333" s="163">
        <v>11925073.004458189</v>
      </c>
      <c r="AD333" s="163">
        <v>-712975.84388007224</v>
      </c>
      <c r="AE333" s="163">
        <v>-7531675.3767634481</v>
      </c>
      <c r="AF333" s="163">
        <v>-19317362.412741825</v>
      </c>
      <c r="AG333" s="163">
        <v>-15125983.787203744</v>
      </c>
    </row>
    <row r="334" spans="16:33" ht="15.75" customHeight="1">
      <c r="P334" s="162"/>
      <c r="Q334" s="162">
        <v>317</v>
      </c>
      <c r="R334" s="163">
        <v>-38530185.556618512</v>
      </c>
      <c r="S334" s="163">
        <v>-24557815.283008009</v>
      </c>
      <c r="T334" s="163">
        <v>-20751290.423691079</v>
      </c>
      <c r="U334" s="163">
        <v>121293.20333001018</v>
      </c>
      <c r="V334" s="163">
        <v>3619062.0185866356</v>
      </c>
      <c r="W334" s="164">
        <v>5258712.1397954822</v>
      </c>
      <c r="X334" s="163">
        <v>9989162.8341089338</v>
      </c>
      <c r="Y334" s="163">
        <v>12544787.020989895</v>
      </c>
      <c r="Z334" s="163">
        <v>13972695.255055398</v>
      </c>
      <c r="AA334" s="163">
        <v>7354573.9391054362</v>
      </c>
      <c r="AB334" s="163">
        <v>7198363.0924624503</v>
      </c>
      <c r="AC334" s="163">
        <v>3694602.3647069633</v>
      </c>
      <c r="AD334" s="163">
        <v>5106398.6906826645</v>
      </c>
      <c r="AE334" s="163">
        <v>-16161590.962943494</v>
      </c>
      <c r="AF334" s="163">
        <v>-10696474.600938469</v>
      </c>
      <c r="AG334" s="163">
        <v>-22380010.959062487</v>
      </c>
    </row>
    <row r="335" spans="16:33" ht="15.75" customHeight="1">
      <c r="P335" s="162"/>
      <c r="Q335" s="162">
        <v>318</v>
      </c>
      <c r="R335" s="163">
        <v>-39857324.652302563</v>
      </c>
      <c r="S335" s="163">
        <v>-20432803.426333204</v>
      </c>
      <c r="T335" s="163">
        <v>-18027795.906410962</v>
      </c>
      <c r="U335" s="163">
        <v>-14858604.440753177</v>
      </c>
      <c r="V335" s="163">
        <v>7715397.7990542352</v>
      </c>
      <c r="W335" s="164">
        <v>-1670278.4627399594</v>
      </c>
      <c r="X335" s="163">
        <v>7784360.9757255763</v>
      </c>
      <c r="Y335" s="163">
        <v>6640425.0201395154</v>
      </c>
      <c r="Z335" s="163">
        <v>11696313.755833387</v>
      </c>
      <c r="AA335" s="163">
        <v>8898977.0169836134</v>
      </c>
      <c r="AB335" s="163">
        <v>10597559.90405032</v>
      </c>
      <c r="AC335" s="163">
        <v>5203814.6627285033</v>
      </c>
      <c r="AD335" s="163">
        <v>7692750.7574808747</v>
      </c>
      <c r="AE335" s="163">
        <v>-2876126.2494660616</v>
      </c>
      <c r="AF335" s="163">
        <v>-10887618.194118172</v>
      </c>
      <c r="AG335" s="163">
        <v>-16681409.602236226</v>
      </c>
    </row>
    <row r="336" spans="16:33" ht="15.75" customHeight="1">
      <c r="P336" s="162"/>
      <c r="Q336" s="162">
        <v>319</v>
      </c>
      <c r="R336" s="163">
        <v>-32763755.840986729</v>
      </c>
      <c r="S336" s="163">
        <v>-30086060.861075923</v>
      </c>
      <c r="T336" s="163">
        <v>-10856992.770564914</v>
      </c>
      <c r="U336" s="163">
        <v>-5418442.2619936764</v>
      </c>
      <c r="V336" s="163">
        <v>625524.12983378768</v>
      </c>
      <c r="W336" s="164">
        <v>-11562042.810509786</v>
      </c>
      <c r="X336" s="163">
        <v>13996795.310515732</v>
      </c>
      <c r="Y336" s="163">
        <v>10087930.311121598</v>
      </c>
      <c r="Z336" s="163">
        <v>15688495.634251863</v>
      </c>
      <c r="AA336" s="163">
        <v>10259574.129107684</v>
      </c>
      <c r="AB336" s="163">
        <v>9332731.9020960629</v>
      </c>
      <c r="AC336" s="163">
        <v>12775643.498321757</v>
      </c>
      <c r="AD336" s="163">
        <v>3438801.9568569809</v>
      </c>
      <c r="AE336" s="163">
        <v>-5111137.121187523</v>
      </c>
      <c r="AF336" s="163">
        <v>-13412916.311233252</v>
      </c>
      <c r="AG336" s="163">
        <v>-10926012.567465007</v>
      </c>
    </row>
    <row r="337" spans="16:33" ht="15.75" customHeight="1">
      <c r="P337" s="162"/>
      <c r="Q337" s="162">
        <v>320</v>
      </c>
      <c r="R337" s="163">
        <v>-30658649.871634662</v>
      </c>
      <c r="S337" s="163">
        <v>-23828291.584510401</v>
      </c>
      <c r="T337" s="163">
        <v>-15502668.409227595</v>
      </c>
      <c r="U337" s="163">
        <v>-12769062.724410415</v>
      </c>
      <c r="V337" s="163">
        <v>-3941859.5166950822</v>
      </c>
      <c r="W337" s="164">
        <v>1525260.5712083876</v>
      </c>
      <c r="X337" s="163">
        <v>9927243.5814663768</v>
      </c>
      <c r="Y337" s="163">
        <v>14845498.587050334</v>
      </c>
      <c r="Z337" s="163">
        <v>7190187.2769668102</v>
      </c>
      <c r="AA337" s="163">
        <v>12413379.610706463</v>
      </c>
      <c r="AB337" s="163">
        <v>17801197.433216184</v>
      </c>
      <c r="AC337" s="163">
        <v>15297817.401930153</v>
      </c>
      <c r="AD337" s="163">
        <v>2185943.8595860302</v>
      </c>
      <c r="AE337" s="163">
        <v>3304302.5963094831</v>
      </c>
      <c r="AF337" s="163">
        <v>-10951078.779453114</v>
      </c>
      <c r="AG337" s="163">
        <v>-14405926.365585998</v>
      </c>
    </row>
    <row r="338" spans="16:33" ht="15.75" customHeight="1">
      <c r="P338" s="162"/>
      <c r="Q338" s="162">
        <v>321</v>
      </c>
      <c r="R338" s="163">
        <v>-40864487.325195938</v>
      </c>
      <c r="S338" s="163">
        <v>-26545704.105335414</v>
      </c>
      <c r="T338" s="163">
        <v>-20996746.628592998</v>
      </c>
      <c r="U338" s="163">
        <v>-10423819.152072847</v>
      </c>
      <c r="V338" s="163">
        <v>-4781151.5151712745</v>
      </c>
      <c r="W338" s="164">
        <v>-1096305.6292142272</v>
      </c>
      <c r="X338" s="163">
        <v>15753306.384561449</v>
      </c>
      <c r="Y338" s="163">
        <v>11646325.945436418</v>
      </c>
      <c r="Z338" s="163">
        <v>3854530.3160990477</v>
      </c>
      <c r="AA338" s="163">
        <v>6432401.2318374962</v>
      </c>
      <c r="AB338" s="163">
        <v>-2615009.63837789</v>
      </c>
      <c r="AC338" s="163">
        <v>13267147.866075009</v>
      </c>
      <c r="AD338" s="163">
        <v>6571610.3278984278</v>
      </c>
      <c r="AE338" s="163">
        <v>-7318661.6950896978</v>
      </c>
      <c r="AF338" s="163">
        <v>-12987600.148605525</v>
      </c>
      <c r="AG338" s="163">
        <v>-11323578.925229818</v>
      </c>
    </row>
    <row r="339" spans="16:33" ht="15.75" customHeight="1">
      <c r="P339" s="162"/>
      <c r="Q339" s="162">
        <v>322</v>
      </c>
      <c r="R339" s="163">
        <v>-44297644.886969998</v>
      </c>
      <c r="S339" s="163">
        <v>-27351983.273014128</v>
      </c>
      <c r="T339" s="163">
        <v>-15267176.789452806</v>
      </c>
      <c r="U339" s="163">
        <v>-9855295.5255894512</v>
      </c>
      <c r="V339" s="163">
        <v>-492406.99253103137</v>
      </c>
      <c r="W339" s="164">
        <v>-568204.62273424864</v>
      </c>
      <c r="X339" s="163">
        <v>10570276.441410795</v>
      </c>
      <c r="Y339" s="163">
        <v>9001175.4348568916</v>
      </c>
      <c r="Z339" s="163">
        <v>10240681.344892606</v>
      </c>
      <c r="AA339" s="163">
        <v>13438916.548371449</v>
      </c>
      <c r="AB339" s="163">
        <v>3065944.1290429682</v>
      </c>
      <c r="AC339" s="163">
        <v>-416727.58101089299</v>
      </c>
      <c r="AD339" s="163">
        <v>1901047.1735617518</v>
      </c>
      <c r="AE339" s="163">
        <v>-10548162.582886949</v>
      </c>
      <c r="AF339" s="163">
        <v>-19705711.659020618</v>
      </c>
      <c r="AG339" s="163">
        <v>-22221906.756990761</v>
      </c>
    </row>
    <row r="340" spans="16:33" ht="15.75" customHeight="1">
      <c r="P340" s="162"/>
      <c r="Q340" s="162">
        <v>323</v>
      </c>
      <c r="R340" s="163">
        <v>-34577205.726230949</v>
      </c>
      <c r="S340" s="163">
        <v>-25116608.133785129</v>
      </c>
      <c r="T340" s="163">
        <v>-17527660.817325696</v>
      </c>
      <c r="U340" s="163">
        <v>-6874047.3008491844</v>
      </c>
      <c r="V340" s="163">
        <v>-10935159.282831416</v>
      </c>
      <c r="W340" s="164">
        <v>-3363470.6594576836</v>
      </c>
      <c r="X340" s="163">
        <v>7065615.9276269674</v>
      </c>
      <c r="Y340" s="163">
        <v>-2433.3698454648256</v>
      </c>
      <c r="Z340" s="163">
        <v>4878318.4937699586</v>
      </c>
      <c r="AA340" s="163">
        <v>21277614.49460806</v>
      </c>
      <c r="AB340" s="163">
        <v>12352477.943454668</v>
      </c>
      <c r="AC340" s="163">
        <v>-3255419.1385185122</v>
      </c>
      <c r="AD340" s="163">
        <v>15054932.547916561</v>
      </c>
      <c r="AE340" s="163">
        <v>-6432680.0330955684</v>
      </c>
      <c r="AF340" s="163">
        <v>-14625362.16569902</v>
      </c>
      <c r="AG340" s="163">
        <v>-26855073.733533621</v>
      </c>
    </row>
    <row r="341" spans="16:33" ht="15.75" customHeight="1">
      <c r="P341" s="162"/>
      <c r="Q341" s="162">
        <v>324</v>
      </c>
      <c r="R341" s="163">
        <v>-33930258.19665879</v>
      </c>
      <c r="S341" s="163">
        <v>-18582821.2759168</v>
      </c>
      <c r="T341" s="163">
        <v>-18136807.860144138</v>
      </c>
      <c r="U341" s="163">
        <v>-4171042.5783858448</v>
      </c>
      <c r="V341" s="163">
        <v>-5070685.2457916141</v>
      </c>
      <c r="W341" s="164">
        <v>6800187.5362891704</v>
      </c>
      <c r="X341" s="163">
        <v>9507743.9806047678</v>
      </c>
      <c r="Y341" s="163">
        <v>4301394.4437912554</v>
      </c>
      <c r="Z341" s="163">
        <v>18743782.336345479</v>
      </c>
      <c r="AA341" s="163">
        <v>6892717.2382404506</v>
      </c>
      <c r="AB341" s="163">
        <v>8734045.3339334279</v>
      </c>
      <c r="AC341" s="163">
        <v>4027850.8382522166</v>
      </c>
      <c r="AD341" s="163">
        <v>6269596.4873282462</v>
      </c>
      <c r="AE341" s="163">
        <v>-9348143.8558124006</v>
      </c>
      <c r="AF341" s="163">
        <v>-7874417.4311152101</v>
      </c>
      <c r="AG341" s="163">
        <v>-17699145.411876529</v>
      </c>
    </row>
    <row r="342" spans="16:33" ht="15.75" customHeight="1">
      <c r="P342" s="162"/>
      <c r="Q342" s="162">
        <v>325</v>
      </c>
      <c r="R342" s="163">
        <v>-38916287.658505708</v>
      </c>
      <c r="S342" s="163">
        <v>-20527047.902218491</v>
      </c>
      <c r="T342" s="163">
        <v>-21087654.460691959</v>
      </c>
      <c r="U342" s="163">
        <v>-6442312.6899728179</v>
      </c>
      <c r="V342" s="163">
        <v>-403608.83330711722</v>
      </c>
      <c r="W342" s="164">
        <v>-1609698.9228132367</v>
      </c>
      <c r="X342" s="163">
        <v>19001637.174513668</v>
      </c>
      <c r="Y342" s="163">
        <v>12615202.578154966</v>
      </c>
      <c r="Z342" s="163">
        <v>12522585.173808098</v>
      </c>
      <c r="AA342" s="163">
        <v>18374474.18793714</v>
      </c>
      <c r="AB342" s="163">
        <v>11178532.937327772</v>
      </c>
      <c r="AC342" s="163">
        <v>15826210.317451939</v>
      </c>
      <c r="AD342" s="163">
        <v>6089706.5135589093</v>
      </c>
      <c r="AE342" s="163">
        <v>-5903985.851817444</v>
      </c>
      <c r="AF342" s="163">
        <v>-3511143.781323716</v>
      </c>
      <c r="AG342" s="163">
        <v>-27198077.975041285</v>
      </c>
    </row>
    <row r="343" spans="16:33" ht="15.75" customHeight="1">
      <c r="P343" s="162"/>
      <c r="Q343" s="162">
        <v>326</v>
      </c>
      <c r="R343" s="163">
        <v>-31237788.76871115</v>
      </c>
      <c r="S343" s="163">
        <v>-24569077.714841783</v>
      </c>
      <c r="T343" s="163">
        <v>-14570617.902549967</v>
      </c>
      <c r="U343" s="163">
        <v>-4649870.0278365612</v>
      </c>
      <c r="V343" s="163">
        <v>-1760383.3919719011</v>
      </c>
      <c r="W343" s="164">
        <v>3368741.7633291334</v>
      </c>
      <c r="X343" s="163">
        <v>3806447.2794092298</v>
      </c>
      <c r="Y343" s="163">
        <v>994137.67952567339</v>
      </c>
      <c r="Z343" s="163">
        <v>20381352.255469993</v>
      </c>
      <c r="AA343" s="163">
        <v>2153688.5229720324</v>
      </c>
      <c r="AB343" s="163">
        <v>-3116709.4541758448</v>
      </c>
      <c r="AC343" s="163">
        <v>2753175.8953824639</v>
      </c>
      <c r="AD343" s="163">
        <v>5610735.2060536444</v>
      </c>
      <c r="AE343" s="163">
        <v>-6556915.863631174</v>
      </c>
      <c r="AF343" s="163">
        <v>-6582452.2204229534</v>
      </c>
      <c r="AG343" s="163">
        <v>-20632983.785345137</v>
      </c>
    </row>
    <row r="344" spans="16:33" ht="15.75" customHeight="1">
      <c r="P344" s="162"/>
      <c r="Q344" s="162">
        <v>327</v>
      </c>
      <c r="R344" s="163">
        <v>-39326073.658053905</v>
      </c>
      <c r="S344" s="163">
        <v>-23518055.450702399</v>
      </c>
      <c r="T344" s="163">
        <v>-8458535.5830591321</v>
      </c>
      <c r="U344" s="163">
        <v>-22393104.414967462</v>
      </c>
      <c r="V344" s="163">
        <v>-1027025.1553143561</v>
      </c>
      <c r="W344" s="164">
        <v>9507896.046307683</v>
      </c>
      <c r="X344" s="163">
        <v>9019333.0845727623</v>
      </c>
      <c r="Y344" s="163">
        <v>10818761.507707044</v>
      </c>
      <c r="Z344" s="163">
        <v>15806762.233641148</v>
      </c>
      <c r="AA344" s="163">
        <v>8253376.6475610584</v>
      </c>
      <c r="AB344" s="163">
        <v>16024535.406406894</v>
      </c>
      <c r="AC344" s="163">
        <v>-5989482.5050472319</v>
      </c>
      <c r="AD344" s="163">
        <v>-434819.53863602877</v>
      </c>
      <c r="AE344" s="163">
        <v>-8842660.1363825649</v>
      </c>
      <c r="AF344" s="163">
        <v>-3360664.6315643042</v>
      </c>
      <c r="AG344" s="163">
        <v>-20919206.738607079</v>
      </c>
    </row>
    <row r="345" spans="16:33" ht="15.75" customHeight="1">
      <c r="P345" s="162"/>
      <c r="Q345" s="162">
        <v>328</v>
      </c>
      <c r="R345" s="163">
        <v>-30241046.105016202</v>
      </c>
      <c r="S345" s="163">
        <v>-21784125.115865424</v>
      </c>
      <c r="T345" s="163">
        <v>-8816344.280870676</v>
      </c>
      <c r="U345" s="163">
        <v>-15026314.829026133</v>
      </c>
      <c r="V345" s="163">
        <v>-3767606.5738147944</v>
      </c>
      <c r="W345" s="164">
        <v>6290708.2471546829</v>
      </c>
      <c r="X345" s="163">
        <v>4419011.9443364292</v>
      </c>
      <c r="Y345" s="163">
        <v>17987486.345861033</v>
      </c>
      <c r="Z345" s="163">
        <v>8523958.4513615519</v>
      </c>
      <c r="AA345" s="163">
        <v>8051205.6862050891</v>
      </c>
      <c r="AB345" s="163">
        <v>11279214.691208601</v>
      </c>
      <c r="AC345" s="163">
        <v>-3550934.0488081127</v>
      </c>
      <c r="AD345" s="163">
        <v>-2986056.242184028</v>
      </c>
      <c r="AE345" s="163">
        <v>-3415809.2020561993</v>
      </c>
      <c r="AF345" s="163">
        <v>-9570960.1277671605</v>
      </c>
      <c r="AG345" s="163">
        <v>-24086493.864993945</v>
      </c>
    </row>
    <row r="346" spans="16:33" ht="15.75" customHeight="1">
      <c r="P346" s="162"/>
      <c r="Q346" s="162">
        <v>329</v>
      </c>
      <c r="R346" s="163">
        <v>-41134178.971237183</v>
      </c>
      <c r="S346" s="163">
        <v>-24535635.133707106</v>
      </c>
      <c r="T346" s="163">
        <v>-10136142.372281536</v>
      </c>
      <c r="U346" s="163">
        <v>-4028692.8872358799</v>
      </c>
      <c r="V346" s="163">
        <v>-2315385.7805952579</v>
      </c>
      <c r="W346" s="164">
        <v>-6571927.5100554377</v>
      </c>
      <c r="X346" s="163">
        <v>-291125.83684483171</v>
      </c>
      <c r="Y346" s="163">
        <v>13454388.238835692</v>
      </c>
      <c r="Z346" s="163">
        <v>1507445.7633623779</v>
      </c>
      <c r="AA346" s="163">
        <v>6495434.0132105201</v>
      </c>
      <c r="AB346" s="163">
        <v>17686606.054200768</v>
      </c>
      <c r="AC346" s="163">
        <v>3075312.1662746817</v>
      </c>
      <c r="AD346" s="163">
        <v>-5051400.7281174809</v>
      </c>
      <c r="AE346" s="163">
        <v>566272.75745894015</v>
      </c>
      <c r="AF346" s="163">
        <v>-8860157.0246926546</v>
      </c>
      <c r="AG346" s="163">
        <v>-14908330.083647281</v>
      </c>
    </row>
    <row r="347" spans="16:33" ht="15.75" customHeight="1">
      <c r="P347" s="162"/>
      <c r="Q347" s="162">
        <v>330</v>
      </c>
      <c r="R347" s="163">
        <v>-27939803.210864872</v>
      </c>
      <c r="S347" s="163">
        <v>-28589020.101726025</v>
      </c>
      <c r="T347" s="163">
        <v>-25635892.863200814</v>
      </c>
      <c r="U347" s="163">
        <v>-8385090.8630649447</v>
      </c>
      <c r="V347" s="163">
        <v>3159531.5975145996</v>
      </c>
      <c r="W347" s="164">
        <v>3430016.3950402737</v>
      </c>
      <c r="X347" s="163">
        <v>11759266.219216853</v>
      </c>
      <c r="Y347" s="163">
        <v>3385562.1567320675</v>
      </c>
      <c r="Z347" s="163">
        <v>16518820.07095629</v>
      </c>
      <c r="AA347" s="163">
        <v>10155656.845438004</v>
      </c>
      <c r="AB347" s="163">
        <v>12112321.996990487</v>
      </c>
      <c r="AC347" s="163">
        <v>5457787.9206724018</v>
      </c>
      <c r="AD347" s="163">
        <v>6798276.2647161782</v>
      </c>
      <c r="AE347" s="163">
        <v>-3717838.8903994709</v>
      </c>
      <c r="AF347" s="163">
        <v>-2380368.7809236348</v>
      </c>
      <c r="AG347" s="163">
        <v>-20577655.766271874</v>
      </c>
    </row>
    <row r="348" spans="16:33" ht="15.75" customHeight="1">
      <c r="P348" s="162"/>
      <c r="Q348" s="162">
        <v>331</v>
      </c>
      <c r="R348" s="163">
        <v>-34008964.562055796</v>
      </c>
      <c r="S348" s="163">
        <v>-24600024.43176803</v>
      </c>
      <c r="T348" s="163">
        <v>-14619641.989859372</v>
      </c>
      <c r="U348" s="163">
        <v>2951018.8785870075</v>
      </c>
      <c r="V348" s="163">
        <v>-2083139.9323324114</v>
      </c>
      <c r="W348" s="164">
        <v>3081470.9720613658</v>
      </c>
      <c r="X348" s="163">
        <v>2394372.4318044335</v>
      </c>
      <c r="Y348" s="163">
        <v>21676056.02491504</v>
      </c>
      <c r="Z348" s="163">
        <v>3644351.5559884012</v>
      </c>
      <c r="AA348" s="163">
        <v>8373693.8837728798</v>
      </c>
      <c r="AB348" s="163">
        <v>2763989.0749644786</v>
      </c>
      <c r="AC348" s="163">
        <v>6390875.9601024985</v>
      </c>
      <c r="AD348" s="163">
        <v>564235.4748789072</v>
      </c>
      <c r="AE348" s="163">
        <v>-840821.13080461323</v>
      </c>
      <c r="AF348" s="163">
        <v>-14185514.215419739</v>
      </c>
      <c r="AG348" s="163">
        <v>-26830331.410608113</v>
      </c>
    </row>
    <row r="349" spans="16:33" ht="15.75" customHeight="1">
      <c r="P349" s="162"/>
      <c r="Q349" s="162">
        <v>332</v>
      </c>
      <c r="R349" s="163">
        <v>-32424269.02660507</v>
      </c>
      <c r="S349" s="163">
        <v>-24991498.766557798</v>
      </c>
      <c r="T349" s="163">
        <v>-14373977.439794317</v>
      </c>
      <c r="U349" s="163">
        <v>-5533746.9997649938</v>
      </c>
      <c r="V349" s="163">
        <v>-7600827.8080962896</v>
      </c>
      <c r="W349" s="164">
        <v>9062617.6254985332</v>
      </c>
      <c r="X349" s="163">
        <v>8517451.1125566214</v>
      </c>
      <c r="Y349" s="163">
        <v>7188880.3868970722</v>
      </c>
      <c r="Z349" s="163">
        <v>23620437.449367791</v>
      </c>
      <c r="AA349" s="163">
        <v>11681936.572257593</v>
      </c>
      <c r="AB349" s="163">
        <v>-11262838.046689346</v>
      </c>
      <c r="AC349" s="163">
        <v>7517674.0221835226</v>
      </c>
      <c r="AD349" s="163">
        <v>3161015.8322172463</v>
      </c>
      <c r="AE349" s="163">
        <v>695184.80089980364</v>
      </c>
      <c r="AF349" s="163">
        <v>-17392430.701729685</v>
      </c>
      <c r="AG349" s="163">
        <v>-27417815.507340282</v>
      </c>
    </row>
    <row r="350" spans="16:33" ht="15.75" customHeight="1">
      <c r="P350" s="162"/>
      <c r="Q350" s="162">
        <v>333</v>
      </c>
      <c r="R350" s="163">
        <v>-31719166.696242347</v>
      </c>
      <c r="S350" s="163">
        <v>-21107943.795399472</v>
      </c>
      <c r="T350" s="163">
        <v>-15207239.375606269</v>
      </c>
      <c r="U350" s="163">
        <v>-4845398.1732518226</v>
      </c>
      <c r="V350" s="163">
        <v>-4378282.5677218437</v>
      </c>
      <c r="W350" s="164">
        <v>8452583.5526329279</v>
      </c>
      <c r="X350" s="163">
        <v>1332394.7343501002</v>
      </c>
      <c r="Y350" s="163">
        <v>2182956.3481995165</v>
      </c>
      <c r="Z350" s="163">
        <v>16612270.85242708</v>
      </c>
      <c r="AA350" s="163">
        <v>4416863.5783280879</v>
      </c>
      <c r="AB350" s="163">
        <v>8141644.2746641189</v>
      </c>
      <c r="AC350" s="163">
        <v>11129575.606670544</v>
      </c>
      <c r="AD350" s="163">
        <v>-6009481.7414327413</v>
      </c>
      <c r="AE350" s="163">
        <v>-4215083.0501390696</v>
      </c>
      <c r="AF350" s="163">
        <v>-15738725.67534709</v>
      </c>
      <c r="AG350" s="163">
        <v>-16131941.65812625</v>
      </c>
    </row>
    <row r="351" spans="16:33" ht="15.75" customHeight="1">
      <c r="P351" s="162"/>
      <c r="Q351" s="162">
        <v>334</v>
      </c>
      <c r="R351" s="163">
        <v>-41362619.49315688</v>
      </c>
      <c r="S351" s="163">
        <v>-31596770.260119557</v>
      </c>
      <c r="T351" s="163">
        <v>-23186597.666695863</v>
      </c>
      <c r="U351" s="163">
        <v>-15985961.106232271</v>
      </c>
      <c r="V351" s="163">
        <v>-1257372.3180831075</v>
      </c>
      <c r="W351" s="164">
        <v>5494096.4244873375</v>
      </c>
      <c r="X351" s="163">
        <v>2684188.955334276</v>
      </c>
      <c r="Y351" s="163">
        <v>10804124.798746943</v>
      </c>
      <c r="Z351" s="163">
        <v>-2325499.1378375441</v>
      </c>
      <c r="AA351" s="163">
        <v>17677082.216004789</v>
      </c>
      <c r="AB351" s="163">
        <v>8322512.7546056062</v>
      </c>
      <c r="AC351" s="163">
        <v>10473951.099532276</v>
      </c>
      <c r="AD351" s="163">
        <v>-1128570.0350966305</v>
      </c>
      <c r="AE351" s="163">
        <v>945225.04429060221</v>
      </c>
      <c r="AF351" s="163">
        <v>-15209497.88853094</v>
      </c>
      <c r="AG351" s="163">
        <v>-14959438.959651455</v>
      </c>
    </row>
    <row r="352" spans="16:33" ht="15.75" customHeight="1">
      <c r="P352" s="162"/>
      <c r="Q352" s="162">
        <v>335</v>
      </c>
      <c r="R352" s="163">
        <v>-34624710.476784557</v>
      </c>
      <c r="S352" s="163">
        <v>-22041261.923402131</v>
      </c>
      <c r="T352" s="163">
        <v>-14175165.997337416</v>
      </c>
      <c r="U352" s="163">
        <v>-14750730.37253511</v>
      </c>
      <c r="V352" s="163">
        <v>3274835.1095281839</v>
      </c>
      <c r="W352" s="164">
        <v>-2575134.8200036585</v>
      </c>
      <c r="X352" s="163">
        <v>10478600.941722274</v>
      </c>
      <c r="Y352" s="163">
        <v>1374682.8498466462</v>
      </c>
      <c r="Z352" s="163">
        <v>23420606.877135962</v>
      </c>
      <c r="AA352" s="163">
        <v>10619001.231444567</v>
      </c>
      <c r="AB352" s="163">
        <v>5540351.2590320259</v>
      </c>
      <c r="AC352" s="163">
        <v>9203548.9273595959</v>
      </c>
      <c r="AD352" s="163">
        <v>-5479440.9104267657</v>
      </c>
      <c r="AE352" s="163">
        <v>7887410.7789308727</v>
      </c>
      <c r="AF352" s="163">
        <v>-18055747.194073796</v>
      </c>
      <c r="AG352" s="163">
        <v>-17014646.955549985</v>
      </c>
    </row>
    <row r="353" spans="16:33" ht="15.75" customHeight="1">
      <c r="P353" s="162"/>
      <c r="Q353" s="162">
        <v>336</v>
      </c>
      <c r="R353" s="163">
        <v>-27289664.661296964</v>
      </c>
      <c r="S353" s="163">
        <v>-22457275.147886947</v>
      </c>
      <c r="T353" s="163">
        <v>-18972159.791016802</v>
      </c>
      <c r="U353" s="163">
        <v>-10710479.235096216</v>
      </c>
      <c r="V353" s="163">
        <v>6083830.1831565052</v>
      </c>
      <c r="W353" s="164">
        <v>11341938.631462172</v>
      </c>
      <c r="X353" s="163">
        <v>6176178.7460769713</v>
      </c>
      <c r="Y353" s="163">
        <v>15149982.423523679</v>
      </c>
      <c r="Z353" s="163">
        <v>16440862.941661984</v>
      </c>
      <c r="AA353" s="163">
        <v>13734070.847107813</v>
      </c>
      <c r="AB353" s="163">
        <v>-3659752.5992952883</v>
      </c>
      <c r="AC353" s="163">
        <v>9417550.2213578671</v>
      </c>
      <c r="AD353" s="163">
        <v>12816585.335910276</v>
      </c>
      <c r="AE353" s="163">
        <v>4779184.970312044</v>
      </c>
      <c r="AF353" s="163">
        <v>-14172455.936465114</v>
      </c>
      <c r="AG353" s="163">
        <v>-14771054.143941462</v>
      </c>
    </row>
    <row r="354" spans="16:33" ht="15.75" customHeight="1">
      <c r="P354" s="162"/>
      <c r="Q354" s="162">
        <v>337</v>
      </c>
      <c r="R354" s="163">
        <v>-31666738.94948782</v>
      </c>
      <c r="S354" s="163">
        <v>-24831468.159055337</v>
      </c>
      <c r="T354" s="163">
        <v>-11138228.174908936</v>
      </c>
      <c r="U354" s="163">
        <v>-9760417.8664325029</v>
      </c>
      <c r="V354" s="163">
        <v>-4506658.6694933474</v>
      </c>
      <c r="W354" s="164">
        <v>7782422.1064370424</v>
      </c>
      <c r="X354" s="163">
        <v>3868556.8598734438</v>
      </c>
      <c r="Y354" s="163">
        <v>17711409.439410344</v>
      </c>
      <c r="Z354" s="163">
        <v>8302099.9382308573</v>
      </c>
      <c r="AA354" s="163">
        <v>1682303.7013379782</v>
      </c>
      <c r="AB354" s="163">
        <v>18539144.189044237</v>
      </c>
      <c r="AC354" s="163">
        <v>14599367.596696272</v>
      </c>
      <c r="AD354" s="163">
        <v>500127.49567748606</v>
      </c>
      <c r="AE354" s="163">
        <v>-7040565.0435292274</v>
      </c>
      <c r="AF354" s="163">
        <v>-19927341.289330035</v>
      </c>
      <c r="AG354" s="163">
        <v>-13053141.704921573</v>
      </c>
    </row>
    <row r="355" spans="16:33" ht="15.75" customHeight="1">
      <c r="P355" s="162"/>
      <c r="Q355" s="162">
        <v>338</v>
      </c>
      <c r="R355" s="163">
        <v>-37320989.477293834</v>
      </c>
      <c r="S355" s="163">
        <v>-29714753.050852612</v>
      </c>
      <c r="T355" s="163">
        <v>-15969687.712066919</v>
      </c>
      <c r="U355" s="163">
        <v>-10027233.12094143</v>
      </c>
      <c r="V355" s="163">
        <v>745218.28708860278</v>
      </c>
      <c r="W355" s="164">
        <v>2701780.4742468894</v>
      </c>
      <c r="X355" s="163">
        <v>2246752.488783136</v>
      </c>
      <c r="Y355" s="163">
        <v>12274328.736103266</v>
      </c>
      <c r="Z355" s="163">
        <v>12887923.303308338</v>
      </c>
      <c r="AA355" s="163">
        <v>8251643.3892613947</v>
      </c>
      <c r="AB355" s="163">
        <v>5461612.7207278013</v>
      </c>
      <c r="AC355" s="163">
        <v>13645558.157806233</v>
      </c>
      <c r="AD355" s="163">
        <v>-1754365.199330166</v>
      </c>
      <c r="AE355" s="163">
        <v>-9466065.7827142179</v>
      </c>
      <c r="AF355" s="163">
        <v>-14103873.027110934</v>
      </c>
      <c r="AG355" s="163">
        <v>-20142598.210283533</v>
      </c>
    </row>
    <row r="356" spans="16:33" ht="15.75" customHeight="1">
      <c r="P356" s="162"/>
      <c r="Q356" s="162">
        <v>339</v>
      </c>
      <c r="R356" s="163">
        <v>-29315444.874732211</v>
      </c>
      <c r="S356" s="163">
        <v>-22959965.361102849</v>
      </c>
      <c r="T356" s="163">
        <v>-16787782.978535473</v>
      </c>
      <c r="U356" s="163">
        <v>-4743704.7561916113</v>
      </c>
      <c r="V356" s="163">
        <v>-9390721.3422120363</v>
      </c>
      <c r="W356" s="164">
        <v>16346270.771302938</v>
      </c>
      <c r="X356" s="163">
        <v>13039897.112045169</v>
      </c>
      <c r="Y356" s="163">
        <v>10013424.211533949</v>
      </c>
      <c r="Z356" s="163">
        <v>13294309.168609321</v>
      </c>
      <c r="AA356" s="163">
        <v>6951199.236593172</v>
      </c>
      <c r="AB356" s="163">
        <v>9326593.8837290108</v>
      </c>
      <c r="AC356" s="163">
        <v>21410484.484706134</v>
      </c>
      <c r="AD356" s="163">
        <v>9123523.1743447036</v>
      </c>
      <c r="AE356" s="163">
        <v>2252985.8267302513</v>
      </c>
      <c r="AF356" s="163">
        <v>-11819641.550009981</v>
      </c>
      <c r="AG356" s="163">
        <v>-25224056.949822262</v>
      </c>
    </row>
    <row r="357" spans="16:33" ht="15.75" customHeight="1">
      <c r="P357" s="162"/>
      <c r="Q357" s="162">
        <v>340</v>
      </c>
      <c r="R357" s="163">
        <v>-35576163.687192604</v>
      </c>
      <c r="S357" s="163">
        <v>-17605125.550852999</v>
      </c>
      <c r="T357" s="163">
        <v>-16757532.943567872</v>
      </c>
      <c r="U357" s="163">
        <v>-3999234.4206055552</v>
      </c>
      <c r="V357" s="163">
        <v>-4039359.8113377392</v>
      </c>
      <c r="W357" s="164">
        <v>3011761.3743581623</v>
      </c>
      <c r="X357" s="163">
        <v>13863318.373902529</v>
      </c>
      <c r="Y357" s="163">
        <v>6335908.9366185367</v>
      </c>
      <c r="Z357" s="163">
        <v>1973440.8923553526</v>
      </c>
      <c r="AA357" s="163">
        <v>11898151.117494106</v>
      </c>
      <c r="AB357" s="163">
        <v>8626167.3731516302</v>
      </c>
      <c r="AC357" s="163">
        <v>12733434.4465442</v>
      </c>
      <c r="AD357" s="163">
        <v>834478.10581207275</v>
      </c>
      <c r="AE357" s="163">
        <v>-155187.14249803126</v>
      </c>
      <c r="AF357" s="163">
        <v>2742981.47423549</v>
      </c>
      <c r="AG357" s="163">
        <v>-23872272.508727178</v>
      </c>
    </row>
    <row r="358" spans="16:33" ht="15.75" customHeight="1">
      <c r="P358" s="162"/>
      <c r="Q358" s="162">
        <v>341</v>
      </c>
      <c r="R358" s="163">
        <v>-30973784.312280923</v>
      </c>
      <c r="S358" s="163">
        <v>-22767456.791596308</v>
      </c>
      <c r="T358" s="163">
        <v>-17292050.780015424</v>
      </c>
      <c r="U358" s="163">
        <v>-8217597.0072633177</v>
      </c>
      <c r="V358" s="163">
        <v>-1766541.4866786152</v>
      </c>
      <c r="W358" s="164">
        <v>3800565.6302895695</v>
      </c>
      <c r="X358" s="163">
        <v>656497.14581422508</v>
      </c>
      <c r="Y358" s="163">
        <v>14216109.481796071</v>
      </c>
      <c r="Z358" s="163">
        <v>11025209.11943014</v>
      </c>
      <c r="AA358" s="163">
        <v>8070560.6151234508</v>
      </c>
      <c r="AB358" s="163">
        <v>9788126.7682436109</v>
      </c>
      <c r="AC358" s="163">
        <v>1341287.3358100206</v>
      </c>
      <c r="AD358" s="163">
        <v>-676637.10576942563</v>
      </c>
      <c r="AE358" s="163">
        <v>-1856550.2917613089</v>
      </c>
      <c r="AF358" s="163">
        <v>-7680030.2127609998</v>
      </c>
      <c r="AG358" s="163">
        <v>-19021688.33977668</v>
      </c>
    </row>
    <row r="359" spans="16:33" ht="15.75" customHeight="1">
      <c r="P359" s="162"/>
      <c r="Q359" s="162">
        <v>342</v>
      </c>
      <c r="R359" s="163">
        <v>-36732547.481637925</v>
      </c>
      <c r="S359" s="163">
        <v>-34253601.243983775</v>
      </c>
      <c r="T359" s="163">
        <v>-15210748.472783267</v>
      </c>
      <c r="U359" s="163">
        <v>-9763412.5191237181</v>
      </c>
      <c r="V359" s="163">
        <v>4775749.9409932643</v>
      </c>
      <c r="W359" s="164">
        <v>3024949.7645762265</v>
      </c>
      <c r="X359" s="163">
        <v>12813727.724012643</v>
      </c>
      <c r="Y359" s="163">
        <v>14333020.862561628</v>
      </c>
      <c r="Z359" s="163">
        <v>12584731.394843757</v>
      </c>
      <c r="AA359" s="163">
        <v>6530056.8404674828</v>
      </c>
      <c r="AB359" s="163">
        <v>7006145.6872600019</v>
      </c>
      <c r="AC359" s="163">
        <v>4161677.9668723494</v>
      </c>
      <c r="AD359" s="163">
        <v>595003.0349855274</v>
      </c>
      <c r="AE359" s="163">
        <v>-3561285.8163406253</v>
      </c>
      <c r="AF359" s="163">
        <v>-1544323.2209260762</v>
      </c>
      <c r="AG359" s="163">
        <v>-21897689.306423187</v>
      </c>
    </row>
    <row r="360" spans="16:33" ht="15.75" customHeight="1">
      <c r="P360" s="162"/>
      <c r="Q360" s="162">
        <v>343</v>
      </c>
      <c r="R360" s="163">
        <v>-35535461.496907294</v>
      </c>
      <c r="S360" s="163">
        <v>-27847602.243460178</v>
      </c>
      <c r="T360" s="163">
        <v>-15709107.522854984</v>
      </c>
      <c r="U360" s="163">
        <v>-10597912.024924502</v>
      </c>
      <c r="V360" s="163">
        <v>-2490075.1079571545</v>
      </c>
      <c r="W360" s="164">
        <v>6004795.6390923858</v>
      </c>
      <c r="X360" s="163">
        <v>14765602.815556526</v>
      </c>
      <c r="Y360" s="163">
        <v>16588358.792747676</v>
      </c>
      <c r="Z360" s="163">
        <v>7217484.4964595884</v>
      </c>
      <c r="AA360" s="163">
        <v>12508718.808633104</v>
      </c>
      <c r="AB360" s="163">
        <v>17884889.601961732</v>
      </c>
      <c r="AC360" s="163">
        <v>-1263509.4297041446</v>
      </c>
      <c r="AD360" s="163">
        <v>-39685.565623834729</v>
      </c>
      <c r="AE360" s="163">
        <v>-8922894.2924553454</v>
      </c>
      <c r="AF360" s="163">
        <v>-13242658.707920328</v>
      </c>
      <c r="AG360" s="163">
        <v>-21632585.681266308</v>
      </c>
    </row>
    <row r="361" spans="16:33" ht="15.75" customHeight="1">
      <c r="P361" s="162"/>
      <c r="Q361" s="162">
        <v>344</v>
      </c>
      <c r="R361" s="163">
        <v>-40445656.228449613</v>
      </c>
      <c r="S361" s="163">
        <v>-24303812.463388652</v>
      </c>
      <c r="T361" s="163">
        <v>-14844103.364824146</v>
      </c>
      <c r="U361" s="163">
        <v>-8926065.5491485</v>
      </c>
      <c r="V361" s="163">
        <v>-472599.76309584081</v>
      </c>
      <c r="W361" s="164">
        <v>-1078659.2943088412</v>
      </c>
      <c r="X361" s="163">
        <v>15288961.021699935</v>
      </c>
      <c r="Y361" s="163">
        <v>5469534.0610780865</v>
      </c>
      <c r="Z361" s="163">
        <v>13716234.572949886</v>
      </c>
      <c r="AA361" s="163">
        <v>11418781.824640766</v>
      </c>
      <c r="AB361" s="163">
        <v>860602.09857954085</v>
      </c>
      <c r="AC361" s="163">
        <v>2793822.4302440286</v>
      </c>
      <c r="AD361" s="163">
        <v>6386911.8258520365</v>
      </c>
      <c r="AE361" s="163">
        <v>-3938704.9942282438</v>
      </c>
      <c r="AF361" s="163">
        <v>-1441368.2231845111</v>
      </c>
      <c r="AG361" s="163">
        <v>-15060777.819177389</v>
      </c>
    </row>
    <row r="362" spans="16:33" ht="15.75" customHeight="1">
      <c r="P362" s="162"/>
      <c r="Q362" s="162">
        <v>345</v>
      </c>
      <c r="R362" s="163">
        <v>-30929944.493343204</v>
      </c>
      <c r="S362" s="163">
        <v>-21578587.800029159</v>
      </c>
      <c r="T362" s="163">
        <v>-13382434.21875079</v>
      </c>
      <c r="U362" s="163">
        <v>-11577006.861572549</v>
      </c>
      <c r="V362" s="163">
        <v>-3344239.2078561336</v>
      </c>
      <c r="W362" s="164">
        <v>-3558285.9580946118</v>
      </c>
      <c r="X362" s="163">
        <v>11252298.618468836</v>
      </c>
      <c r="Y362" s="163">
        <v>21922603.811911002</v>
      </c>
      <c r="Z362" s="163">
        <v>9757689.7507938296</v>
      </c>
      <c r="AA362" s="163">
        <v>23864442.682189569</v>
      </c>
      <c r="AB362" s="163">
        <v>12408800.281502306</v>
      </c>
      <c r="AC362" s="163">
        <v>10928677.241976723</v>
      </c>
      <c r="AD362" s="163">
        <v>6357447.954910785</v>
      </c>
      <c r="AE362" s="163">
        <v>-20478282.347117692</v>
      </c>
      <c r="AF362" s="163">
        <v>-10607130.462881073</v>
      </c>
      <c r="AG362" s="163">
        <v>-21693735.023748696</v>
      </c>
    </row>
    <row r="363" spans="16:33" ht="15.75" customHeight="1">
      <c r="P363" s="162"/>
      <c r="Q363" s="162">
        <v>346</v>
      </c>
      <c r="R363" s="163">
        <v>-32516962.680706799</v>
      </c>
      <c r="S363" s="163">
        <v>-26826653.148395851</v>
      </c>
      <c r="T363" s="163">
        <v>-17993423.517222643</v>
      </c>
      <c r="U363" s="163">
        <v>-8719592.7461891323</v>
      </c>
      <c r="V363" s="163">
        <v>-688029.09164232016</v>
      </c>
      <c r="W363" s="164">
        <v>2971615.0380636603</v>
      </c>
      <c r="X363" s="163">
        <v>12197242.282704964</v>
      </c>
      <c r="Y363" s="163">
        <v>4583205.4011782855</v>
      </c>
      <c r="Z363" s="163">
        <v>32554100.073077053</v>
      </c>
      <c r="AA363" s="163">
        <v>7130008.3818258792</v>
      </c>
      <c r="AB363" s="163">
        <v>6773949.9098822474</v>
      </c>
      <c r="AC363" s="163">
        <v>21038195.790243015</v>
      </c>
      <c r="AD363" s="163">
        <v>-884381.22415730357</v>
      </c>
      <c r="AE363" s="163">
        <v>-6929222.9217092842</v>
      </c>
      <c r="AF363" s="163">
        <v>-8753018.6757818013</v>
      </c>
      <c r="AG363" s="163">
        <v>-26299597.842290267</v>
      </c>
    </row>
    <row r="364" spans="16:33" ht="15.75" customHeight="1">
      <c r="P364" s="162"/>
      <c r="Q364" s="162">
        <v>347</v>
      </c>
      <c r="R364" s="163">
        <v>-42110497.007679552</v>
      </c>
      <c r="S364" s="163">
        <v>-19771515.677661896</v>
      </c>
      <c r="T364" s="163">
        <v>-17045969.462014645</v>
      </c>
      <c r="U364" s="163">
        <v>-8419645.2530070543</v>
      </c>
      <c r="V364" s="163">
        <v>-1015849.0182159841</v>
      </c>
      <c r="W364" s="164">
        <v>8413432.7553577125</v>
      </c>
      <c r="X364" s="163">
        <v>6229658.2190495133</v>
      </c>
      <c r="Y364" s="163">
        <v>12941227.7524793</v>
      </c>
      <c r="Z364" s="163">
        <v>7055016.4580573142</v>
      </c>
      <c r="AA364" s="163">
        <v>16254569.69654794</v>
      </c>
      <c r="AB364" s="163">
        <v>7620773.9724909216</v>
      </c>
      <c r="AC364" s="163">
        <v>5055241.2151127458</v>
      </c>
      <c r="AD364" s="163">
        <v>-871810.97300891578</v>
      </c>
      <c r="AE364" s="163">
        <v>2378031.2454146743</v>
      </c>
      <c r="AF364" s="163">
        <v>-8452462.7835784703</v>
      </c>
      <c r="AG364" s="163">
        <v>-15590705.431677207</v>
      </c>
    </row>
    <row r="365" spans="16:33" ht="15.75" customHeight="1">
      <c r="P365" s="162"/>
      <c r="Q365" s="162">
        <v>348</v>
      </c>
      <c r="R365" s="163">
        <v>-31517449.19655405</v>
      </c>
      <c r="S365" s="163">
        <v>-28269726.012672216</v>
      </c>
      <c r="T365" s="163">
        <v>-16696335.788466543</v>
      </c>
      <c r="U365" s="163">
        <v>-1261480.5765685439</v>
      </c>
      <c r="V365" s="163">
        <v>8210745.5748574138</v>
      </c>
      <c r="W365" s="164">
        <v>-9316955.1422086805</v>
      </c>
      <c r="X365" s="163">
        <v>14176282.430171713</v>
      </c>
      <c r="Y365" s="163">
        <v>22838480.996072978</v>
      </c>
      <c r="Z365" s="163">
        <v>15758626.597586602</v>
      </c>
      <c r="AA365" s="163">
        <v>13926633.677052751</v>
      </c>
      <c r="AB365" s="163">
        <v>1988303.3850447387</v>
      </c>
      <c r="AC365" s="163">
        <v>13042931.463912621</v>
      </c>
      <c r="AD365" s="163">
        <v>2013167.3691641837</v>
      </c>
      <c r="AE365" s="163">
        <v>4429678.8013371825</v>
      </c>
      <c r="AF365" s="163">
        <v>-7429039.6161505878</v>
      </c>
      <c r="AG365" s="163">
        <v>-21005931.107942387</v>
      </c>
    </row>
    <row r="366" spans="16:33" ht="15.75" customHeight="1">
      <c r="P366" s="162"/>
      <c r="Q366" s="162">
        <v>349</v>
      </c>
      <c r="R366" s="163">
        <v>-35587766.542197928</v>
      </c>
      <c r="S366" s="163">
        <v>-21759407.010281771</v>
      </c>
      <c r="T366" s="163">
        <v>-7549749.740058139</v>
      </c>
      <c r="U366" s="163">
        <v>-8387775.0789952278</v>
      </c>
      <c r="V366" s="163">
        <v>-6227207.8014151156</v>
      </c>
      <c r="W366" s="164">
        <v>8071737.7321087718</v>
      </c>
      <c r="X366" s="163">
        <v>-4059864.9227664471</v>
      </c>
      <c r="Y366" s="163">
        <v>9128650.0308491439</v>
      </c>
      <c r="Z366" s="163">
        <v>20700151.78703256</v>
      </c>
      <c r="AA366" s="163">
        <v>11719401.200051919</v>
      </c>
      <c r="AB366" s="163">
        <v>6898453.0624045432</v>
      </c>
      <c r="AC366" s="163">
        <v>2147315.6952714026</v>
      </c>
      <c r="AD366" s="163">
        <v>10671583.400438815</v>
      </c>
      <c r="AE366" s="163">
        <v>-7521737.3937819153</v>
      </c>
      <c r="AF366" s="163">
        <v>-12563458.128169596</v>
      </c>
      <c r="AG366" s="163">
        <v>-19985654.84602493</v>
      </c>
    </row>
    <row r="367" spans="16:33" ht="15.75" customHeight="1">
      <c r="P367" s="162"/>
      <c r="Q367" s="162">
        <v>350</v>
      </c>
      <c r="R367" s="163">
        <v>-40208533.389641851</v>
      </c>
      <c r="S367" s="163">
        <v>-28041170.238278896</v>
      </c>
      <c r="T367" s="163">
        <v>-16384353.286620811</v>
      </c>
      <c r="U367" s="163">
        <v>-10816180.445612475</v>
      </c>
      <c r="V367" s="163">
        <v>625364.86226511002</v>
      </c>
      <c r="W367" s="164">
        <v>2639426.5550583452</v>
      </c>
      <c r="X367" s="163">
        <v>-8995990.2724524736</v>
      </c>
      <c r="Y367" s="163">
        <v>17174052.480834708</v>
      </c>
      <c r="Z367" s="163">
        <v>11109098.548213094</v>
      </c>
      <c r="AA367" s="163">
        <v>18078978.998288423</v>
      </c>
      <c r="AB367" s="163">
        <v>10703897.780339479</v>
      </c>
      <c r="AC367" s="163">
        <v>5991686.6480656713</v>
      </c>
      <c r="AD367" s="163">
        <v>-4869941.895432502</v>
      </c>
      <c r="AE367" s="163">
        <v>-17893838.483531892</v>
      </c>
      <c r="AF367" s="163">
        <v>-6650666.5520811975</v>
      </c>
      <c r="AG367" s="163">
        <v>-19253374.309314117</v>
      </c>
    </row>
    <row r="368" spans="16:33" ht="15.75" customHeight="1">
      <c r="P368" s="162"/>
      <c r="Q368" s="162">
        <v>351</v>
      </c>
      <c r="R368" s="163">
        <v>-28502505.962839097</v>
      </c>
      <c r="S368" s="163">
        <v>-26066653.5418192</v>
      </c>
      <c r="T368" s="163">
        <v>-20128497.062315106</v>
      </c>
      <c r="U368" s="163">
        <v>-7213413.1527488083</v>
      </c>
      <c r="V368" s="163">
        <v>-8264407.8602551669</v>
      </c>
      <c r="W368" s="164">
        <v>10185271.308910325</v>
      </c>
      <c r="X368" s="163">
        <v>13026073.67467469</v>
      </c>
      <c r="Y368" s="163">
        <v>12206098.147983134</v>
      </c>
      <c r="Z368" s="163">
        <v>6283298.9628135264</v>
      </c>
      <c r="AA368" s="163">
        <v>17954195.301469371</v>
      </c>
      <c r="AB368" s="163">
        <v>12802740.506884903</v>
      </c>
      <c r="AC368" s="163">
        <v>4154137.3908177763</v>
      </c>
      <c r="AD368" s="163">
        <v>4005624.9415410757</v>
      </c>
      <c r="AE368" s="163">
        <v>2459176.7060172707</v>
      </c>
      <c r="AF368" s="163">
        <v>-11973759.313855276</v>
      </c>
      <c r="AG368" s="163">
        <v>-24225499.588739157</v>
      </c>
    </row>
    <row r="369" spans="16:33" ht="15.75" customHeight="1">
      <c r="P369" s="162"/>
      <c r="Q369" s="162">
        <v>352</v>
      </c>
      <c r="R369" s="163">
        <v>-38329790.022334993</v>
      </c>
      <c r="S369" s="163">
        <v>-23015214.921732858</v>
      </c>
      <c r="T369" s="163">
        <v>-14945708.376776233</v>
      </c>
      <c r="U369" s="163">
        <v>-248615.98678742349</v>
      </c>
      <c r="V369" s="163">
        <v>907004.85108613968</v>
      </c>
      <c r="W369" s="164">
        <v>17593165.831280202</v>
      </c>
      <c r="X369" s="163">
        <v>3633825.4441465437</v>
      </c>
      <c r="Y369" s="163">
        <v>-5891373.4841947854</v>
      </c>
      <c r="Z369" s="163">
        <v>16369276.968288973</v>
      </c>
      <c r="AA369" s="163">
        <v>7020232.9229630381</v>
      </c>
      <c r="AB369" s="163">
        <v>14605775.558924794</v>
      </c>
      <c r="AC369" s="163">
        <v>-3009231.1287114471</v>
      </c>
      <c r="AD369" s="163">
        <v>17664739.684828982</v>
      </c>
      <c r="AE369" s="163">
        <v>5340026.2270852029</v>
      </c>
      <c r="AF369" s="163">
        <v>-4128853.42985937</v>
      </c>
      <c r="AG369" s="163">
        <v>-20265891.365456983</v>
      </c>
    </row>
    <row r="370" spans="16:33" ht="15.75" customHeight="1">
      <c r="P370" s="162"/>
      <c r="Q370" s="162">
        <v>353</v>
      </c>
      <c r="R370" s="163">
        <v>-42387516.809239313</v>
      </c>
      <c r="S370" s="163">
        <v>-26176934.352869004</v>
      </c>
      <c r="T370" s="163">
        <v>-12128748.995655462</v>
      </c>
      <c r="U370" s="163">
        <v>-11422514.219588622</v>
      </c>
      <c r="V370" s="163">
        <v>-5064601.5760840774</v>
      </c>
      <c r="W370" s="164">
        <v>-1666790.1557536721</v>
      </c>
      <c r="X370" s="163">
        <v>-900549.07047322392</v>
      </c>
      <c r="Y370" s="163">
        <v>3732728.515154466</v>
      </c>
      <c r="Z370" s="163">
        <v>10867110.502553359</v>
      </c>
      <c r="AA370" s="163">
        <v>13990054.685305625</v>
      </c>
      <c r="AB370" s="163">
        <v>5819613.4940387905</v>
      </c>
      <c r="AC370" s="163">
        <v>2115310.7280414104</v>
      </c>
      <c r="AD370" s="163">
        <v>-808996.54323129356</v>
      </c>
      <c r="AE370" s="163">
        <v>-3131097.9722832143</v>
      </c>
      <c r="AF370" s="163">
        <v>3893108.4595957845</v>
      </c>
      <c r="AG370" s="163">
        <v>-14620221.749105543</v>
      </c>
    </row>
    <row r="371" spans="16:33" ht="15.75" customHeight="1">
      <c r="P371" s="162"/>
      <c r="Q371" s="162">
        <v>354</v>
      </c>
      <c r="R371" s="163">
        <v>-35473139.964622155</v>
      </c>
      <c r="S371" s="163">
        <v>-24321777.146140322</v>
      </c>
      <c r="T371" s="163">
        <v>-15390916.646928132</v>
      </c>
      <c r="U371" s="163">
        <v>-4243211.2663291693</v>
      </c>
      <c r="V371" s="163">
        <v>-6294988.6272981614</v>
      </c>
      <c r="W371" s="164">
        <v>10098306.522508472</v>
      </c>
      <c r="X371" s="163">
        <v>9846849.468215555</v>
      </c>
      <c r="Y371" s="163">
        <v>16911407.524655759</v>
      </c>
      <c r="Z371" s="163">
        <v>15574863.136819467</v>
      </c>
      <c r="AA371" s="163">
        <v>12469421.106777504</v>
      </c>
      <c r="AB371" s="163">
        <v>-2245728.7854152024</v>
      </c>
      <c r="AC371" s="163">
        <v>2927332.4119299501</v>
      </c>
      <c r="AD371" s="163">
        <v>3761946.5494642705</v>
      </c>
      <c r="AE371" s="163">
        <v>3208692.3284663409</v>
      </c>
      <c r="AF371" s="163">
        <v>-11869029.963159844</v>
      </c>
      <c r="AG371" s="163">
        <v>-20521046.621688113</v>
      </c>
    </row>
    <row r="372" spans="16:33" ht="15.75" customHeight="1">
      <c r="P372" s="162"/>
      <c r="Q372" s="162">
        <v>355</v>
      </c>
      <c r="R372" s="163">
        <v>-39587193.973520309</v>
      </c>
      <c r="S372" s="163">
        <v>-22857291.246313393</v>
      </c>
      <c r="T372" s="163">
        <v>-17513028.897825509</v>
      </c>
      <c r="U372" s="163">
        <v>-996052.48870144784</v>
      </c>
      <c r="V372" s="163">
        <v>-1486853.5735572428</v>
      </c>
      <c r="W372" s="164">
        <v>-5795020.2033891082</v>
      </c>
      <c r="X372" s="163">
        <v>6319066.9507332295</v>
      </c>
      <c r="Y372" s="163">
        <v>4232692.3109621257</v>
      </c>
      <c r="Z372" s="163">
        <v>21553206.021932736</v>
      </c>
      <c r="AA372" s="163">
        <v>12775684.028915867</v>
      </c>
      <c r="AB372" s="163">
        <v>13035094.696203604</v>
      </c>
      <c r="AC372" s="163">
        <v>13655752.352998286</v>
      </c>
      <c r="AD372" s="163">
        <v>-5768513.3352438211</v>
      </c>
      <c r="AE372" s="163">
        <v>-1913044.3557960689</v>
      </c>
      <c r="AF372" s="163">
        <v>-10058531.680478767</v>
      </c>
      <c r="AG372" s="163">
        <v>-19674665.230474129</v>
      </c>
    </row>
    <row r="373" spans="16:33" ht="15.75" customHeight="1">
      <c r="P373" s="162"/>
      <c r="Q373" s="162">
        <v>356</v>
      </c>
      <c r="R373" s="163">
        <v>-35423798.451212227</v>
      </c>
      <c r="S373" s="163">
        <v>-22556822.27932401</v>
      </c>
      <c r="T373" s="163">
        <v>-19946931.74409844</v>
      </c>
      <c r="U373" s="163">
        <v>-13072560.465255156</v>
      </c>
      <c r="V373" s="163">
        <v>-420433.66204945743</v>
      </c>
      <c r="W373" s="164">
        <v>7808882.7099753618</v>
      </c>
      <c r="X373" s="163">
        <v>7682153.6928180009</v>
      </c>
      <c r="Y373" s="163">
        <v>19646322.908841819</v>
      </c>
      <c r="Z373" s="163">
        <v>9546257.4854933619</v>
      </c>
      <c r="AA373" s="163">
        <v>3835150.9761357307</v>
      </c>
      <c r="AB373" s="163">
        <v>9715392.9011338651</v>
      </c>
      <c r="AC373" s="163">
        <v>3164934.6133829951</v>
      </c>
      <c r="AD373" s="163">
        <v>943980.3380985558</v>
      </c>
      <c r="AE373" s="163">
        <v>2584867.915185973</v>
      </c>
      <c r="AF373" s="163">
        <v>-14137560.514334217</v>
      </c>
      <c r="AG373" s="163">
        <v>-19965159.676523</v>
      </c>
    </row>
    <row r="374" spans="16:33" ht="15.75" customHeight="1">
      <c r="P374" s="162"/>
      <c r="Q374" s="162">
        <v>357</v>
      </c>
      <c r="R374" s="163">
        <v>-32579597.372250527</v>
      </c>
      <c r="S374" s="163">
        <v>-11401177.574489415</v>
      </c>
      <c r="T374" s="163">
        <v>-11070226.032992393</v>
      </c>
      <c r="U374" s="163">
        <v>-4180045.2750693262</v>
      </c>
      <c r="V374" s="163">
        <v>-5621928.3055400252</v>
      </c>
      <c r="W374" s="164">
        <v>2597249.8142424077</v>
      </c>
      <c r="X374" s="163">
        <v>5720678.040113613</v>
      </c>
      <c r="Y374" s="163">
        <v>13281021.392347321</v>
      </c>
      <c r="Z374" s="163">
        <v>7483638.4427777678</v>
      </c>
      <c r="AA374" s="163">
        <v>16391882.932002872</v>
      </c>
      <c r="AB374" s="163">
        <v>7288620.130748719</v>
      </c>
      <c r="AC374" s="163">
        <v>19092223.773173317</v>
      </c>
      <c r="AD374" s="163">
        <v>-4249983.3924269378</v>
      </c>
      <c r="AE374" s="163">
        <v>581385.98988424242</v>
      </c>
      <c r="AF374" s="163">
        <v>-11818127.679839179</v>
      </c>
      <c r="AG374" s="163">
        <v>-23803638.007012829</v>
      </c>
    </row>
    <row r="375" spans="16:33" ht="15.75" customHeight="1">
      <c r="P375" s="162"/>
      <c r="Q375" s="162">
        <v>358</v>
      </c>
      <c r="R375" s="163">
        <v>-31329915.363083616</v>
      </c>
      <c r="S375" s="163">
        <v>-22045280.603414789</v>
      </c>
      <c r="T375" s="163">
        <v>-6332384.2518438995</v>
      </c>
      <c r="U375" s="163">
        <v>-5128894.0777862668</v>
      </c>
      <c r="V375" s="163">
        <v>2309843.3145118803</v>
      </c>
      <c r="W375" s="164">
        <v>-8003378.4811570942</v>
      </c>
      <c r="X375" s="163">
        <v>5189657.6473185718</v>
      </c>
      <c r="Y375" s="163">
        <v>124443.0193349272</v>
      </c>
      <c r="Z375" s="163">
        <v>8256214.5066344142</v>
      </c>
      <c r="AA375" s="163">
        <v>9835331.417037189</v>
      </c>
      <c r="AB375" s="163">
        <v>4366997.7141742557</v>
      </c>
      <c r="AC375" s="163">
        <v>11335093.613561213</v>
      </c>
      <c r="AD375" s="163">
        <v>2210710.571901232</v>
      </c>
      <c r="AE375" s="163">
        <v>4426177.2067338526</v>
      </c>
      <c r="AF375" s="163">
        <v>-5784290.9828818589</v>
      </c>
      <c r="AG375" s="163">
        <v>-21435845.93420735</v>
      </c>
    </row>
    <row r="376" spans="16:33" ht="15.75" customHeight="1">
      <c r="P376" s="162"/>
      <c r="Q376" s="162">
        <v>359</v>
      </c>
      <c r="R376" s="163">
        <v>-35534811.286033928</v>
      </c>
      <c r="S376" s="163">
        <v>-19202777.512653843</v>
      </c>
      <c r="T376" s="163">
        <v>-12448579.846452594</v>
      </c>
      <c r="U376" s="163">
        <v>-7695457.6274155974</v>
      </c>
      <c r="V376" s="163">
        <v>-6647117.9860442728</v>
      </c>
      <c r="W376" s="164">
        <v>4708929.1516395956</v>
      </c>
      <c r="X376" s="163">
        <v>9180225.9974063635</v>
      </c>
      <c r="Y376" s="163">
        <v>5048674.4108768404</v>
      </c>
      <c r="Z376" s="163">
        <v>-7699796.8735940903</v>
      </c>
      <c r="AA376" s="163">
        <v>8207928.532832846</v>
      </c>
      <c r="AB376" s="163">
        <v>7518418.0375782549</v>
      </c>
      <c r="AC376" s="163">
        <v>-214846.23938681185</v>
      </c>
      <c r="AD376" s="163">
        <v>-5866913.3740162551</v>
      </c>
      <c r="AE376" s="163">
        <v>-4535080.4282744825</v>
      </c>
      <c r="AF376" s="163">
        <v>-12897466.499585241</v>
      </c>
      <c r="AG376" s="163">
        <v>-19057882.773256198</v>
      </c>
    </row>
    <row r="377" spans="16:33" ht="15.75" customHeight="1">
      <c r="P377" s="162"/>
      <c r="Q377" s="162">
        <v>360</v>
      </c>
      <c r="R377" s="163">
        <v>-33683289.012509137</v>
      </c>
      <c r="S377" s="163">
        <v>-22109662.219055355</v>
      </c>
      <c r="T377" s="163">
        <v>-15045711.934513822</v>
      </c>
      <c r="U377" s="163">
        <v>-3730380.059017092</v>
      </c>
      <c r="V377" s="163">
        <v>399437.94169797003</v>
      </c>
      <c r="W377" s="164">
        <v>9510692.7001630068</v>
      </c>
      <c r="X377" s="163">
        <v>4337982.0383542031</v>
      </c>
      <c r="Y377" s="163">
        <v>13121582.985905766</v>
      </c>
      <c r="Z377" s="163">
        <v>4469655.3614675403</v>
      </c>
      <c r="AA377" s="163">
        <v>11583695.762836054</v>
      </c>
      <c r="AB377" s="163">
        <v>7810899.865248695</v>
      </c>
      <c r="AC377" s="163">
        <v>6177856.4896533042</v>
      </c>
      <c r="AD377" s="163">
        <v>360121.36839710176</v>
      </c>
      <c r="AE377" s="163">
        <v>-7141530.1248320639</v>
      </c>
      <c r="AF377" s="163">
        <v>-4996679.6776626855</v>
      </c>
      <c r="AG377" s="163">
        <v>-23545506.035407066</v>
      </c>
    </row>
    <row r="378" spans="16:33" ht="15.75" customHeight="1">
      <c r="P378" s="162"/>
      <c r="Q378" s="162">
        <v>361</v>
      </c>
      <c r="R378" s="163">
        <v>-31722634.080980003</v>
      </c>
      <c r="S378" s="163">
        <v>-20421685.747792155</v>
      </c>
      <c r="T378" s="163">
        <v>-15587244.032851338</v>
      </c>
      <c r="U378" s="163">
        <v>-8558893.1033381522</v>
      </c>
      <c r="V378" s="163">
        <v>-2249884.0654030144</v>
      </c>
      <c r="W378" s="164">
        <v>340559.21034908295</v>
      </c>
      <c r="X378" s="163">
        <v>8990939.8991951346</v>
      </c>
      <c r="Y378" s="163">
        <v>2777541.5805105567</v>
      </c>
      <c r="Z378" s="163">
        <v>10138805.064132243</v>
      </c>
      <c r="AA378" s="163">
        <v>4976598.782662496</v>
      </c>
      <c r="AB378" s="163">
        <v>12977968.009949356</v>
      </c>
      <c r="AC378" s="163">
        <v>1201922.0489525944</v>
      </c>
      <c r="AD378" s="163">
        <v>-4207115.2071140856</v>
      </c>
      <c r="AE378" s="163">
        <v>1827333.3691186756</v>
      </c>
      <c r="AF378" s="163">
        <v>-16300038.788376033</v>
      </c>
      <c r="AG378" s="163">
        <v>-18952498.274981722</v>
      </c>
    </row>
    <row r="379" spans="16:33" ht="15.75" customHeight="1">
      <c r="P379" s="162"/>
      <c r="Q379" s="162">
        <v>362</v>
      </c>
      <c r="R379" s="163">
        <v>-36178632.224609792</v>
      </c>
      <c r="S379" s="163">
        <v>-20858571.706507906</v>
      </c>
      <c r="T379" s="163">
        <v>-16538745.86641936</v>
      </c>
      <c r="U379" s="163">
        <v>-9082120.3200708181</v>
      </c>
      <c r="V379" s="163">
        <v>3389439.8482141942</v>
      </c>
      <c r="W379" s="164">
        <v>6624707.189683333</v>
      </c>
      <c r="X379" s="163">
        <v>12533847.140898481</v>
      </c>
      <c r="Y379" s="163">
        <v>16039999.681330755</v>
      </c>
      <c r="Z379" s="163">
        <v>13523123.668215603</v>
      </c>
      <c r="AA379" s="163">
        <v>5687905.0352397114</v>
      </c>
      <c r="AB379" s="163">
        <v>9083247.8130507171</v>
      </c>
      <c r="AC379" s="163">
        <v>-6039305.9949235469</v>
      </c>
      <c r="AD379" s="163">
        <v>-1396152.8847157359</v>
      </c>
      <c r="AE379" s="163">
        <v>-1352939.9814994186</v>
      </c>
      <c r="AF379" s="163">
        <v>-4163393.3511440009</v>
      </c>
      <c r="AG379" s="163">
        <v>-14593221.874379292</v>
      </c>
    </row>
    <row r="380" spans="16:33" ht="15.75" customHeight="1">
      <c r="P380" s="162"/>
      <c r="Q380" s="162">
        <v>363</v>
      </c>
      <c r="R380" s="163">
        <v>-36433466.459768355</v>
      </c>
      <c r="S380" s="163">
        <v>-24784774.205770567</v>
      </c>
      <c r="T380" s="163">
        <v>-7794658.4581076801</v>
      </c>
      <c r="U380" s="163">
        <v>-8516936.6279771924</v>
      </c>
      <c r="V380" s="163">
        <v>2930499.1160522401</v>
      </c>
      <c r="W380" s="164">
        <v>-551998.48257903755</v>
      </c>
      <c r="X380" s="163">
        <v>3503770.6102139503</v>
      </c>
      <c r="Y380" s="163">
        <v>2328739.4710765928</v>
      </c>
      <c r="Z380" s="163">
        <v>27970447.871820509</v>
      </c>
      <c r="AA380" s="163">
        <v>13765118.865500331</v>
      </c>
      <c r="AB380" s="163">
        <v>20973754.519696414</v>
      </c>
      <c r="AC380" s="163">
        <v>12420983.982005417</v>
      </c>
      <c r="AD380" s="163">
        <v>84213.295871168375</v>
      </c>
      <c r="AE380" s="163">
        <v>2172768.3241004646</v>
      </c>
      <c r="AF380" s="163">
        <v>-11497356.032015726</v>
      </c>
      <c r="AG380" s="163">
        <v>-13079798.454965949</v>
      </c>
    </row>
    <row r="381" spans="16:33" ht="15.75" customHeight="1">
      <c r="P381" s="162"/>
      <c r="Q381" s="162">
        <v>364</v>
      </c>
      <c r="R381" s="163">
        <v>-39659966.080880016</v>
      </c>
      <c r="S381" s="163">
        <v>-25508819.082911149</v>
      </c>
      <c r="T381" s="163">
        <v>-14678271.551670969</v>
      </c>
      <c r="U381" s="163">
        <v>-11286672.36901769</v>
      </c>
      <c r="V381" s="163">
        <v>-9337351.7965413481</v>
      </c>
      <c r="W381" s="164">
        <v>999678.40343979001</v>
      </c>
      <c r="X381" s="163">
        <v>-672085.21207557619</v>
      </c>
      <c r="Y381" s="163">
        <v>11663016.813710347</v>
      </c>
      <c r="Z381" s="163">
        <v>10382770.156642333</v>
      </c>
      <c r="AA381" s="163">
        <v>3528999.6981849521</v>
      </c>
      <c r="AB381" s="163">
        <v>22909874.915814221</v>
      </c>
      <c r="AC381" s="163">
        <v>3321850.172773242</v>
      </c>
      <c r="AD381" s="163">
        <v>-471639.4045419991</v>
      </c>
      <c r="AE381" s="163">
        <v>684130.09232151508</v>
      </c>
      <c r="AF381" s="163">
        <v>-12913477.931920424</v>
      </c>
      <c r="AG381" s="163">
        <v>-13167583.775575548</v>
      </c>
    </row>
    <row r="382" spans="16:33" ht="15.75" customHeight="1">
      <c r="P382" s="162"/>
      <c r="Q382" s="162">
        <v>365</v>
      </c>
      <c r="R382" s="163">
        <v>-38188017.501879901</v>
      </c>
      <c r="S382" s="163">
        <v>-26228616.470789939</v>
      </c>
      <c r="T382" s="163">
        <v>-17434020.888266981</v>
      </c>
      <c r="U382" s="163">
        <v>-356578.28122361004</v>
      </c>
      <c r="V382" s="163">
        <v>-6197957.3717902005</v>
      </c>
      <c r="W382" s="164">
        <v>5874801.0274737775</v>
      </c>
      <c r="X382" s="163">
        <v>12707570.245301932</v>
      </c>
      <c r="Y382" s="163">
        <v>8047722.3142336905</v>
      </c>
      <c r="Z382" s="163">
        <v>10179069.204650104</v>
      </c>
      <c r="AA382" s="163">
        <v>9078264.2233135253</v>
      </c>
      <c r="AB382" s="163">
        <v>4668451.5677352995</v>
      </c>
      <c r="AC382" s="163">
        <v>989670.00046864152</v>
      </c>
      <c r="AD382" s="163">
        <v>-211609.2377101481</v>
      </c>
      <c r="AE382" s="163">
        <v>-3930611.9724052548</v>
      </c>
      <c r="AF382" s="163">
        <v>-4193816.5023796856</v>
      </c>
      <c r="AG382" s="163">
        <v>-21970313.485820502</v>
      </c>
    </row>
    <row r="383" spans="16:33" ht="15.75" customHeight="1">
      <c r="P383" s="162"/>
      <c r="Q383" s="162">
        <v>366</v>
      </c>
      <c r="R383" s="163">
        <v>-29543860.70595251</v>
      </c>
      <c r="S383" s="163">
        <v>-26365255.015840396</v>
      </c>
      <c r="T383" s="163">
        <v>-488613.48094549775</v>
      </c>
      <c r="U383" s="163">
        <v>-13031245.549145788</v>
      </c>
      <c r="V383" s="163">
        <v>11852682.252317756</v>
      </c>
      <c r="W383" s="164">
        <v>3168436.0348509699</v>
      </c>
      <c r="X383" s="163">
        <v>4042454.3466030955</v>
      </c>
      <c r="Y383" s="163">
        <v>15916127.902722031</v>
      </c>
      <c r="Z383" s="163">
        <v>16285332.67923829</v>
      </c>
      <c r="AA383" s="163">
        <v>20956852.510385662</v>
      </c>
      <c r="AB383" s="163">
        <v>16554077.764967293</v>
      </c>
      <c r="AC383" s="163">
        <v>7578660.6581734866</v>
      </c>
      <c r="AD383" s="163">
        <v>2916840.3797494173</v>
      </c>
      <c r="AE383" s="163">
        <v>-2151828.3364818841</v>
      </c>
      <c r="AF383" s="163">
        <v>-15433461.254245654</v>
      </c>
      <c r="AG383" s="163">
        <v>-18387373.04974252</v>
      </c>
    </row>
    <row r="384" spans="16:33" ht="15.75" customHeight="1">
      <c r="P384" s="162"/>
      <c r="Q384" s="162">
        <v>367</v>
      </c>
      <c r="R384" s="163">
        <v>-40798469.765972584</v>
      </c>
      <c r="S384" s="163">
        <v>-32171583.62041755</v>
      </c>
      <c r="T384" s="163">
        <v>-15267281.325454548</v>
      </c>
      <c r="U384" s="163">
        <v>-11262586.618655264</v>
      </c>
      <c r="V384" s="163">
        <v>2016192.9172130078</v>
      </c>
      <c r="W384" s="164">
        <v>7933597.2251630574</v>
      </c>
      <c r="X384" s="163">
        <v>4794828.645164445</v>
      </c>
      <c r="Y384" s="163">
        <v>11265448.623319611</v>
      </c>
      <c r="Z384" s="163">
        <v>19634757.161367357</v>
      </c>
      <c r="AA384" s="163">
        <v>4031692.2634330243</v>
      </c>
      <c r="AB384" s="163">
        <v>5065528.2743377388</v>
      </c>
      <c r="AC384" s="163">
        <v>10956683.554193348</v>
      </c>
      <c r="AD384" s="163">
        <v>4671572.3583507836</v>
      </c>
      <c r="AE384" s="163">
        <v>-4682969.6094362736</v>
      </c>
      <c r="AF384" s="163">
        <v>-16303949.469776794</v>
      </c>
      <c r="AG384" s="163">
        <v>-12033396.3047456</v>
      </c>
    </row>
    <row r="385" spans="16:33" ht="15.75" customHeight="1">
      <c r="P385" s="162"/>
      <c r="Q385" s="162">
        <v>368</v>
      </c>
      <c r="R385" s="163">
        <v>-35659880.466682196</v>
      </c>
      <c r="S385" s="163">
        <v>-22558246.703224823</v>
      </c>
      <c r="T385" s="163">
        <v>-24893954.665564924</v>
      </c>
      <c r="U385" s="163">
        <v>4376022.4234912395</v>
      </c>
      <c r="V385" s="163">
        <v>1564758.739588812</v>
      </c>
      <c r="W385" s="164">
        <v>3290383.6861710995</v>
      </c>
      <c r="X385" s="163">
        <v>10862569.977752477</v>
      </c>
      <c r="Y385" s="163">
        <v>16303754.744764447</v>
      </c>
      <c r="Z385" s="163">
        <v>6162715.9213039279</v>
      </c>
      <c r="AA385" s="163">
        <v>17021697.350752428</v>
      </c>
      <c r="AB385" s="163">
        <v>778139.45368030667</v>
      </c>
      <c r="AC385" s="163">
        <v>11812294.740963399</v>
      </c>
      <c r="AD385" s="163">
        <v>-5230792.4955915362</v>
      </c>
      <c r="AE385" s="163">
        <v>-1873452.5017516315</v>
      </c>
      <c r="AF385" s="163">
        <v>-7319072.1642928571</v>
      </c>
      <c r="AG385" s="163">
        <v>-11208533.958017439</v>
      </c>
    </row>
    <row r="386" spans="16:33" ht="15.75" customHeight="1">
      <c r="P386" s="162"/>
      <c r="Q386" s="162">
        <v>369</v>
      </c>
      <c r="R386" s="163">
        <v>-33152036.057194501</v>
      </c>
      <c r="S386" s="163">
        <v>-25869441.415771008</v>
      </c>
      <c r="T386" s="163">
        <v>-18740321.963040188</v>
      </c>
      <c r="U386" s="163">
        <v>-2406821.4778879583</v>
      </c>
      <c r="V386" s="163">
        <v>1414543.1896641105</v>
      </c>
      <c r="W386" s="164">
        <v>12815456.060906366</v>
      </c>
      <c r="X386" s="163">
        <v>7595490.7026889622</v>
      </c>
      <c r="Y386" s="163">
        <v>5609064.0466741621</v>
      </c>
      <c r="Z386" s="163">
        <v>-688706.69319353998</v>
      </c>
      <c r="AA386" s="163">
        <v>7781181.9157134145</v>
      </c>
      <c r="AB386" s="163">
        <v>12216896.606468201</v>
      </c>
      <c r="AC386" s="163">
        <v>1565121.8684014231</v>
      </c>
      <c r="AD386" s="163">
        <v>9363365.7540784478</v>
      </c>
      <c r="AE386" s="163">
        <v>9835700.9447920471</v>
      </c>
      <c r="AF386" s="163">
        <v>-5231484.2715693265</v>
      </c>
      <c r="AG386" s="163">
        <v>-20043756.210560143</v>
      </c>
    </row>
    <row r="387" spans="16:33" ht="15.75" customHeight="1">
      <c r="P387" s="162"/>
      <c r="Q387" s="162">
        <v>370</v>
      </c>
      <c r="R387" s="163">
        <v>-36113944.864990085</v>
      </c>
      <c r="S387" s="163">
        <v>-15420320.205973804</v>
      </c>
      <c r="T387" s="163">
        <v>-19467211.745940775</v>
      </c>
      <c r="U387" s="163">
        <v>-4192333.7796674371</v>
      </c>
      <c r="V387" s="163">
        <v>-3971440.2791322321</v>
      </c>
      <c r="W387" s="164">
        <v>2514874.084200725</v>
      </c>
      <c r="X387" s="163">
        <v>11224057.603909522</v>
      </c>
      <c r="Y387" s="163">
        <v>11540152.62888366</v>
      </c>
      <c r="Z387" s="163">
        <v>2932258.0789716244</v>
      </c>
      <c r="AA387" s="163">
        <v>490804.85620060563</v>
      </c>
      <c r="AB387" s="163">
        <v>10487013.847530961</v>
      </c>
      <c r="AC387" s="163">
        <v>2218361.9708876014</v>
      </c>
      <c r="AD387" s="163">
        <v>3163368.6782514453</v>
      </c>
      <c r="AE387" s="163">
        <v>-8161530.2000970989</v>
      </c>
      <c r="AF387" s="163">
        <v>-16490197.002308741</v>
      </c>
      <c r="AG387" s="163">
        <v>-21297943.546817616</v>
      </c>
    </row>
    <row r="388" spans="16:33" ht="15.75" customHeight="1">
      <c r="P388" s="162"/>
      <c r="Q388" s="162">
        <v>371</v>
      </c>
      <c r="R388" s="163">
        <v>-37204681.641704127</v>
      </c>
      <c r="S388" s="163">
        <v>-24830902.692400157</v>
      </c>
      <c r="T388" s="163">
        <v>-25225318.121182457</v>
      </c>
      <c r="U388" s="163">
        <v>-11319266.991571292</v>
      </c>
      <c r="V388" s="163">
        <v>-1385906.3918490112</v>
      </c>
      <c r="W388" s="164">
        <v>-3430633.4821393192</v>
      </c>
      <c r="X388" s="163">
        <v>10319163.389440909</v>
      </c>
      <c r="Y388" s="163">
        <v>19069408.612602562</v>
      </c>
      <c r="Z388" s="163">
        <v>15191647.556778491</v>
      </c>
      <c r="AA388" s="163">
        <v>-1718771.4667141885</v>
      </c>
      <c r="AB388" s="163">
        <v>4980309.0694612265</v>
      </c>
      <c r="AC388" s="163">
        <v>6009914.6796773225</v>
      </c>
      <c r="AD388" s="163">
        <v>-1330719.4002172649</v>
      </c>
      <c r="AE388" s="163">
        <v>-11787644.584963486</v>
      </c>
      <c r="AF388" s="163">
        <v>-4066939.9202115685</v>
      </c>
      <c r="AG388" s="163">
        <v>-18411461.806134373</v>
      </c>
    </row>
    <row r="389" spans="16:33" ht="15.75" customHeight="1">
      <c r="P389" s="162"/>
      <c r="Q389" s="162">
        <v>372</v>
      </c>
      <c r="R389" s="163">
        <v>-45933052.331457675</v>
      </c>
      <c r="S389" s="163">
        <v>-27533467.185931385</v>
      </c>
      <c r="T389" s="163">
        <v>-21289466.855178863</v>
      </c>
      <c r="U389" s="163">
        <v>-7674739.4261732846</v>
      </c>
      <c r="V389" s="163">
        <v>854932.23022568226</v>
      </c>
      <c r="W389" s="164">
        <v>10090533.60232003</v>
      </c>
      <c r="X389" s="163">
        <v>12970081.747316822</v>
      </c>
      <c r="Y389" s="163">
        <v>19519824.572845653</v>
      </c>
      <c r="Z389" s="163">
        <v>13137719.497226879</v>
      </c>
      <c r="AA389" s="163">
        <v>10409099.348842174</v>
      </c>
      <c r="AB389" s="163">
        <v>1835735.3288971484</v>
      </c>
      <c r="AC389" s="163">
        <v>8878884.5073940009</v>
      </c>
      <c r="AD389" s="163">
        <v>9012797.3002846241</v>
      </c>
      <c r="AE389" s="163">
        <v>-5014806.5187614262</v>
      </c>
      <c r="AF389" s="163">
        <v>-10673531.063865766</v>
      </c>
      <c r="AG389" s="163">
        <v>-20621725.432094797</v>
      </c>
    </row>
    <row r="390" spans="16:33" ht="15.75" customHeight="1">
      <c r="P390" s="162"/>
      <c r="Q390" s="162">
        <v>373</v>
      </c>
      <c r="R390" s="163">
        <v>-36739436.307278603</v>
      </c>
      <c r="S390" s="163">
        <v>-17295208.005210593</v>
      </c>
      <c r="T390" s="163">
        <v>-17617810.24698405</v>
      </c>
      <c r="U390" s="163">
        <v>-13486271.412115082</v>
      </c>
      <c r="V390" s="163">
        <v>-4038585.7863001972</v>
      </c>
      <c r="W390" s="164">
        <v>11578072.305892944</v>
      </c>
      <c r="X390" s="163">
        <v>-344953.27196219563</v>
      </c>
      <c r="Y390" s="163">
        <v>5706388.7358404398</v>
      </c>
      <c r="Z390" s="163">
        <v>9823682.7219700664</v>
      </c>
      <c r="AA390" s="163">
        <v>4061216.3186805397</v>
      </c>
      <c r="AB390" s="163">
        <v>-563239.08550494909</v>
      </c>
      <c r="AC390" s="163">
        <v>7714100.6354047358</v>
      </c>
      <c r="AD390" s="163">
        <v>6903332.2085374743</v>
      </c>
      <c r="AE390" s="163">
        <v>-8169772.0426620543</v>
      </c>
      <c r="AF390" s="163">
        <v>-13495338.307022199</v>
      </c>
      <c r="AG390" s="163">
        <v>-17546595.608472675</v>
      </c>
    </row>
    <row r="391" spans="16:33" ht="15.75" customHeight="1">
      <c r="P391" s="162"/>
      <c r="Q391" s="162">
        <v>374</v>
      </c>
      <c r="R391" s="163">
        <v>-37530181.305755883</v>
      </c>
      <c r="S391" s="163">
        <v>-19085645.491760522</v>
      </c>
      <c r="T391" s="163">
        <v>-6569755.3578900397</v>
      </c>
      <c r="U391" s="163">
        <v>-6738021.8016567975</v>
      </c>
      <c r="V391" s="163">
        <v>-5343726.0149977803</v>
      </c>
      <c r="W391" s="164">
        <v>1761877.9822066724</v>
      </c>
      <c r="X391" s="163">
        <v>4243205.3263895363</v>
      </c>
      <c r="Y391" s="163">
        <v>12512589.129651487</v>
      </c>
      <c r="Z391" s="163">
        <v>9325082.6085970104</v>
      </c>
      <c r="AA391" s="163">
        <v>14009174.840234876</v>
      </c>
      <c r="AB391" s="163">
        <v>19969408.781652749</v>
      </c>
      <c r="AC391" s="163">
        <v>3265369.451439783</v>
      </c>
      <c r="AD391" s="163">
        <v>3884985.31547831</v>
      </c>
      <c r="AE391" s="163">
        <v>-387057.4274597466</v>
      </c>
      <c r="AF391" s="163">
        <v>-3254703.6877117008</v>
      </c>
      <c r="AG391" s="163">
        <v>-19267263.336516067</v>
      </c>
    </row>
    <row r="392" spans="16:33" ht="15.75" customHeight="1">
      <c r="P392" s="162"/>
      <c r="Q392" s="162">
        <v>375</v>
      </c>
      <c r="R392" s="163">
        <v>-33809813.429501042</v>
      </c>
      <c r="S392" s="163">
        <v>-25273541.225631326</v>
      </c>
      <c r="T392" s="163">
        <v>-20145342.480071127</v>
      </c>
      <c r="U392" s="163">
        <v>-9322932.3332294673</v>
      </c>
      <c r="V392" s="163">
        <v>4519051.2461496443</v>
      </c>
      <c r="W392" s="164">
        <v>-3060806.1122180223</v>
      </c>
      <c r="X392" s="163">
        <v>7767396.4045142978</v>
      </c>
      <c r="Y392" s="163">
        <v>15776228.403989553</v>
      </c>
      <c r="Z392" s="163">
        <v>9649525.0978089869</v>
      </c>
      <c r="AA392" s="163">
        <v>8123766.4729748517</v>
      </c>
      <c r="AB392" s="163">
        <v>3281156.2924945354</v>
      </c>
      <c r="AC392" s="163">
        <v>1743651.3111258596</v>
      </c>
      <c r="AD392" s="163">
        <v>-3291293.0375049114</v>
      </c>
      <c r="AE392" s="163">
        <v>-6725476.1041698456</v>
      </c>
      <c r="AF392" s="163">
        <v>-12971501.097803399</v>
      </c>
      <c r="AG392" s="163">
        <v>-27733970.936699554</v>
      </c>
    </row>
    <row r="393" spans="16:33" ht="15.75" customHeight="1">
      <c r="P393" s="162"/>
      <c r="Q393" s="162">
        <v>376</v>
      </c>
      <c r="R393" s="163">
        <v>-34812166.704788491</v>
      </c>
      <c r="S393" s="163">
        <v>-26079902.959852889</v>
      </c>
      <c r="T393" s="163">
        <v>-18306149.616629526</v>
      </c>
      <c r="U393" s="163">
        <v>-14081320.634339929</v>
      </c>
      <c r="V393" s="163">
        <v>-4027352.3111162335</v>
      </c>
      <c r="W393" s="164">
        <v>-713206.43504436314</v>
      </c>
      <c r="X393" s="163">
        <v>3836906.1383308172</v>
      </c>
      <c r="Y393" s="163">
        <v>12210126.113262817</v>
      </c>
      <c r="Z393" s="163">
        <v>7335367.7879401445</v>
      </c>
      <c r="AA393" s="163">
        <v>19563711.012398854</v>
      </c>
      <c r="AB393" s="163">
        <v>11903664.126526594</v>
      </c>
      <c r="AC393" s="163">
        <v>1014449.2780077457</v>
      </c>
      <c r="AD393" s="163">
        <v>-8961593.0148445815</v>
      </c>
      <c r="AE393" s="163">
        <v>467749.5743445158</v>
      </c>
      <c r="AF393" s="163">
        <v>-14002189.954842553</v>
      </c>
      <c r="AG393" s="163">
        <v>-17125978.039810717</v>
      </c>
    </row>
    <row r="394" spans="16:33" ht="15.75" customHeight="1">
      <c r="P394" s="162"/>
      <c r="Q394" s="162">
        <v>377</v>
      </c>
      <c r="R394" s="163">
        <v>-36188400.035599723</v>
      </c>
      <c r="S394" s="163">
        <v>-18189337.480511352</v>
      </c>
      <c r="T394" s="163">
        <v>-21559347.215315536</v>
      </c>
      <c r="U394" s="163">
        <v>-9816014.9894789457</v>
      </c>
      <c r="V394" s="163">
        <v>-11415603.216081664</v>
      </c>
      <c r="W394" s="164">
        <v>5297497.439801991</v>
      </c>
      <c r="X394" s="163">
        <v>790122.31746605039</v>
      </c>
      <c r="Y394" s="163">
        <v>12848544.822184712</v>
      </c>
      <c r="Z394" s="163">
        <v>13357840.79151389</v>
      </c>
      <c r="AA394" s="163">
        <v>15642589.751504675</v>
      </c>
      <c r="AB394" s="163">
        <v>10422870.355188668</v>
      </c>
      <c r="AC394" s="163">
        <v>-3901034.007957831</v>
      </c>
      <c r="AD394" s="163">
        <v>521339.09335391223</v>
      </c>
      <c r="AE394" s="163">
        <v>-4804996.4516258091</v>
      </c>
      <c r="AF394" s="163">
        <v>-7053914.041292727</v>
      </c>
      <c r="AG394" s="163">
        <v>-18102187.592113703</v>
      </c>
    </row>
    <row r="395" spans="16:33" ht="15.75" customHeight="1">
      <c r="P395" s="162"/>
      <c r="Q395" s="162">
        <v>378</v>
      </c>
      <c r="R395" s="163">
        <v>-37209944.977846354</v>
      </c>
      <c r="S395" s="163">
        <v>-26835624.405879229</v>
      </c>
      <c r="T395" s="163">
        <v>-19213050.607447326</v>
      </c>
      <c r="U395" s="163">
        <v>-11399580.48185122</v>
      </c>
      <c r="V395" s="163">
        <v>3700092.019698143</v>
      </c>
      <c r="W395" s="164">
        <v>-10709004.932879448</v>
      </c>
      <c r="X395" s="163">
        <v>10128942.399806514</v>
      </c>
      <c r="Y395" s="163">
        <v>2519207.8782556802</v>
      </c>
      <c r="Z395" s="163">
        <v>14173511.243211776</v>
      </c>
      <c r="AA395" s="163">
        <v>7782986.5557594299</v>
      </c>
      <c r="AB395" s="163">
        <v>3993833.1005547047</v>
      </c>
      <c r="AC395" s="163">
        <v>5774864.8570177853</v>
      </c>
      <c r="AD395" s="163">
        <v>6307452.1327386796</v>
      </c>
      <c r="AE395" s="163">
        <v>3540599.0819029361</v>
      </c>
      <c r="AF395" s="163">
        <v>-12313706.8449191</v>
      </c>
      <c r="AG395" s="163">
        <v>-11342938.608793005</v>
      </c>
    </row>
    <row r="396" spans="16:33" ht="15.75" customHeight="1">
      <c r="P396" s="162"/>
      <c r="Q396" s="162">
        <v>379</v>
      </c>
      <c r="R396" s="163">
        <v>-36091893.050831765</v>
      </c>
      <c r="S396" s="163">
        <v>-21830650.3245406</v>
      </c>
      <c r="T396" s="163">
        <v>-25231233.321319953</v>
      </c>
      <c r="U396" s="163">
        <v>-5239016.9044707268</v>
      </c>
      <c r="V396" s="163">
        <v>2355434.1310192794</v>
      </c>
      <c r="W396" s="164">
        <v>6180098.915645048</v>
      </c>
      <c r="X396" s="163">
        <v>5037514.2171815783</v>
      </c>
      <c r="Y396" s="163">
        <v>2953042.1785880029</v>
      </c>
      <c r="Z396" s="163">
        <v>11672327.669117868</v>
      </c>
      <c r="AA396" s="163">
        <v>8716166.9631112516</v>
      </c>
      <c r="AB396" s="163">
        <v>21271333.388991103</v>
      </c>
      <c r="AC396" s="163">
        <v>5846295.7523404062</v>
      </c>
      <c r="AD396" s="163">
        <v>-5080427.9025043547</v>
      </c>
      <c r="AE396" s="163">
        <v>10337021.427424386</v>
      </c>
      <c r="AF396" s="163">
        <v>-6748029.687852025</v>
      </c>
      <c r="AG396" s="163">
        <v>-17709399.832817227</v>
      </c>
    </row>
    <row r="397" spans="16:33" ht="15.75" customHeight="1">
      <c r="P397" s="162"/>
      <c r="Q397" s="162">
        <v>380</v>
      </c>
      <c r="R397" s="163">
        <v>-32207124.171946824</v>
      </c>
      <c r="S397" s="163">
        <v>-24409452.562521338</v>
      </c>
      <c r="T397" s="163">
        <v>-2624621.9392807633</v>
      </c>
      <c r="U397" s="163">
        <v>-14208113.596699446</v>
      </c>
      <c r="V397" s="163">
        <v>-3518783.9528253675</v>
      </c>
      <c r="W397" s="164">
        <v>2199586.075225547</v>
      </c>
      <c r="X397" s="163">
        <v>11152032.575664908</v>
      </c>
      <c r="Y397" s="163">
        <v>2885356.5020328015</v>
      </c>
      <c r="Z397" s="163">
        <v>5765077.1591890454</v>
      </c>
      <c r="AA397" s="163">
        <v>6760391.6657204181</v>
      </c>
      <c r="AB397" s="163">
        <v>1791030.921075061</v>
      </c>
      <c r="AC397" s="163">
        <v>11372559.582964689</v>
      </c>
      <c r="AD397" s="163">
        <v>8337169.3641146123</v>
      </c>
      <c r="AE397" s="163">
        <v>-7967430.4262934476</v>
      </c>
      <c r="AF397" s="163">
        <v>-4682834.6344286352</v>
      </c>
      <c r="AG397" s="163">
        <v>-24529575.122792095</v>
      </c>
    </row>
    <row r="398" spans="16:33" ht="15.75" customHeight="1">
      <c r="P398" s="162"/>
      <c r="Q398" s="162">
        <v>381</v>
      </c>
      <c r="R398" s="163">
        <v>-33325919.674400494</v>
      </c>
      <c r="S398" s="163">
        <v>-33719890.268499404</v>
      </c>
      <c r="T398" s="163">
        <v>-13194996.421332106</v>
      </c>
      <c r="U398" s="163">
        <v>-10740448.302715257</v>
      </c>
      <c r="V398" s="163">
        <v>-8576728.2214692086</v>
      </c>
      <c r="W398" s="164">
        <v>3894950.3614187837</v>
      </c>
      <c r="X398" s="163">
        <v>2798964.5573779494</v>
      </c>
      <c r="Y398" s="163">
        <v>7875108.439408645</v>
      </c>
      <c r="Z398" s="163">
        <v>17101052.95546791</v>
      </c>
      <c r="AA398" s="163">
        <v>2873770.9895196408</v>
      </c>
      <c r="AB398" s="163">
        <v>3205372.2252693772</v>
      </c>
      <c r="AC398" s="163">
        <v>15885496.548033834</v>
      </c>
      <c r="AD398" s="163">
        <v>2077765.0255756229</v>
      </c>
      <c r="AE398" s="163">
        <v>6115567.4868077934</v>
      </c>
      <c r="AF398" s="163">
        <v>-9247745.1900834292</v>
      </c>
      <c r="AG398" s="163">
        <v>-18614611.067000955</v>
      </c>
    </row>
    <row r="399" spans="16:33" ht="15.75" customHeight="1">
      <c r="P399" s="162"/>
      <c r="Q399" s="162">
        <v>382</v>
      </c>
      <c r="R399" s="163">
        <v>-36757254.248844609</v>
      </c>
      <c r="S399" s="163">
        <v>-29967931.530150026</v>
      </c>
      <c r="T399" s="163">
        <v>-13440001.006823719</v>
      </c>
      <c r="U399" s="163">
        <v>-9982673.1494921744</v>
      </c>
      <c r="V399" s="163">
        <v>-5184749.4648254067</v>
      </c>
      <c r="W399" s="164">
        <v>-583707.68696059287</v>
      </c>
      <c r="X399" s="163">
        <v>1789743.5922025293</v>
      </c>
      <c r="Y399" s="163">
        <v>11034101.319294348</v>
      </c>
      <c r="Z399" s="163">
        <v>22142894.976899236</v>
      </c>
      <c r="AA399" s="163">
        <v>9900102.1204934269</v>
      </c>
      <c r="AB399" s="163">
        <v>18183335.409635484</v>
      </c>
      <c r="AC399" s="163">
        <v>7420268.6724442095</v>
      </c>
      <c r="AD399" s="163">
        <v>744727.42144700885</v>
      </c>
      <c r="AE399" s="163">
        <v>-3953867.7419466674</v>
      </c>
      <c r="AF399" s="163">
        <v>-5460165.1047312021</v>
      </c>
      <c r="AG399" s="163">
        <v>-16323415.476165444</v>
      </c>
    </row>
    <row r="400" spans="16:33" ht="15.75" customHeight="1">
      <c r="P400" s="162"/>
      <c r="Q400" s="162">
        <v>383</v>
      </c>
      <c r="R400" s="163">
        <v>-33306290.838408723</v>
      </c>
      <c r="S400" s="163">
        <v>-26536916.716347709</v>
      </c>
      <c r="T400" s="163">
        <v>-21586867.528948843</v>
      </c>
      <c r="U400" s="163">
        <v>-13262415.314981386</v>
      </c>
      <c r="V400" s="163">
        <v>-782258.61441810429</v>
      </c>
      <c r="W400" s="164">
        <v>7860362.2812621146</v>
      </c>
      <c r="X400" s="163">
        <v>4926759.374620676</v>
      </c>
      <c r="Y400" s="163">
        <v>10889411.778567716</v>
      </c>
      <c r="Z400" s="163">
        <v>15698108.801113978</v>
      </c>
      <c r="AA400" s="163">
        <v>14127637.812488481</v>
      </c>
      <c r="AB400" s="163">
        <v>10867522.742357373</v>
      </c>
      <c r="AC400" s="163">
        <v>1555551.9103764892</v>
      </c>
      <c r="AD400" s="163">
        <v>10566960.459663376</v>
      </c>
      <c r="AE400" s="163">
        <v>2345390.6142422706</v>
      </c>
      <c r="AF400" s="163">
        <v>-7804554.2433766574</v>
      </c>
      <c r="AG400" s="163">
        <v>-20165596.293834776</v>
      </c>
    </row>
    <row r="401" spans="16:33" ht="15.75" customHeight="1">
      <c r="P401" s="162"/>
      <c r="Q401" s="162">
        <v>384</v>
      </c>
      <c r="R401" s="163">
        <v>-29286317.470293164</v>
      </c>
      <c r="S401" s="163">
        <v>-27469929.863694698</v>
      </c>
      <c r="T401" s="163">
        <v>-19229732.075800389</v>
      </c>
      <c r="U401" s="163">
        <v>-5834420.4439938217</v>
      </c>
      <c r="V401" s="163">
        <v>-776313.58890402317</v>
      </c>
      <c r="W401" s="164">
        <v>1218911.2034738064</v>
      </c>
      <c r="X401" s="163">
        <v>13494268.605647907</v>
      </c>
      <c r="Y401" s="163">
        <v>16466700.148593903</v>
      </c>
      <c r="Z401" s="163">
        <v>19032041.279430956</v>
      </c>
      <c r="AA401" s="163">
        <v>14736774.596431345</v>
      </c>
      <c r="AB401" s="163">
        <v>715493.24704414606</v>
      </c>
      <c r="AC401" s="163">
        <v>12663928.861544222</v>
      </c>
      <c r="AD401" s="163">
        <v>10591484.885177821</v>
      </c>
      <c r="AE401" s="163">
        <v>-1836140.6198608577</v>
      </c>
      <c r="AF401" s="163">
        <v>-15316601.154056489</v>
      </c>
      <c r="AG401" s="163">
        <v>-19185497.71914047</v>
      </c>
    </row>
    <row r="402" spans="16:33" ht="15.75" customHeight="1">
      <c r="P402" s="162"/>
      <c r="Q402" s="162">
        <v>385</v>
      </c>
      <c r="R402" s="163">
        <v>-33290554.011486635</v>
      </c>
      <c r="S402" s="163">
        <v>-19282356.867321938</v>
      </c>
      <c r="T402" s="163">
        <v>-4691158.9239507616</v>
      </c>
      <c r="U402" s="163">
        <v>-14449325.591505855</v>
      </c>
      <c r="V402" s="163">
        <v>-1235426.9501861334</v>
      </c>
      <c r="W402" s="164">
        <v>5410844.4146280587</v>
      </c>
      <c r="X402" s="163">
        <v>9935905.9057150632</v>
      </c>
      <c r="Y402" s="163">
        <v>-1696824.2591562569</v>
      </c>
      <c r="Z402" s="163">
        <v>9821420.6329811662</v>
      </c>
      <c r="AA402" s="163">
        <v>10197054.106197044</v>
      </c>
      <c r="AB402" s="163">
        <v>6491439.6921355724</v>
      </c>
      <c r="AC402" s="163">
        <v>3369599.6171023399</v>
      </c>
      <c r="AD402" s="163">
        <v>9820637.8444001377</v>
      </c>
      <c r="AE402" s="163">
        <v>-2854840.9219438285</v>
      </c>
      <c r="AF402" s="163">
        <v>-3206249.8811810166</v>
      </c>
      <c r="AG402" s="163">
        <v>-16813022.929933667</v>
      </c>
    </row>
    <row r="403" spans="16:33" ht="15.75" customHeight="1">
      <c r="P403" s="162"/>
      <c r="Q403" s="162">
        <v>386</v>
      </c>
      <c r="R403" s="163">
        <v>-39347001.104472786</v>
      </c>
      <c r="S403" s="163">
        <v>-20676602.868285269</v>
      </c>
      <c r="T403" s="163">
        <v>-8994344.2215236723</v>
      </c>
      <c r="U403" s="163">
        <v>-8907360.6977450252</v>
      </c>
      <c r="V403" s="163">
        <v>1461958.0913777947</v>
      </c>
      <c r="W403" s="164">
        <v>3881871.9930235744</v>
      </c>
      <c r="X403" s="163">
        <v>20667156.575582981</v>
      </c>
      <c r="Y403" s="163">
        <v>3726286.1772699207</v>
      </c>
      <c r="Z403" s="163">
        <v>12369155.458089679</v>
      </c>
      <c r="AA403" s="163">
        <v>11009899.004733473</v>
      </c>
      <c r="AB403" s="163">
        <v>10033713.120867163</v>
      </c>
      <c r="AC403" s="163">
        <v>7436546.4692218006</v>
      </c>
      <c r="AD403" s="163">
        <v>11399674.197335914</v>
      </c>
      <c r="AE403" s="163">
        <v>-1750238.6486317217</v>
      </c>
      <c r="AF403" s="163">
        <v>-12425040.75902912</v>
      </c>
      <c r="AG403" s="163">
        <v>-21781200.861031234</v>
      </c>
    </row>
    <row r="404" spans="16:33" ht="15.75" customHeight="1">
      <c r="P404" s="162"/>
      <c r="Q404" s="162">
        <v>387</v>
      </c>
      <c r="R404" s="163">
        <v>-33935420.876724958</v>
      </c>
      <c r="S404" s="163">
        <v>-25473564.257514507</v>
      </c>
      <c r="T404" s="163">
        <v>-14658973.898486838</v>
      </c>
      <c r="U404" s="163">
        <v>-7503843.2314374447</v>
      </c>
      <c r="V404" s="163">
        <v>7178260.9632607549</v>
      </c>
      <c r="W404" s="164">
        <v>9423612.5629031062</v>
      </c>
      <c r="X404" s="163">
        <v>7759608.6489915699</v>
      </c>
      <c r="Y404" s="163">
        <v>18014711.309718221</v>
      </c>
      <c r="Z404" s="163">
        <v>6643415.8593438715</v>
      </c>
      <c r="AA404" s="163">
        <v>12575438.714125797</v>
      </c>
      <c r="AB404" s="163">
        <v>9061089.0187265873</v>
      </c>
      <c r="AC404" s="163">
        <v>15084138.614737332</v>
      </c>
      <c r="AD404" s="163">
        <v>6144661.9402891546</v>
      </c>
      <c r="AE404" s="163">
        <v>-11819643.615507424</v>
      </c>
      <c r="AF404" s="163">
        <v>-9242403.2755194306</v>
      </c>
      <c r="AG404" s="163">
        <v>-15709451.756948516</v>
      </c>
    </row>
    <row r="405" spans="16:33" ht="15.75" customHeight="1">
      <c r="P405" s="162"/>
      <c r="Q405" s="162">
        <v>388</v>
      </c>
      <c r="R405" s="163">
        <v>-41071963.008717299</v>
      </c>
      <c r="S405" s="163">
        <v>-24375992.967151597</v>
      </c>
      <c r="T405" s="163">
        <v>-12930908.452990681</v>
      </c>
      <c r="U405" s="163">
        <v>-11990123.572333872</v>
      </c>
      <c r="V405" s="163">
        <v>-2840566.3210571855</v>
      </c>
      <c r="W405" s="164">
        <v>1992363.8289631009</v>
      </c>
      <c r="X405" s="163">
        <v>13256630.45114167</v>
      </c>
      <c r="Y405" s="163">
        <v>18327834.941483885</v>
      </c>
      <c r="Z405" s="163">
        <v>14698421.223875642</v>
      </c>
      <c r="AA405" s="163">
        <v>4593509.17080006</v>
      </c>
      <c r="AB405" s="163">
        <v>11250092.764045969</v>
      </c>
      <c r="AC405" s="163">
        <v>-656359.48179996014</v>
      </c>
      <c r="AD405" s="163">
        <v>-6298631.2448850125</v>
      </c>
      <c r="AE405" s="163">
        <v>-7910788.5538001209</v>
      </c>
      <c r="AF405" s="163">
        <v>1498875.8029714674</v>
      </c>
      <c r="AG405" s="163">
        <v>-18716852.671893418</v>
      </c>
    </row>
    <row r="406" spans="16:33" ht="15.75" customHeight="1">
      <c r="P406" s="162"/>
      <c r="Q406" s="162">
        <v>389</v>
      </c>
      <c r="R406" s="163">
        <v>-33233585.515548244</v>
      </c>
      <c r="S406" s="163">
        <v>-27178964.947857946</v>
      </c>
      <c r="T406" s="163">
        <v>-18384262.726375386</v>
      </c>
      <c r="U406" s="163">
        <v>699623.42378164828</v>
      </c>
      <c r="V406" s="163">
        <v>-2504342.2039809972</v>
      </c>
      <c r="W406" s="164">
        <v>-2257493.3943789005</v>
      </c>
      <c r="X406" s="163">
        <v>8981228.0633088946</v>
      </c>
      <c r="Y406" s="163">
        <v>9946358.6930050254</v>
      </c>
      <c r="Z406" s="163">
        <v>6315419.2115610689</v>
      </c>
      <c r="AA406" s="163">
        <v>3302067.0019633621</v>
      </c>
      <c r="AB406" s="163">
        <v>1795396.7910328805</v>
      </c>
      <c r="AC406" s="163">
        <v>10728615.018219307</v>
      </c>
      <c r="AD406" s="163">
        <v>491774.58913220465</v>
      </c>
      <c r="AE406" s="163">
        <v>-12922905.093482971</v>
      </c>
      <c r="AF406" s="163">
        <v>-9533718.8773223162</v>
      </c>
      <c r="AG406" s="163">
        <v>-11450100.909779444</v>
      </c>
    </row>
    <row r="407" spans="16:33" ht="15.75" customHeight="1">
      <c r="P407" s="162"/>
      <c r="Q407" s="162">
        <v>390</v>
      </c>
      <c r="R407" s="163">
        <v>-31683230.292881072</v>
      </c>
      <c r="S407" s="163">
        <v>-23129344.106533557</v>
      </c>
      <c r="T407" s="163">
        <v>-17895217.147591829</v>
      </c>
      <c r="U407" s="163">
        <v>-10556730.218736678</v>
      </c>
      <c r="V407" s="163">
        <v>-6001912.2970491201</v>
      </c>
      <c r="W407" s="164">
        <v>3320575.0114442557</v>
      </c>
      <c r="X407" s="163">
        <v>-486641.84833043814</v>
      </c>
      <c r="Y407" s="163">
        <v>1117043.7885044515</v>
      </c>
      <c r="Z407" s="163">
        <v>3747629.4766841829</v>
      </c>
      <c r="AA407" s="163">
        <v>19816976.906727821</v>
      </c>
      <c r="AB407" s="163">
        <v>11325668.997891873</v>
      </c>
      <c r="AC407" s="163">
        <v>7123657.9144583493</v>
      </c>
      <c r="AD407" s="163">
        <v>-5251631.0823028684</v>
      </c>
      <c r="AE407" s="163">
        <v>-11094508.548688754</v>
      </c>
      <c r="AF407" s="163">
        <v>-9452062.827190429</v>
      </c>
      <c r="AG407" s="163">
        <v>-21169696.423888713</v>
      </c>
    </row>
    <row r="408" spans="16:33" ht="15.75" customHeight="1">
      <c r="P408" s="162"/>
      <c r="Q408" s="162">
        <v>391</v>
      </c>
      <c r="R408" s="163">
        <v>-32440574.103676125</v>
      </c>
      <c r="S408" s="163">
        <v>-26347287.678677857</v>
      </c>
      <c r="T408" s="163">
        <v>-8925870.6310649067</v>
      </c>
      <c r="U408" s="163">
        <v>-5194991.9258805066</v>
      </c>
      <c r="V408" s="163">
        <v>2506960.3126541674</v>
      </c>
      <c r="W408" s="164">
        <v>7278542.4389922321</v>
      </c>
      <c r="X408" s="163">
        <v>149772.98331722617</v>
      </c>
      <c r="Y408" s="163">
        <v>4895781.9703765363</v>
      </c>
      <c r="Z408" s="163">
        <v>11660495.856019035</v>
      </c>
      <c r="AA408" s="163">
        <v>11872443.841910332</v>
      </c>
      <c r="AB408" s="163">
        <v>10621437.853630856</v>
      </c>
      <c r="AC408" s="163">
        <v>10511525.038219959</v>
      </c>
      <c r="AD408" s="163">
        <v>7888061.0309039801</v>
      </c>
      <c r="AE408" s="163">
        <v>-12757369.348921895</v>
      </c>
      <c r="AF408" s="163">
        <v>-7892902.7243691236</v>
      </c>
      <c r="AG408" s="163">
        <v>-10454435.394111425</v>
      </c>
    </row>
    <row r="409" spans="16:33" ht="15.75" customHeight="1">
      <c r="P409" s="162"/>
      <c r="Q409" s="162">
        <v>392</v>
      </c>
      <c r="R409" s="163">
        <v>-33639527.856407166</v>
      </c>
      <c r="S409" s="163">
        <v>-21808942.656950355</v>
      </c>
      <c r="T409" s="163">
        <v>-8897720.8104765713</v>
      </c>
      <c r="U409" s="163">
        <v>-4765016.5884291232</v>
      </c>
      <c r="V409" s="163">
        <v>2664125.8408236802</v>
      </c>
      <c r="W409" s="164">
        <v>3634233.3383879662</v>
      </c>
      <c r="X409" s="163">
        <v>8299916.2218253016</v>
      </c>
      <c r="Y409" s="163">
        <v>9996805.2064068168</v>
      </c>
      <c r="Z409" s="163">
        <v>22168567.976565197</v>
      </c>
      <c r="AA409" s="163">
        <v>22668102.281953216</v>
      </c>
      <c r="AB409" s="163">
        <v>7120107.768417418</v>
      </c>
      <c r="AC409" s="163">
        <v>1431950.3712321222</v>
      </c>
      <c r="AD409" s="163">
        <v>9523222.5269628316</v>
      </c>
      <c r="AE409" s="163">
        <v>-7834275.3453436643</v>
      </c>
      <c r="AF409" s="163">
        <v>-8253736.4948919266</v>
      </c>
      <c r="AG409" s="163">
        <v>-23706102.255137563</v>
      </c>
    </row>
    <row r="410" spans="16:33" ht="15.75" customHeight="1">
      <c r="P410" s="162"/>
      <c r="Q410" s="162">
        <v>393</v>
      </c>
      <c r="R410" s="163">
        <v>-36321568.797588527</v>
      </c>
      <c r="S410" s="163">
        <v>-30523206.06789428</v>
      </c>
      <c r="T410" s="163">
        <v>-9236667.2759572566</v>
      </c>
      <c r="U410" s="163">
        <v>-5360474.6755055338</v>
      </c>
      <c r="V410" s="163">
        <v>-9901813.1749672592</v>
      </c>
      <c r="W410" s="164">
        <v>3326592.2220062315</v>
      </c>
      <c r="X410" s="163">
        <v>-6216034.0649864078</v>
      </c>
      <c r="Y410" s="163">
        <v>14797652.844109803</v>
      </c>
      <c r="Z410" s="163">
        <v>-2045084.9135424346</v>
      </c>
      <c r="AA410" s="163">
        <v>4248878.1686781347</v>
      </c>
      <c r="AB410" s="163">
        <v>-7406515.1695408225</v>
      </c>
      <c r="AC410" s="163">
        <v>4271172.9632288069</v>
      </c>
      <c r="AD410" s="163">
        <v>6842744.9404616058</v>
      </c>
      <c r="AE410" s="163">
        <v>-1799253.7354552299</v>
      </c>
      <c r="AF410" s="163">
        <v>-5020620.0312443972</v>
      </c>
      <c r="AG410" s="163">
        <v>-17058058.551630914</v>
      </c>
    </row>
    <row r="411" spans="16:33" ht="15.75" customHeight="1">
      <c r="P411" s="162"/>
      <c r="Q411" s="162">
        <v>394</v>
      </c>
      <c r="R411" s="163">
        <v>-38775096.52586095</v>
      </c>
      <c r="S411" s="163">
        <v>-23956747.585805282</v>
      </c>
      <c r="T411" s="163">
        <v>-18898597.423989758</v>
      </c>
      <c r="U411" s="163">
        <v>-7073872.869417429</v>
      </c>
      <c r="V411" s="163">
        <v>-4827125.4061585665</v>
      </c>
      <c r="W411" s="164">
        <v>-11447832.695451081</v>
      </c>
      <c r="X411" s="163">
        <v>4417099.5009713024</v>
      </c>
      <c r="Y411" s="163">
        <v>10786743.386663944</v>
      </c>
      <c r="Z411" s="163">
        <v>17303821.387079328</v>
      </c>
      <c r="AA411" s="163">
        <v>4937404.7327534407</v>
      </c>
      <c r="AB411" s="163">
        <v>12012505.699608013</v>
      </c>
      <c r="AC411" s="163">
        <v>14087658.382473409</v>
      </c>
      <c r="AD411" s="163">
        <v>1079233.3590981066</v>
      </c>
      <c r="AE411" s="163">
        <v>-1510512.6165307611</v>
      </c>
      <c r="AF411" s="163">
        <v>-4159017.6285865903</v>
      </c>
      <c r="AG411" s="163">
        <v>-20289244.374412149</v>
      </c>
    </row>
    <row r="412" spans="16:33" ht="15.75" customHeight="1">
      <c r="P412" s="162"/>
      <c r="Q412" s="162">
        <v>395</v>
      </c>
      <c r="R412" s="163">
        <v>-36955194.114477411</v>
      </c>
      <c r="S412" s="163">
        <v>-18912606.934536651</v>
      </c>
      <c r="T412" s="163">
        <v>-16441720.636766911</v>
      </c>
      <c r="U412" s="163">
        <v>-4988264.3170242608</v>
      </c>
      <c r="V412" s="163">
        <v>-5030213.0676950216</v>
      </c>
      <c r="W412" s="164">
        <v>8571340.9409377575</v>
      </c>
      <c r="X412" s="163">
        <v>17525565.723731935</v>
      </c>
      <c r="Y412" s="163">
        <v>1192440.6981115341</v>
      </c>
      <c r="Z412" s="163">
        <v>8930913.7223037779</v>
      </c>
      <c r="AA412" s="163">
        <v>9254358.4850099683</v>
      </c>
      <c r="AB412" s="163">
        <v>10810378.886144876</v>
      </c>
      <c r="AC412" s="163">
        <v>3554789.3756315261</v>
      </c>
      <c r="AD412" s="163">
        <v>-3638445.3392280638</v>
      </c>
      <c r="AE412" s="163">
        <v>-5440141.1550197899</v>
      </c>
      <c r="AF412" s="163">
        <v>-17899109.353207901</v>
      </c>
      <c r="AG412" s="163">
        <v>-18629642.343551666</v>
      </c>
    </row>
    <row r="413" spans="16:33" ht="15.75" customHeight="1">
      <c r="P413" s="162"/>
      <c r="Q413" s="162">
        <v>396</v>
      </c>
      <c r="R413" s="163">
        <v>-32474303.248590589</v>
      </c>
      <c r="S413" s="163">
        <v>-22382314.933084786</v>
      </c>
      <c r="T413" s="163">
        <v>-25304921.798383951</v>
      </c>
      <c r="U413" s="163">
        <v>-12702654.824885339</v>
      </c>
      <c r="V413" s="163">
        <v>-1273830.7228332609</v>
      </c>
      <c r="W413" s="164">
        <v>3033186.1979126185</v>
      </c>
      <c r="X413" s="163">
        <v>8480313.482897684</v>
      </c>
      <c r="Y413" s="163">
        <v>1177897.5424913019</v>
      </c>
      <c r="Z413" s="163">
        <v>9929409.4144664556</v>
      </c>
      <c r="AA413" s="163">
        <v>21769089.307729378</v>
      </c>
      <c r="AB413" s="163">
        <v>9186399.220107317</v>
      </c>
      <c r="AC413" s="163">
        <v>8022664.5940390676</v>
      </c>
      <c r="AD413" s="163">
        <v>8897034.6169117242</v>
      </c>
      <c r="AE413" s="163">
        <v>-470154.73733355105</v>
      </c>
      <c r="AF413" s="163">
        <v>-5702861.7513244152</v>
      </c>
      <c r="AG413" s="163">
        <v>-20099522.633106321</v>
      </c>
    </row>
    <row r="414" spans="16:33" ht="15.75" customHeight="1">
      <c r="P414" s="162"/>
      <c r="Q414" s="162">
        <v>397</v>
      </c>
      <c r="R414" s="163">
        <v>-36343828.725323766</v>
      </c>
      <c r="S414" s="163">
        <v>-23415625.061586335</v>
      </c>
      <c r="T414" s="163">
        <v>-20485165.73236981</v>
      </c>
      <c r="U414" s="163">
        <v>-8577204.651721105</v>
      </c>
      <c r="V414" s="163">
        <v>-6540782.929388836</v>
      </c>
      <c r="W414" s="164">
        <v>7591874.8006400168</v>
      </c>
      <c r="X414" s="163">
        <v>5948971.1058639884</v>
      </c>
      <c r="Y414" s="163">
        <v>10006445.594027326</v>
      </c>
      <c r="Z414" s="163">
        <v>16320275.384947687</v>
      </c>
      <c r="AA414" s="163">
        <v>-2075269.3823295087</v>
      </c>
      <c r="AB414" s="163">
        <v>14276252.321025044</v>
      </c>
      <c r="AC414" s="163">
        <v>-6118866.4813428074</v>
      </c>
      <c r="AD414" s="163">
        <v>1668898.6489853859</v>
      </c>
      <c r="AE414" s="163">
        <v>-2928259.1524838954</v>
      </c>
      <c r="AF414" s="163">
        <v>-14668275.986667842</v>
      </c>
      <c r="AG414" s="163">
        <v>-25428776.124304742</v>
      </c>
    </row>
    <row r="415" spans="16:33" ht="15.75" customHeight="1">
      <c r="P415" s="162"/>
      <c r="Q415" s="162">
        <v>398</v>
      </c>
      <c r="R415" s="163">
        <v>-39520518.730186552</v>
      </c>
      <c r="S415" s="163">
        <v>-18575512.719642937</v>
      </c>
      <c r="T415" s="163">
        <v>-14354842.487686336</v>
      </c>
      <c r="U415" s="163">
        <v>-6816375.3238424063</v>
      </c>
      <c r="V415" s="163">
        <v>3678965.8720769286</v>
      </c>
      <c r="W415" s="164">
        <v>7876035.1805251539</v>
      </c>
      <c r="X415" s="163">
        <v>10731519.915363997</v>
      </c>
      <c r="Y415" s="163">
        <v>11115172.406586513</v>
      </c>
      <c r="Z415" s="163">
        <v>13255818.57197468</v>
      </c>
      <c r="AA415" s="163">
        <v>6806654.9651407301</v>
      </c>
      <c r="AB415" s="163">
        <v>8887181.8144710511</v>
      </c>
      <c r="AC415" s="163">
        <v>10870571.463338763</v>
      </c>
      <c r="AD415" s="163">
        <v>1753939.0326924026</v>
      </c>
      <c r="AE415" s="163">
        <v>-6919448.1003319323</v>
      </c>
      <c r="AF415" s="163">
        <v>-3500486.4849906564</v>
      </c>
      <c r="AG415" s="163">
        <v>-13416339.345678464</v>
      </c>
    </row>
    <row r="416" spans="16:33" ht="15.75" customHeight="1">
      <c r="P416" s="162"/>
      <c r="Q416" s="162">
        <v>399</v>
      </c>
      <c r="R416" s="163">
        <v>-39601203.887024939</v>
      </c>
      <c r="S416" s="163">
        <v>-24044933.248911753</v>
      </c>
      <c r="T416" s="163">
        <v>-20555158.142859221</v>
      </c>
      <c r="U416" s="163">
        <v>-14969989.110074878</v>
      </c>
      <c r="V416" s="163">
        <v>-940716.28233966231</v>
      </c>
      <c r="W416" s="164">
        <v>957043.71837982535</v>
      </c>
      <c r="X416" s="163">
        <v>17402289.496235818</v>
      </c>
      <c r="Y416" s="163">
        <v>11872036.146778077</v>
      </c>
      <c r="Z416" s="163">
        <v>12223333.228239089</v>
      </c>
      <c r="AA416" s="163">
        <v>15711236.097474724</v>
      </c>
      <c r="AB416" s="163">
        <v>3362321.3150603175</v>
      </c>
      <c r="AC416" s="163">
        <v>8443580.3778126985</v>
      </c>
      <c r="AD416" s="163">
        <v>3318077.7593877912</v>
      </c>
      <c r="AE416" s="163">
        <v>-5284399.0889537781</v>
      </c>
      <c r="AF416" s="163">
        <v>-9375821.8488495797</v>
      </c>
      <c r="AG416" s="163">
        <v>-3143975.1556166708</v>
      </c>
    </row>
    <row r="417" spans="16:33" ht="15.75" customHeight="1">
      <c r="P417" s="162"/>
      <c r="Q417" s="162">
        <v>400</v>
      </c>
      <c r="R417" s="163">
        <v>-34647244.504007831</v>
      </c>
      <c r="S417" s="163">
        <v>-25563220.885061532</v>
      </c>
      <c r="T417" s="163">
        <v>-16588727.999660224</v>
      </c>
      <c r="U417" s="163">
        <v>-10991263.605404451</v>
      </c>
      <c r="V417" s="163">
        <v>-5461045.9193962216</v>
      </c>
      <c r="W417" s="164">
        <v>-3722150.3277243972</v>
      </c>
      <c r="X417" s="163">
        <v>928135.44127978384</v>
      </c>
      <c r="Y417" s="163">
        <v>12931825.9893215</v>
      </c>
      <c r="Z417" s="163">
        <v>15803341.883544058</v>
      </c>
      <c r="AA417" s="163">
        <v>3802400.0344209522</v>
      </c>
      <c r="AB417" s="163">
        <v>8147683.2551790625</v>
      </c>
      <c r="AC417" s="163">
        <v>25719098.588451043</v>
      </c>
      <c r="AD417" s="163">
        <v>9138103.5476063043</v>
      </c>
      <c r="AE417" s="163">
        <v>672826.14119023085</v>
      </c>
      <c r="AF417" s="163">
        <v>-9327765.8734259158</v>
      </c>
      <c r="AG417" s="163">
        <v>-32110003.901336387</v>
      </c>
    </row>
    <row r="418" spans="16:33" ht="15.75" customHeight="1">
      <c r="P418" s="162"/>
      <c r="Q418" s="162">
        <v>401</v>
      </c>
      <c r="R418" s="163">
        <v>-38849107.851066753</v>
      </c>
      <c r="S418" s="163">
        <v>-18181076.452502117</v>
      </c>
      <c r="T418" s="163">
        <v>-14599418.249416769</v>
      </c>
      <c r="U418" s="163">
        <v>-4199193.4611533135</v>
      </c>
      <c r="V418" s="163">
        <v>-689047.64146098495</v>
      </c>
      <c r="W418" s="164">
        <v>2082313.9298135638</v>
      </c>
      <c r="X418" s="163">
        <v>-1096607.2957921475</v>
      </c>
      <c r="Y418" s="163">
        <v>11774653.945374951</v>
      </c>
      <c r="Z418" s="163">
        <v>19984715.358067259</v>
      </c>
      <c r="AA418" s="163">
        <v>7241090.4621336162</v>
      </c>
      <c r="AB418" s="163">
        <v>10317293.880759507</v>
      </c>
      <c r="AC418" s="163">
        <v>13664792.605255485</v>
      </c>
      <c r="AD418" s="163">
        <v>-2842469.8509615809</v>
      </c>
      <c r="AE418" s="163">
        <v>-3608325.9280308783</v>
      </c>
      <c r="AF418" s="163">
        <v>-12062277.609076262</v>
      </c>
      <c r="AG418" s="163">
        <v>-23970173.480948001</v>
      </c>
    </row>
    <row r="419" spans="16:33" ht="15.75" customHeight="1">
      <c r="P419" s="162"/>
      <c r="Q419" s="162">
        <v>402</v>
      </c>
      <c r="R419" s="163">
        <v>-41927703.584558338</v>
      </c>
      <c r="S419" s="163">
        <v>-23305060.937877595</v>
      </c>
      <c r="T419" s="163">
        <v>-11220250.829986081</v>
      </c>
      <c r="U419" s="163">
        <v>-5326809.3671923131</v>
      </c>
      <c r="V419" s="163">
        <v>-9826311.8761713803</v>
      </c>
      <c r="W419" s="164">
        <v>3479690.0725808442</v>
      </c>
      <c r="X419" s="163">
        <v>2842035.3105997741</v>
      </c>
      <c r="Y419" s="163">
        <v>13374676.405006662</v>
      </c>
      <c r="Z419" s="163">
        <v>517512.50107689202</v>
      </c>
      <c r="AA419" s="163">
        <v>9036550.1304993778</v>
      </c>
      <c r="AB419" s="163">
        <v>9036734.1533807963</v>
      </c>
      <c r="AC419" s="163">
        <v>12489703.885867625</v>
      </c>
      <c r="AD419" s="163">
        <v>13227314.24389787</v>
      </c>
      <c r="AE419" s="163">
        <v>-4460298.9467808157</v>
      </c>
      <c r="AF419" s="163">
        <v>-20490650.836297661</v>
      </c>
      <c r="AG419" s="163">
        <v>-24508619.013677508</v>
      </c>
    </row>
    <row r="420" spans="16:33" ht="15.75" customHeight="1">
      <c r="P420" s="162"/>
      <c r="Q420" s="162">
        <v>403</v>
      </c>
      <c r="R420" s="163">
        <v>-37210340.922250211</v>
      </c>
      <c r="S420" s="163">
        <v>-26731973.415893421</v>
      </c>
      <c r="T420" s="163">
        <v>-14335841.553530484</v>
      </c>
      <c r="U420" s="163">
        <v>-16368833.923379228</v>
      </c>
      <c r="V420" s="163">
        <v>-5523243.8461069763</v>
      </c>
      <c r="W420" s="164">
        <v>20107797.099477515</v>
      </c>
      <c r="X420" s="163">
        <v>13123367.6721486</v>
      </c>
      <c r="Y420" s="163">
        <v>6907872.5800599605</v>
      </c>
      <c r="Z420" s="163">
        <v>17002952.307615399</v>
      </c>
      <c r="AA420" s="163">
        <v>-545788.93225742877</v>
      </c>
      <c r="AB420" s="163">
        <v>1860463.2043921202</v>
      </c>
      <c r="AC420" s="163">
        <v>9142594.7073765099</v>
      </c>
      <c r="AD420" s="163">
        <v>12242805.068214163</v>
      </c>
      <c r="AE420" s="163">
        <v>5771813.9869021773</v>
      </c>
      <c r="AF420" s="163">
        <v>-15278281.715073422</v>
      </c>
      <c r="AG420" s="163">
        <v>-22725005.626735106</v>
      </c>
    </row>
    <row r="421" spans="16:33" ht="15.75" customHeight="1">
      <c r="P421" s="162"/>
      <c r="Q421" s="162">
        <v>404</v>
      </c>
      <c r="R421" s="163">
        <v>-34831669.86162293</v>
      </c>
      <c r="S421" s="163">
        <v>-27131382.801664382</v>
      </c>
      <c r="T421" s="163">
        <v>-17609239.548588693</v>
      </c>
      <c r="U421" s="163">
        <v>-6627205.4931824058</v>
      </c>
      <c r="V421" s="163">
        <v>628746.01098166406</v>
      </c>
      <c r="W421" s="164">
        <v>2388262.1569269747</v>
      </c>
      <c r="X421" s="163">
        <v>4315623.6580137014</v>
      </c>
      <c r="Y421" s="163">
        <v>9166195.7707230896</v>
      </c>
      <c r="Z421" s="163">
        <v>16285727.206120834</v>
      </c>
      <c r="AA421" s="163">
        <v>14179466.826089218</v>
      </c>
      <c r="AB421" s="163">
        <v>16019220.424467623</v>
      </c>
      <c r="AC421" s="163">
        <v>10473499.197655335</v>
      </c>
      <c r="AD421" s="163">
        <v>1722949.3991447985</v>
      </c>
      <c r="AE421" s="163">
        <v>-2361332.0870296806</v>
      </c>
      <c r="AF421" s="163">
        <v>-17519349.857758909</v>
      </c>
      <c r="AG421" s="163">
        <v>-7752707.677934438</v>
      </c>
    </row>
    <row r="422" spans="16:33" ht="15.75" customHeight="1">
      <c r="P422" s="162"/>
      <c r="Q422" s="162">
        <v>405</v>
      </c>
      <c r="R422" s="163">
        <v>-36271006.040024132</v>
      </c>
      <c r="S422" s="163">
        <v>-21292178.42275691</v>
      </c>
      <c r="T422" s="163">
        <v>-2316416.3362538218</v>
      </c>
      <c r="U422" s="163">
        <v>-6864823.0461031348</v>
      </c>
      <c r="V422" s="163">
        <v>7642914.3468476683</v>
      </c>
      <c r="W422" s="164">
        <v>8578487.0206872672</v>
      </c>
      <c r="X422" s="163">
        <v>13966073.242203966</v>
      </c>
      <c r="Y422" s="163">
        <v>15127201.707488239</v>
      </c>
      <c r="Z422" s="163">
        <v>17431167.778731465</v>
      </c>
      <c r="AA422" s="163">
        <v>4264688.6151322126</v>
      </c>
      <c r="AB422" s="163">
        <v>16229333.085097224</v>
      </c>
      <c r="AC422" s="163">
        <v>6768837.5107589215</v>
      </c>
      <c r="AD422" s="163">
        <v>-4051536.423786968</v>
      </c>
      <c r="AE422" s="163">
        <v>-5390133.0342722237</v>
      </c>
      <c r="AF422" s="163">
        <v>-8785384.5571310222</v>
      </c>
      <c r="AG422" s="163">
        <v>-14570453.39965044</v>
      </c>
    </row>
    <row r="423" spans="16:33" ht="15.75" customHeight="1">
      <c r="P423" s="162"/>
      <c r="Q423" s="162">
        <v>406</v>
      </c>
      <c r="R423" s="163">
        <v>-33085013.681934863</v>
      </c>
      <c r="S423" s="163">
        <v>-21840479.237528965</v>
      </c>
      <c r="T423" s="163">
        <v>-14479331.091301218</v>
      </c>
      <c r="U423" s="163">
        <v>-11175359.83421734</v>
      </c>
      <c r="V423" s="163">
        <v>-6230467.0323239863</v>
      </c>
      <c r="W423" s="164">
        <v>8540606.7517087311</v>
      </c>
      <c r="X423" s="163">
        <v>5149809.7987720519</v>
      </c>
      <c r="Y423" s="163">
        <v>12114660.699162796</v>
      </c>
      <c r="Z423" s="163">
        <v>20558595.392357066</v>
      </c>
      <c r="AA423" s="163">
        <v>10254374.367801413</v>
      </c>
      <c r="AB423" s="163">
        <v>7703303.996578604</v>
      </c>
      <c r="AC423" s="163">
        <v>-2321464.152341947</v>
      </c>
      <c r="AD423" s="163">
        <v>1006358.4105463773</v>
      </c>
      <c r="AE423" s="163">
        <v>2475017.5551200807</v>
      </c>
      <c r="AF423" s="163">
        <v>-11101482.528878272</v>
      </c>
      <c r="AG423" s="163">
        <v>-20005317.912979484</v>
      </c>
    </row>
    <row r="424" spans="16:33" ht="15.75" customHeight="1">
      <c r="P424" s="162"/>
      <c r="Q424" s="162">
        <v>407</v>
      </c>
      <c r="R424" s="163">
        <v>-39539876.559455559</v>
      </c>
      <c r="S424" s="163">
        <v>-26866977.378359154</v>
      </c>
      <c r="T424" s="163">
        <v>-8464925.4463053495</v>
      </c>
      <c r="U424" s="163">
        <v>-9367025.0700909048</v>
      </c>
      <c r="V424" s="163">
        <v>2443864.6398191154</v>
      </c>
      <c r="W424" s="164">
        <v>-3325978.9969175309</v>
      </c>
      <c r="X424" s="163">
        <v>10915453.070531741</v>
      </c>
      <c r="Y424" s="163">
        <v>12660529.707003608</v>
      </c>
      <c r="Z424" s="163">
        <v>3177801.6431505233</v>
      </c>
      <c r="AA424" s="163">
        <v>4416585.0351217836</v>
      </c>
      <c r="AB424" s="163">
        <v>532489.0041334033</v>
      </c>
      <c r="AC424" s="163">
        <v>22680810.345814154</v>
      </c>
      <c r="AD424" s="163">
        <v>10675382.729046881</v>
      </c>
      <c r="AE424" s="163">
        <v>3748534.2809352875</v>
      </c>
      <c r="AF424" s="163">
        <v>-4229579.1708351225</v>
      </c>
      <c r="AG424" s="163">
        <v>-21319390.496131316</v>
      </c>
    </row>
    <row r="425" spans="16:33" ht="15.75" customHeight="1">
      <c r="P425" s="162"/>
      <c r="Q425" s="162">
        <v>408</v>
      </c>
      <c r="R425" s="163">
        <v>-33855489.555403203</v>
      </c>
      <c r="S425" s="163">
        <v>-21234482.144227698</v>
      </c>
      <c r="T425" s="163">
        <v>-19850792.437786967</v>
      </c>
      <c r="U425" s="163">
        <v>-11624096.767401725</v>
      </c>
      <c r="V425" s="163">
        <v>-2293456.6938929707</v>
      </c>
      <c r="W425" s="164">
        <v>417459.79847292602</v>
      </c>
      <c r="X425" s="163">
        <v>9553536.3836960047</v>
      </c>
      <c r="Y425" s="163">
        <v>24614338.359963179</v>
      </c>
      <c r="Z425" s="163">
        <v>1308940.3816843182</v>
      </c>
      <c r="AA425" s="163">
        <v>8252003.0815012306</v>
      </c>
      <c r="AB425" s="163">
        <v>14232370.14974831</v>
      </c>
      <c r="AC425" s="163">
        <v>5596175.3455378264</v>
      </c>
      <c r="AD425" s="163">
        <v>3817823.2397951931</v>
      </c>
      <c r="AE425" s="163">
        <v>2224987.88490282</v>
      </c>
      <c r="AF425" s="163">
        <v>-16572863.734534338</v>
      </c>
      <c r="AG425" s="163">
        <v>-20747949.34831214</v>
      </c>
    </row>
    <row r="426" spans="16:33" ht="15.75" customHeight="1">
      <c r="P426" s="162"/>
      <c r="Q426" s="162">
        <v>409</v>
      </c>
      <c r="R426" s="163">
        <v>-31681980.229110703</v>
      </c>
      <c r="S426" s="163">
        <v>-26514671.965127587</v>
      </c>
      <c r="T426" s="163">
        <v>-17046045.765034243</v>
      </c>
      <c r="U426" s="163">
        <v>-8823922.7324697971</v>
      </c>
      <c r="V426" s="163">
        <v>-1934628.8470253199</v>
      </c>
      <c r="W426" s="164">
        <v>3661298.2497218996</v>
      </c>
      <c r="X426" s="163">
        <v>7496930.1207661778</v>
      </c>
      <c r="Y426" s="163">
        <v>4752480.3513984233</v>
      </c>
      <c r="Z426" s="163">
        <v>10130070.588407829</v>
      </c>
      <c r="AA426" s="163">
        <v>15940457.851455122</v>
      </c>
      <c r="AB426" s="163">
        <v>9337547.6605862975</v>
      </c>
      <c r="AC426" s="163">
        <v>287898.37125508487</v>
      </c>
      <c r="AD426" s="163">
        <v>7759656.9639773518</v>
      </c>
      <c r="AE426" s="163">
        <v>162683.65417422354</v>
      </c>
      <c r="AF426" s="163">
        <v>-16577939.992660955</v>
      </c>
      <c r="AG426" s="163">
        <v>-25669876.508009195</v>
      </c>
    </row>
    <row r="427" spans="16:33" ht="15.75" customHeight="1">
      <c r="P427" s="162"/>
      <c r="Q427" s="162">
        <v>410</v>
      </c>
      <c r="R427" s="163">
        <v>-33734451.290545672</v>
      </c>
      <c r="S427" s="163">
        <v>-25161441.065209419</v>
      </c>
      <c r="T427" s="163">
        <v>-20908703.079677001</v>
      </c>
      <c r="U427" s="163">
        <v>-5892110.9290458858</v>
      </c>
      <c r="V427" s="163">
        <v>-5887894.9468246847</v>
      </c>
      <c r="W427" s="164">
        <v>9991144.3520739973</v>
      </c>
      <c r="X427" s="163">
        <v>11895697.15831463</v>
      </c>
      <c r="Y427" s="163">
        <v>8622700.8451919109</v>
      </c>
      <c r="Z427" s="163">
        <v>10291287.769338503</v>
      </c>
      <c r="AA427" s="163">
        <v>8174046.4302948713</v>
      </c>
      <c r="AB427" s="163">
        <v>5338336.1539923102</v>
      </c>
      <c r="AC427" s="163">
        <v>14732039.943739504</v>
      </c>
      <c r="AD427" s="163">
        <v>-2673409.6352235675</v>
      </c>
      <c r="AE427" s="163">
        <v>-9371365.1482984722</v>
      </c>
      <c r="AF427" s="163">
        <v>-8258786.3358207792</v>
      </c>
      <c r="AG427" s="163">
        <v>-17208978.195066646</v>
      </c>
    </row>
    <row r="428" spans="16:33" ht="15.75" customHeight="1">
      <c r="P428" s="162"/>
      <c r="Q428" s="162">
        <v>411</v>
      </c>
      <c r="R428" s="163">
        <v>-34386280.186713725</v>
      </c>
      <c r="S428" s="163">
        <v>-29904188.860084921</v>
      </c>
      <c r="T428" s="163">
        <v>-18072358.176015854</v>
      </c>
      <c r="U428" s="163">
        <v>-5565874.2726750821</v>
      </c>
      <c r="V428" s="163">
        <v>6988037.7365521938</v>
      </c>
      <c r="W428" s="164">
        <v>833503.90648278594</v>
      </c>
      <c r="X428" s="163">
        <v>7070480.2067485154</v>
      </c>
      <c r="Y428" s="163">
        <v>8712916.6369887143</v>
      </c>
      <c r="Z428" s="163">
        <v>10893518.556952804</v>
      </c>
      <c r="AA428" s="163">
        <v>5250145.2250941992</v>
      </c>
      <c r="AB428" s="163">
        <v>9659321.0014066994</v>
      </c>
      <c r="AC428" s="163">
        <v>7426309.8291619271</v>
      </c>
      <c r="AD428" s="163">
        <v>233405.30812713504</v>
      </c>
      <c r="AE428" s="163">
        <v>-8770863.620297268</v>
      </c>
      <c r="AF428" s="163">
        <v>-11392141.509384498</v>
      </c>
      <c r="AG428" s="163">
        <v>-13507076.747392431</v>
      </c>
    </row>
    <row r="429" spans="16:33" ht="15.75" customHeight="1">
      <c r="P429" s="162"/>
      <c r="Q429" s="162">
        <v>412</v>
      </c>
      <c r="R429" s="163">
        <v>-35738799.778513789</v>
      </c>
      <c r="S429" s="163">
        <v>-25243717.530934319</v>
      </c>
      <c r="T429" s="163">
        <v>-14877514.569319159</v>
      </c>
      <c r="U429" s="163">
        <v>-7089851.0125725865</v>
      </c>
      <c r="V429" s="163">
        <v>3023246.5162998885</v>
      </c>
      <c r="W429" s="164">
        <v>3629252.1726703644</v>
      </c>
      <c r="X429" s="163">
        <v>2452295.635466069</v>
      </c>
      <c r="Y429" s="163">
        <v>10446633.567080691</v>
      </c>
      <c r="Z429" s="163">
        <v>10704637.681775734</v>
      </c>
      <c r="AA429" s="163">
        <v>10553740.889036283</v>
      </c>
      <c r="AB429" s="163">
        <v>8314999.3527072817</v>
      </c>
      <c r="AC429" s="163">
        <v>3243335.1205140948</v>
      </c>
      <c r="AD429" s="163">
        <v>10088739.74383691</v>
      </c>
      <c r="AE429" s="163">
        <v>-2807441.8658605069</v>
      </c>
      <c r="AF429" s="163">
        <v>-14931263.09340252</v>
      </c>
      <c r="AG429" s="163">
        <v>-28227728.644262061</v>
      </c>
    </row>
    <row r="430" spans="16:33" ht="15.75" customHeight="1">
      <c r="P430" s="162"/>
      <c r="Q430" s="162">
        <v>413</v>
      </c>
      <c r="R430" s="163">
        <v>-32777807.443882585</v>
      </c>
      <c r="S430" s="163">
        <v>-31430900.304787278</v>
      </c>
      <c r="T430" s="163">
        <v>-20891111.976470605</v>
      </c>
      <c r="U430" s="163">
        <v>3268359.0857269466</v>
      </c>
      <c r="V430" s="163">
        <v>-1853439.593626067</v>
      </c>
      <c r="W430" s="164">
        <v>7609923.4174214303</v>
      </c>
      <c r="X430" s="163">
        <v>13778543.605457097</v>
      </c>
      <c r="Y430" s="163">
        <v>8415114.1753460318</v>
      </c>
      <c r="Z430" s="163">
        <v>12441163.763908461</v>
      </c>
      <c r="AA430" s="163">
        <v>12195783.401022241</v>
      </c>
      <c r="AB430" s="163">
        <v>4581130.6875295937</v>
      </c>
      <c r="AC430" s="163">
        <v>1769027.2304298878</v>
      </c>
      <c r="AD430" s="163">
        <v>-1740526.8669492006</v>
      </c>
      <c r="AE430" s="163">
        <v>-3693795.7520758808</v>
      </c>
      <c r="AF430" s="163">
        <v>-2240258.0864633471</v>
      </c>
      <c r="AG430" s="163">
        <v>-23383788.44043684</v>
      </c>
    </row>
    <row r="431" spans="16:33" ht="15.75" customHeight="1">
      <c r="P431" s="162"/>
      <c r="Q431" s="162">
        <v>414</v>
      </c>
      <c r="R431" s="163">
        <v>-39678170.341230839</v>
      </c>
      <c r="S431" s="163">
        <v>-23380658.593921781</v>
      </c>
      <c r="T431" s="163">
        <v>-11407185.376890361</v>
      </c>
      <c r="U431" s="163">
        <v>-9547844.3789834231</v>
      </c>
      <c r="V431" s="163">
        <v>3341443.68937549</v>
      </c>
      <c r="W431" s="164">
        <v>-6345754.03731969</v>
      </c>
      <c r="X431" s="163">
        <v>5305133.5115360916</v>
      </c>
      <c r="Y431" s="163">
        <v>8846482.9415998012</v>
      </c>
      <c r="Z431" s="163">
        <v>7733593.2357079089</v>
      </c>
      <c r="AA431" s="163">
        <v>11282994.687470779</v>
      </c>
      <c r="AB431" s="163">
        <v>15620154.654169112</v>
      </c>
      <c r="AC431" s="163">
        <v>8892460.780832991</v>
      </c>
      <c r="AD431" s="163">
        <v>-654032.07354044914</v>
      </c>
      <c r="AE431" s="163">
        <v>1428617.3595635891</v>
      </c>
      <c r="AF431" s="163">
        <v>-13430298.671677917</v>
      </c>
      <c r="AG431" s="163">
        <v>-21067298.05531171</v>
      </c>
    </row>
    <row r="432" spans="16:33" ht="15.75" customHeight="1">
      <c r="P432" s="162"/>
      <c r="Q432" s="162">
        <v>415</v>
      </c>
      <c r="R432" s="163">
        <v>-32942557.299448282</v>
      </c>
      <c r="S432" s="163">
        <v>-22829442.034704417</v>
      </c>
      <c r="T432" s="163">
        <v>-13276269.176669762</v>
      </c>
      <c r="U432" s="163">
        <v>-10396004.388329476</v>
      </c>
      <c r="V432" s="163">
        <v>5467856.9832779616</v>
      </c>
      <c r="W432" s="164">
        <v>4139881.0467523783</v>
      </c>
      <c r="X432" s="163">
        <v>4564116.6462668628</v>
      </c>
      <c r="Y432" s="163">
        <v>2223347.9224889576</v>
      </c>
      <c r="Z432" s="163">
        <v>5285512.8856505752</v>
      </c>
      <c r="AA432" s="163">
        <v>13040437.971326321</v>
      </c>
      <c r="AB432" s="163">
        <v>-1600983.9543857872</v>
      </c>
      <c r="AC432" s="163">
        <v>21215432.941860616</v>
      </c>
      <c r="AD432" s="163">
        <v>-4391891.2508741319</v>
      </c>
      <c r="AE432" s="163">
        <v>-4448122.0794282556</v>
      </c>
      <c r="AF432" s="163">
        <v>-6596772.7236081362</v>
      </c>
      <c r="AG432" s="163">
        <v>-26645193.921676844</v>
      </c>
    </row>
    <row r="433" spans="16:33" ht="15.75" customHeight="1">
      <c r="P433" s="162"/>
      <c r="Q433" s="162">
        <v>416</v>
      </c>
      <c r="R433" s="163">
        <v>-34948659.587814838</v>
      </c>
      <c r="S433" s="163">
        <v>-25210977.014629409</v>
      </c>
      <c r="T433" s="163">
        <v>-19352277.147355467</v>
      </c>
      <c r="U433" s="163">
        <v>-4963660.8872425705</v>
      </c>
      <c r="V433" s="163">
        <v>4432243.8536112458</v>
      </c>
      <c r="W433" s="164">
        <v>-5279182.024665609</v>
      </c>
      <c r="X433" s="163">
        <v>395577.49946956336</v>
      </c>
      <c r="Y433" s="163">
        <v>4464456.0233017057</v>
      </c>
      <c r="Z433" s="163">
        <v>14107759.18385452</v>
      </c>
      <c r="AA433" s="163">
        <v>10674288.05495809</v>
      </c>
      <c r="AB433" s="163">
        <v>13957931.207488626</v>
      </c>
      <c r="AC433" s="163">
        <v>2862041.0993749797</v>
      </c>
      <c r="AD433" s="163">
        <v>-1243080.6718302071</v>
      </c>
      <c r="AE433" s="163">
        <v>-8914666.160738498</v>
      </c>
      <c r="AF433" s="163">
        <v>-12959674.572177544</v>
      </c>
      <c r="AG433" s="163">
        <v>-17129351.684052631</v>
      </c>
    </row>
    <row r="434" spans="16:33" ht="15.75" customHeight="1">
      <c r="P434" s="162"/>
      <c r="Q434" s="162">
        <v>417</v>
      </c>
      <c r="R434" s="163">
        <v>-26761733.33966276</v>
      </c>
      <c r="S434" s="163">
        <v>-29015302.687366426</v>
      </c>
      <c r="T434" s="163">
        <v>-7435334.5918880999</v>
      </c>
      <c r="U434" s="163">
        <v>-9677737.7498625368</v>
      </c>
      <c r="V434" s="163">
        <v>3097726.1228629053</v>
      </c>
      <c r="W434" s="164">
        <v>7730685.3266640604</v>
      </c>
      <c r="X434" s="163">
        <v>14024498.118087798</v>
      </c>
      <c r="Y434" s="163">
        <v>15385295.246655062</v>
      </c>
      <c r="Z434" s="163">
        <v>8458487.0454366356</v>
      </c>
      <c r="AA434" s="163">
        <v>8042684.3225945085</v>
      </c>
      <c r="AB434" s="163">
        <v>15191728.508902565</v>
      </c>
      <c r="AC434" s="163">
        <v>8771754.1891373098</v>
      </c>
      <c r="AD434" s="163">
        <v>11857903.343466491</v>
      </c>
      <c r="AE434" s="163">
        <v>-15491122.587505624</v>
      </c>
      <c r="AF434" s="163">
        <v>-11267566.395986736</v>
      </c>
      <c r="AG434" s="163">
        <v>-18333531.253645629</v>
      </c>
    </row>
    <row r="435" spans="16:33" ht="15.75" customHeight="1">
      <c r="P435" s="162"/>
      <c r="Q435" s="162">
        <v>418</v>
      </c>
      <c r="R435" s="163">
        <v>-41686165.77816622</v>
      </c>
      <c r="S435" s="163">
        <v>-21366252.646686092</v>
      </c>
      <c r="T435" s="163">
        <v>-24713509.211523533</v>
      </c>
      <c r="U435" s="163">
        <v>2573225.0486113429</v>
      </c>
      <c r="V435" s="163">
        <v>6317235.1458026916</v>
      </c>
      <c r="W435" s="164">
        <v>9331581.4295818806</v>
      </c>
      <c r="X435" s="163">
        <v>4143864.6322136521</v>
      </c>
      <c r="Y435" s="163">
        <v>10997159.55704686</v>
      </c>
      <c r="Z435" s="163">
        <v>18761474.692198217</v>
      </c>
      <c r="AA435" s="163">
        <v>9382177.7039917558</v>
      </c>
      <c r="AB435" s="163">
        <v>12799492.448061675</v>
      </c>
      <c r="AC435" s="163">
        <v>3933439.9376335293</v>
      </c>
      <c r="AD435" s="163">
        <v>5278192.0042808652</v>
      </c>
      <c r="AE435" s="163">
        <v>-4835455.8195554316</v>
      </c>
      <c r="AF435" s="163">
        <v>-15735970.62782532</v>
      </c>
      <c r="AG435" s="163">
        <v>-16150367.618055239</v>
      </c>
    </row>
    <row r="436" spans="16:33" ht="15.75" customHeight="1">
      <c r="P436" s="162"/>
      <c r="Q436" s="162">
        <v>419</v>
      </c>
      <c r="R436" s="163">
        <v>-36289727.524275333</v>
      </c>
      <c r="S436" s="163">
        <v>-27103058.886430547</v>
      </c>
      <c r="T436" s="163">
        <v>-17222197.315200493</v>
      </c>
      <c r="U436" s="163">
        <v>-8675408.8294950724</v>
      </c>
      <c r="V436" s="163">
        <v>-8185084.6589844525</v>
      </c>
      <c r="W436" s="164">
        <v>7750316.2073551416</v>
      </c>
      <c r="X436" s="163">
        <v>16109409.28898561</v>
      </c>
      <c r="Y436" s="163">
        <v>14813911.176933348</v>
      </c>
      <c r="Z436" s="163">
        <v>14346910.153720006</v>
      </c>
      <c r="AA436" s="163">
        <v>8403718.7335593551</v>
      </c>
      <c r="AB436" s="163">
        <v>13311600.057106391</v>
      </c>
      <c r="AC436" s="163">
        <v>10751638.23502712</v>
      </c>
      <c r="AD436" s="163">
        <v>9588114.8417433351</v>
      </c>
      <c r="AE436" s="163">
        <v>-208844.60871681571</v>
      </c>
      <c r="AF436" s="163">
        <v>-8130344.4689255059</v>
      </c>
      <c r="AG436" s="163">
        <v>-10373757.746153191</v>
      </c>
    </row>
    <row r="437" spans="16:33" ht="15.75" customHeight="1">
      <c r="P437" s="162"/>
      <c r="Q437" s="162">
        <v>420</v>
      </c>
      <c r="R437" s="163">
        <v>-45721561.100882977</v>
      </c>
      <c r="S437" s="163">
        <v>-25345987.854155004</v>
      </c>
      <c r="T437" s="163">
        <v>-9462615.9170948863</v>
      </c>
      <c r="U437" s="163">
        <v>-12018723.390143901</v>
      </c>
      <c r="V437" s="163">
        <v>65725.730538278818</v>
      </c>
      <c r="W437" s="164">
        <v>-3525182.9282774925</v>
      </c>
      <c r="X437" s="163">
        <v>9521206.77004233</v>
      </c>
      <c r="Y437" s="163">
        <v>8971763.6633345783</v>
      </c>
      <c r="Z437" s="163">
        <v>6048533.5618764162</v>
      </c>
      <c r="AA437" s="163">
        <v>19800327.349682078</v>
      </c>
      <c r="AB437" s="163">
        <v>6024711.8597426116</v>
      </c>
      <c r="AC437" s="163">
        <v>12433646.397810489</v>
      </c>
      <c r="AD437" s="163">
        <v>-3392106.0193119943</v>
      </c>
      <c r="AE437" s="163">
        <v>-14338615.137910575</v>
      </c>
      <c r="AF437" s="163">
        <v>-20954319.378109008</v>
      </c>
      <c r="AG437" s="163">
        <v>-17325810.577196196</v>
      </c>
    </row>
    <row r="438" spans="16:33" ht="15.75" customHeight="1">
      <c r="P438" s="162"/>
      <c r="Q438" s="162">
        <v>421</v>
      </c>
      <c r="R438" s="163">
        <v>-29459739.14289239</v>
      </c>
      <c r="S438" s="163">
        <v>-23777213.003604844</v>
      </c>
      <c r="T438" s="163">
        <v>-14916596.831946656</v>
      </c>
      <c r="U438" s="163">
        <v>-7816373.4318628907</v>
      </c>
      <c r="V438" s="163">
        <v>-2487819.3061241508</v>
      </c>
      <c r="W438" s="164">
        <v>4519107.2549225092</v>
      </c>
      <c r="X438" s="163">
        <v>4215916.6845937818</v>
      </c>
      <c r="Y438" s="163">
        <v>17277505.528712898</v>
      </c>
      <c r="Z438" s="163">
        <v>3217752.474038586</v>
      </c>
      <c r="AA438" s="163">
        <v>15340389.865712821</v>
      </c>
      <c r="AB438" s="163">
        <v>-425555.18119889498</v>
      </c>
      <c r="AC438" s="163">
        <v>8875341.446700111</v>
      </c>
      <c r="AD438" s="163">
        <v>712768.73318111897</v>
      </c>
      <c r="AE438" s="163">
        <v>-150872.0876699388</v>
      </c>
      <c r="AF438" s="163">
        <v>-9777242.0858174115</v>
      </c>
      <c r="AG438" s="163">
        <v>-17324859.891916588</v>
      </c>
    </row>
    <row r="439" spans="16:33" ht="15.75" customHeight="1">
      <c r="P439" s="162"/>
      <c r="Q439" s="162">
        <v>422</v>
      </c>
      <c r="R439" s="163">
        <v>-30222075.75543192</v>
      </c>
      <c r="S439" s="163">
        <v>-23363824.994703367</v>
      </c>
      <c r="T439" s="163">
        <v>-17360036.722324789</v>
      </c>
      <c r="U439" s="163">
        <v>-12858232.5580955</v>
      </c>
      <c r="V439" s="163">
        <v>-8851888.2375298291</v>
      </c>
      <c r="W439" s="164">
        <v>-1741402.3020929396</v>
      </c>
      <c r="X439" s="163">
        <v>-1191705.1110215932</v>
      </c>
      <c r="Y439" s="163">
        <v>24188414.604732767</v>
      </c>
      <c r="Z439" s="163">
        <v>-173322.03792802989</v>
      </c>
      <c r="AA439" s="163">
        <v>16812975.830666184</v>
      </c>
      <c r="AB439" s="163">
        <v>2495390.5320159197</v>
      </c>
      <c r="AC439" s="163">
        <v>7580939.6103672832</v>
      </c>
      <c r="AD439" s="163">
        <v>1377614.5395923853</v>
      </c>
      <c r="AE439" s="163">
        <v>-6431738.9573955685</v>
      </c>
      <c r="AF439" s="163">
        <v>-5359435.5607262552</v>
      </c>
      <c r="AG439" s="163">
        <v>-14722089.259668186</v>
      </c>
    </row>
    <row r="440" spans="16:33" ht="15.75" customHeight="1">
      <c r="P440" s="162"/>
      <c r="Q440" s="162">
        <v>423</v>
      </c>
      <c r="R440" s="163">
        <v>-30570466.257440731</v>
      </c>
      <c r="S440" s="163">
        <v>-26180297.217533559</v>
      </c>
      <c r="T440" s="163">
        <v>-16136912.406895638</v>
      </c>
      <c r="U440" s="163">
        <v>-3477113.8834258914</v>
      </c>
      <c r="V440" s="163">
        <v>-5109505.2191582471</v>
      </c>
      <c r="W440" s="164">
        <v>4217684.7176272273</v>
      </c>
      <c r="X440" s="163">
        <v>10691304.144848406</v>
      </c>
      <c r="Y440" s="163">
        <v>10311137.393340349</v>
      </c>
      <c r="Z440" s="163">
        <v>-661583.69275221229</v>
      </c>
      <c r="AA440" s="163">
        <v>18119726.632832915</v>
      </c>
      <c r="AB440" s="163">
        <v>15759966.815367192</v>
      </c>
      <c r="AC440" s="163">
        <v>15640145.890204743</v>
      </c>
      <c r="AD440" s="163">
        <v>228391.76308694482</v>
      </c>
      <c r="AE440" s="163">
        <v>-3741761.5102355331</v>
      </c>
      <c r="AF440" s="163">
        <v>-3672716.4807244837</v>
      </c>
      <c r="AG440" s="163">
        <v>-21202130.434125379</v>
      </c>
    </row>
    <row r="441" spans="16:33" ht="15.75" customHeight="1">
      <c r="P441" s="162"/>
      <c r="Q441" s="162">
        <v>424</v>
      </c>
      <c r="R441" s="163">
        <v>-35980831.882195488</v>
      </c>
      <c r="S441" s="163">
        <v>-24060236.558742657</v>
      </c>
      <c r="T441" s="163">
        <v>-12571957.038122639</v>
      </c>
      <c r="U441" s="163">
        <v>-8497896.5257230401</v>
      </c>
      <c r="V441" s="163">
        <v>226779.24502184987</v>
      </c>
      <c r="W441" s="164">
        <v>-3978165.7056769431</v>
      </c>
      <c r="X441" s="163">
        <v>10046803.767353058</v>
      </c>
      <c r="Y441" s="163">
        <v>6328291.812492758</v>
      </c>
      <c r="Z441" s="163">
        <v>5341063.6532408297</v>
      </c>
      <c r="AA441" s="163">
        <v>13967976.783934444</v>
      </c>
      <c r="AB441" s="163">
        <v>17240183.703585252</v>
      </c>
      <c r="AC441" s="163">
        <v>6056591.8518282324</v>
      </c>
      <c r="AD441" s="163">
        <v>-8494266.1630634665</v>
      </c>
      <c r="AE441" s="163">
        <v>1747765.5884555727</v>
      </c>
      <c r="AF441" s="163">
        <v>-5635504.797928676</v>
      </c>
      <c r="AG441" s="163">
        <v>-18901601.447962999</v>
      </c>
    </row>
    <row r="442" spans="16:33" ht="15.75" customHeight="1">
      <c r="P442" s="162"/>
      <c r="Q442" s="162">
        <v>425</v>
      </c>
      <c r="R442" s="163">
        <v>-30029685.898030728</v>
      </c>
      <c r="S442" s="163">
        <v>-21862150.990543693</v>
      </c>
      <c r="T442" s="163">
        <v>-12831021.827468097</v>
      </c>
      <c r="U442" s="163">
        <v>-17926471.751942873</v>
      </c>
      <c r="V442" s="163">
        <v>-2980378.1140358001</v>
      </c>
      <c r="W442" s="164">
        <v>8971374.574730292</v>
      </c>
      <c r="X442" s="163">
        <v>1553673.2979190499</v>
      </c>
      <c r="Y442" s="163">
        <v>4640521.3544299304</v>
      </c>
      <c r="Z442" s="163">
        <v>27356861.779844984</v>
      </c>
      <c r="AA442" s="163">
        <v>18719339.005958498</v>
      </c>
      <c r="AB442" s="163">
        <v>18988172.425048515</v>
      </c>
      <c r="AC442" s="163">
        <v>6422555.1556791216</v>
      </c>
      <c r="AD442" s="163">
        <v>-7653940.3423737437</v>
      </c>
      <c r="AE442" s="163">
        <v>-302340.8671156317</v>
      </c>
      <c r="AF442" s="163">
        <v>-15815760.979818925</v>
      </c>
      <c r="AG442" s="163">
        <v>-17742167.678576738</v>
      </c>
    </row>
    <row r="443" spans="16:33" ht="15.75" customHeight="1">
      <c r="P443" s="162"/>
      <c r="Q443" s="162">
        <v>426</v>
      </c>
      <c r="R443" s="163">
        <v>-34730949.344615385</v>
      </c>
      <c r="S443" s="163">
        <v>-32465093.619394094</v>
      </c>
      <c r="T443" s="163">
        <v>-13005422.878086686</v>
      </c>
      <c r="U443" s="163">
        <v>-2614670.0003519505</v>
      </c>
      <c r="V443" s="163">
        <v>-295013.70813179016</v>
      </c>
      <c r="W443" s="164">
        <v>-5677765.7720887065</v>
      </c>
      <c r="X443" s="163">
        <v>3751795.6903636009</v>
      </c>
      <c r="Y443" s="163">
        <v>14191077.055436611</v>
      </c>
      <c r="Z443" s="163">
        <v>6798426.042279467</v>
      </c>
      <c r="AA443" s="163">
        <v>7198727.7328829169</v>
      </c>
      <c r="AB443" s="163">
        <v>4569992.6651183069</v>
      </c>
      <c r="AC443" s="163">
        <v>14891297.037886515</v>
      </c>
      <c r="AD443" s="163">
        <v>-2747360.2025073171</v>
      </c>
      <c r="AE443" s="163">
        <v>-4178540.9804409444</v>
      </c>
      <c r="AF443" s="163">
        <v>-20710935.259834051</v>
      </c>
      <c r="AG443" s="163">
        <v>-12773521.439416826</v>
      </c>
    </row>
    <row r="444" spans="16:33" ht="15.75" customHeight="1">
      <c r="P444" s="162"/>
      <c r="Q444" s="162">
        <v>427</v>
      </c>
      <c r="R444" s="163">
        <v>-30415538.627634525</v>
      </c>
      <c r="S444" s="163">
        <v>-25446404.038783282</v>
      </c>
      <c r="T444" s="163">
        <v>-29257004.773676544</v>
      </c>
      <c r="U444" s="163">
        <v>-10855033.940989301</v>
      </c>
      <c r="V444" s="163">
        <v>-4242483.0127845258</v>
      </c>
      <c r="W444" s="164">
        <v>3933782.799502641</v>
      </c>
      <c r="X444" s="163">
        <v>14120084.693054438</v>
      </c>
      <c r="Y444" s="163">
        <v>9008194.796276927</v>
      </c>
      <c r="Z444" s="163">
        <v>17581342.109003454</v>
      </c>
      <c r="AA444" s="163">
        <v>6849761.7952233851</v>
      </c>
      <c r="AB444" s="163">
        <v>18096557.484560356</v>
      </c>
      <c r="AC444" s="163">
        <v>2996304.28931427</v>
      </c>
      <c r="AD444" s="163">
        <v>-4551607.1630268395</v>
      </c>
      <c r="AE444" s="163">
        <v>166074.22105400264</v>
      </c>
      <c r="AF444" s="163">
        <v>-16319693.31144689</v>
      </c>
      <c r="AG444" s="163">
        <v>-28583434.175943226</v>
      </c>
    </row>
    <row r="445" spans="16:33" ht="15.75" customHeight="1">
      <c r="P445" s="162"/>
      <c r="Q445" s="162">
        <v>428</v>
      </c>
      <c r="R445" s="163">
        <v>-33744794.002108216</v>
      </c>
      <c r="S445" s="163">
        <v>-26228601.620462134</v>
      </c>
      <c r="T445" s="163">
        <v>-10649391.337190107</v>
      </c>
      <c r="U445" s="163">
        <v>-6000274.2831576318</v>
      </c>
      <c r="V445" s="163">
        <v>-3465724.1859425306</v>
      </c>
      <c r="W445" s="164">
        <v>1113487.1191142648</v>
      </c>
      <c r="X445" s="163">
        <v>6253287.8010816276</v>
      </c>
      <c r="Y445" s="163">
        <v>-3699712.0520107746</v>
      </c>
      <c r="Z445" s="163">
        <v>3348779.0923067182</v>
      </c>
      <c r="AA445" s="163">
        <v>13880532.996946424</v>
      </c>
      <c r="AB445" s="163">
        <v>22663394.749151766</v>
      </c>
      <c r="AC445" s="163">
        <v>7919548.1857861131</v>
      </c>
      <c r="AD445" s="163">
        <v>4639343.9482032657</v>
      </c>
      <c r="AE445" s="163">
        <v>-3470773.5281817764</v>
      </c>
      <c r="AF445" s="163">
        <v>-5154318.2723660022</v>
      </c>
      <c r="AG445" s="163">
        <v>-20591128.715369582</v>
      </c>
    </row>
    <row r="446" spans="16:33" ht="15.75" customHeight="1">
      <c r="P446" s="162"/>
      <c r="Q446" s="162">
        <v>429</v>
      </c>
      <c r="R446" s="163">
        <v>-30964819.815447718</v>
      </c>
      <c r="S446" s="163">
        <v>-16358829.886261523</v>
      </c>
      <c r="T446" s="163">
        <v>-23614148.762610435</v>
      </c>
      <c r="U446" s="163">
        <v>-8971901.2365356684</v>
      </c>
      <c r="V446" s="163">
        <v>-6655677.2202385366</v>
      </c>
      <c r="W446" s="164">
        <v>7337927.1478610337</v>
      </c>
      <c r="X446" s="163">
        <v>15678733.929871768</v>
      </c>
      <c r="Y446" s="163">
        <v>5019256.5113876164</v>
      </c>
      <c r="Z446" s="163">
        <v>14709972.449925169</v>
      </c>
      <c r="AA446" s="163">
        <v>5984511.0296426713</v>
      </c>
      <c r="AB446" s="163">
        <v>738912.04801267385</v>
      </c>
      <c r="AC446" s="163">
        <v>17597526.727280051</v>
      </c>
      <c r="AD446" s="163">
        <v>10145847.314621687</v>
      </c>
      <c r="AE446" s="163">
        <v>-11442048.837955981</v>
      </c>
      <c r="AF446" s="163">
        <v>-8961010.503357321</v>
      </c>
      <c r="AG446" s="163">
        <v>-17545075.451394036</v>
      </c>
    </row>
    <row r="447" spans="16:33" ht="15.75" customHeight="1">
      <c r="P447" s="162"/>
      <c r="Q447" s="162">
        <v>430</v>
      </c>
      <c r="R447" s="163">
        <v>-41568572.675341249</v>
      </c>
      <c r="S447" s="163">
        <v>-23912774.744331643</v>
      </c>
      <c r="T447" s="163">
        <v>-16612511.070010975</v>
      </c>
      <c r="U447" s="163">
        <v>-9156734.0721327215</v>
      </c>
      <c r="V447" s="163">
        <v>5852850.4994246662</v>
      </c>
      <c r="W447" s="164">
        <v>12889997.991050377</v>
      </c>
      <c r="X447" s="163">
        <v>20157536.37742883</v>
      </c>
      <c r="Y447" s="163">
        <v>22503856.409049675</v>
      </c>
      <c r="Z447" s="163">
        <v>9343717.1483256519</v>
      </c>
      <c r="AA447" s="163">
        <v>16953838.415164247</v>
      </c>
      <c r="AB447" s="163">
        <v>8132812.969427377</v>
      </c>
      <c r="AC447" s="163">
        <v>5381696.3938134313</v>
      </c>
      <c r="AD447" s="163">
        <v>-674667.7148052752</v>
      </c>
      <c r="AE447" s="163">
        <v>808039.17300777137</v>
      </c>
      <c r="AF447" s="163">
        <v>-8546904.35387142</v>
      </c>
      <c r="AG447" s="163">
        <v>-19026217.105454594</v>
      </c>
    </row>
    <row r="448" spans="16:33" ht="15.75" customHeight="1">
      <c r="P448" s="162"/>
      <c r="Q448" s="162">
        <v>431</v>
      </c>
      <c r="R448" s="163">
        <v>-30694332.670342863</v>
      </c>
      <c r="S448" s="163">
        <v>-25188929.29519619</v>
      </c>
      <c r="T448" s="163">
        <v>-6889838.1908772141</v>
      </c>
      <c r="U448" s="163">
        <v>-2404144.3850732446</v>
      </c>
      <c r="V448" s="163">
        <v>-13550275.24134481</v>
      </c>
      <c r="W448" s="164">
        <v>6080377.4317393005</v>
      </c>
      <c r="X448" s="163">
        <v>-303355.63549080491</v>
      </c>
      <c r="Y448" s="163">
        <v>5668305.6544345617</v>
      </c>
      <c r="Z448" s="163">
        <v>13960762.079161465</v>
      </c>
      <c r="AA448" s="163">
        <v>14203032.890524209</v>
      </c>
      <c r="AB448" s="163">
        <v>13916296.835918963</v>
      </c>
      <c r="AC448" s="163">
        <v>-1381104.8563802689</v>
      </c>
      <c r="AD448" s="163">
        <v>-2379643.6156643331</v>
      </c>
      <c r="AE448" s="163">
        <v>-7111380.554709807</v>
      </c>
      <c r="AF448" s="163">
        <v>-2322951.9986044168</v>
      </c>
      <c r="AG448" s="163">
        <v>-15498484.527616829</v>
      </c>
    </row>
    <row r="449" spans="16:33" ht="15.75" customHeight="1">
      <c r="P449" s="162"/>
      <c r="Q449" s="162">
        <v>432</v>
      </c>
      <c r="R449" s="163">
        <v>-31147468.098022252</v>
      </c>
      <c r="S449" s="163">
        <v>-24502644.924796879</v>
      </c>
      <c r="T449" s="163">
        <v>-19210746.379721597</v>
      </c>
      <c r="U449" s="163">
        <v>215143.42645381391</v>
      </c>
      <c r="V449" s="163">
        <v>-9396855.0300190151</v>
      </c>
      <c r="W449" s="164">
        <v>194798.21754929423</v>
      </c>
      <c r="X449" s="163">
        <v>3027883.4861531407</v>
      </c>
      <c r="Y449" s="163">
        <v>15876392.849461302</v>
      </c>
      <c r="Z449" s="163">
        <v>9689676.749407962</v>
      </c>
      <c r="AA449" s="163">
        <v>18959501.714617297</v>
      </c>
      <c r="AB449" s="163">
        <v>5881929.9088032395</v>
      </c>
      <c r="AC449" s="163">
        <v>-3542832.0463966578</v>
      </c>
      <c r="AD449" s="163">
        <v>9649949.5188105553</v>
      </c>
      <c r="AE449" s="163">
        <v>-13078914.600599363</v>
      </c>
      <c r="AF449" s="163">
        <v>-9751481.6903266758</v>
      </c>
      <c r="AG449" s="163">
        <v>-19541529.479036808</v>
      </c>
    </row>
    <row r="450" spans="16:33" ht="15.75" customHeight="1">
      <c r="P450" s="162"/>
      <c r="Q450" s="162">
        <v>433</v>
      </c>
      <c r="R450" s="163">
        <v>-41840928.720279247</v>
      </c>
      <c r="S450" s="163">
        <v>-29754876.906322166</v>
      </c>
      <c r="T450" s="163">
        <v>-17790073.45978865</v>
      </c>
      <c r="U450" s="163">
        <v>-9792332.2296683639</v>
      </c>
      <c r="V450" s="163">
        <v>5985041.3848360926</v>
      </c>
      <c r="W450" s="164">
        <v>3190676.5891272724</v>
      </c>
      <c r="X450" s="163">
        <v>-1987313.2099729478</v>
      </c>
      <c r="Y450" s="163">
        <v>2647530.6583237946</v>
      </c>
      <c r="Z450" s="163">
        <v>3749147.5170294046</v>
      </c>
      <c r="AA450" s="163">
        <v>17608887.301232308</v>
      </c>
      <c r="AB450" s="163">
        <v>16258819.43630062</v>
      </c>
      <c r="AC450" s="163">
        <v>78537.152531817555</v>
      </c>
      <c r="AD450" s="163">
        <v>382655.50285340846</v>
      </c>
      <c r="AE450" s="163">
        <v>-1923377.0686226934</v>
      </c>
      <c r="AF450" s="163">
        <v>-7996090.2159722596</v>
      </c>
      <c r="AG450" s="163">
        <v>-20502338.681309476</v>
      </c>
    </row>
    <row r="451" spans="16:33" ht="15.75" customHeight="1">
      <c r="P451" s="162"/>
      <c r="Q451" s="162">
        <v>434</v>
      </c>
      <c r="R451" s="163">
        <v>-33303208.481365412</v>
      </c>
      <c r="S451" s="163">
        <v>-15520899.775628015</v>
      </c>
      <c r="T451" s="163">
        <v>-15858929.857055157</v>
      </c>
      <c r="U451" s="163">
        <v>-12421025.551156551</v>
      </c>
      <c r="V451" s="163">
        <v>5266322.0725218207</v>
      </c>
      <c r="W451" s="164">
        <v>4305071.9406099916</v>
      </c>
      <c r="X451" s="163">
        <v>10677432.875653163</v>
      </c>
      <c r="Y451" s="163">
        <v>7266108.3547869325</v>
      </c>
      <c r="Z451" s="163">
        <v>6581907.1427165568</v>
      </c>
      <c r="AA451" s="163">
        <v>17620917.336325288</v>
      </c>
      <c r="AB451" s="163">
        <v>7567925.8780065328</v>
      </c>
      <c r="AC451" s="163">
        <v>2331500.9090630263</v>
      </c>
      <c r="AD451" s="163">
        <v>-2228333.8324071318</v>
      </c>
      <c r="AE451" s="163">
        <v>2219163.7866025418</v>
      </c>
      <c r="AF451" s="163">
        <v>-9297680.9754510522</v>
      </c>
      <c r="AG451" s="163">
        <v>-11274612.960443422</v>
      </c>
    </row>
    <row r="452" spans="16:33" ht="15.75" customHeight="1">
      <c r="P452" s="162"/>
      <c r="Q452" s="162">
        <v>435</v>
      </c>
      <c r="R452" s="163">
        <v>-28663487.511235029</v>
      </c>
      <c r="S452" s="163">
        <v>-25759328.042904541</v>
      </c>
      <c r="T452" s="163">
        <v>-16595772.897506684</v>
      </c>
      <c r="U452" s="163">
        <v>-8186955.9392448068</v>
      </c>
      <c r="V452" s="163">
        <v>-8127826.9699200541</v>
      </c>
      <c r="W452" s="164">
        <v>3516823.3410679996</v>
      </c>
      <c r="X452" s="163">
        <v>14474345.436207145</v>
      </c>
      <c r="Y452" s="163">
        <v>-289051.90001185238</v>
      </c>
      <c r="Z452" s="163">
        <v>11923887.026500106</v>
      </c>
      <c r="AA452" s="163">
        <v>10299319.617213681</v>
      </c>
      <c r="AB452" s="163">
        <v>11586953.48047936</v>
      </c>
      <c r="AC452" s="163">
        <v>6141543.8028577417</v>
      </c>
      <c r="AD452" s="163">
        <v>-6635306.2074779868</v>
      </c>
      <c r="AE452" s="163">
        <v>-2080800.8661642075</v>
      </c>
      <c r="AF452" s="163">
        <v>-17410915.472732782</v>
      </c>
      <c r="AG452" s="163">
        <v>-20621828.586525157</v>
      </c>
    </row>
    <row r="453" spans="16:33" ht="15.75" customHeight="1">
      <c r="P453" s="162"/>
      <c r="Q453" s="162">
        <v>436</v>
      </c>
      <c r="R453" s="163">
        <v>-34591251.140807435</v>
      </c>
      <c r="S453" s="163">
        <v>-17720145.278521612</v>
      </c>
      <c r="T453" s="163">
        <v>-15530867.601778537</v>
      </c>
      <c r="U453" s="163">
        <v>-12318367.085520372</v>
      </c>
      <c r="V453" s="163">
        <v>-5174049.0868066996</v>
      </c>
      <c r="W453" s="164">
        <v>10413120.690563843</v>
      </c>
      <c r="X453" s="163">
        <v>3988126.5466057062</v>
      </c>
      <c r="Y453" s="163">
        <v>4116323.0656358302</v>
      </c>
      <c r="Z453" s="163">
        <v>11602099.866101325</v>
      </c>
      <c r="AA453" s="163">
        <v>1073431.164802596</v>
      </c>
      <c r="AB453" s="163">
        <v>15173256.49535878</v>
      </c>
      <c r="AC453" s="163">
        <v>14013157.828047097</v>
      </c>
      <c r="AD453" s="163">
        <v>6176026.066227451</v>
      </c>
      <c r="AE453" s="163">
        <v>919809.78197616339</v>
      </c>
      <c r="AF453" s="163">
        <v>-4137463.5160924494</v>
      </c>
      <c r="AG453" s="163">
        <v>-20493860.087281153</v>
      </c>
    </row>
    <row r="454" spans="16:33" ht="15.75" customHeight="1">
      <c r="P454" s="162"/>
      <c r="Q454" s="162">
        <v>437</v>
      </c>
      <c r="R454" s="163">
        <v>-37759314.487978056</v>
      </c>
      <c r="S454" s="163">
        <v>-24244881.721672848</v>
      </c>
      <c r="T454" s="163">
        <v>-17845271.967520252</v>
      </c>
      <c r="U454" s="163">
        <v>-9024879.0974907279</v>
      </c>
      <c r="V454" s="163">
        <v>-7551417.1448194832</v>
      </c>
      <c r="W454" s="164">
        <v>2704027.4260379821</v>
      </c>
      <c r="X454" s="163">
        <v>11498101.520685434</v>
      </c>
      <c r="Y454" s="163">
        <v>73407.911786943674</v>
      </c>
      <c r="Z454" s="163">
        <v>18380823.932224855</v>
      </c>
      <c r="AA454" s="163">
        <v>5462761.6191118658</v>
      </c>
      <c r="AB454" s="163">
        <v>11243594.038631812</v>
      </c>
      <c r="AC454" s="163">
        <v>1751359.746482715</v>
      </c>
      <c r="AD454" s="163">
        <v>-843087.71120280027</v>
      </c>
      <c r="AE454" s="163">
        <v>545642.05460998416</v>
      </c>
      <c r="AF454" s="163">
        <v>-3367606.2200486809</v>
      </c>
      <c r="AG454" s="163">
        <v>-21467222.929937765</v>
      </c>
    </row>
    <row r="455" spans="16:33" ht="15.75" customHeight="1">
      <c r="P455" s="162"/>
      <c r="Q455" s="162">
        <v>438</v>
      </c>
      <c r="R455" s="163">
        <v>-39698861.079810098</v>
      </c>
      <c r="S455" s="163">
        <v>-22936578.178164244</v>
      </c>
      <c r="T455" s="163">
        <v>-16481643.727253422</v>
      </c>
      <c r="U455" s="163">
        <v>-5240420.9115150273</v>
      </c>
      <c r="V455" s="163">
        <v>2699238.9383989125</v>
      </c>
      <c r="W455" s="164">
        <v>-2295185.9131546021</v>
      </c>
      <c r="X455" s="163">
        <v>13507005.786882266</v>
      </c>
      <c r="Y455" s="163">
        <v>560778.77811670303</v>
      </c>
      <c r="Z455" s="163">
        <v>11614258.179866835</v>
      </c>
      <c r="AA455" s="163">
        <v>2667135.4772943854</v>
      </c>
      <c r="AB455" s="163">
        <v>489959.00265267491</v>
      </c>
      <c r="AC455" s="163">
        <v>11655730.781891987</v>
      </c>
      <c r="AD455" s="163">
        <v>2201780.9384695888</v>
      </c>
      <c r="AE455" s="163">
        <v>-1367531.2968738675</v>
      </c>
      <c r="AF455" s="163">
        <v>-11452127.976920202</v>
      </c>
      <c r="AG455" s="163">
        <v>-17996780.381230995</v>
      </c>
    </row>
    <row r="456" spans="16:33" ht="15.75" customHeight="1">
      <c r="P456" s="162"/>
      <c r="Q456" s="162">
        <v>439</v>
      </c>
      <c r="R456" s="163">
        <v>-39522724.561036259</v>
      </c>
      <c r="S456" s="163">
        <v>-30790366.693744808</v>
      </c>
      <c r="T456" s="163">
        <v>-28612972.706857264</v>
      </c>
      <c r="U456" s="163">
        <v>-20045125.915908158</v>
      </c>
      <c r="V456" s="163">
        <v>-6074239.729853332</v>
      </c>
      <c r="W456" s="164">
        <v>-593057.30161385238</v>
      </c>
      <c r="X456" s="163">
        <v>-3218401.8177978545</v>
      </c>
      <c r="Y456" s="163">
        <v>11119685.782470703</v>
      </c>
      <c r="Z456" s="163">
        <v>1055430.8005900532</v>
      </c>
      <c r="AA456" s="163">
        <v>450061.79554902017</v>
      </c>
      <c r="AB456" s="163">
        <v>1946675.9184517562</v>
      </c>
      <c r="AC456" s="163">
        <v>12411958.311246723</v>
      </c>
      <c r="AD456" s="163">
        <v>933996.05598089099</v>
      </c>
      <c r="AE456" s="163">
        <v>3856929.0906563848</v>
      </c>
      <c r="AF456" s="163">
        <v>-10861229.723788977</v>
      </c>
      <c r="AG456" s="163">
        <v>-11678258.77432932</v>
      </c>
    </row>
    <row r="457" spans="16:33" ht="15.75" customHeight="1">
      <c r="P457" s="162"/>
      <c r="Q457" s="162">
        <v>440</v>
      </c>
      <c r="R457" s="163">
        <v>-35513850.303059548</v>
      </c>
      <c r="S457" s="163">
        <v>-26407554.321765155</v>
      </c>
      <c r="T457" s="163">
        <v>-25279411.492187127</v>
      </c>
      <c r="U457" s="163">
        <v>-6057649.4614967853</v>
      </c>
      <c r="V457" s="163">
        <v>-13204555.351870373</v>
      </c>
      <c r="W457" s="164">
        <v>4769124.6649720669</v>
      </c>
      <c r="X457" s="163">
        <v>10120760.923793495</v>
      </c>
      <c r="Y457" s="163">
        <v>6451890.9236153811</v>
      </c>
      <c r="Z457" s="163">
        <v>13073587.032211527</v>
      </c>
      <c r="AA457" s="163">
        <v>10436221.323225215</v>
      </c>
      <c r="AB457" s="163">
        <v>18599203.045744196</v>
      </c>
      <c r="AC457" s="163">
        <v>3731086.9636579007</v>
      </c>
      <c r="AD457" s="163">
        <v>5107294.0965038389</v>
      </c>
      <c r="AE457" s="163">
        <v>816486.83994264901</v>
      </c>
      <c r="AF457" s="163">
        <v>-16310620.108955845</v>
      </c>
      <c r="AG457" s="163">
        <v>-15940682.216330051</v>
      </c>
    </row>
    <row r="458" spans="16:33" ht="15.75" customHeight="1">
      <c r="P458" s="162"/>
      <c r="Q458" s="162">
        <v>441</v>
      </c>
      <c r="R458" s="163">
        <v>-37081567.847136453</v>
      </c>
      <c r="S458" s="163">
        <v>-19310603.838668928</v>
      </c>
      <c r="T458" s="163">
        <v>-23790168.348707214</v>
      </c>
      <c r="U458" s="163">
        <v>-5186462.5280629694</v>
      </c>
      <c r="V458" s="163">
        <v>-836751.75857175887</v>
      </c>
      <c r="W458" s="164">
        <v>6682281.7707541883</v>
      </c>
      <c r="X458" s="163">
        <v>6373557.8301817924</v>
      </c>
      <c r="Y458" s="163">
        <v>12615397.904080644</v>
      </c>
      <c r="Z458" s="163">
        <v>12739830.369454801</v>
      </c>
      <c r="AA458" s="163">
        <v>5795155.3940215409</v>
      </c>
      <c r="AB458" s="163">
        <v>7428507.7958202958</v>
      </c>
      <c r="AC458" s="163">
        <v>-2456514.7532382011</v>
      </c>
      <c r="AD458" s="163">
        <v>1979623.168135643</v>
      </c>
      <c r="AE458" s="163">
        <v>1547710.8182181418</v>
      </c>
      <c r="AF458" s="163">
        <v>-12034506.538217604</v>
      </c>
      <c r="AG458" s="163">
        <v>-6478922.8629445434</v>
      </c>
    </row>
    <row r="459" spans="16:33" ht="15.75" customHeight="1">
      <c r="P459" s="162"/>
      <c r="Q459" s="162">
        <v>442</v>
      </c>
      <c r="R459" s="163">
        <v>-31477588.772534013</v>
      </c>
      <c r="S459" s="163">
        <v>-23375618.678189278</v>
      </c>
      <c r="T459" s="163">
        <v>-16824042.414742395</v>
      </c>
      <c r="U459" s="163">
        <v>267985.3344810158</v>
      </c>
      <c r="V459" s="163">
        <v>7169401.5746764392</v>
      </c>
      <c r="W459" s="164">
        <v>8446016.2784548104</v>
      </c>
      <c r="X459" s="163">
        <v>10129537.551359758</v>
      </c>
      <c r="Y459" s="163">
        <v>10364631.623296082</v>
      </c>
      <c r="Z459" s="163">
        <v>12560315.759990245</v>
      </c>
      <c r="AA459" s="163">
        <v>707917.21842704713</v>
      </c>
      <c r="AB459" s="163">
        <v>-2896692.4716283977</v>
      </c>
      <c r="AC459" s="163">
        <v>9054388.2999071628</v>
      </c>
      <c r="AD459" s="163">
        <v>-8985730.8416220099</v>
      </c>
      <c r="AE459" s="163">
        <v>-2619950.8597330749</v>
      </c>
      <c r="AF459" s="163">
        <v>-7732229.6619922966</v>
      </c>
      <c r="AG459" s="163">
        <v>-13342194.15362367</v>
      </c>
    </row>
    <row r="460" spans="16:33" ht="15.75" customHeight="1">
      <c r="P460" s="162"/>
      <c r="Q460" s="162">
        <v>443</v>
      </c>
      <c r="R460" s="163">
        <v>-46576473.256058037</v>
      </c>
      <c r="S460" s="163">
        <v>-28201877.023562491</v>
      </c>
      <c r="T460" s="163">
        <v>-15641384.51205188</v>
      </c>
      <c r="U460" s="163">
        <v>-18746011.985364318</v>
      </c>
      <c r="V460" s="163">
        <v>-9586603.9449534565</v>
      </c>
      <c r="W460" s="164">
        <v>511534.89012646675</v>
      </c>
      <c r="X460" s="163">
        <v>16390930.928956136</v>
      </c>
      <c r="Y460" s="163">
        <v>2495703.1438475698</v>
      </c>
      <c r="Z460" s="163">
        <v>7786686.9448339492</v>
      </c>
      <c r="AA460" s="163">
        <v>21898652.586165696</v>
      </c>
      <c r="AB460" s="163">
        <v>9948650.9142078161</v>
      </c>
      <c r="AC460" s="163">
        <v>858031.6140833199</v>
      </c>
      <c r="AD460" s="163">
        <v>2305992.6469401866</v>
      </c>
      <c r="AE460" s="163">
        <v>-5181097.9583587646</v>
      </c>
      <c r="AF460" s="163">
        <v>-13955446.001852229</v>
      </c>
      <c r="AG460" s="163">
        <v>-13364867.737879127</v>
      </c>
    </row>
    <row r="461" spans="16:33" ht="15.75" customHeight="1">
      <c r="P461" s="162"/>
      <c r="Q461" s="162">
        <v>444</v>
      </c>
      <c r="R461" s="163">
        <v>-39920681.054743171</v>
      </c>
      <c r="S461" s="163">
        <v>-28948671.877004176</v>
      </c>
      <c r="T461" s="163">
        <v>-25398312.382256746</v>
      </c>
      <c r="U461" s="163">
        <v>-15933070.705337912</v>
      </c>
      <c r="V461" s="163">
        <v>11651907.253348053</v>
      </c>
      <c r="W461" s="164">
        <v>-2087448.1514199525</v>
      </c>
      <c r="X461" s="163">
        <v>13592277.979917228</v>
      </c>
      <c r="Y461" s="163">
        <v>4060790.6018994302</v>
      </c>
      <c r="Z461" s="163">
        <v>-255996.29246403277</v>
      </c>
      <c r="AA461" s="163">
        <v>21448034.563214317</v>
      </c>
      <c r="AB461" s="163">
        <v>7240346.181813851</v>
      </c>
      <c r="AC461" s="163">
        <v>975888.11646787822</v>
      </c>
      <c r="AD461" s="163">
        <v>1544673.3903750628</v>
      </c>
      <c r="AE461" s="163">
        <v>90206.282165557146</v>
      </c>
      <c r="AF461" s="163">
        <v>-18790203.225284114</v>
      </c>
      <c r="AG461" s="163">
        <v>-19727089.121516615</v>
      </c>
    </row>
    <row r="462" spans="16:33" ht="15.75" customHeight="1">
      <c r="P462" s="162"/>
      <c r="Q462" s="162">
        <v>445</v>
      </c>
      <c r="R462" s="163">
        <v>-35963064.52203092</v>
      </c>
      <c r="S462" s="163">
        <v>-23649144.974685505</v>
      </c>
      <c r="T462" s="163">
        <v>-15075675.735519275</v>
      </c>
      <c r="U462" s="163">
        <v>-4174019.6351874322</v>
      </c>
      <c r="V462" s="163">
        <v>-1166166.2716412097</v>
      </c>
      <c r="W462" s="164">
        <v>2227684.5039890856</v>
      </c>
      <c r="X462" s="163">
        <v>12505643.445125416</v>
      </c>
      <c r="Y462" s="163">
        <v>11771263.992133364</v>
      </c>
      <c r="Z462" s="163">
        <v>12965118.434211656</v>
      </c>
      <c r="AA462" s="163">
        <v>15585756.964072913</v>
      </c>
      <c r="AB462" s="163">
        <v>7159933.8210752159</v>
      </c>
      <c r="AC462" s="163">
        <v>4466391.2080448419</v>
      </c>
      <c r="AD462" s="163">
        <v>-2750038.7301532477</v>
      </c>
      <c r="AE462" s="163">
        <v>-5048651.6113059074</v>
      </c>
      <c r="AF462" s="163">
        <v>-18165787.010098055</v>
      </c>
      <c r="AG462" s="163">
        <v>-24190734.114989102</v>
      </c>
    </row>
    <row r="463" spans="16:33" ht="15.75" customHeight="1">
      <c r="P463" s="162"/>
      <c r="Q463" s="162">
        <v>446</v>
      </c>
      <c r="R463" s="163">
        <v>-33103970.666955322</v>
      </c>
      <c r="S463" s="163">
        <v>-21025016.649654299</v>
      </c>
      <c r="T463" s="163">
        <v>-8077274.6808759868</v>
      </c>
      <c r="U463" s="163">
        <v>-7001193.4868911505</v>
      </c>
      <c r="V463" s="163">
        <v>-6388244.5226542503</v>
      </c>
      <c r="W463" s="164">
        <v>27081.773018270731</v>
      </c>
      <c r="X463" s="163">
        <v>-5710728.1608214378</v>
      </c>
      <c r="Y463" s="163">
        <v>6597852.3969190419</v>
      </c>
      <c r="Z463" s="163">
        <v>9209616.8035613447</v>
      </c>
      <c r="AA463" s="163">
        <v>13901292.052255198</v>
      </c>
      <c r="AB463" s="163">
        <v>17337175.881606191</v>
      </c>
      <c r="AC463" s="163">
        <v>5212598.0116469711</v>
      </c>
      <c r="AD463" s="163">
        <v>972025.18565385044</v>
      </c>
      <c r="AE463" s="163">
        <v>-3566587.6568503231</v>
      </c>
      <c r="AF463" s="163">
        <v>-9685080.0093205273</v>
      </c>
      <c r="AG463" s="163">
        <v>-22574780.065754309</v>
      </c>
    </row>
    <row r="464" spans="16:33" ht="15.75" customHeight="1">
      <c r="P464" s="162"/>
      <c r="Q464" s="162">
        <v>447</v>
      </c>
      <c r="R464" s="163">
        <v>-30535289.476528913</v>
      </c>
      <c r="S464" s="163">
        <v>-18521139.633988574</v>
      </c>
      <c r="T464" s="163">
        <v>-23531412.153830811</v>
      </c>
      <c r="U464" s="163">
        <v>-4338314.5324677676</v>
      </c>
      <c r="V464" s="163">
        <v>4839202.8316273093</v>
      </c>
      <c r="W464" s="164">
        <v>-342584.63075000048</v>
      </c>
      <c r="X464" s="163">
        <v>-8037309.7787341475</v>
      </c>
      <c r="Y464" s="163">
        <v>6212817.6154518574</v>
      </c>
      <c r="Z464" s="163">
        <v>10253073.490546077</v>
      </c>
      <c r="AA464" s="163">
        <v>18535085.05906789</v>
      </c>
      <c r="AB464" s="163">
        <v>11543833.959670514</v>
      </c>
      <c r="AC464" s="163">
        <v>4878042.1417306662</v>
      </c>
      <c r="AD464" s="163">
        <v>2766465.0259387642</v>
      </c>
      <c r="AE464" s="163">
        <v>-4816937.3542689234</v>
      </c>
      <c r="AF464" s="163">
        <v>-13196047.585869014</v>
      </c>
      <c r="AG464" s="163">
        <v>-22133400.221319139</v>
      </c>
    </row>
    <row r="465" spans="16:33" ht="15.75" customHeight="1">
      <c r="P465" s="162"/>
      <c r="Q465" s="162">
        <v>448</v>
      </c>
      <c r="R465" s="163">
        <v>-39165473.477764085</v>
      </c>
      <c r="S465" s="163">
        <v>-24544621.584964469</v>
      </c>
      <c r="T465" s="163">
        <v>-13841409.741067961</v>
      </c>
      <c r="U465" s="163">
        <v>-8946278.8752331436</v>
      </c>
      <c r="V465" s="163">
        <v>-17262298.265799373</v>
      </c>
      <c r="W465" s="164">
        <v>-6611333.5237959176</v>
      </c>
      <c r="X465" s="163">
        <v>2785613.0400452167</v>
      </c>
      <c r="Y465" s="163">
        <v>-6247940.4205458164</v>
      </c>
      <c r="Z465" s="163">
        <v>10131819.994309828</v>
      </c>
      <c r="AA465" s="163">
        <v>16955886.447787404</v>
      </c>
      <c r="AB465" s="163">
        <v>8435063.3982895613</v>
      </c>
      <c r="AC465" s="163">
        <v>3408585.4633018672</v>
      </c>
      <c r="AD465" s="163">
        <v>-1578320.9588560313</v>
      </c>
      <c r="AE465" s="163">
        <v>-11096006.950689837</v>
      </c>
      <c r="AF465" s="163">
        <v>-1052916.5921883285</v>
      </c>
      <c r="AG465" s="163">
        <v>-16553539.039331645</v>
      </c>
    </row>
    <row r="466" spans="16:33" ht="15.75" customHeight="1">
      <c r="P466" s="162"/>
      <c r="Q466" s="162">
        <v>449</v>
      </c>
      <c r="R466" s="163">
        <v>-32140111.406800508</v>
      </c>
      <c r="S466" s="163">
        <v>-21267282.692023948</v>
      </c>
      <c r="T466" s="163">
        <v>-33947519.896783188</v>
      </c>
      <c r="U466" s="163">
        <v>-11892994.888657779</v>
      </c>
      <c r="V466" s="163">
        <v>-9363869.2633305043</v>
      </c>
      <c r="W466" s="164">
        <v>1839923.2259394675</v>
      </c>
      <c r="X466" s="163">
        <v>11135098.379534841</v>
      </c>
      <c r="Y466" s="163">
        <v>2633601.7950743288</v>
      </c>
      <c r="Z466" s="163">
        <v>5174405.4801684916</v>
      </c>
      <c r="AA466" s="163">
        <v>7797322.1107630879</v>
      </c>
      <c r="AB466" s="163">
        <v>2863505.9516234398</v>
      </c>
      <c r="AC466" s="163">
        <v>5934481.0833142996</v>
      </c>
      <c r="AD466" s="163">
        <v>6067369.2977123708</v>
      </c>
      <c r="AE466" s="163">
        <v>-10011602.733639583</v>
      </c>
      <c r="AF466" s="163">
        <v>-2860314.5153158903</v>
      </c>
      <c r="AG466" s="163">
        <v>-19571565.376405567</v>
      </c>
    </row>
    <row r="467" spans="16:33" ht="15.75" customHeight="1">
      <c r="P467" s="162"/>
      <c r="Q467" s="162">
        <v>450</v>
      </c>
      <c r="R467" s="163">
        <v>-38331925.593582883</v>
      </c>
      <c r="S467" s="163">
        <v>-27260321.941236123</v>
      </c>
      <c r="T467" s="163">
        <v>-12839162.487007484</v>
      </c>
      <c r="U467" s="163">
        <v>-11936283.407359362</v>
      </c>
      <c r="V467" s="163">
        <v>7118497.8026787192</v>
      </c>
      <c r="W467" s="164">
        <v>3068436.049689889</v>
      </c>
      <c r="X467" s="163">
        <v>14851839.892059311</v>
      </c>
      <c r="Y467" s="163">
        <v>8782546.6199440211</v>
      </c>
      <c r="Z467" s="163">
        <v>14843526.598856315</v>
      </c>
      <c r="AA467" s="163">
        <v>4118864.9276748896</v>
      </c>
      <c r="AB467" s="163">
        <v>6711723.9733973593</v>
      </c>
      <c r="AC467" s="163">
        <v>10248054.286917284</v>
      </c>
      <c r="AD467" s="163">
        <v>5441086.5032728761</v>
      </c>
      <c r="AE467" s="163">
        <v>-2471746.7912988365</v>
      </c>
      <c r="AF467" s="163">
        <v>-19155943.785259798</v>
      </c>
      <c r="AG467" s="163">
        <v>-23054242.275234431</v>
      </c>
    </row>
    <row r="468" spans="16:33" ht="15.75" customHeight="1">
      <c r="P468" s="162"/>
      <c r="Q468" s="162">
        <v>451</v>
      </c>
      <c r="R468" s="163">
        <v>-37196248.712995321</v>
      </c>
      <c r="S468" s="163">
        <v>-27670444.808041126</v>
      </c>
      <c r="T468" s="163">
        <v>-17016059.823642895</v>
      </c>
      <c r="U468" s="163">
        <v>-8642907.6582217515</v>
      </c>
      <c r="V468" s="163">
        <v>-1019349.7725770026</v>
      </c>
      <c r="W468" s="164">
        <v>-498090.10008060932</v>
      </c>
      <c r="X468" s="163">
        <v>14044223.523499802</v>
      </c>
      <c r="Y468" s="163">
        <v>10129618.228709802</v>
      </c>
      <c r="Z468" s="163">
        <v>5348883.5419007391</v>
      </c>
      <c r="AA468" s="163">
        <v>5172572.9536554664</v>
      </c>
      <c r="AB468" s="163">
        <v>17139453.278165802</v>
      </c>
      <c r="AC468" s="163">
        <v>5320177.5855018049</v>
      </c>
      <c r="AD468" s="163">
        <v>10109685.532718658</v>
      </c>
      <c r="AE468" s="163">
        <v>2306276.8167335838</v>
      </c>
      <c r="AF468" s="163">
        <v>-8847877.3770253211</v>
      </c>
      <c r="AG468" s="163">
        <v>-19525977.111375749</v>
      </c>
    </row>
    <row r="469" spans="16:33" ht="15.75" customHeight="1">
      <c r="P469" s="162"/>
      <c r="Q469" s="162">
        <v>452</v>
      </c>
      <c r="R469" s="163">
        <v>-37837781.489611655</v>
      </c>
      <c r="S469" s="163">
        <v>-29792708.60196045</v>
      </c>
      <c r="T469" s="163">
        <v>-13641443.969367817</v>
      </c>
      <c r="U469" s="163">
        <v>-11681061.060148939</v>
      </c>
      <c r="V469" s="163">
        <v>164111.02335472405</v>
      </c>
      <c r="W469" s="164">
        <v>954026.66199040413</v>
      </c>
      <c r="X469" s="163">
        <v>4772933.1459710151</v>
      </c>
      <c r="Y469" s="163">
        <v>8019581.5725596547</v>
      </c>
      <c r="Z469" s="163">
        <v>5420681.0151793361</v>
      </c>
      <c r="AA469" s="163">
        <v>14236588.528750449</v>
      </c>
      <c r="AB469" s="163">
        <v>13489610.589897662</v>
      </c>
      <c r="AC469" s="163">
        <v>4700017.2032664567</v>
      </c>
      <c r="AD469" s="163">
        <v>14792706.459225148</v>
      </c>
      <c r="AE469" s="163">
        <v>-5839836.9783563316</v>
      </c>
      <c r="AF469" s="163">
        <v>-4216360.4044908732</v>
      </c>
      <c r="AG469" s="163">
        <v>-19681028.49208495</v>
      </c>
    </row>
    <row r="470" spans="16:33" ht="15.75" customHeight="1">
      <c r="P470" s="162"/>
      <c r="Q470" s="162">
        <v>453</v>
      </c>
      <c r="R470" s="163">
        <v>-35734213.367141932</v>
      </c>
      <c r="S470" s="163">
        <v>-26480089.218322664</v>
      </c>
      <c r="T470" s="163">
        <v>-9167639.7635920793</v>
      </c>
      <c r="U470" s="163">
        <v>-12059193.85154219</v>
      </c>
      <c r="V470" s="163">
        <v>-7368035.1286374032</v>
      </c>
      <c r="W470" s="164">
        <v>-4033504.6096129566</v>
      </c>
      <c r="X470" s="163">
        <v>7245022.1901924312</v>
      </c>
      <c r="Y470" s="163">
        <v>18236459.586420953</v>
      </c>
      <c r="Z470" s="163">
        <v>13263063.025481269</v>
      </c>
      <c r="AA470" s="163">
        <v>7912707.6722346097</v>
      </c>
      <c r="AB470" s="163">
        <v>12950311.324337184</v>
      </c>
      <c r="AC470" s="163">
        <v>8427478.5071694702</v>
      </c>
      <c r="AD470" s="163">
        <v>1731289.5412031263</v>
      </c>
      <c r="AE470" s="163">
        <v>-1988495.2357413173</v>
      </c>
      <c r="AF470" s="163">
        <v>-11071179.996108279</v>
      </c>
      <c r="AG470" s="163">
        <v>-14686931.05290474</v>
      </c>
    </row>
    <row r="471" spans="16:33" ht="15.75" customHeight="1">
      <c r="P471" s="162"/>
      <c r="Q471" s="162">
        <v>454</v>
      </c>
      <c r="R471" s="163">
        <v>-39806075.214403942</v>
      </c>
      <c r="S471" s="163">
        <v>-21441905.293527782</v>
      </c>
      <c r="T471" s="163">
        <v>-19738233.830979094</v>
      </c>
      <c r="U471" s="163">
        <v>-13015570.484467298</v>
      </c>
      <c r="V471" s="163">
        <v>2259840.1205584556</v>
      </c>
      <c r="W471" s="164">
        <v>230353.11669561267</v>
      </c>
      <c r="X471" s="163">
        <v>1535169.7844361514</v>
      </c>
      <c r="Y471" s="163">
        <v>10358313.918983489</v>
      </c>
      <c r="Z471" s="163">
        <v>13261681.114899412</v>
      </c>
      <c r="AA471" s="163">
        <v>10930468.324646905</v>
      </c>
      <c r="AB471" s="163">
        <v>-1229434.2446744889</v>
      </c>
      <c r="AC471" s="163">
        <v>11597619.61895442</v>
      </c>
      <c r="AD471" s="163">
        <v>7483122.5440869778</v>
      </c>
      <c r="AE471" s="163">
        <v>-12730117.343325466</v>
      </c>
      <c r="AF471" s="163">
        <v>-3019600.6792670786</v>
      </c>
      <c r="AG471" s="163">
        <v>-11927788.154473543</v>
      </c>
    </row>
    <row r="472" spans="16:33" ht="15.75" customHeight="1">
      <c r="P472" s="162"/>
      <c r="Q472" s="162">
        <v>455</v>
      </c>
      <c r="R472" s="163">
        <v>-32759005.645023823</v>
      </c>
      <c r="S472" s="163">
        <v>-17251760.785866305</v>
      </c>
      <c r="T472" s="163">
        <v>-10512692.416739985</v>
      </c>
      <c r="U472" s="163">
        <v>-4329968.9521067291</v>
      </c>
      <c r="V472" s="163">
        <v>3600934.0862101912</v>
      </c>
      <c r="W472" s="164">
        <v>5697840.3540378958</v>
      </c>
      <c r="X472" s="163">
        <v>1570674.590750888</v>
      </c>
      <c r="Y472" s="163">
        <v>22438351.126014367</v>
      </c>
      <c r="Z472" s="163">
        <v>14108642.596228823</v>
      </c>
      <c r="AA472" s="163">
        <v>5762190.9735258967</v>
      </c>
      <c r="AB472" s="163">
        <v>20717031.838561743</v>
      </c>
      <c r="AC472" s="163">
        <v>14528152.085120633</v>
      </c>
      <c r="AD472" s="163">
        <v>-6526439.4118056893</v>
      </c>
      <c r="AE472" s="163">
        <v>-8486471.0079866052</v>
      </c>
      <c r="AF472" s="163">
        <v>-8379774.6966679543</v>
      </c>
      <c r="AG472" s="163">
        <v>-26755353.51881738</v>
      </c>
    </row>
    <row r="473" spans="16:33" ht="15.75" customHeight="1">
      <c r="P473" s="162"/>
      <c r="Q473" s="162">
        <v>456</v>
      </c>
      <c r="R473" s="163">
        <v>-34434310.831502199</v>
      </c>
      <c r="S473" s="163">
        <v>-23427068.112200037</v>
      </c>
      <c r="T473" s="163">
        <v>-20044470.002617672</v>
      </c>
      <c r="U473" s="163">
        <v>-8723239.7776331156</v>
      </c>
      <c r="V473" s="163">
        <v>-5216775.4192537218</v>
      </c>
      <c r="W473" s="164">
        <v>-13095160.486512482</v>
      </c>
      <c r="X473" s="163">
        <v>674133.07706281543</v>
      </c>
      <c r="Y473" s="163">
        <v>3347313.9562872648</v>
      </c>
      <c r="Z473" s="163">
        <v>5932101.9731235653</v>
      </c>
      <c r="AA473" s="163">
        <v>12785676.546866581</v>
      </c>
      <c r="AB473" s="163">
        <v>3042956.1528979242</v>
      </c>
      <c r="AC473" s="163">
        <v>9690541.8434806466</v>
      </c>
      <c r="AD473" s="163">
        <v>-1658099.2681347877</v>
      </c>
      <c r="AE473" s="163">
        <v>2485226.518865943</v>
      </c>
      <c r="AF473" s="163">
        <v>-11820157.838759631</v>
      </c>
      <c r="AG473" s="163">
        <v>-21167451.505000934</v>
      </c>
    </row>
    <row r="474" spans="16:33" ht="15.75" customHeight="1">
      <c r="P474" s="162"/>
      <c r="Q474" s="162">
        <v>457</v>
      </c>
      <c r="R474" s="163">
        <v>-38895411.017814338</v>
      </c>
      <c r="S474" s="163">
        <v>-26452374.041115746</v>
      </c>
      <c r="T474" s="163">
        <v>-11207973.225449085</v>
      </c>
      <c r="U474" s="163">
        <v>-8266578.2289476097</v>
      </c>
      <c r="V474" s="163">
        <v>3902935.4608711749</v>
      </c>
      <c r="W474" s="164">
        <v>3751674.9794223756</v>
      </c>
      <c r="X474" s="163">
        <v>12382324.087369695</v>
      </c>
      <c r="Y474" s="163">
        <v>6658914.7334585041</v>
      </c>
      <c r="Z474" s="163">
        <v>5043830.244746685</v>
      </c>
      <c r="AA474" s="163">
        <v>16671406.977839962</v>
      </c>
      <c r="AB474" s="163">
        <v>23553628.680556327</v>
      </c>
      <c r="AC474" s="163">
        <v>5480976.4738753587</v>
      </c>
      <c r="AD474" s="163">
        <v>-7525830.215687573</v>
      </c>
      <c r="AE474" s="163">
        <v>-4911310.887662366</v>
      </c>
      <c r="AF474" s="163">
        <v>-11965513.84582901</v>
      </c>
      <c r="AG474" s="163">
        <v>-12375474.478089944</v>
      </c>
    </row>
    <row r="475" spans="16:33" ht="15.75" customHeight="1">
      <c r="P475" s="162"/>
      <c r="Q475" s="162">
        <v>458</v>
      </c>
      <c r="R475" s="163">
        <v>-38030331.580355018</v>
      </c>
      <c r="S475" s="163">
        <v>-21282972.925089583</v>
      </c>
      <c r="T475" s="163">
        <v>-12724820.844150007</v>
      </c>
      <c r="U475" s="163">
        <v>-12983178.391426131</v>
      </c>
      <c r="V475" s="163">
        <v>-7351435.6235645115</v>
      </c>
      <c r="W475" s="164">
        <v>-3469564.9314302355</v>
      </c>
      <c r="X475" s="163">
        <v>10252695.660135075</v>
      </c>
      <c r="Y475" s="163">
        <v>4741123.8016524017</v>
      </c>
      <c r="Z475" s="163">
        <v>16371398.752659678</v>
      </c>
      <c r="AA475" s="163">
        <v>16949397.884440705</v>
      </c>
      <c r="AB475" s="163">
        <v>5392220.1900650561</v>
      </c>
      <c r="AC475" s="163">
        <v>-5171678.3368565142</v>
      </c>
      <c r="AD475" s="163">
        <v>2433530.5154674947</v>
      </c>
      <c r="AE475" s="163">
        <v>-13581676.32041584</v>
      </c>
      <c r="AF475" s="163">
        <v>-2976579.2420761287</v>
      </c>
      <c r="AG475" s="163">
        <v>-15797900.384368479</v>
      </c>
    </row>
    <row r="476" spans="16:33" ht="15.75" customHeight="1">
      <c r="P476" s="162"/>
      <c r="Q476" s="162">
        <v>459</v>
      </c>
      <c r="R476" s="163">
        <v>-37396444.595738322</v>
      </c>
      <c r="S476" s="163">
        <v>-23655373.875285596</v>
      </c>
      <c r="T476" s="163">
        <v>-17613578.972091064</v>
      </c>
      <c r="U476" s="163">
        <v>-6395079.617391631</v>
      </c>
      <c r="V476" s="163">
        <v>4479434.1310118139</v>
      </c>
      <c r="W476" s="164">
        <v>4007679.8278131783</v>
      </c>
      <c r="X476" s="163">
        <v>13356309.715308279</v>
      </c>
      <c r="Y476" s="163">
        <v>9665657.5798556358</v>
      </c>
      <c r="Z476" s="163">
        <v>12207283.726294309</v>
      </c>
      <c r="AA476" s="163">
        <v>8390713.5791779459</v>
      </c>
      <c r="AB476" s="163">
        <v>15343436.731153652</v>
      </c>
      <c r="AC476" s="163">
        <v>8313576.7076241523</v>
      </c>
      <c r="AD476" s="163">
        <v>1978328.1039232314</v>
      </c>
      <c r="AE476" s="163">
        <v>-1799780.5623262674</v>
      </c>
      <c r="AF476" s="163">
        <v>-10548873.477842838</v>
      </c>
      <c r="AG476" s="163">
        <v>-24297846.438740551</v>
      </c>
    </row>
    <row r="477" spans="16:33" ht="15.75" customHeight="1">
      <c r="P477" s="162"/>
      <c r="Q477" s="162">
        <v>460</v>
      </c>
      <c r="R477" s="163">
        <v>-39997758.420203343</v>
      </c>
      <c r="S477" s="163">
        <v>-29666676.048991859</v>
      </c>
      <c r="T477" s="163">
        <v>-21629230.047916546</v>
      </c>
      <c r="U477" s="163">
        <v>-8387978.6337130666</v>
      </c>
      <c r="V477" s="163">
        <v>-7814751.5678997487</v>
      </c>
      <c r="W477" s="164">
        <v>-1642092.4002536088</v>
      </c>
      <c r="X477" s="163">
        <v>13746707.878139257</v>
      </c>
      <c r="Y477" s="163">
        <v>4134845.8313041329</v>
      </c>
      <c r="Z477" s="163">
        <v>1909690.8684743643</v>
      </c>
      <c r="AA477" s="163">
        <v>15849434.443325177</v>
      </c>
      <c r="AB477" s="163">
        <v>12011893.32370916</v>
      </c>
      <c r="AC477" s="163">
        <v>9960320.6145714521</v>
      </c>
      <c r="AD477" s="163">
        <v>8902142.4938785881</v>
      </c>
      <c r="AE477" s="163">
        <v>-3622437.1515298039</v>
      </c>
      <c r="AF477" s="163">
        <v>-12161089.809803203</v>
      </c>
      <c r="AG477" s="163">
        <v>-23316593.920923352</v>
      </c>
    </row>
    <row r="478" spans="16:33" ht="15.75" customHeight="1">
      <c r="P478" s="162"/>
      <c r="Q478" s="162">
        <v>461</v>
      </c>
      <c r="R478" s="163">
        <v>-40638919.49563694</v>
      </c>
      <c r="S478" s="163">
        <v>-23231149.863477141</v>
      </c>
      <c r="T478" s="163">
        <v>-10326218.979804292</v>
      </c>
      <c r="U478" s="163">
        <v>74324.151734098792</v>
      </c>
      <c r="V478" s="163">
        <v>-4351074.2749487311</v>
      </c>
      <c r="W478" s="164">
        <v>9400622.4820352495</v>
      </c>
      <c r="X478" s="163">
        <v>8766634.9886386395</v>
      </c>
      <c r="Y478" s="163">
        <v>8230131.781175226</v>
      </c>
      <c r="Z478" s="163">
        <v>10793642.64305675</v>
      </c>
      <c r="AA478" s="163">
        <v>11647114.94227773</v>
      </c>
      <c r="AB478" s="163">
        <v>12558365.083922148</v>
      </c>
      <c r="AC478" s="163">
        <v>9086320.9044475108</v>
      </c>
      <c r="AD478" s="163">
        <v>974613.99602650106</v>
      </c>
      <c r="AE478" s="163">
        <v>-16376854.435808957</v>
      </c>
      <c r="AF478" s="163">
        <v>-16119705.988487735</v>
      </c>
      <c r="AG478" s="163">
        <v>-23234561.014239475</v>
      </c>
    </row>
    <row r="479" spans="16:33" ht="15.75" customHeight="1">
      <c r="P479" s="162"/>
      <c r="Q479" s="162">
        <v>462</v>
      </c>
      <c r="R479" s="163">
        <v>-34245298.907053158</v>
      </c>
      <c r="S479" s="163">
        <v>-21400722.648889646</v>
      </c>
      <c r="T479" s="163">
        <v>-13994676.729980692</v>
      </c>
      <c r="U479" s="163">
        <v>-11109861.502798796</v>
      </c>
      <c r="V479" s="163">
        <v>673509.9639326036</v>
      </c>
      <c r="W479" s="164">
        <v>8083140.7412026525</v>
      </c>
      <c r="X479" s="163">
        <v>8854851.2347059101</v>
      </c>
      <c r="Y479" s="163">
        <v>7178139.3444728106</v>
      </c>
      <c r="Z479" s="163">
        <v>11765523.842371956</v>
      </c>
      <c r="AA479" s="163">
        <v>-2487096.8137495071</v>
      </c>
      <c r="AB479" s="163">
        <v>7667720.3594298065</v>
      </c>
      <c r="AC479" s="163">
        <v>4494099.4762598723</v>
      </c>
      <c r="AD479" s="163">
        <v>1870615.9692706466</v>
      </c>
      <c r="AE479" s="163">
        <v>-598082.2064049691</v>
      </c>
      <c r="AF479" s="163">
        <v>-11768898.600869924</v>
      </c>
      <c r="AG479" s="163">
        <v>-21676614.731733769</v>
      </c>
    </row>
    <row r="480" spans="16:33" ht="15.75" customHeight="1">
      <c r="P480" s="162"/>
      <c r="Q480" s="162">
        <v>463</v>
      </c>
      <c r="R480" s="163">
        <v>-31922694.746814474</v>
      </c>
      <c r="S480" s="163">
        <v>-27345635.678648591</v>
      </c>
      <c r="T480" s="163">
        <v>-23506023.477340683</v>
      </c>
      <c r="U480" s="163">
        <v>-5425285.8219956309</v>
      </c>
      <c r="V480" s="163">
        <v>-203457.65866155922</v>
      </c>
      <c r="W480" s="164">
        <v>6357592.2428546399</v>
      </c>
      <c r="X480" s="163">
        <v>619414.29949307442</v>
      </c>
      <c r="Y480" s="163">
        <v>19156604.883106396</v>
      </c>
      <c r="Z480" s="163">
        <v>7818345.1454638243</v>
      </c>
      <c r="AA480" s="163">
        <v>18222518.297886848</v>
      </c>
      <c r="AB480" s="163">
        <v>9877227.1704789996</v>
      </c>
      <c r="AC480" s="163">
        <v>-4687449.1008170098</v>
      </c>
      <c r="AD480" s="163">
        <v>-253406.56561601162</v>
      </c>
      <c r="AE480" s="163">
        <v>-6826981.6359676272</v>
      </c>
      <c r="AF480" s="163">
        <v>-10990383.882945195</v>
      </c>
      <c r="AG480" s="163">
        <v>-16127868.60428375</v>
      </c>
    </row>
    <row r="481" spans="16:33" ht="15.75" customHeight="1">
      <c r="P481" s="162"/>
      <c r="Q481" s="162">
        <v>464</v>
      </c>
      <c r="R481" s="163">
        <v>-35370245.288416535</v>
      </c>
      <c r="S481" s="163">
        <v>-18720459.662335634</v>
      </c>
      <c r="T481" s="163">
        <v>-12661988.799620867</v>
      </c>
      <c r="U481" s="163">
        <v>-9831310.7517289519</v>
      </c>
      <c r="V481" s="163">
        <v>210232.51263472438</v>
      </c>
      <c r="W481" s="164">
        <v>7431102.0313935131</v>
      </c>
      <c r="X481" s="163">
        <v>10747295.274773881</v>
      </c>
      <c r="Y481" s="163">
        <v>17717239.193410903</v>
      </c>
      <c r="Z481" s="163">
        <v>7248509.0961616933</v>
      </c>
      <c r="AA481" s="163">
        <v>4255445.1175393462</v>
      </c>
      <c r="AB481" s="163">
        <v>9967726.8251040429</v>
      </c>
      <c r="AC481" s="163">
        <v>2795554.2135757357</v>
      </c>
      <c r="AD481" s="163">
        <v>14368637.982086331</v>
      </c>
      <c r="AE481" s="163">
        <v>-2048792.1907143146</v>
      </c>
      <c r="AF481" s="163">
        <v>-12663372.772531927</v>
      </c>
      <c r="AG481" s="163">
        <v>-21054461.22478582</v>
      </c>
    </row>
    <row r="482" spans="16:33" ht="15.75" customHeight="1">
      <c r="P482" s="162"/>
      <c r="Q482" s="162">
        <v>465</v>
      </c>
      <c r="R482" s="163">
        <v>-31039671.055194736</v>
      </c>
      <c r="S482" s="163">
        <v>-19132452.464333475</v>
      </c>
      <c r="T482" s="163">
        <v>-15990652.03910999</v>
      </c>
      <c r="U482" s="163">
        <v>-861216.83276426792</v>
      </c>
      <c r="V482" s="163">
        <v>-1920074.1074567735</v>
      </c>
      <c r="W482" s="164">
        <v>-1858833.6569301188</v>
      </c>
      <c r="X482" s="163">
        <v>9632205.9216992855</v>
      </c>
      <c r="Y482" s="163">
        <v>13981152.393204078</v>
      </c>
      <c r="Z482" s="163">
        <v>5695412.0755662918</v>
      </c>
      <c r="AA482" s="163">
        <v>18232217.184434131</v>
      </c>
      <c r="AB482" s="163">
        <v>16260190.884565383</v>
      </c>
      <c r="AC482" s="163">
        <v>6816358.905729413</v>
      </c>
      <c r="AD482" s="163">
        <v>10887903.078638211</v>
      </c>
      <c r="AE482" s="163">
        <v>-3563297.5605190843</v>
      </c>
      <c r="AF482" s="163">
        <v>-14888952.761133909</v>
      </c>
      <c r="AG482" s="163">
        <v>-22135744.063394099</v>
      </c>
    </row>
    <row r="483" spans="16:33" ht="15.75" customHeight="1">
      <c r="P483" s="162"/>
      <c r="Q483" s="162">
        <v>466</v>
      </c>
      <c r="R483" s="163">
        <v>-41143575.83851485</v>
      </c>
      <c r="S483" s="163">
        <v>-23743861.076939136</v>
      </c>
      <c r="T483" s="163">
        <v>-11995264.899853081</v>
      </c>
      <c r="U483" s="163">
        <v>895584.50021153688</v>
      </c>
      <c r="V483" s="163">
        <v>-3958381.0342448652</v>
      </c>
      <c r="W483" s="164">
        <v>-2252054.6954923868</v>
      </c>
      <c r="X483" s="163">
        <v>6354985.9335837662</v>
      </c>
      <c r="Y483" s="163">
        <v>17529532.90337117</v>
      </c>
      <c r="Z483" s="163">
        <v>11939778.928641021</v>
      </c>
      <c r="AA483" s="163">
        <v>25270568.409646004</v>
      </c>
      <c r="AB483" s="163">
        <v>6366032.4764228612</v>
      </c>
      <c r="AC483" s="163">
        <v>5425228.6259254515</v>
      </c>
      <c r="AD483" s="163">
        <v>-1289827.2907375097</v>
      </c>
      <c r="AE483" s="163">
        <v>-555238.53039556742</v>
      </c>
      <c r="AF483" s="163">
        <v>-595004.53971141577</v>
      </c>
      <c r="AG483" s="163">
        <v>-32159234.935175031</v>
      </c>
    </row>
    <row r="484" spans="16:33" ht="15.75" customHeight="1">
      <c r="P484" s="162"/>
      <c r="Q484" s="162">
        <v>467</v>
      </c>
      <c r="R484" s="163">
        <v>-33106586.040568471</v>
      </c>
      <c r="S484" s="163">
        <v>-25720860.622692078</v>
      </c>
      <c r="T484" s="163">
        <v>-16620015.137325004</v>
      </c>
      <c r="U484" s="163">
        <v>-13752988.94936195</v>
      </c>
      <c r="V484" s="163">
        <v>1263441.5086167753</v>
      </c>
      <c r="W484" s="164">
        <v>13498436.629043475</v>
      </c>
      <c r="X484" s="163">
        <v>1060675.4065736085</v>
      </c>
      <c r="Y484" s="163">
        <v>6873879.9462090731</v>
      </c>
      <c r="Z484" s="163">
        <v>14064105.765541479</v>
      </c>
      <c r="AA484" s="163">
        <v>-321270.60309495032</v>
      </c>
      <c r="AB484" s="163">
        <v>-1391710.4910774529</v>
      </c>
      <c r="AC484" s="163">
        <v>8327010.2842445672</v>
      </c>
      <c r="AD484" s="163">
        <v>-1913612.3873444945</v>
      </c>
      <c r="AE484" s="163">
        <v>-1452397.7602250874</v>
      </c>
      <c r="AF484" s="163">
        <v>-15208234.05744496</v>
      </c>
      <c r="AG484" s="163">
        <v>-22869356.243519157</v>
      </c>
    </row>
    <row r="485" spans="16:33" ht="15.75" customHeight="1">
      <c r="P485" s="162"/>
      <c r="Q485" s="162">
        <v>468</v>
      </c>
      <c r="R485" s="163">
        <v>-37438453.759531274</v>
      </c>
      <c r="S485" s="163">
        <v>-29036813.031859234</v>
      </c>
      <c r="T485" s="163">
        <v>-12507029.884504825</v>
      </c>
      <c r="U485" s="163">
        <v>-11666746.938127324</v>
      </c>
      <c r="V485" s="163">
        <v>-5981565.4264227599</v>
      </c>
      <c r="W485" s="164">
        <v>1225174.194680199</v>
      </c>
      <c r="X485" s="163">
        <v>5983965.4639135897</v>
      </c>
      <c r="Y485" s="163">
        <v>10536671.233238146</v>
      </c>
      <c r="Z485" s="163">
        <v>22746778.511897787</v>
      </c>
      <c r="AA485" s="163">
        <v>8730075.3511157632</v>
      </c>
      <c r="AB485" s="163">
        <v>10509143.290260836</v>
      </c>
      <c r="AC485" s="163">
        <v>9034731.0555908084</v>
      </c>
      <c r="AD485" s="163">
        <v>-660245.56351315975</v>
      </c>
      <c r="AE485" s="163">
        <v>-1832023.6565283984</v>
      </c>
      <c r="AF485" s="163">
        <v>-6986893.3468312323</v>
      </c>
      <c r="AG485" s="163">
        <v>-16867112.809334278</v>
      </c>
    </row>
    <row r="486" spans="16:33" ht="15.75" customHeight="1">
      <c r="P486" s="162"/>
      <c r="Q486" s="162">
        <v>469</v>
      </c>
      <c r="R486" s="163">
        <v>-33478184.674583629</v>
      </c>
      <c r="S486" s="163">
        <v>-24324183.469896793</v>
      </c>
      <c r="T486" s="163">
        <v>-12985403.496151119</v>
      </c>
      <c r="U486" s="163">
        <v>-10908409.505336285</v>
      </c>
      <c r="V486" s="163">
        <v>-9233506.6801547408</v>
      </c>
      <c r="W486" s="164">
        <v>6990911.7830890417</v>
      </c>
      <c r="X486" s="163">
        <v>897515.78854213655</v>
      </c>
      <c r="Y486" s="163">
        <v>25613629.578270689</v>
      </c>
      <c r="Z486" s="163">
        <v>11803572.856085494</v>
      </c>
      <c r="AA486" s="163">
        <v>4153997.3772948086</v>
      </c>
      <c r="AB486" s="163">
        <v>4139457.3557720184</v>
      </c>
      <c r="AC486" s="163">
        <v>6227250.0811507106</v>
      </c>
      <c r="AD486" s="163">
        <v>2551394.5260606855</v>
      </c>
      <c r="AE486" s="163">
        <v>2317606.5393428355</v>
      </c>
      <c r="AF486" s="163">
        <v>-15520586.164204091</v>
      </c>
      <c r="AG486" s="163">
        <v>-22238765.296508193</v>
      </c>
    </row>
    <row r="487" spans="16:33" ht="15.75" customHeight="1">
      <c r="P487" s="162"/>
      <c r="Q487" s="162">
        <v>470</v>
      </c>
      <c r="R487" s="163">
        <v>-36402816.046499923</v>
      </c>
      <c r="S487" s="163">
        <v>-25602775.656125978</v>
      </c>
      <c r="T487" s="163">
        <v>-15996377.779513359</v>
      </c>
      <c r="U487" s="163">
        <v>-7901806.0545357615</v>
      </c>
      <c r="V487" s="163">
        <v>1389985.2568072826</v>
      </c>
      <c r="W487" s="164">
        <v>-7150367.0502926111</v>
      </c>
      <c r="X487" s="163">
        <v>6447918.6685766578</v>
      </c>
      <c r="Y487" s="163">
        <v>4995419.3034873754</v>
      </c>
      <c r="Z487" s="163">
        <v>18302628.368332431</v>
      </c>
      <c r="AA487" s="163">
        <v>13266422.624738887</v>
      </c>
      <c r="AB487" s="163">
        <v>14532173.140361547</v>
      </c>
      <c r="AC487" s="163">
        <v>7518742.5878796428</v>
      </c>
      <c r="AD487" s="163">
        <v>7180202.9552169293</v>
      </c>
      <c r="AE487" s="163">
        <v>-4252259.4039712399</v>
      </c>
      <c r="AF487" s="163">
        <v>-8147740.9516959786</v>
      </c>
      <c r="AG487" s="163">
        <v>-24146753.111848876</v>
      </c>
    </row>
    <row r="488" spans="16:33" ht="15.75" customHeight="1">
      <c r="P488" s="162"/>
      <c r="Q488" s="162">
        <v>471</v>
      </c>
      <c r="R488" s="163">
        <v>-32257538.559619278</v>
      </c>
      <c r="S488" s="163">
        <v>-27009955.718045309</v>
      </c>
      <c r="T488" s="163">
        <v>-12416530.177291334</v>
      </c>
      <c r="U488" s="163">
        <v>-15870752.133759126</v>
      </c>
      <c r="V488" s="163">
        <v>-2621515.4930331558</v>
      </c>
      <c r="W488" s="164">
        <v>5575140.1927711964</v>
      </c>
      <c r="X488" s="163">
        <v>16076823.217038959</v>
      </c>
      <c r="Y488" s="163">
        <v>14158922.72438699</v>
      </c>
      <c r="Z488" s="163">
        <v>9031970.7321370691</v>
      </c>
      <c r="AA488" s="163">
        <v>6616238.4977926016</v>
      </c>
      <c r="AB488" s="163">
        <v>21772425.800560772</v>
      </c>
      <c r="AC488" s="163">
        <v>2768448.3086396307</v>
      </c>
      <c r="AD488" s="163">
        <v>1452250.3600485623</v>
      </c>
      <c r="AE488" s="163">
        <v>-907462.02794700861</v>
      </c>
      <c r="AF488" s="163">
        <v>-24677862.607114956</v>
      </c>
      <c r="AG488" s="163">
        <v>-20559699.317279458</v>
      </c>
    </row>
    <row r="489" spans="16:33" ht="15.75" customHeight="1">
      <c r="P489" s="162"/>
      <c r="Q489" s="162">
        <v>472</v>
      </c>
      <c r="R489" s="163">
        <v>-34935673.663814321</v>
      </c>
      <c r="S489" s="163">
        <v>-25978810.861692414</v>
      </c>
      <c r="T489" s="163">
        <v>-16259568.203092277</v>
      </c>
      <c r="U489" s="163">
        <v>-2830040.2932351083</v>
      </c>
      <c r="V489" s="163">
        <v>-12132059.939772189</v>
      </c>
      <c r="W489" s="164">
        <v>-2732572.7565134466</v>
      </c>
      <c r="X489" s="163">
        <v>20137236.411050916</v>
      </c>
      <c r="Y489" s="163">
        <v>4765818.5320766568</v>
      </c>
      <c r="Z489" s="163">
        <v>9299823.2353994101</v>
      </c>
      <c r="AA489" s="163">
        <v>7123945.8225093484</v>
      </c>
      <c r="AB489" s="163">
        <v>13435777.958502293</v>
      </c>
      <c r="AC489" s="163">
        <v>9516007.4305185676</v>
      </c>
      <c r="AD489" s="163">
        <v>-2747537.1087519825</v>
      </c>
      <c r="AE489" s="163">
        <v>842462.75758978724</v>
      </c>
      <c r="AF489" s="163">
        <v>-12824082.687661156</v>
      </c>
      <c r="AG489" s="163">
        <v>-13392489.051251471</v>
      </c>
    </row>
    <row r="490" spans="16:33" ht="15.75" customHeight="1">
      <c r="P490" s="162"/>
      <c r="Q490" s="162">
        <v>473</v>
      </c>
      <c r="R490" s="163">
        <v>-35285296.91777955</v>
      </c>
      <c r="S490" s="163">
        <v>-21435441.361347571</v>
      </c>
      <c r="T490" s="163">
        <v>-16268124.75521259</v>
      </c>
      <c r="U490" s="163">
        <v>-3527943.2159016579</v>
      </c>
      <c r="V490" s="163">
        <v>-3419503.1716771424</v>
      </c>
      <c r="W490" s="164">
        <v>5877697.8431653529</v>
      </c>
      <c r="X490" s="163">
        <v>2994686.5968798548</v>
      </c>
      <c r="Y490" s="163">
        <v>6452530.2343441993</v>
      </c>
      <c r="Z490" s="163">
        <v>17744778.550014049</v>
      </c>
      <c r="AA490" s="163">
        <v>650137.40687043965</v>
      </c>
      <c r="AB490" s="163">
        <v>13139466.382760033</v>
      </c>
      <c r="AC490" s="163">
        <v>12846543.415541083</v>
      </c>
      <c r="AD490" s="163">
        <v>11698203.330973685</v>
      </c>
      <c r="AE490" s="163">
        <v>-1219916.8412551433</v>
      </c>
      <c r="AF490" s="163">
        <v>-12761323.73048383</v>
      </c>
      <c r="AG490" s="163">
        <v>-19757261.732658535</v>
      </c>
    </row>
    <row r="491" spans="16:33" ht="15.75" customHeight="1">
      <c r="P491" s="162"/>
      <c r="Q491" s="162">
        <v>474</v>
      </c>
      <c r="R491" s="163">
        <v>-42393738.344974577</v>
      </c>
      <c r="S491" s="163">
        <v>-23416469.176661193</v>
      </c>
      <c r="T491" s="163">
        <v>-22459024.057191998</v>
      </c>
      <c r="U491" s="163">
        <v>-799681.89163708687</v>
      </c>
      <c r="V491" s="163">
        <v>11222373.210525796</v>
      </c>
      <c r="W491" s="164">
        <v>4929809.734076187</v>
      </c>
      <c r="X491" s="163">
        <v>13407391.327504069</v>
      </c>
      <c r="Y491" s="163">
        <v>-329630.30397793651</v>
      </c>
      <c r="Z491" s="163">
        <v>22229038.612008363</v>
      </c>
      <c r="AA491" s="163">
        <v>11891794.289750755</v>
      </c>
      <c r="AB491" s="163">
        <v>13125609.594521284</v>
      </c>
      <c r="AC491" s="163">
        <v>15328841.352910817</v>
      </c>
      <c r="AD491" s="163">
        <v>-4900818.5317390412</v>
      </c>
      <c r="AE491" s="163">
        <v>-5108659.4978760779</v>
      </c>
      <c r="AF491" s="163">
        <v>-12583727.657130897</v>
      </c>
      <c r="AG491" s="163">
        <v>-21933205.632546991</v>
      </c>
    </row>
    <row r="492" spans="16:33" ht="15.75" customHeight="1">
      <c r="P492" s="162"/>
      <c r="Q492" s="162">
        <v>475</v>
      </c>
      <c r="R492" s="163">
        <v>-33306704.237316012</v>
      </c>
      <c r="S492" s="163">
        <v>-25301722.598695993</v>
      </c>
      <c r="T492" s="163">
        <v>-10411982.153523505</v>
      </c>
      <c r="U492" s="163">
        <v>-7007242.3233923763</v>
      </c>
      <c r="V492" s="163">
        <v>6228970.5411477834</v>
      </c>
      <c r="W492" s="164">
        <v>-3898880.1427048296</v>
      </c>
      <c r="X492" s="163">
        <v>10425616.651972681</v>
      </c>
      <c r="Y492" s="163">
        <v>15958555.530130088</v>
      </c>
      <c r="Z492" s="163">
        <v>8249522.1944609135</v>
      </c>
      <c r="AA492" s="163">
        <v>5258975.1820189208</v>
      </c>
      <c r="AB492" s="163">
        <v>16457228.102056608</v>
      </c>
      <c r="AC492" s="163">
        <v>10134843.698230013</v>
      </c>
      <c r="AD492" s="163">
        <v>10209459.338917196</v>
      </c>
      <c r="AE492" s="163">
        <v>-4141154.2429389805</v>
      </c>
      <c r="AF492" s="163">
        <v>-10466955.160377875</v>
      </c>
      <c r="AG492" s="163">
        <v>-22123350.861748055</v>
      </c>
    </row>
    <row r="493" spans="16:33" ht="15.75" customHeight="1">
      <c r="P493" s="162"/>
      <c r="Q493" s="162">
        <v>476</v>
      </c>
      <c r="R493" s="163">
        <v>-31983980.013657063</v>
      </c>
      <c r="S493" s="163">
        <v>-23144228.83346729</v>
      </c>
      <c r="T493" s="163">
        <v>-17471124.171918914</v>
      </c>
      <c r="U493" s="163">
        <v>-8008056.7666798979</v>
      </c>
      <c r="V493" s="163">
        <v>1447398.8118650466</v>
      </c>
      <c r="W493" s="164">
        <v>4997686.4317837358</v>
      </c>
      <c r="X493" s="163">
        <v>13525594.040807247</v>
      </c>
      <c r="Y493" s="163">
        <v>12599585.623092502</v>
      </c>
      <c r="Z493" s="163">
        <v>16679342.466612011</v>
      </c>
      <c r="AA493" s="163">
        <v>18855041.891318381</v>
      </c>
      <c r="AB493" s="163">
        <v>17350836.314527094</v>
      </c>
      <c r="AC493" s="163">
        <v>12424628.697469443</v>
      </c>
      <c r="AD493" s="163">
        <v>7955242.6528695673</v>
      </c>
      <c r="AE493" s="163">
        <v>1161402.9688647389</v>
      </c>
      <c r="AF493" s="163">
        <v>-10254014.854706407</v>
      </c>
      <c r="AG493" s="163">
        <v>-18449118.399752453</v>
      </c>
    </row>
    <row r="494" spans="16:33" ht="15.75" customHeight="1">
      <c r="P494" s="162"/>
      <c r="Q494" s="162">
        <v>477</v>
      </c>
      <c r="R494" s="163">
        <v>-34984442.716810033</v>
      </c>
      <c r="S494" s="163">
        <v>-23865025.443405926</v>
      </c>
      <c r="T494" s="163">
        <v>-20960830.101043791</v>
      </c>
      <c r="U494" s="163">
        <v>-11672730.601990417</v>
      </c>
      <c r="V494" s="163">
        <v>-2097037.5036343336</v>
      </c>
      <c r="W494" s="164">
        <v>-4132624.7228242159</v>
      </c>
      <c r="X494" s="163">
        <v>1262911.9668371826</v>
      </c>
      <c r="Y494" s="163">
        <v>22250255.138315246</v>
      </c>
      <c r="Z494" s="163">
        <v>20618832.611023113</v>
      </c>
      <c r="AA494" s="163">
        <v>16786350.030330569</v>
      </c>
      <c r="AB494" s="163">
        <v>12828817.783732057</v>
      </c>
      <c r="AC494" s="163">
        <v>10691495.061863318</v>
      </c>
      <c r="AD494" s="163">
        <v>-854831.98231366277</v>
      </c>
      <c r="AE494" s="163">
        <v>1588869.1368077248</v>
      </c>
      <c r="AF494" s="163">
        <v>-7328228.9979687929</v>
      </c>
      <c r="AG494" s="163">
        <v>-16281203.314089775</v>
      </c>
    </row>
    <row r="495" spans="16:33" ht="15.75" customHeight="1">
      <c r="P495" s="162"/>
      <c r="Q495" s="162">
        <v>478</v>
      </c>
      <c r="R495" s="163">
        <v>-33487346.023135424</v>
      </c>
      <c r="S495" s="163">
        <v>-28585172.01611881</v>
      </c>
      <c r="T495" s="163">
        <v>-18151467.435197636</v>
      </c>
      <c r="U495" s="163">
        <v>-16124910.365438983</v>
      </c>
      <c r="V495" s="163">
        <v>-752733.25493301451</v>
      </c>
      <c r="W495" s="164">
        <v>-3281652.8933638483</v>
      </c>
      <c r="X495" s="163">
        <v>3481627.1993708611</v>
      </c>
      <c r="Y495" s="163">
        <v>8453251.68701756</v>
      </c>
      <c r="Z495" s="163">
        <v>14983899.620050073</v>
      </c>
      <c r="AA495" s="163">
        <v>14865705.211162522</v>
      </c>
      <c r="AB495" s="163">
        <v>10741444.532415032</v>
      </c>
      <c r="AC495" s="163">
        <v>17244492.931477025</v>
      </c>
      <c r="AD495" s="163">
        <v>8389782.9515914619</v>
      </c>
      <c r="AE495" s="163">
        <v>-5340066.4237189889</v>
      </c>
      <c r="AF495" s="163">
        <v>-13429566.354734629</v>
      </c>
      <c r="AG495" s="163">
        <v>-18467670.495253652</v>
      </c>
    </row>
    <row r="496" spans="16:33" ht="15.75" customHeight="1">
      <c r="P496" s="162"/>
      <c r="Q496" s="162">
        <v>479</v>
      </c>
      <c r="R496" s="163">
        <v>-33439286.345187843</v>
      </c>
      <c r="S496" s="163">
        <v>-21876588.753408223</v>
      </c>
      <c r="T496" s="163">
        <v>-19164591.439386442</v>
      </c>
      <c r="U496" s="163">
        <v>-8729077.2600020021</v>
      </c>
      <c r="V496" s="163">
        <v>918092.22055704892</v>
      </c>
      <c r="W496" s="164">
        <v>-5013239.5578818321</v>
      </c>
      <c r="X496" s="163">
        <v>15744075.146753341</v>
      </c>
      <c r="Y496" s="163">
        <v>18933964.933026552</v>
      </c>
      <c r="Z496" s="163">
        <v>8070214.4175428748</v>
      </c>
      <c r="AA496" s="163">
        <v>4663620.5205915272</v>
      </c>
      <c r="AB496" s="163">
        <v>11367373.052525878</v>
      </c>
      <c r="AC496" s="163">
        <v>-855204.47124145925</v>
      </c>
      <c r="AD496" s="163">
        <v>-3602244.1977846771</v>
      </c>
      <c r="AE496" s="163">
        <v>1381796.9009208083</v>
      </c>
      <c r="AF496" s="163">
        <v>-10504835.501023591</v>
      </c>
      <c r="AG496" s="163">
        <v>-18169072.186531022</v>
      </c>
    </row>
    <row r="497" spans="16:33" ht="15.75" customHeight="1">
      <c r="P497" s="162"/>
      <c r="Q497" s="162">
        <v>480</v>
      </c>
      <c r="R497" s="163">
        <v>-30236880.633638456</v>
      </c>
      <c r="S497" s="163">
        <v>-24844572.286079183</v>
      </c>
      <c r="T497" s="163">
        <v>-5581697.7477364391</v>
      </c>
      <c r="U497" s="163">
        <v>-10640216.810172632</v>
      </c>
      <c r="V497" s="163">
        <v>-10294421.701461583</v>
      </c>
      <c r="W497" s="164">
        <v>16790716.544072717</v>
      </c>
      <c r="X497" s="163">
        <v>8784028.1938450187</v>
      </c>
      <c r="Y497" s="163">
        <v>-885938.63084994256</v>
      </c>
      <c r="Z497" s="163">
        <v>20151922.760605156</v>
      </c>
      <c r="AA497" s="163">
        <v>13454494.254632458</v>
      </c>
      <c r="AB497" s="163">
        <v>18313087.418396279</v>
      </c>
      <c r="AC497" s="163">
        <v>15658648.55556345</v>
      </c>
      <c r="AD497" s="163">
        <v>14279367.556587741</v>
      </c>
      <c r="AE497" s="163">
        <v>-6226205.9301550388</v>
      </c>
      <c r="AF497" s="163">
        <v>-10111609.275328517</v>
      </c>
      <c r="AG497" s="163">
        <v>-13255171.002913013</v>
      </c>
    </row>
    <row r="498" spans="16:33" ht="15.75" customHeight="1">
      <c r="P498" s="162"/>
      <c r="Q498" s="162">
        <v>481</v>
      </c>
      <c r="R498" s="163">
        <v>-34580970.281471699</v>
      </c>
      <c r="S498" s="163">
        <v>-29701168.409181193</v>
      </c>
      <c r="T498" s="163">
        <v>-15892155.102027625</v>
      </c>
      <c r="U498" s="163">
        <v>-4379732.8239231557</v>
      </c>
      <c r="V498" s="163">
        <v>-4135326.9834230542</v>
      </c>
      <c r="W498" s="164">
        <v>5076424.3749047071</v>
      </c>
      <c r="X498" s="163">
        <v>19132338.3033503</v>
      </c>
      <c r="Y498" s="163">
        <v>14358253.339362547</v>
      </c>
      <c r="Z498" s="163">
        <v>15456338.568011746</v>
      </c>
      <c r="AA498" s="163">
        <v>10136953.52287963</v>
      </c>
      <c r="AB498" s="163">
        <v>17520619.254717991</v>
      </c>
      <c r="AC498" s="163">
        <v>3649581.6219791174</v>
      </c>
      <c r="AD498" s="163">
        <v>-6839187.8824462593</v>
      </c>
      <c r="AE498" s="163">
        <v>-5724033.3861945868</v>
      </c>
      <c r="AF498" s="163">
        <v>-18416946.035380378</v>
      </c>
      <c r="AG498" s="163">
        <v>-19434959.386802793</v>
      </c>
    </row>
    <row r="499" spans="16:33" ht="15.75" customHeight="1">
      <c r="P499" s="162"/>
      <c r="Q499" s="162">
        <v>482</v>
      </c>
      <c r="R499" s="163">
        <v>-35583732.04319261</v>
      </c>
      <c r="S499" s="163">
        <v>-25872729.561306089</v>
      </c>
      <c r="T499" s="163">
        <v>-15784969.945998788</v>
      </c>
      <c r="U499" s="163">
        <v>-15111815.434504747</v>
      </c>
      <c r="V499" s="163">
        <v>-9008031.192494303</v>
      </c>
      <c r="W499" s="164">
        <v>-4343858.0147113949</v>
      </c>
      <c r="X499" s="163">
        <v>9052164.1498225033</v>
      </c>
      <c r="Y499" s="163">
        <v>16884889.822861299</v>
      </c>
      <c r="Z499" s="163">
        <v>13043764.201758415</v>
      </c>
      <c r="AA499" s="163">
        <v>14658587.299974501</v>
      </c>
      <c r="AB499" s="163">
        <v>10438541.780087262</v>
      </c>
      <c r="AC499" s="163">
        <v>2421018.8035008907</v>
      </c>
      <c r="AD499" s="163">
        <v>9761057.1450753212</v>
      </c>
      <c r="AE499" s="163">
        <v>-14083090.081443071</v>
      </c>
      <c r="AF499" s="163">
        <v>-12470497.027147204</v>
      </c>
      <c r="AG499" s="163">
        <v>-17286032.207632616</v>
      </c>
    </row>
    <row r="500" spans="16:33" ht="15.75" customHeight="1">
      <c r="P500" s="162"/>
      <c r="Q500" s="162">
        <v>483</v>
      </c>
      <c r="R500" s="163">
        <v>-40884041.52334857</v>
      </c>
      <c r="S500" s="163">
        <v>-24248668.588584617</v>
      </c>
      <c r="T500" s="163">
        <v>-17908385.644434199</v>
      </c>
      <c r="U500" s="163">
        <v>-13487546.444049641</v>
      </c>
      <c r="V500" s="163">
        <v>1320196.2330794334</v>
      </c>
      <c r="W500" s="164">
        <v>10670742.037178189</v>
      </c>
      <c r="X500" s="163">
        <v>1902948.2013294995</v>
      </c>
      <c r="Y500" s="163">
        <v>4951131.1127424538</v>
      </c>
      <c r="Z500" s="163">
        <v>11013708.170886338</v>
      </c>
      <c r="AA500" s="163">
        <v>14271900.573075235</v>
      </c>
      <c r="AB500" s="163">
        <v>11450714.399528384</v>
      </c>
      <c r="AC500" s="163">
        <v>9299877.4562168121</v>
      </c>
      <c r="AD500" s="163">
        <v>7000580.2627412379</v>
      </c>
      <c r="AE500" s="163">
        <v>464176.99167665839</v>
      </c>
      <c r="AF500" s="163">
        <v>-11240677.85547033</v>
      </c>
      <c r="AG500" s="163">
        <v>-16931051.933399945</v>
      </c>
    </row>
    <row r="501" spans="16:33" ht="15.75" customHeight="1">
      <c r="P501" s="162"/>
      <c r="Q501" s="162">
        <v>484</v>
      </c>
      <c r="R501" s="163">
        <v>-36773555.204188645</v>
      </c>
      <c r="S501" s="163">
        <v>-30029813.486210018</v>
      </c>
      <c r="T501" s="163">
        <v>-13500457.174798176</v>
      </c>
      <c r="U501" s="163">
        <v>933696.01613935828</v>
      </c>
      <c r="V501" s="163">
        <v>2091446.966198802</v>
      </c>
      <c r="W501" s="164">
        <v>7509889.194042325</v>
      </c>
      <c r="X501" s="163">
        <v>9445987.47917521</v>
      </c>
      <c r="Y501" s="163">
        <v>8290275.2645221055</v>
      </c>
      <c r="Z501" s="163">
        <v>4733706.134868294</v>
      </c>
      <c r="AA501" s="163">
        <v>15925470.744750559</v>
      </c>
      <c r="AB501" s="163">
        <v>19623305.707438841</v>
      </c>
      <c r="AC501" s="163">
        <v>-6520294.3968449831</v>
      </c>
      <c r="AD501" s="163">
        <v>-4533809.603789866</v>
      </c>
      <c r="AE501" s="163">
        <v>-20107813.052412733</v>
      </c>
      <c r="AF501" s="163">
        <v>-6206810.3749634922</v>
      </c>
      <c r="AG501" s="163">
        <v>-23383991.309953466</v>
      </c>
    </row>
    <row r="502" spans="16:33" ht="15.75" customHeight="1">
      <c r="P502" s="162"/>
      <c r="Q502" s="162">
        <v>485</v>
      </c>
      <c r="R502" s="163">
        <v>-29438273.192746803</v>
      </c>
      <c r="S502" s="163">
        <v>-24511941.455792651</v>
      </c>
      <c r="T502" s="163">
        <v>-16948592.029954106</v>
      </c>
      <c r="U502" s="163">
        <v>-13977363.067057371</v>
      </c>
      <c r="V502" s="163">
        <v>-1574627.5415822715</v>
      </c>
      <c r="W502" s="164">
        <v>-1791473.1824957728</v>
      </c>
      <c r="X502" s="163">
        <v>-3363304.2383316755</v>
      </c>
      <c r="Y502" s="163">
        <v>4018757.0456478298</v>
      </c>
      <c r="Z502" s="163">
        <v>6356455.8318950385</v>
      </c>
      <c r="AA502" s="163">
        <v>1967751.1453300267</v>
      </c>
      <c r="AB502" s="163">
        <v>4835881.3053402454</v>
      </c>
      <c r="AC502" s="163">
        <v>10066677.969992355</v>
      </c>
      <c r="AD502" s="163">
        <v>-5825880.0000146329</v>
      </c>
      <c r="AE502" s="163">
        <v>-11390815.668704435</v>
      </c>
      <c r="AF502" s="163">
        <v>-13169440.969032079</v>
      </c>
      <c r="AG502" s="163">
        <v>-26553366.826227963</v>
      </c>
    </row>
    <row r="503" spans="16:33" ht="15.75" customHeight="1">
      <c r="P503" s="162"/>
      <c r="Q503" s="162">
        <v>486</v>
      </c>
      <c r="R503" s="163">
        <v>-33303810.468330547</v>
      </c>
      <c r="S503" s="163">
        <v>-27914357.849832818</v>
      </c>
      <c r="T503" s="163">
        <v>-15113152.193597481</v>
      </c>
      <c r="U503" s="163">
        <v>-13916612.265497357</v>
      </c>
      <c r="V503" s="163">
        <v>-11273223.357358664</v>
      </c>
      <c r="W503" s="164">
        <v>-2595995.881775856</v>
      </c>
      <c r="X503" s="163">
        <v>15527452.811961964</v>
      </c>
      <c r="Y503" s="163">
        <v>1448606.7737368196</v>
      </c>
      <c r="Z503" s="163">
        <v>14382592.885893822</v>
      </c>
      <c r="AA503" s="163">
        <v>15784548.6738998</v>
      </c>
      <c r="AB503" s="163">
        <v>36851.97977553308</v>
      </c>
      <c r="AC503" s="163">
        <v>2191012.9959539771</v>
      </c>
      <c r="AD503" s="163">
        <v>-2870339.0589607358</v>
      </c>
      <c r="AE503" s="163">
        <v>4895576.563378945</v>
      </c>
      <c r="AF503" s="163">
        <v>-21321776.818749592</v>
      </c>
      <c r="AG503" s="163">
        <v>-23532052.449783877</v>
      </c>
    </row>
    <row r="504" spans="16:33" ht="15.75" customHeight="1">
      <c r="P504" s="162"/>
      <c r="Q504" s="162">
        <v>487</v>
      </c>
      <c r="R504" s="163">
        <v>-35572423.002553999</v>
      </c>
      <c r="S504" s="163">
        <v>-19375752.168858603</v>
      </c>
      <c r="T504" s="163">
        <v>-17309867.525415167</v>
      </c>
      <c r="U504" s="163">
        <v>-15414489.068982467</v>
      </c>
      <c r="V504" s="163">
        <v>-5177870.6673425585</v>
      </c>
      <c r="W504" s="164">
        <v>5490530.3697690219</v>
      </c>
      <c r="X504" s="163">
        <v>8064616.0621319711</v>
      </c>
      <c r="Y504" s="163">
        <v>10342926.346204281</v>
      </c>
      <c r="Z504" s="163">
        <v>16914759.045588449</v>
      </c>
      <c r="AA504" s="163">
        <v>16664183.218857229</v>
      </c>
      <c r="AB504" s="163">
        <v>12116105.666397467</v>
      </c>
      <c r="AC504" s="163">
        <v>18374227.180180147</v>
      </c>
      <c r="AD504" s="163">
        <v>645391.81103162467</v>
      </c>
      <c r="AE504" s="163">
        <v>-2384846.5892238617</v>
      </c>
      <c r="AF504" s="163">
        <v>-5872447.909136191</v>
      </c>
      <c r="AG504" s="163">
        <v>-15978480.563636884</v>
      </c>
    </row>
    <row r="505" spans="16:33" ht="15.75" customHeight="1">
      <c r="P505" s="162"/>
      <c r="Q505" s="162">
        <v>488</v>
      </c>
      <c r="R505" s="163">
        <v>-32598725.55106692</v>
      </c>
      <c r="S505" s="163">
        <v>-21518237.138933942</v>
      </c>
      <c r="T505" s="163">
        <v>-14168052.51521039</v>
      </c>
      <c r="U505" s="163">
        <v>-3133454.7732918113</v>
      </c>
      <c r="V505" s="163">
        <v>3440201.6796631813</v>
      </c>
      <c r="W505" s="164">
        <v>-562911.18090246618</v>
      </c>
      <c r="X505" s="163">
        <v>8131706.7374129444</v>
      </c>
      <c r="Y505" s="163">
        <v>16804192.574407533</v>
      </c>
      <c r="Z505" s="163">
        <v>10644331.230915248</v>
      </c>
      <c r="AA505" s="163">
        <v>10926550.222446039</v>
      </c>
      <c r="AB505" s="163">
        <v>17701949.849671111</v>
      </c>
      <c r="AC505" s="163">
        <v>5081354.324870497</v>
      </c>
      <c r="AD505" s="163">
        <v>1651889.2192340344</v>
      </c>
      <c r="AE505" s="163">
        <v>8384035.5346741229</v>
      </c>
      <c r="AF505" s="163">
        <v>-13315101.917903215</v>
      </c>
      <c r="AG505" s="163">
        <v>-21079101.370979711</v>
      </c>
    </row>
    <row r="506" spans="16:33" ht="15.75" customHeight="1">
      <c r="P506" s="162"/>
      <c r="Q506" s="162">
        <v>489</v>
      </c>
      <c r="R506" s="163">
        <v>-33599562.79704836</v>
      </c>
      <c r="S506" s="163">
        <v>-18960228.054612979</v>
      </c>
      <c r="T506" s="163">
        <v>-19152466.00829275</v>
      </c>
      <c r="U506" s="163">
        <v>-15621030.941510141</v>
      </c>
      <c r="V506" s="163">
        <v>-6163951.0031324476</v>
      </c>
      <c r="W506" s="164">
        <v>3471579.3486813158</v>
      </c>
      <c r="X506" s="163">
        <v>10586887.163184047</v>
      </c>
      <c r="Y506" s="163">
        <v>8863972.8230843693</v>
      </c>
      <c r="Z506" s="163">
        <v>10665204.630412713</v>
      </c>
      <c r="AA506" s="163">
        <v>14263617.216761827</v>
      </c>
      <c r="AB506" s="163">
        <v>11932126.623924553</v>
      </c>
      <c r="AC506" s="163">
        <v>-3628519.4039628655</v>
      </c>
      <c r="AD506" s="163">
        <v>2587024.8257269561</v>
      </c>
      <c r="AE506" s="163">
        <v>-4355928.482841745</v>
      </c>
      <c r="AF506" s="163">
        <v>-13899249.049015447</v>
      </c>
      <c r="AG506" s="163">
        <v>-20036208.492537707</v>
      </c>
    </row>
    <row r="507" spans="16:33" ht="15.75" customHeight="1">
      <c r="P507" s="162"/>
      <c r="Q507" s="162">
        <v>490</v>
      </c>
      <c r="R507" s="163">
        <v>-40826693.479881063</v>
      </c>
      <c r="S507" s="163">
        <v>-25056877.988048732</v>
      </c>
      <c r="T507" s="163">
        <v>-16651987.589914218</v>
      </c>
      <c r="U507" s="163">
        <v>-9207832.914714545</v>
      </c>
      <c r="V507" s="163">
        <v>6252126.8483409435</v>
      </c>
      <c r="W507" s="164">
        <v>4523355.9407866001</v>
      </c>
      <c r="X507" s="163">
        <v>8065939.3959853649</v>
      </c>
      <c r="Y507" s="163">
        <v>11302332.304329172</v>
      </c>
      <c r="Z507" s="163">
        <v>9262558.0877896398</v>
      </c>
      <c r="AA507" s="163">
        <v>12787121.233344033</v>
      </c>
      <c r="AB507" s="163">
        <v>15034667.658344865</v>
      </c>
      <c r="AC507" s="163">
        <v>8988198.1347706467</v>
      </c>
      <c r="AD507" s="163">
        <v>-4909996.8921149373</v>
      </c>
      <c r="AE507" s="163">
        <v>-3552694.4874616712</v>
      </c>
      <c r="AF507" s="163">
        <v>-6427012.3055851012</v>
      </c>
      <c r="AG507" s="163">
        <v>-16791650.513430983</v>
      </c>
    </row>
    <row r="508" spans="16:33" ht="15.75" customHeight="1">
      <c r="P508" s="162"/>
      <c r="Q508" s="162">
        <v>491</v>
      </c>
      <c r="R508" s="163">
        <v>-33468623.966191322</v>
      </c>
      <c r="S508" s="163">
        <v>-22204368.806067884</v>
      </c>
      <c r="T508" s="163">
        <v>-13683497.397708446</v>
      </c>
      <c r="U508" s="163">
        <v>-2685742.257959947</v>
      </c>
      <c r="V508" s="163">
        <v>1792611.1032394767</v>
      </c>
      <c r="W508" s="164">
        <v>7077977.5934882164</v>
      </c>
      <c r="X508" s="163">
        <v>9392777.9467228651</v>
      </c>
      <c r="Y508" s="163">
        <v>23246027.450504273</v>
      </c>
      <c r="Z508" s="163">
        <v>13912675.82287395</v>
      </c>
      <c r="AA508" s="163">
        <v>16751254.563826814</v>
      </c>
      <c r="AB508" s="163">
        <v>5953765.8187340498</v>
      </c>
      <c r="AC508" s="163">
        <v>9830155.8502483964</v>
      </c>
      <c r="AD508" s="163">
        <v>9088207.928538084</v>
      </c>
      <c r="AE508" s="163">
        <v>-6910413.3640508205</v>
      </c>
      <c r="AF508" s="163">
        <v>-857115.84781607985</v>
      </c>
      <c r="AG508" s="163">
        <v>-14488221.409600347</v>
      </c>
    </row>
    <row r="509" spans="16:33" ht="15.75" customHeight="1">
      <c r="P509" s="162"/>
      <c r="Q509" s="162">
        <v>492</v>
      </c>
      <c r="R509" s="163">
        <v>-34441899.154448241</v>
      </c>
      <c r="S509" s="163">
        <v>-20595368.993440688</v>
      </c>
      <c r="T509" s="163">
        <v>-15633285.361905023</v>
      </c>
      <c r="U509" s="163">
        <v>-12119984.730044082</v>
      </c>
      <c r="V509" s="163">
        <v>-2583641.2482749373</v>
      </c>
      <c r="W509" s="164">
        <v>5031783.9413212985</v>
      </c>
      <c r="X509" s="163">
        <v>8080024.8956437707</v>
      </c>
      <c r="Y509" s="163">
        <v>13993859.433587268</v>
      </c>
      <c r="Z509" s="163">
        <v>19615397.291007936</v>
      </c>
      <c r="AA509" s="163">
        <v>22644329.591838598</v>
      </c>
      <c r="AB509" s="163">
        <v>9781381.0448601842</v>
      </c>
      <c r="AC509" s="163">
        <v>10669072.003945544</v>
      </c>
      <c r="AD509" s="163">
        <v>3258437.6476361901</v>
      </c>
      <c r="AE509" s="163">
        <v>6202497.7978587151</v>
      </c>
      <c r="AF509" s="163">
        <v>-6005058.3754861504</v>
      </c>
      <c r="AG509" s="163">
        <v>-17182760.496691599</v>
      </c>
    </row>
    <row r="510" spans="16:33" ht="15.75" customHeight="1">
      <c r="P510" s="162"/>
      <c r="Q510" s="162">
        <v>493</v>
      </c>
      <c r="R510" s="163">
        <v>-35767341.952028841</v>
      </c>
      <c r="S510" s="163">
        <v>-27004902.012142524</v>
      </c>
      <c r="T510" s="163">
        <v>-20413837.807702869</v>
      </c>
      <c r="U510" s="163">
        <v>-10899173.834571436</v>
      </c>
      <c r="V510" s="163">
        <v>-4976556.0499120802</v>
      </c>
      <c r="W510" s="164">
        <v>-2011110.0981050432</v>
      </c>
      <c r="X510" s="163">
        <v>2318265.0212524831</v>
      </c>
      <c r="Y510" s="163">
        <v>19085765.44761081</v>
      </c>
      <c r="Z510" s="163">
        <v>15313773.351861462</v>
      </c>
      <c r="AA510" s="163">
        <v>14550984.237345278</v>
      </c>
      <c r="AB510" s="163">
        <v>10322938.341478527</v>
      </c>
      <c r="AC510" s="163">
        <v>10362837.304068148</v>
      </c>
      <c r="AD510" s="163">
        <v>241552.14711809158</v>
      </c>
      <c r="AE510" s="163">
        <v>-11503767.555124521</v>
      </c>
      <c r="AF510" s="163">
        <v>-19546003.662122101</v>
      </c>
      <c r="AG510" s="163">
        <v>-11794875.855577677</v>
      </c>
    </row>
    <row r="511" spans="16:33" ht="15.75" customHeight="1">
      <c r="P511" s="162"/>
      <c r="Q511" s="162">
        <v>494</v>
      </c>
      <c r="R511" s="163">
        <v>-30785400.742803529</v>
      </c>
      <c r="S511" s="163">
        <v>-20741638.677142099</v>
      </c>
      <c r="T511" s="163">
        <v>-19798410.005599946</v>
      </c>
      <c r="U511" s="163">
        <v>-9921624.8519912064</v>
      </c>
      <c r="V511" s="163">
        <v>-8257321.3087427467</v>
      </c>
      <c r="W511" s="164">
        <v>12864625.463494092</v>
      </c>
      <c r="X511" s="163">
        <v>2391395.2374416739</v>
      </c>
      <c r="Y511" s="163">
        <v>13346079.087474048</v>
      </c>
      <c r="Z511" s="163">
        <v>11010815.133222848</v>
      </c>
      <c r="AA511" s="163">
        <v>12977233.639242798</v>
      </c>
      <c r="AB511" s="163">
        <v>1999279.665712297</v>
      </c>
      <c r="AC511" s="163">
        <v>3097166.1655115783</v>
      </c>
      <c r="AD511" s="163">
        <v>2445977.8774040043</v>
      </c>
      <c r="AE511" s="163">
        <v>-1390691.4491415173</v>
      </c>
      <c r="AF511" s="163">
        <v>-22505097.172660068</v>
      </c>
      <c r="AG511" s="163">
        <v>-14627215.245025277</v>
      </c>
    </row>
    <row r="512" spans="16:33" ht="15.75" customHeight="1">
      <c r="P512" s="162"/>
      <c r="Q512" s="162">
        <v>495</v>
      </c>
      <c r="R512" s="163">
        <v>-40542871.684529901</v>
      </c>
      <c r="S512" s="163">
        <v>-30393601.555504799</v>
      </c>
      <c r="T512" s="163">
        <v>-17043309.429551229</v>
      </c>
      <c r="U512" s="163">
        <v>-9374495.310972169</v>
      </c>
      <c r="V512" s="163">
        <v>-1589015.6020404398</v>
      </c>
      <c r="W512" s="164">
        <v>10603486.003341064</v>
      </c>
      <c r="X512" s="163">
        <v>3210319.0757273436</v>
      </c>
      <c r="Y512" s="163">
        <v>14383506.481176034</v>
      </c>
      <c r="Z512" s="163">
        <v>15965081.117027953</v>
      </c>
      <c r="AA512" s="163">
        <v>13426447.744588226</v>
      </c>
      <c r="AB512" s="163">
        <v>5952706.8074700534</v>
      </c>
      <c r="AC512" s="163">
        <v>-4152062.3342776448</v>
      </c>
      <c r="AD512" s="163">
        <v>6428641.0100178272</v>
      </c>
      <c r="AE512" s="163">
        <v>7590464.4757789671</v>
      </c>
      <c r="AF512" s="163">
        <v>-18435065.048635751</v>
      </c>
      <c r="AG512" s="163">
        <v>-21011227.758216918</v>
      </c>
    </row>
    <row r="513" spans="16:33" ht="15.75" customHeight="1">
      <c r="P513" s="162"/>
      <c r="Q513" s="162">
        <v>496</v>
      </c>
      <c r="R513" s="163">
        <v>-28911948.604763269</v>
      </c>
      <c r="S513" s="163">
        <v>-27987511.78044261</v>
      </c>
      <c r="T513" s="163">
        <v>-14264679.531922102</v>
      </c>
      <c r="U513" s="163">
        <v>-8709248.834518522</v>
      </c>
      <c r="V513" s="163">
        <v>959736.01480209827</v>
      </c>
      <c r="W513" s="164">
        <v>8804441.0584384948</v>
      </c>
      <c r="X513" s="163">
        <v>11500717.972763687</v>
      </c>
      <c r="Y513" s="163">
        <v>7503778.1226393431</v>
      </c>
      <c r="Z513" s="163">
        <v>7517.5580280870199</v>
      </c>
      <c r="AA513" s="163">
        <v>11097938.569281697</v>
      </c>
      <c r="AB513" s="163">
        <v>23157277.824748337</v>
      </c>
      <c r="AC513" s="163">
        <v>6364787.9648494273</v>
      </c>
      <c r="AD513" s="163">
        <v>5135262.6058346033</v>
      </c>
      <c r="AE513" s="163">
        <v>697112.50162345171</v>
      </c>
      <c r="AF513" s="163">
        <v>-11434788.179204941</v>
      </c>
      <c r="AG513" s="163">
        <v>-17164189.837165058</v>
      </c>
    </row>
    <row r="514" spans="16:33" ht="15.75" customHeight="1">
      <c r="P514" s="162"/>
      <c r="Q514" s="162">
        <v>497</v>
      </c>
      <c r="R514" s="163">
        <v>-42856145.060517639</v>
      </c>
      <c r="S514" s="163">
        <v>-16676651.939991131</v>
      </c>
      <c r="T514" s="163">
        <v>-15274385.508643404</v>
      </c>
      <c r="U514" s="163">
        <v>-11211262.471716866</v>
      </c>
      <c r="V514" s="163">
        <v>3357627.1394089907</v>
      </c>
      <c r="W514" s="164">
        <v>2372751.7716410905</v>
      </c>
      <c r="X514" s="163">
        <v>16756962.35587661</v>
      </c>
      <c r="Y514" s="163">
        <v>5834716.1304886937</v>
      </c>
      <c r="Z514" s="163">
        <v>17847839.920351252</v>
      </c>
      <c r="AA514" s="163">
        <v>7677521.9630510211</v>
      </c>
      <c r="AB514" s="163">
        <v>19339966.974005312</v>
      </c>
      <c r="AC514" s="163">
        <v>6818611.8106716871</v>
      </c>
      <c r="AD514" s="163">
        <v>5303209.7919169217</v>
      </c>
      <c r="AE514" s="163">
        <v>-7673459.0897161067</v>
      </c>
      <c r="AF514" s="163">
        <v>-5646112.2489136904</v>
      </c>
      <c r="AG514" s="163">
        <v>-16141231.399886653</v>
      </c>
    </row>
    <row r="515" spans="16:33" ht="15.75" customHeight="1">
      <c r="P515" s="162"/>
      <c r="Q515" s="162">
        <v>498</v>
      </c>
      <c r="R515" s="163">
        <v>-40291778.797528863</v>
      </c>
      <c r="S515" s="163">
        <v>-23903207.936027959</v>
      </c>
      <c r="T515" s="163">
        <v>-7573678.2917100042</v>
      </c>
      <c r="U515" s="163">
        <v>-6369277.3022981286</v>
      </c>
      <c r="V515" s="163">
        <v>-1217630.0374481529</v>
      </c>
      <c r="W515" s="164">
        <v>-1576965.1290620267</v>
      </c>
      <c r="X515" s="163">
        <v>1267285.6461379826</v>
      </c>
      <c r="Y515" s="163">
        <v>-4533195.2742634118</v>
      </c>
      <c r="Z515" s="163">
        <v>11952845.903438658</v>
      </c>
      <c r="AA515" s="163">
        <v>19788177.221405178</v>
      </c>
      <c r="AB515" s="163">
        <v>10807420.219582736</v>
      </c>
      <c r="AC515" s="163">
        <v>14758481.743605256</v>
      </c>
      <c r="AD515" s="163">
        <v>-4499812.7868849188</v>
      </c>
      <c r="AE515" s="163">
        <v>-4282087.9163696766</v>
      </c>
      <c r="AF515" s="163">
        <v>-4457748.3893574625</v>
      </c>
      <c r="AG515" s="163">
        <v>-18141655.403454453</v>
      </c>
    </row>
    <row r="516" spans="16:33" ht="15.75" customHeight="1">
      <c r="P516" s="162"/>
      <c r="Q516" s="162">
        <v>499</v>
      </c>
      <c r="R516" s="163">
        <v>-32833149.887006938</v>
      </c>
      <c r="S516" s="163">
        <v>-26329874.747818485</v>
      </c>
      <c r="T516" s="163">
        <v>-15761984.63861008</v>
      </c>
      <c r="U516" s="163">
        <v>-14594324.363153964</v>
      </c>
      <c r="V516" s="163">
        <v>-1705096.9761494398</v>
      </c>
      <c r="W516" s="164">
        <v>12735394.341748312</v>
      </c>
      <c r="X516" s="163">
        <v>12506323.582786947</v>
      </c>
      <c r="Y516" s="163">
        <v>10237603.269924074</v>
      </c>
      <c r="Z516" s="163">
        <v>10110754.342539057</v>
      </c>
      <c r="AA516" s="163">
        <v>5969225.0407826751</v>
      </c>
      <c r="AB516" s="163">
        <v>8811068.3031331897</v>
      </c>
      <c r="AC516" s="163">
        <v>9162050.0519772768</v>
      </c>
      <c r="AD516" s="163">
        <v>4058697.5405344814</v>
      </c>
      <c r="AE516" s="163">
        <v>359182.03897343576</v>
      </c>
      <c r="AF516" s="163">
        <v>-1338401.2033978403</v>
      </c>
      <c r="AG516" s="163">
        <v>-20055873.966040552</v>
      </c>
    </row>
    <row r="517" spans="16:33" ht="15.75" customHeight="1">
      <c r="P517" s="162"/>
      <c r="Q517" s="162">
        <v>500</v>
      </c>
      <c r="R517" s="163">
        <v>-27285694.90302828</v>
      </c>
      <c r="S517" s="163">
        <v>-27110699.028706551</v>
      </c>
      <c r="T517" s="163">
        <v>-16785506.604113817</v>
      </c>
      <c r="U517" s="163">
        <v>-15796806.705022871</v>
      </c>
      <c r="V517" s="163">
        <v>1666008.7726110369</v>
      </c>
      <c r="W517" s="164">
        <v>10415517.772480384</v>
      </c>
      <c r="X517" s="163">
        <v>12474300.518535674</v>
      </c>
      <c r="Y517" s="163">
        <v>14895877.723801807</v>
      </c>
      <c r="Z517" s="163">
        <v>10377943.44170171</v>
      </c>
      <c r="AA517" s="163">
        <v>14562257.562039852</v>
      </c>
      <c r="AB517" s="163">
        <v>15336522.304803997</v>
      </c>
      <c r="AC517" s="163">
        <v>9024901.3814383596</v>
      </c>
      <c r="AD517" s="163">
        <v>-5645248.7730143964</v>
      </c>
      <c r="AE517" s="163">
        <v>4003934.8608136028</v>
      </c>
      <c r="AF517" s="163">
        <v>-15945128.020703569</v>
      </c>
      <c r="AG517" s="163">
        <v>-19928394.483388081</v>
      </c>
    </row>
  </sheetData>
  <mergeCells count="5">
    <mergeCell ref="B20:F20"/>
    <mergeCell ref="B12:F12"/>
    <mergeCell ref="B4:F4"/>
    <mergeCell ref="H4:L4"/>
    <mergeCell ref="H12:L12"/>
  </mergeCells>
  <conditionalFormatting sqref="R13:A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B888-2DE0-41C3-AD0E-72942EE96AF4}">
  <sheetPr codeName="Arkusz9"/>
  <dimension ref="A1:I21"/>
  <sheetViews>
    <sheetView topLeftCell="A4" zoomScale="130" zoomScaleNormal="130" workbookViewId="0">
      <selection activeCell="A17" sqref="A17:B21"/>
    </sheetView>
  </sheetViews>
  <sheetFormatPr defaultRowHeight="13.2"/>
  <cols>
    <col min="1" max="1" width="26.88671875" bestFit="1" customWidth="1"/>
    <col min="3" max="3" width="10" bestFit="1" customWidth="1"/>
  </cols>
  <sheetData>
    <row r="1" spans="1:9">
      <c r="A1" t="s">
        <v>177</v>
      </c>
    </row>
    <row r="2" spans="1:9" ht="13.8" thickBot="1"/>
    <row r="3" spans="1:9">
      <c r="A3" s="210" t="s">
        <v>178</v>
      </c>
      <c r="B3" s="210"/>
    </row>
    <row r="4" spans="1:9">
      <c r="A4" t="s">
        <v>179</v>
      </c>
      <c r="B4">
        <v>0.78211358116662066</v>
      </c>
    </row>
    <row r="5" spans="1:9">
      <c r="A5" t="s">
        <v>180</v>
      </c>
      <c r="B5">
        <v>0.61170165384527608</v>
      </c>
    </row>
    <row r="6" spans="1:9">
      <c r="A6" t="s">
        <v>181</v>
      </c>
      <c r="B6">
        <v>0.56159864143821503</v>
      </c>
    </row>
    <row r="7" spans="1:9">
      <c r="A7" t="s">
        <v>182</v>
      </c>
      <c r="B7">
        <v>13818786.10198142</v>
      </c>
    </row>
    <row r="8" spans="1:9" ht="13.8" thickBot="1">
      <c r="A8" s="208" t="s">
        <v>183</v>
      </c>
      <c r="B8" s="208">
        <v>36</v>
      </c>
    </row>
    <row r="10" spans="1:9" ht="13.8" thickBot="1">
      <c r="A10" t="s">
        <v>184</v>
      </c>
    </row>
    <row r="11" spans="1:9">
      <c r="A11" s="209"/>
      <c r="B11" s="209" t="s">
        <v>189</v>
      </c>
      <c r="C11" s="209" t="s">
        <v>190</v>
      </c>
      <c r="D11" s="209" t="s">
        <v>191</v>
      </c>
      <c r="E11" s="209" t="s">
        <v>192</v>
      </c>
      <c r="F11" s="209" t="s">
        <v>193</v>
      </c>
    </row>
    <row r="12" spans="1:9">
      <c r="A12" t="s">
        <v>185</v>
      </c>
      <c r="B12">
        <v>4</v>
      </c>
      <c r="C12">
        <v>9325574518669506</v>
      </c>
      <c r="D12">
        <v>2331393629667376.5</v>
      </c>
      <c r="E12">
        <v>12.208879755083696</v>
      </c>
      <c r="F12">
        <v>4.4924594731770651E-6</v>
      </c>
    </row>
    <row r="13" spans="1:9">
      <c r="A13" t="s">
        <v>186</v>
      </c>
      <c r="B13">
        <v>31</v>
      </c>
      <c r="C13">
        <v>5919724329301760</v>
      </c>
      <c r="D13">
        <v>190958849332314.84</v>
      </c>
    </row>
    <row r="14" spans="1:9" ht="13.8" thickBot="1">
      <c r="A14" s="208" t="s">
        <v>187</v>
      </c>
      <c r="B14" s="208">
        <v>35</v>
      </c>
      <c r="C14" s="208">
        <v>1.5245298847971266E+16</v>
      </c>
      <c r="D14" s="208"/>
      <c r="E14" s="208"/>
      <c r="F14" s="208"/>
    </row>
    <row r="15" spans="1:9" ht="13.8" thickBot="1"/>
    <row r="16" spans="1:9">
      <c r="A16" s="209"/>
      <c r="B16" s="209" t="s">
        <v>194</v>
      </c>
      <c r="C16" s="209" t="s">
        <v>182</v>
      </c>
      <c r="D16" s="209" t="s">
        <v>195</v>
      </c>
      <c r="E16" s="209" t="s">
        <v>196</v>
      </c>
      <c r="F16" s="209" t="s">
        <v>197</v>
      </c>
      <c r="G16" s="209" t="s">
        <v>198</v>
      </c>
      <c r="H16" s="209" t="s">
        <v>199</v>
      </c>
      <c r="I16" s="209" t="s">
        <v>200</v>
      </c>
    </row>
    <row r="17" spans="1:9">
      <c r="A17" t="s">
        <v>188</v>
      </c>
      <c r="B17">
        <v>17939831.767728154</v>
      </c>
      <c r="C17">
        <v>16175767.458894806</v>
      </c>
      <c r="D17">
        <v>1.109055988429366</v>
      </c>
      <c r="E17">
        <v>0.27593607087067384</v>
      </c>
      <c r="F17">
        <v>-15050863.470469262</v>
      </c>
      <c r="G17">
        <v>50930527.005925566</v>
      </c>
      <c r="H17">
        <v>-15050863.470469262</v>
      </c>
      <c r="I17">
        <v>50930527.005925566</v>
      </c>
    </row>
    <row r="18" spans="1:9">
      <c r="A18" t="s">
        <v>172</v>
      </c>
      <c r="B18">
        <v>-2954939.2406408447</v>
      </c>
      <c r="C18">
        <v>1099735.9030788215</v>
      </c>
      <c r="D18">
        <v>-2.6869535061719767</v>
      </c>
      <c r="E18">
        <v>1.1487528728336515E-2</v>
      </c>
      <c r="F18">
        <v>-5197865.4024549983</v>
      </c>
      <c r="G18">
        <v>-712013.07882669102</v>
      </c>
      <c r="H18">
        <v>-5197865.4024549983</v>
      </c>
      <c r="I18">
        <v>-712013.07882669102</v>
      </c>
    </row>
    <row r="19" spans="1:9">
      <c r="A19" t="s">
        <v>173</v>
      </c>
      <c r="B19">
        <v>-19337641.497230638</v>
      </c>
      <c r="C19">
        <v>8039101.4188060397</v>
      </c>
      <c r="D19">
        <v>-2.4054481327967423</v>
      </c>
      <c r="E19">
        <v>2.2308800678037203E-2</v>
      </c>
      <c r="F19">
        <v>-35733496.937830001</v>
      </c>
      <c r="G19">
        <v>-2941786.0566312708</v>
      </c>
      <c r="H19">
        <v>-35733496.937830001</v>
      </c>
      <c r="I19">
        <v>-2941786.0566312708</v>
      </c>
    </row>
    <row r="20" spans="1:9">
      <c r="A20" t="s">
        <v>174</v>
      </c>
      <c r="B20">
        <v>39597014.113243721</v>
      </c>
      <c r="C20">
        <v>7375222.9003875433</v>
      </c>
      <c r="D20">
        <v>5.3689243902259589</v>
      </c>
      <c r="E20">
        <v>7.4557361945243391E-6</v>
      </c>
      <c r="F20">
        <v>24555147.837732609</v>
      </c>
      <c r="G20">
        <v>54638880.38875483</v>
      </c>
      <c r="H20">
        <v>24555147.837732609</v>
      </c>
      <c r="I20">
        <v>54638880.38875483</v>
      </c>
    </row>
    <row r="21" spans="1:9" ht="13.8" thickBot="1">
      <c r="A21" s="208" t="s">
        <v>175</v>
      </c>
      <c r="B21" s="208">
        <v>-26773569.646007184</v>
      </c>
      <c r="C21" s="208">
        <v>7960918.372798603</v>
      </c>
      <c r="D21" s="208">
        <v>-3.3631257591446864</v>
      </c>
      <c r="E21" s="208">
        <v>2.0633070753223589E-3</v>
      </c>
      <c r="F21" s="208">
        <v>-43009969.712994151</v>
      </c>
      <c r="G21" s="208">
        <v>-10537169.579020219</v>
      </c>
      <c r="H21" s="208">
        <v>-43009969.712994151</v>
      </c>
      <c r="I21" s="208">
        <v>-10537169.579020219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A0711-560D-41AB-B08F-29EC38586618}">
  <sheetPr>
    <tabColor theme="4" tint="0.79998168889431442"/>
  </sheetPr>
  <dimension ref="B2:E10"/>
  <sheetViews>
    <sheetView tabSelected="1" workbookViewId="0">
      <selection activeCell="H29" sqref="H29"/>
    </sheetView>
  </sheetViews>
  <sheetFormatPr defaultRowHeight="13.2"/>
  <cols>
    <col min="5" max="5" width="12" bestFit="1" customWidth="1"/>
  </cols>
  <sheetData>
    <row r="2" spans="2:5">
      <c r="E2" s="206" t="s">
        <v>201</v>
      </c>
    </row>
    <row r="3" spans="2:5">
      <c r="D3">
        <v>4328621.9801957635</v>
      </c>
      <c r="E3" s="218">
        <f>C6+SUMPRODUCT(C7:C10,D7:D10)</f>
        <v>54581906.64033103</v>
      </c>
    </row>
    <row r="6" spans="2:5">
      <c r="B6" t="s">
        <v>188</v>
      </c>
      <c r="C6">
        <v>17939831.767728154</v>
      </c>
    </row>
    <row r="7" spans="2:5">
      <c r="B7" t="s">
        <v>172</v>
      </c>
      <c r="C7">
        <v>-2954939.2406408447</v>
      </c>
      <c r="D7" s="130">
        <v>1</v>
      </c>
    </row>
    <row r="8" spans="2:5">
      <c r="B8" t="s">
        <v>173</v>
      </c>
      <c r="C8">
        <v>-19337641.497230638</v>
      </c>
      <c r="D8" s="130">
        <v>0</v>
      </c>
    </row>
    <row r="9" spans="2:5">
      <c r="B9" t="s">
        <v>174</v>
      </c>
      <c r="C9">
        <v>39597014.113243721</v>
      </c>
      <c r="D9" s="130">
        <v>1</v>
      </c>
    </row>
    <row r="10" spans="2:5" ht="13.8" thickBot="1">
      <c r="B10" s="208" t="s">
        <v>175</v>
      </c>
      <c r="C10" s="208">
        <v>-26773569.646007184</v>
      </c>
      <c r="D10" s="130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0833B-69FF-4A1F-9647-203A630E93FD}">
  <sheetPr codeName="Arkusz8">
    <tabColor theme="4" tint="-0.249977111117893"/>
  </sheetPr>
  <dimension ref="A1:E77"/>
  <sheetViews>
    <sheetView zoomScale="85" zoomScaleNormal="85" workbookViewId="0">
      <selection activeCell="N50" sqref="N50"/>
    </sheetView>
  </sheetViews>
  <sheetFormatPr defaultRowHeight="13.2"/>
  <cols>
    <col min="5" max="5" width="15" bestFit="1" customWidth="1"/>
  </cols>
  <sheetData>
    <row r="1" spans="1:5">
      <c r="A1" s="206" t="s">
        <v>172</v>
      </c>
      <c r="B1" s="206" t="s">
        <v>173</v>
      </c>
      <c r="C1" s="206" t="s">
        <v>174</v>
      </c>
      <c r="D1" s="206" t="s">
        <v>175</v>
      </c>
      <c r="E1" s="206" t="s">
        <v>176</v>
      </c>
    </row>
    <row r="2" spans="1:5">
      <c r="A2">
        <v>5.0437577202248089</v>
      </c>
      <c r="B2" s="207">
        <v>0.99561834215911715</v>
      </c>
      <c r="C2" s="207">
        <v>1.4203977211562433</v>
      </c>
      <c r="D2" s="207">
        <v>0.66753683039217959</v>
      </c>
      <c r="E2">
        <v>28988247.587037038</v>
      </c>
    </row>
    <row r="3" spans="1:5">
      <c r="A3">
        <v>6.5905935594568668</v>
      </c>
      <c r="B3" s="207">
        <v>0.79396243369231589</v>
      </c>
      <c r="C3" s="207">
        <v>0.91052648667520109</v>
      </c>
      <c r="D3" s="207">
        <v>1.3576039848889114</v>
      </c>
      <c r="E3">
        <v>-15145281.633657333</v>
      </c>
    </row>
    <row r="4" spans="1:5">
      <c r="A4">
        <v>5.1345365339460072</v>
      </c>
      <c r="B4" s="207">
        <v>0.78366079726321969</v>
      </c>
      <c r="C4" s="207">
        <v>0.83378637623664942</v>
      </c>
      <c r="D4" s="207">
        <v>0.98286917822853126</v>
      </c>
      <c r="E4">
        <v>-9952977.3798734099</v>
      </c>
    </row>
    <row r="5" spans="1:5">
      <c r="A5">
        <v>7.2682004560490103</v>
      </c>
      <c r="B5" s="207">
        <v>0.46708666998153814</v>
      </c>
      <c r="C5" s="207">
        <v>1.1687086422673412</v>
      </c>
      <c r="D5" s="207">
        <v>0.83964390844001691</v>
      </c>
      <c r="E5">
        <v>20211580.009427324</v>
      </c>
    </row>
    <row r="6" spans="1:5">
      <c r="A6">
        <v>7.7331477519856797</v>
      </c>
      <c r="B6" s="207">
        <v>1.4964614265142802</v>
      </c>
      <c r="C6" s="207">
        <v>0.42941726734481855</v>
      </c>
      <c r="D6" s="207">
        <v>0.91083371628201681</v>
      </c>
      <c r="E6">
        <v>-51592556.391281225</v>
      </c>
    </row>
    <row r="7" spans="1:5">
      <c r="A7">
        <v>2.9032372582156567</v>
      </c>
      <c r="B7" s="207">
        <v>0.74878412844476694</v>
      </c>
      <c r="C7" s="207">
        <v>1.1441790835195522</v>
      </c>
      <c r="D7" s="207">
        <v>1.5288435426644393</v>
      </c>
      <c r="E7">
        <v>1798735.3583427912</v>
      </c>
    </row>
    <row r="8" spans="1:5">
      <c r="A8">
        <v>3.9221948258031909</v>
      </c>
      <c r="B8" s="207">
        <v>1.1528833050171365</v>
      </c>
      <c r="C8" s="207">
        <v>0.66818849597165764</v>
      </c>
      <c r="D8" s="207">
        <v>0.81643992963225898</v>
      </c>
      <c r="E8">
        <v>-4392039.1953679416</v>
      </c>
    </row>
    <row r="9" spans="1:5">
      <c r="A9">
        <v>8.449780642526072</v>
      </c>
      <c r="B9" s="207">
        <v>1.225077723282096</v>
      </c>
      <c r="C9" s="207">
        <v>0.50546603148846558</v>
      </c>
      <c r="D9" s="207">
        <v>0.95068763723313809</v>
      </c>
      <c r="E9">
        <v>-44844453.697797291</v>
      </c>
    </row>
    <row r="10" spans="1:5">
      <c r="A10">
        <v>5.2492639545409174</v>
      </c>
      <c r="B10" s="207">
        <v>0.89348578199810724</v>
      </c>
      <c r="C10" s="207">
        <v>1.0139082083673103</v>
      </c>
      <c r="D10" s="207">
        <v>1.2497675662662595</v>
      </c>
      <c r="E10">
        <v>-1894753.7613082901</v>
      </c>
    </row>
    <row r="11" spans="1:5">
      <c r="A11">
        <v>2.8446347019750986</v>
      </c>
      <c r="B11" s="207">
        <v>0.89768344672110922</v>
      </c>
      <c r="C11" s="207">
        <v>0.74504123785413967</v>
      </c>
      <c r="D11" s="207">
        <v>1.0353270114016118</v>
      </c>
      <c r="E11">
        <v>-228667.85703139089</v>
      </c>
    </row>
    <row r="12" spans="1:5">
      <c r="A12">
        <v>8.0544313168804553</v>
      </c>
      <c r="B12" s="207">
        <v>1.1694786052499002</v>
      </c>
      <c r="C12" s="207">
        <v>0.89734837192253247</v>
      </c>
      <c r="D12" s="207">
        <v>1.3291830884701947</v>
      </c>
      <c r="E12">
        <v>-24913355.758694749</v>
      </c>
    </row>
    <row r="13" spans="1:5">
      <c r="A13">
        <v>7.8461602465356908</v>
      </c>
      <c r="B13" s="207">
        <v>0.97346839217697645</v>
      </c>
      <c r="C13" s="207">
        <v>0.82239294231401172</v>
      </c>
      <c r="D13" s="207">
        <v>0.66749019135252796</v>
      </c>
      <c r="E13">
        <v>980050.70250098081</v>
      </c>
    </row>
    <row r="14" spans="1:5">
      <c r="A14">
        <v>5.5218209914520333</v>
      </c>
      <c r="B14" s="207">
        <v>0.71229276579950229</v>
      </c>
      <c r="C14" s="207">
        <v>1.0060219100012313</v>
      </c>
      <c r="D14" s="207">
        <v>1.5175769585051955</v>
      </c>
      <c r="E14">
        <v>-11783020.526191082</v>
      </c>
    </row>
    <row r="15" spans="1:5">
      <c r="A15">
        <v>3.8943515702394622</v>
      </c>
      <c r="B15" s="207">
        <v>0.91170542543519728</v>
      </c>
      <c r="C15" s="207">
        <v>0.99841185954317524</v>
      </c>
      <c r="D15" s="207">
        <v>1.8776348113886852</v>
      </c>
      <c r="E15">
        <v>-24639371.79128376</v>
      </c>
    </row>
    <row r="16" spans="1:5">
      <c r="A16">
        <v>4.5852078422479803</v>
      </c>
      <c r="B16" s="207">
        <v>1.3195136809258476</v>
      </c>
      <c r="C16" s="207">
        <v>0.78537189262624696</v>
      </c>
      <c r="D16" s="207">
        <v>0.94969282821248713</v>
      </c>
      <c r="E16">
        <v>-4712336.8551369468</v>
      </c>
    </row>
    <row r="17" spans="1:5">
      <c r="A17">
        <v>3.42644046540833</v>
      </c>
      <c r="B17" s="207">
        <v>1.0176194519698405</v>
      </c>
      <c r="C17" s="207">
        <v>1.0250757873920517</v>
      </c>
      <c r="D17" s="207">
        <v>0.68597371593326339</v>
      </c>
      <c r="E17">
        <v>28432859.556792147</v>
      </c>
    </row>
    <row r="18" spans="1:5">
      <c r="A18">
        <v>9.5023622357053359</v>
      </c>
      <c r="B18" s="207">
        <v>1.2276813927911556</v>
      </c>
      <c r="C18" s="207">
        <v>0.69455335154783393</v>
      </c>
      <c r="D18" s="207">
        <v>0.87977334374440885</v>
      </c>
      <c r="E18">
        <v>4847495.5295772487</v>
      </c>
    </row>
    <row r="19" spans="1:5">
      <c r="A19">
        <v>9.8774999463218993</v>
      </c>
      <c r="B19" s="207">
        <v>0.81964998369135056</v>
      </c>
      <c r="C19" s="207">
        <v>0.81942271468175487</v>
      </c>
      <c r="D19" s="207">
        <v>1.2449795014534619</v>
      </c>
      <c r="E19">
        <v>-28987985.686614513</v>
      </c>
    </row>
    <row r="20" spans="1:5">
      <c r="A20">
        <v>7.3565343898251108</v>
      </c>
      <c r="B20" s="207">
        <v>0.79636881840920737</v>
      </c>
      <c r="C20" s="207">
        <v>1.0951072414475269</v>
      </c>
      <c r="D20" s="207">
        <v>0.84010661308200041</v>
      </c>
      <c r="E20">
        <v>-29381221.764776181</v>
      </c>
    </row>
    <row r="21" spans="1:5">
      <c r="A21">
        <v>4.6365806696167571</v>
      </c>
      <c r="B21" s="207">
        <v>1.337755441749513</v>
      </c>
      <c r="C21" s="207">
        <v>0.83743801072493063</v>
      </c>
      <c r="D21" s="207">
        <v>1.2311836209613682</v>
      </c>
      <c r="E21">
        <v>-29381221.764776181</v>
      </c>
    </row>
    <row r="22" spans="1:5">
      <c r="A22">
        <v>7.8382720148445397</v>
      </c>
      <c r="B22" s="207">
        <v>1.0144862504987127</v>
      </c>
      <c r="C22" s="207">
        <v>0.86335409820236242</v>
      </c>
      <c r="D22" s="207">
        <v>1.0995596598717468</v>
      </c>
      <c r="E22">
        <v>-15344295.871746037</v>
      </c>
    </row>
    <row r="23" spans="1:5">
      <c r="A23">
        <v>3.1883002635181366</v>
      </c>
      <c r="B23" s="207">
        <v>1.0171623123289557</v>
      </c>
      <c r="C23" s="207">
        <v>0.57497572393172391</v>
      </c>
      <c r="D23" s="207">
        <v>0.67447375314483082</v>
      </c>
      <c r="E23">
        <v>-3228405.1468332014</v>
      </c>
    </row>
    <row r="24" spans="1:5">
      <c r="A24">
        <v>7.0148020530614383</v>
      </c>
      <c r="B24" s="207">
        <v>1.1324251301676571</v>
      </c>
      <c r="C24" s="207">
        <v>1.6119317004560749</v>
      </c>
      <c r="D24" s="207">
        <v>1.1579158704002788</v>
      </c>
      <c r="E24">
        <v>-19031862.254898373</v>
      </c>
    </row>
    <row r="25" spans="1:5">
      <c r="A25">
        <v>9.8508831151012206</v>
      </c>
      <c r="B25" s="207">
        <v>1.3370566401838744</v>
      </c>
      <c r="C25" s="207">
        <v>0.6652548855791669</v>
      </c>
      <c r="D25" s="207">
        <v>1.1258673195803506</v>
      </c>
      <c r="E25">
        <v>-42445537.242991552</v>
      </c>
    </row>
    <row r="26" spans="1:5">
      <c r="A26">
        <v>5.0841648688813663</v>
      </c>
      <c r="B26" s="207">
        <v>0.55621675491090627</v>
      </c>
      <c r="C26" s="207">
        <v>0.39663604280100562</v>
      </c>
      <c r="D26" s="207">
        <v>0.79593058702224329</v>
      </c>
      <c r="E26">
        <v>-29315126.693771273</v>
      </c>
    </row>
    <row r="27" spans="1:5">
      <c r="A27">
        <v>8.0373284489433896</v>
      </c>
      <c r="B27" s="207">
        <v>0.81872096279086792</v>
      </c>
      <c r="C27" s="207">
        <v>1.2596907691860841</v>
      </c>
      <c r="D27" s="207">
        <v>1.1788533384714885</v>
      </c>
      <c r="E27">
        <v>-1759759.8566020941</v>
      </c>
    </row>
    <row r="28" spans="1:5">
      <c r="A28">
        <v>6.9293264380442494</v>
      </c>
      <c r="B28" s="207">
        <v>1.3645265704973892</v>
      </c>
      <c r="C28" s="207">
        <v>1.6677110870571044</v>
      </c>
      <c r="D28" s="207">
        <v>0.62573360032634517</v>
      </c>
      <c r="E28">
        <v>12594526.532794474</v>
      </c>
    </row>
    <row r="29" spans="1:5">
      <c r="A29">
        <v>5.7094656020990122</v>
      </c>
      <c r="B29" s="207">
        <v>0.55500599744140422</v>
      </c>
      <c r="C29" s="207">
        <v>0.94274823421629073</v>
      </c>
      <c r="D29" s="207">
        <v>1.1934341905028554</v>
      </c>
      <c r="E29">
        <v>664643.74621599761</v>
      </c>
    </row>
    <row r="30" spans="1:5">
      <c r="A30">
        <v>4.8092855441680626</v>
      </c>
      <c r="B30" s="207">
        <v>0.96777236685414214</v>
      </c>
      <c r="C30" s="207">
        <v>1.3605432629442986</v>
      </c>
      <c r="D30" s="207">
        <v>1.2580509351687035</v>
      </c>
      <c r="E30">
        <v>5605220.2324421741</v>
      </c>
    </row>
    <row r="31" spans="1:5">
      <c r="A31">
        <v>5.3736157992318869</v>
      </c>
      <c r="B31" s="207">
        <v>1.0236583810533288</v>
      </c>
      <c r="C31" s="207">
        <v>0.36621475747979804</v>
      </c>
      <c r="D31" s="207">
        <v>1.1495972930837719</v>
      </c>
      <c r="E31">
        <v>-56167690.596676894</v>
      </c>
    </row>
    <row r="32" spans="1:5">
      <c r="A32">
        <v>6.6828251065962991</v>
      </c>
      <c r="B32" s="207">
        <v>0.9947869110393377</v>
      </c>
      <c r="C32" s="207">
        <v>0.92310740603340635</v>
      </c>
      <c r="D32" s="207">
        <v>0.9116505063575856</v>
      </c>
      <c r="E32">
        <v>1750155.1102332447</v>
      </c>
    </row>
    <row r="33" spans="1:5">
      <c r="A33">
        <v>2.9720247114721681</v>
      </c>
      <c r="B33" s="207">
        <v>1.742334644017149</v>
      </c>
      <c r="C33" s="207">
        <v>0.77309577884659786</v>
      </c>
      <c r="D33" s="207">
        <v>1.5675838871751251</v>
      </c>
      <c r="E33">
        <v>-28548902.706833307</v>
      </c>
    </row>
    <row r="34" spans="1:5">
      <c r="A34">
        <v>11.611572677028413</v>
      </c>
      <c r="B34" s="207">
        <v>1.3533459274859752</v>
      </c>
      <c r="C34" s="207">
        <v>1.2018989611408177</v>
      </c>
      <c r="D34" s="207">
        <v>0.87988633226055402</v>
      </c>
      <c r="E34">
        <v>-8971315.9569830541</v>
      </c>
    </row>
    <row r="35" spans="1:5">
      <c r="A35">
        <v>6.0623680569592615</v>
      </c>
      <c r="B35" s="207">
        <v>1.3552234134711512</v>
      </c>
      <c r="C35" s="207">
        <v>1.4336395984122423</v>
      </c>
      <c r="D35" s="207">
        <v>0.99184380938018568</v>
      </c>
      <c r="E35">
        <v>11795002.183858113</v>
      </c>
    </row>
    <row r="36" spans="1:5">
      <c r="A36">
        <v>3.6465144983707747</v>
      </c>
      <c r="B36" s="207">
        <v>0.57087961498871287</v>
      </c>
      <c r="C36" s="207">
        <v>0.79106004532896557</v>
      </c>
      <c r="D36" s="207">
        <v>1.4664424645256797</v>
      </c>
      <c r="E36">
        <v>-12575336.258584281</v>
      </c>
    </row>
    <row r="37" spans="1:5">
      <c r="A37">
        <v>6.405435651484245</v>
      </c>
      <c r="B37" s="207">
        <v>1.4635478071896877</v>
      </c>
      <c r="C37" s="207">
        <v>0.97032463215186615</v>
      </c>
      <c r="D37" s="207">
        <v>0.61086291839126861</v>
      </c>
      <c r="E37">
        <v>-34185395.245768048</v>
      </c>
    </row>
    <row r="38" spans="1:5">
      <c r="B38" s="207"/>
      <c r="C38" s="207"/>
      <c r="D38" s="207"/>
    </row>
    <row r="39" spans="1:5">
      <c r="B39" s="207"/>
      <c r="C39" s="207"/>
      <c r="D39" s="207"/>
    </row>
    <row r="40" spans="1:5">
      <c r="B40" s="207"/>
      <c r="C40" s="207"/>
      <c r="D40" s="207"/>
    </row>
    <row r="41" spans="1:5">
      <c r="B41" s="207"/>
      <c r="C41" s="207"/>
      <c r="D41" s="207"/>
    </row>
    <row r="42" spans="1:5">
      <c r="B42" s="207"/>
      <c r="C42" s="207"/>
      <c r="D42" s="207"/>
    </row>
    <row r="43" spans="1:5">
      <c r="B43" s="207"/>
      <c r="C43" s="207"/>
      <c r="D43" s="207"/>
    </row>
    <row r="44" spans="1:5">
      <c r="B44" s="207"/>
      <c r="C44" s="207"/>
      <c r="D44" s="207"/>
    </row>
    <row r="45" spans="1:5">
      <c r="B45" s="207"/>
      <c r="C45" s="207"/>
      <c r="D45" s="207"/>
    </row>
    <row r="46" spans="1:5">
      <c r="B46" s="207"/>
      <c r="C46" s="207"/>
      <c r="D46" s="207"/>
    </row>
    <row r="47" spans="1:5">
      <c r="B47" s="207"/>
      <c r="C47" s="207"/>
      <c r="D47" s="207"/>
    </row>
    <row r="48" spans="1:5">
      <c r="B48" s="207"/>
      <c r="C48" s="207"/>
      <c r="D48" s="207"/>
    </row>
    <row r="49" spans="2:4">
      <c r="B49" s="207"/>
      <c r="C49" s="207"/>
      <c r="D49" s="207"/>
    </row>
    <row r="50" spans="2:4">
      <c r="B50" s="207"/>
      <c r="C50" s="207"/>
      <c r="D50" s="207"/>
    </row>
    <row r="51" spans="2:4">
      <c r="B51" s="207"/>
      <c r="C51" s="207"/>
      <c r="D51" s="207"/>
    </row>
    <row r="52" spans="2:4">
      <c r="B52" s="207"/>
      <c r="C52" s="207"/>
      <c r="D52" s="207"/>
    </row>
    <row r="53" spans="2:4">
      <c r="B53" s="207"/>
      <c r="C53" s="207"/>
      <c r="D53" s="207"/>
    </row>
    <row r="54" spans="2:4">
      <c r="B54" s="207"/>
      <c r="C54" s="207"/>
      <c r="D54" s="207"/>
    </row>
    <row r="55" spans="2:4">
      <c r="B55" s="207"/>
      <c r="C55" s="207"/>
      <c r="D55" s="207"/>
    </row>
    <row r="56" spans="2:4">
      <c r="B56" s="207"/>
      <c r="C56" s="207"/>
      <c r="D56" s="207"/>
    </row>
    <row r="57" spans="2:4">
      <c r="B57" s="207"/>
      <c r="C57" s="207"/>
      <c r="D57" s="207"/>
    </row>
    <row r="58" spans="2:4">
      <c r="B58" s="207"/>
      <c r="C58" s="207"/>
      <c r="D58" s="207"/>
    </row>
    <row r="59" spans="2:4">
      <c r="B59" s="207"/>
      <c r="C59" s="207"/>
      <c r="D59" s="207"/>
    </row>
    <row r="60" spans="2:4">
      <c r="B60" s="207"/>
      <c r="C60" s="207"/>
      <c r="D60" s="207"/>
    </row>
    <row r="61" spans="2:4">
      <c r="B61" s="207"/>
      <c r="C61" s="207"/>
      <c r="D61" s="207"/>
    </row>
    <row r="62" spans="2:4">
      <c r="B62" s="207"/>
      <c r="C62" s="207"/>
      <c r="D62" s="207"/>
    </row>
    <row r="63" spans="2:4">
      <c r="B63" s="207"/>
      <c r="C63" s="207"/>
      <c r="D63" s="207"/>
    </row>
    <row r="64" spans="2:4">
      <c r="B64" s="207"/>
      <c r="C64" s="207"/>
      <c r="D64" s="207"/>
    </row>
    <row r="65" spans="1:4">
      <c r="B65" s="207"/>
      <c r="C65" s="207"/>
      <c r="D65" s="207"/>
    </row>
    <row r="66" spans="1:4">
      <c r="B66" s="207"/>
      <c r="C66" s="207"/>
      <c r="D66" s="207"/>
    </row>
    <row r="67" spans="1:4">
      <c r="B67" s="207"/>
      <c r="C67" s="207"/>
      <c r="D67" s="207"/>
    </row>
    <row r="68" spans="1:4">
      <c r="B68" s="207"/>
      <c r="C68" s="207"/>
      <c r="D68" s="207"/>
    </row>
    <row r="69" spans="1:4">
      <c r="B69" s="207"/>
      <c r="C69" s="207"/>
      <c r="D69" s="207"/>
    </row>
    <row r="70" spans="1:4">
      <c r="B70" s="207"/>
      <c r="C70" s="207"/>
      <c r="D70" s="207"/>
    </row>
    <row r="71" spans="1:4">
      <c r="B71" s="207"/>
      <c r="C71" s="207"/>
      <c r="D71" s="207"/>
    </row>
    <row r="72" spans="1:4">
      <c r="B72" s="207"/>
      <c r="C72" s="207"/>
      <c r="D72" s="207"/>
    </row>
    <row r="73" spans="1:4">
      <c r="B73" s="207"/>
      <c r="C73" s="207"/>
      <c r="D73" s="207"/>
    </row>
    <row r="74" spans="1:4">
      <c r="B74" s="207"/>
      <c r="C74" s="207"/>
      <c r="D74" s="207"/>
    </row>
    <row r="75" spans="1:4">
      <c r="B75" s="207"/>
      <c r="C75" s="207"/>
      <c r="D75" s="207"/>
    </row>
    <row r="76" spans="1:4">
      <c r="B76" s="207"/>
      <c r="C76" s="207"/>
      <c r="D76" s="207"/>
    </row>
    <row r="77" spans="1:4">
      <c r="A77" s="206"/>
      <c r="B77" s="207"/>
      <c r="C77" s="207"/>
      <c r="D77" s="20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4">
    <tabColor rgb="FFCC0000"/>
    <outlinePr summaryBelow="0" summaryRight="0"/>
  </sheetPr>
  <dimension ref="A1:AP141"/>
  <sheetViews>
    <sheetView topLeftCell="W4" zoomScale="67" zoomScaleNormal="59" workbookViewId="0">
      <selection activeCell="U39" sqref="U39"/>
    </sheetView>
  </sheetViews>
  <sheetFormatPr defaultColWidth="12.6640625" defaultRowHeight="15.75" customHeight="1"/>
  <cols>
    <col min="1" max="1" width="13.109375" style="50" customWidth="1"/>
    <col min="2" max="2" width="23" style="36" bestFit="1" customWidth="1"/>
    <col min="3" max="3" width="23" style="36" customWidth="1"/>
    <col min="4" max="4" width="14.6640625" style="36" customWidth="1"/>
    <col min="5" max="5" width="15.33203125" style="36" customWidth="1"/>
    <col min="6" max="6" width="12.6640625" style="36"/>
    <col min="7" max="15" width="15.33203125" style="36" bestFit="1" customWidth="1"/>
    <col min="16" max="16" width="15.33203125" style="36" customWidth="1"/>
    <col min="17" max="17" width="16.33203125" style="36" bestFit="1" customWidth="1"/>
    <col min="18" max="18" width="12.6640625" style="36"/>
    <col min="19" max="28" width="17" style="36" customWidth="1"/>
    <col min="29" max="29" width="20.6640625" style="36" bestFit="1" customWidth="1"/>
    <col min="30" max="30" width="14.44140625" style="36" customWidth="1"/>
    <col min="31" max="34" width="12.6640625" style="36"/>
    <col min="35" max="35" width="14.44140625" style="36" bestFit="1" customWidth="1"/>
    <col min="36" max="36" width="26" style="36" bestFit="1" customWidth="1"/>
    <col min="37" max="37" width="26.109375" style="36" bestFit="1" customWidth="1"/>
    <col min="38" max="38" width="26.44140625" style="36" customWidth="1"/>
    <col min="39" max="16384" width="12.6640625" style="36"/>
  </cols>
  <sheetData>
    <row r="1" spans="1:42" s="167" customFormat="1" ht="15.75" customHeight="1">
      <c r="A1" s="32" t="s">
        <v>30</v>
      </c>
      <c r="B1" s="27" t="s">
        <v>31</v>
      </c>
      <c r="C1" s="45"/>
      <c r="D1" s="34" t="s">
        <v>32</v>
      </c>
      <c r="E1" s="37" t="s">
        <v>144</v>
      </c>
      <c r="F1" s="39" t="s">
        <v>33</v>
      </c>
      <c r="G1" s="39" t="s">
        <v>34</v>
      </c>
      <c r="H1" s="39" t="s">
        <v>35</v>
      </c>
      <c r="I1" s="39" t="s">
        <v>36</v>
      </c>
      <c r="J1" s="39" t="s">
        <v>37</v>
      </c>
      <c r="K1" s="39" t="s">
        <v>38</v>
      </c>
      <c r="L1" s="39" t="s">
        <v>39</v>
      </c>
      <c r="M1" s="39" t="s">
        <v>40</v>
      </c>
      <c r="N1" s="39" t="s">
        <v>41</v>
      </c>
      <c r="O1" s="39" t="s">
        <v>42</v>
      </c>
      <c r="P1" s="41"/>
      <c r="Q1" s="28" t="s">
        <v>43</v>
      </c>
      <c r="R1" s="28" t="s">
        <v>44</v>
      </c>
      <c r="S1" s="28" t="s">
        <v>45</v>
      </c>
      <c r="T1" s="28" t="s">
        <v>46</v>
      </c>
      <c r="U1" s="28" t="s">
        <v>47</v>
      </c>
      <c r="V1" s="28" t="s">
        <v>48</v>
      </c>
      <c r="W1" s="28" t="s">
        <v>49</v>
      </c>
      <c r="X1" s="28" t="s">
        <v>50</v>
      </c>
      <c r="Y1" s="28" t="s">
        <v>51</v>
      </c>
      <c r="Z1" s="28" t="s">
        <v>52</v>
      </c>
      <c r="AA1" s="43" t="s">
        <v>53</v>
      </c>
      <c r="AB1" s="34"/>
      <c r="AE1" s="171" t="s">
        <v>145</v>
      </c>
      <c r="AF1" s="171" t="s">
        <v>55</v>
      </c>
      <c r="AG1" s="26" t="s">
        <v>54</v>
      </c>
      <c r="AH1" s="29" t="s">
        <v>55</v>
      </c>
      <c r="AI1" s="29" t="s">
        <v>142</v>
      </c>
      <c r="AJ1" s="168" t="s">
        <v>143</v>
      </c>
    </row>
    <row r="2" spans="1:42" ht="15.75" customHeight="1">
      <c r="A2" s="33">
        <v>1</v>
      </c>
      <c r="B2" s="30">
        <v>40000</v>
      </c>
      <c r="C2" s="46"/>
      <c r="D2" s="35">
        <f t="shared" ref="D2:D141" ca="1" si="0">RAND()</f>
        <v>0.55841133960130585</v>
      </c>
      <c r="E2" s="38">
        <f ca="1">VLOOKUP(D2,$AH$2:$AI$13, 2, TRUE)</f>
        <v>5</v>
      </c>
      <c r="F2" s="40">
        <f t="shared" ref="F2:F33" ca="1" si="1">IF(E2&gt;=1,1,0)</f>
        <v>1</v>
      </c>
      <c r="G2" s="40">
        <f t="shared" ref="G2:G33" ca="1" si="2">IF(E2&gt;=2,1,0)</f>
        <v>1</v>
      </c>
      <c r="H2" s="40">
        <f t="shared" ref="H2:H33" ca="1" si="3">IF(E2&gt;=3,1,0)</f>
        <v>1</v>
      </c>
      <c r="I2" s="40">
        <f t="shared" ref="I2:I33" ca="1" si="4">IF(E2&gt;=4,1,0)</f>
        <v>1</v>
      </c>
      <c r="J2" s="40">
        <f t="shared" ref="J2:J33" ca="1" si="5">IF(E2&gt;=5,1,0)</f>
        <v>1</v>
      </c>
      <c r="K2" s="40">
        <f t="shared" ref="K2:K33" ca="1" si="6">IF(E2&gt;=6,1,0)</f>
        <v>0</v>
      </c>
      <c r="L2" s="40">
        <f t="shared" ref="L2:L33" ca="1" si="7">IF(E2&gt;=7,1,0)</f>
        <v>0</v>
      </c>
      <c r="M2" s="40">
        <f t="shared" ref="M2:M33" ca="1" si="8">IF(E2&gt;=8,1,0)</f>
        <v>0</v>
      </c>
      <c r="N2" s="40">
        <f t="shared" ref="N2:N33" ca="1" si="9">IF(E2&gt;=9,1,0)</f>
        <v>0</v>
      </c>
      <c r="O2" s="40">
        <f t="shared" ref="O2:O33" ca="1" si="10">IF(E2&gt;=10,1,0)</f>
        <v>0</v>
      </c>
      <c r="P2" s="42"/>
      <c r="Q2" s="31">
        <f t="shared" ref="Q2:Z2" ca="1" si="11">_xlfn.CHISQ.INV(RAND(),2)*$AL$4 *F2</f>
        <v>7390.4288035210357</v>
      </c>
      <c r="R2" s="31">
        <f t="shared" ca="1" si="11"/>
        <v>597.54312709697535</v>
      </c>
      <c r="S2" s="31">
        <f t="shared" ca="1" si="11"/>
        <v>16180.00671254464</v>
      </c>
      <c r="T2" s="31">
        <f t="shared" ca="1" si="11"/>
        <v>733.69211887564711</v>
      </c>
      <c r="U2" s="31">
        <f t="shared" ca="1" si="11"/>
        <v>9607.3646218476952</v>
      </c>
      <c r="V2" s="31">
        <f t="shared" ca="1" si="11"/>
        <v>0</v>
      </c>
      <c r="W2" s="31">
        <f t="shared" ca="1" si="11"/>
        <v>0</v>
      </c>
      <c r="X2" s="31">
        <f t="shared" ca="1" si="11"/>
        <v>0</v>
      </c>
      <c r="Y2" s="31">
        <f t="shared" ca="1" si="11"/>
        <v>0</v>
      </c>
      <c r="Z2" s="31">
        <f t="shared" ca="1" si="11"/>
        <v>0</v>
      </c>
      <c r="AA2" s="44">
        <f t="shared" ref="AA2:AA141" ca="1" si="12">SUM(Q2:Z2)</f>
        <v>34509.035383885996</v>
      </c>
      <c r="AB2" s="165"/>
      <c r="AC2" s="47" t="s">
        <v>56</v>
      </c>
      <c r="AD2" s="48" t="e">
        <f ca="1">SUM(R2:AA141) + 140 * 40000</f>
        <v>#VALUE!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169">
        <f ca="1">COUNTIF(E:E, "=0")</f>
        <v>10</v>
      </c>
      <c r="AK2" s="95"/>
      <c r="AL2" s="6" t="s">
        <v>57</v>
      </c>
    </row>
    <row r="3" spans="1:42" ht="15.75" customHeight="1">
      <c r="A3" s="33">
        <v>2</v>
      </c>
      <c r="B3" s="30">
        <v>40000</v>
      </c>
      <c r="C3" s="46"/>
      <c r="D3" s="35">
        <f t="shared" ca="1" si="0"/>
        <v>0.17585533414609777</v>
      </c>
      <c r="E3" s="38">
        <f t="shared" ref="E3:E33" ca="1" si="13">VLOOKUP(D3,$AH$2:$AI$13, 2, TRUE)</f>
        <v>2</v>
      </c>
      <c r="F3" s="40">
        <f t="shared" ca="1" si="1"/>
        <v>1</v>
      </c>
      <c r="G3" s="40">
        <f t="shared" ca="1" si="2"/>
        <v>1</v>
      </c>
      <c r="H3" s="40">
        <f t="shared" ca="1" si="3"/>
        <v>0</v>
      </c>
      <c r="I3" s="40">
        <f t="shared" ca="1" si="4"/>
        <v>0</v>
      </c>
      <c r="J3" s="40">
        <f t="shared" ca="1" si="5"/>
        <v>0</v>
      </c>
      <c r="K3" s="40">
        <f t="shared" ca="1" si="6"/>
        <v>0</v>
      </c>
      <c r="L3" s="40">
        <f t="shared" ca="1" si="7"/>
        <v>0</v>
      </c>
      <c r="M3" s="40">
        <f t="shared" ca="1" si="8"/>
        <v>0</v>
      </c>
      <c r="N3" s="40">
        <f t="shared" ca="1" si="9"/>
        <v>0</v>
      </c>
      <c r="O3" s="40">
        <f t="shared" ca="1" si="10"/>
        <v>0</v>
      </c>
      <c r="P3" s="42"/>
      <c r="Q3" s="31">
        <f t="shared" ref="Q3:Z3" ca="1" si="14">_xlfn.CHISQ.INV(RAND(),2)*$AL$4 *F3</f>
        <v>24961.888768073735</v>
      </c>
      <c r="R3" s="31">
        <f t="shared" ca="1" si="14"/>
        <v>32466.979478563848</v>
      </c>
      <c r="S3" s="31">
        <f t="shared" ca="1" si="14"/>
        <v>0</v>
      </c>
      <c r="T3" s="31">
        <f t="shared" ca="1" si="14"/>
        <v>0</v>
      </c>
      <c r="U3" s="31">
        <f t="shared" ca="1" si="14"/>
        <v>0</v>
      </c>
      <c r="V3" s="31">
        <f t="shared" ca="1" si="14"/>
        <v>0</v>
      </c>
      <c r="W3" s="31">
        <f t="shared" ca="1" si="14"/>
        <v>0</v>
      </c>
      <c r="X3" s="31">
        <f t="shared" ca="1" si="14"/>
        <v>0</v>
      </c>
      <c r="Y3" s="31">
        <f t="shared" ca="1" si="14"/>
        <v>0</v>
      </c>
      <c r="Z3" s="31">
        <f t="shared" ca="1" si="14"/>
        <v>0</v>
      </c>
      <c r="AA3" s="44">
        <f t="shared" ca="1" si="12"/>
        <v>57428.868246637583</v>
      </c>
      <c r="AB3" s="165"/>
      <c r="AC3" s="47" t="s">
        <v>58</v>
      </c>
      <c r="AD3" s="48" t="e">
        <f ca="1">AVERAGE(AA2:AA141)</f>
        <v>#VALUE!</v>
      </c>
      <c r="AE3" s="3">
        <v>7.0000000000000007E-2</v>
      </c>
      <c r="AF3" s="3">
        <v>7.0000000000000007E-2</v>
      </c>
      <c r="AG3" s="3">
        <v>7.0000000000000007E-2</v>
      </c>
      <c r="AH3" s="3">
        <f>POWER(AF3,AK7)</f>
        <v>7.0000000000000007E-2</v>
      </c>
      <c r="AI3" s="3">
        <v>1</v>
      </c>
      <c r="AJ3" s="169">
        <f ca="1">COUNTIF(E:E, "=1")</f>
        <v>16</v>
      </c>
      <c r="AK3" s="6" t="s">
        <v>59</v>
      </c>
      <c r="AL3" s="6">
        <f ca="1">_xlfn.CHISQ.INV(RAND(),2)</f>
        <v>0.8360344565508615</v>
      </c>
      <c r="AP3" s="70"/>
    </row>
    <row r="4" spans="1:42" ht="15.75" customHeight="1">
      <c r="A4" s="33">
        <v>3</v>
      </c>
      <c r="B4" s="30">
        <v>40000</v>
      </c>
      <c r="C4" s="46"/>
      <c r="D4" s="35">
        <f t="shared" ca="1" si="0"/>
        <v>0.25609848440172678</v>
      </c>
      <c r="E4" s="38">
        <f t="shared" ca="1" si="13"/>
        <v>2</v>
      </c>
      <c r="F4" s="40">
        <f t="shared" ca="1" si="1"/>
        <v>1</v>
      </c>
      <c r="G4" s="40">
        <f t="shared" ca="1" si="2"/>
        <v>1</v>
      </c>
      <c r="H4" s="40">
        <f t="shared" ca="1" si="3"/>
        <v>0</v>
      </c>
      <c r="I4" s="40">
        <f t="shared" ca="1" si="4"/>
        <v>0</v>
      </c>
      <c r="J4" s="40">
        <f t="shared" ca="1" si="5"/>
        <v>0</v>
      </c>
      <c r="K4" s="40">
        <f t="shared" ca="1" si="6"/>
        <v>0</v>
      </c>
      <c r="L4" s="40">
        <f t="shared" ca="1" si="7"/>
        <v>0</v>
      </c>
      <c r="M4" s="40">
        <f t="shared" ca="1" si="8"/>
        <v>0</v>
      </c>
      <c r="N4" s="40">
        <f t="shared" ca="1" si="9"/>
        <v>0</v>
      </c>
      <c r="O4" s="40">
        <f t="shared" ca="1" si="10"/>
        <v>0</v>
      </c>
      <c r="P4" s="42"/>
      <c r="Q4" s="31">
        <f t="shared" ref="Q4:Z4" ca="1" si="15">_xlfn.CHISQ.INV(RAND(),2)*$AL$4 *F4</f>
        <v>18375.856271003078</v>
      </c>
      <c r="R4" s="31">
        <f t="shared" ca="1" si="15"/>
        <v>12945.290038807225</v>
      </c>
      <c r="S4" s="31">
        <f t="shared" ca="1" si="15"/>
        <v>0</v>
      </c>
      <c r="T4" s="31">
        <f t="shared" ca="1" si="15"/>
        <v>0</v>
      </c>
      <c r="U4" s="31">
        <f t="shared" ca="1" si="15"/>
        <v>0</v>
      </c>
      <c r="V4" s="31">
        <f t="shared" ca="1" si="15"/>
        <v>0</v>
      </c>
      <c r="W4" s="31">
        <f t="shared" ca="1" si="15"/>
        <v>0</v>
      </c>
      <c r="X4" s="31">
        <f t="shared" ca="1" si="15"/>
        <v>0</v>
      </c>
      <c r="Y4" s="31">
        <f t="shared" ca="1" si="15"/>
        <v>0</v>
      </c>
      <c r="Z4" s="31">
        <f t="shared" ca="1" si="15"/>
        <v>0</v>
      </c>
      <c r="AA4" s="44">
        <f t="shared" ca="1" si="12"/>
        <v>31321.146309810305</v>
      </c>
      <c r="AB4" s="165"/>
      <c r="AC4" s="166" t="s">
        <v>10</v>
      </c>
      <c r="AD4" s="166" t="s">
        <v>10</v>
      </c>
      <c r="AE4" s="3">
        <v>0.1</v>
      </c>
      <c r="AF4" s="3">
        <v>0.17</v>
      </c>
      <c r="AG4" s="3">
        <v>0.1</v>
      </c>
      <c r="AH4" s="3">
        <v>0.17</v>
      </c>
      <c r="AI4" s="3">
        <v>2</v>
      </c>
      <c r="AJ4" s="169">
        <f ca="1">COUNTIF(E:E, "=2")</f>
        <v>12</v>
      </c>
      <c r="AK4" s="6" t="s">
        <v>60</v>
      </c>
      <c r="AL4" s="6">
        <v>10000</v>
      </c>
    </row>
    <row r="5" spans="1:42" ht="15.75" customHeight="1">
      <c r="A5" s="33">
        <v>4</v>
      </c>
      <c r="B5" s="30">
        <v>40000</v>
      </c>
      <c r="C5" s="46"/>
      <c r="D5" s="35">
        <f t="shared" ca="1" si="0"/>
        <v>0.84915850190099396</v>
      </c>
      <c r="E5" s="38">
        <f t="shared" ca="1" si="13"/>
        <v>7</v>
      </c>
      <c r="F5" s="40">
        <f t="shared" ca="1" si="1"/>
        <v>1</v>
      </c>
      <c r="G5" s="40">
        <f t="shared" ca="1" si="2"/>
        <v>1</v>
      </c>
      <c r="H5" s="40">
        <f t="shared" ca="1" si="3"/>
        <v>1</v>
      </c>
      <c r="I5" s="40">
        <f t="shared" ca="1" si="4"/>
        <v>1</v>
      </c>
      <c r="J5" s="40">
        <f t="shared" ca="1" si="5"/>
        <v>1</v>
      </c>
      <c r="K5" s="40">
        <f t="shared" ca="1" si="6"/>
        <v>1</v>
      </c>
      <c r="L5" s="40">
        <f t="shared" ca="1" si="7"/>
        <v>1</v>
      </c>
      <c r="M5" s="40">
        <f t="shared" ca="1" si="8"/>
        <v>0</v>
      </c>
      <c r="N5" s="40">
        <f t="shared" ca="1" si="9"/>
        <v>0</v>
      </c>
      <c r="O5" s="40">
        <f t="shared" ca="1" si="10"/>
        <v>0</v>
      </c>
      <c r="P5" s="42"/>
      <c r="Q5" s="31">
        <f t="shared" ref="Q5:Z5" ca="1" si="16">_xlfn.CHISQ.INV(RAND(),2)*$AL$4 *F5</f>
        <v>6579.974848560717</v>
      </c>
      <c r="R5" s="31">
        <f t="shared" ca="1" si="16"/>
        <v>18054.124718645555</v>
      </c>
      <c r="S5" s="31">
        <f t="shared" ca="1" si="16"/>
        <v>1466.9452050690199</v>
      </c>
      <c r="T5" s="31">
        <f t="shared" ca="1" si="16"/>
        <v>3161.3032465890933</v>
      </c>
      <c r="U5" s="31">
        <f t="shared" ca="1" si="16"/>
        <v>40532.739739421188</v>
      </c>
      <c r="V5" s="31">
        <f t="shared" ca="1" si="16"/>
        <v>49541.542721523263</v>
      </c>
      <c r="W5" s="31">
        <f t="shared" ca="1" si="16"/>
        <v>48750.248824587106</v>
      </c>
      <c r="X5" s="31">
        <f t="shared" ca="1" si="16"/>
        <v>0</v>
      </c>
      <c r="Y5" s="31">
        <f t="shared" ca="1" si="16"/>
        <v>0</v>
      </c>
      <c r="Z5" s="31">
        <f t="shared" ca="1" si="16"/>
        <v>0</v>
      </c>
      <c r="AA5" s="44">
        <f t="shared" ca="1" si="12"/>
        <v>168086.87930439593</v>
      </c>
      <c r="AB5" s="165"/>
      <c r="AC5" s="166" t="s">
        <v>10</v>
      </c>
      <c r="AD5" s="166" t="s">
        <v>10</v>
      </c>
      <c r="AE5" s="3">
        <v>0.1</v>
      </c>
      <c r="AF5" s="3">
        <v>0.27</v>
      </c>
      <c r="AG5" s="3">
        <v>0.1</v>
      </c>
      <c r="AH5" s="3">
        <v>0.27</v>
      </c>
      <c r="AI5" s="3">
        <v>3</v>
      </c>
      <c r="AJ5" s="169">
        <f ca="1">COUNTIF(E:E, "=3")</f>
        <v>21</v>
      </c>
      <c r="AK5" s="95"/>
      <c r="AL5" s="95"/>
    </row>
    <row r="6" spans="1:42" ht="15.75" customHeight="1">
      <c r="A6" s="33">
        <v>5</v>
      </c>
      <c r="B6" s="30">
        <v>40000</v>
      </c>
      <c r="C6" s="46"/>
      <c r="D6" s="35">
        <f t="shared" ca="1" si="0"/>
        <v>0.58662336232332535</v>
      </c>
      <c r="E6" s="38">
        <f t="shared" ca="1" si="13"/>
        <v>5</v>
      </c>
      <c r="F6" s="40">
        <f t="shared" ca="1" si="1"/>
        <v>1</v>
      </c>
      <c r="G6" s="40">
        <f t="shared" ca="1" si="2"/>
        <v>1</v>
      </c>
      <c r="H6" s="40">
        <f t="shared" ca="1" si="3"/>
        <v>1</v>
      </c>
      <c r="I6" s="40">
        <f t="shared" ca="1" si="4"/>
        <v>1</v>
      </c>
      <c r="J6" s="40">
        <f t="shared" ca="1" si="5"/>
        <v>1</v>
      </c>
      <c r="K6" s="40">
        <f t="shared" ca="1" si="6"/>
        <v>0</v>
      </c>
      <c r="L6" s="40">
        <f t="shared" ca="1" si="7"/>
        <v>0</v>
      </c>
      <c r="M6" s="40">
        <f t="shared" ca="1" si="8"/>
        <v>0</v>
      </c>
      <c r="N6" s="40">
        <f t="shared" ca="1" si="9"/>
        <v>0</v>
      </c>
      <c r="O6" s="40">
        <f t="shared" ca="1" si="10"/>
        <v>0</v>
      </c>
      <c r="P6" s="42"/>
      <c r="Q6" s="31">
        <f t="shared" ref="Q6:Z6" ca="1" si="17">_xlfn.CHISQ.INV(RAND(),2)*$AL$4 *F6</f>
        <v>32875.649710410638</v>
      </c>
      <c r="R6" s="31">
        <f t="shared" ca="1" si="17"/>
        <v>9399.079270245169</v>
      </c>
      <c r="S6" s="31">
        <f t="shared" ca="1" si="17"/>
        <v>38907.165660963379</v>
      </c>
      <c r="T6" s="31">
        <f t="shared" ca="1" si="17"/>
        <v>27545.563455909571</v>
      </c>
      <c r="U6" s="31">
        <f t="shared" ca="1" si="17"/>
        <v>9883.8176637324432</v>
      </c>
      <c r="V6" s="31">
        <f t="shared" ca="1" si="17"/>
        <v>0</v>
      </c>
      <c r="W6" s="31">
        <f t="shared" ca="1" si="17"/>
        <v>0</v>
      </c>
      <c r="X6" s="31">
        <f t="shared" ca="1" si="17"/>
        <v>0</v>
      </c>
      <c r="Y6" s="31">
        <f t="shared" ca="1" si="17"/>
        <v>0</v>
      </c>
      <c r="Z6" s="31">
        <f t="shared" ca="1" si="17"/>
        <v>0</v>
      </c>
      <c r="AA6" s="44">
        <f t="shared" ca="1" si="12"/>
        <v>118611.2757612612</v>
      </c>
      <c r="AB6" s="165"/>
      <c r="AC6" s="166" t="s">
        <v>10</v>
      </c>
      <c r="AD6" s="166" t="s">
        <v>10</v>
      </c>
      <c r="AE6" s="3">
        <v>0.12</v>
      </c>
      <c r="AF6" s="3">
        <v>0.39</v>
      </c>
      <c r="AG6" s="3">
        <v>0.12</v>
      </c>
      <c r="AH6" s="3">
        <v>0.39</v>
      </c>
      <c r="AI6" s="3">
        <v>4</v>
      </c>
      <c r="AJ6" s="169">
        <f ca="1">COUNTIF(E:E, "=4")</f>
        <v>24</v>
      </c>
      <c r="AK6" s="4" t="s">
        <v>141</v>
      </c>
      <c r="AL6" s="95"/>
    </row>
    <row r="7" spans="1:42" ht="15.75" customHeight="1">
      <c r="A7" s="33">
        <v>6</v>
      </c>
      <c r="B7" s="30">
        <v>40000</v>
      </c>
      <c r="C7" s="46"/>
      <c r="D7" s="35">
        <f t="shared" ca="1" si="0"/>
        <v>0.84137075195095634</v>
      </c>
      <c r="E7" s="38">
        <f t="shared" ca="1" si="13"/>
        <v>7</v>
      </c>
      <c r="F7" s="40">
        <f t="shared" ca="1" si="1"/>
        <v>1</v>
      </c>
      <c r="G7" s="40">
        <f t="shared" ca="1" si="2"/>
        <v>1</v>
      </c>
      <c r="H7" s="40">
        <f t="shared" ca="1" si="3"/>
        <v>1</v>
      </c>
      <c r="I7" s="40">
        <f t="shared" ca="1" si="4"/>
        <v>1</v>
      </c>
      <c r="J7" s="40">
        <f t="shared" ca="1" si="5"/>
        <v>1</v>
      </c>
      <c r="K7" s="40">
        <f t="shared" ca="1" si="6"/>
        <v>1</v>
      </c>
      <c r="L7" s="40">
        <f t="shared" ca="1" si="7"/>
        <v>1</v>
      </c>
      <c r="M7" s="40">
        <f t="shared" ca="1" si="8"/>
        <v>0</v>
      </c>
      <c r="N7" s="40">
        <f t="shared" ca="1" si="9"/>
        <v>0</v>
      </c>
      <c r="O7" s="40">
        <f t="shared" ca="1" si="10"/>
        <v>0</v>
      </c>
      <c r="P7" s="42"/>
      <c r="Q7" s="31">
        <f t="shared" ref="Q7:Z7" ca="1" si="18">_xlfn.CHISQ.INV(RAND(),2)*$AL$4 *F7</f>
        <v>5552.9581484751188</v>
      </c>
      <c r="R7" s="31">
        <f t="shared" ca="1" si="18"/>
        <v>45908.677906709527</v>
      </c>
      <c r="S7" s="31">
        <f t="shared" ca="1" si="18"/>
        <v>16674.738083424341</v>
      </c>
      <c r="T7" s="31">
        <f t="shared" ca="1" si="18"/>
        <v>28197.664645856032</v>
      </c>
      <c r="U7" s="31">
        <f t="shared" ca="1" si="18"/>
        <v>22307.535015851601</v>
      </c>
      <c r="V7" s="31">
        <f t="shared" ca="1" si="18"/>
        <v>3345.883956284777</v>
      </c>
      <c r="W7" s="31">
        <f t="shared" ca="1" si="18"/>
        <v>34731.431022919642</v>
      </c>
      <c r="X7" s="31">
        <f t="shared" ca="1" si="18"/>
        <v>0</v>
      </c>
      <c r="Y7" s="31">
        <f t="shared" ca="1" si="18"/>
        <v>0</v>
      </c>
      <c r="Z7" s="31">
        <f t="shared" ca="1" si="18"/>
        <v>0</v>
      </c>
      <c r="AA7" s="44">
        <f t="shared" ca="1" si="12"/>
        <v>156718.88877952102</v>
      </c>
      <c r="AB7" s="165"/>
      <c r="AC7" s="166" t="s">
        <v>10</v>
      </c>
      <c r="AD7" s="166" t="s">
        <v>10</v>
      </c>
      <c r="AE7" s="3">
        <v>0.15000000000000002</v>
      </c>
      <c r="AF7" s="3">
        <v>0.54</v>
      </c>
      <c r="AG7" s="3">
        <v>0.15000000000000002</v>
      </c>
      <c r="AH7" s="3">
        <v>0.54</v>
      </c>
      <c r="AI7" s="3">
        <v>5</v>
      </c>
      <c r="AJ7" s="169">
        <f ca="1">COUNTIF(E:E, "=5")</f>
        <v>22</v>
      </c>
      <c r="AK7" s="5">
        <v>1</v>
      </c>
      <c r="AL7" s="95"/>
    </row>
    <row r="8" spans="1:42" ht="15.75" customHeight="1">
      <c r="A8" s="33">
        <v>7</v>
      </c>
      <c r="B8" s="30">
        <v>40000</v>
      </c>
      <c r="C8" s="46"/>
      <c r="D8" s="35">
        <f t="shared" ca="1" si="0"/>
        <v>0.42244233023131572</v>
      </c>
      <c r="E8" s="38">
        <f t="shared" ca="1" si="13"/>
        <v>4</v>
      </c>
      <c r="F8" s="40">
        <f t="shared" ca="1" si="1"/>
        <v>1</v>
      </c>
      <c r="G8" s="40">
        <f t="shared" ca="1" si="2"/>
        <v>1</v>
      </c>
      <c r="H8" s="40">
        <f t="shared" ca="1" si="3"/>
        <v>1</v>
      </c>
      <c r="I8" s="40">
        <f t="shared" ca="1" si="4"/>
        <v>1</v>
      </c>
      <c r="J8" s="40">
        <f t="shared" ca="1" si="5"/>
        <v>0</v>
      </c>
      <c r="K8" s="40">
        <f t="shared" ca="1" si="6"/>
        <v>0</v>
      </c>
      <c r="L8" s="40">
        <f t="shared" ca="1" si="7"/>
        <v>0</v>
      </c>
      <c r="M8" s="40">
        <f t="shared" ca="1" si="8"/>
        <v>0</v>
      </c>
      <c r="N8" s="40">
        <f t="shared" ca="1" si="9"/>
        <v>0</v>
      </c>
      <c r="O8" s="40">
        <f t="shared" ca="1" si="10"/>
        <v>0</v>
      </c>
      <c r="P8" s="42"/>
      <c r="Q8" s="31">
        <f t="shared" ref="Q8:Z8" ca="1" si="19">_xlfn.CHISQ.INV(RAND(),2)*$AL$4 *F8</f>
        <v>5548.9611145617064</v>
      </c>
      <c r="R8" s="31">
        <f t="shared" ca="1" si="19"/>
        <v>42211.577620487267</v>
      </c>
      <c r="S8" s="31">
        <f t="shared" ca="1" si="19"/>
        <v>3926.6059302257772</v>
      </c>
      <c r="T8" s="31">
        <f t="shared" ca="1" si="19"/>
        <v>8148.441984885214</v>
      </c>
      <c r="U8" s="31">
        <f t="shared" ca="1" si="19"/>
        <v>0</v>
      </c>
      <c r="V8" s="31">
        <f t="shared" ca="1" si="19"/>
        <v>0</v>
      </c>
      <c r="W8" s="31">
        <f t="shared" ca="1" si="19"/>
        <v>0</v>
      </c>
      <c r="X8" s="31">
        <f t="shared" ca="1" si="19"/>
        <v>0</v>
      </c>
      <c r="Y8" s="31">
        <f t="shared" ca="1" si="19"/>
        <v>0</v>
      </c>
      <c r="Z8" s="31">
        <f t="shared" ca="1" si="19"/>
        <v>0</v>
      </c>
      <c r="AA8" s="44">
        <f t="shared" ca="1" si="12"/>
        <v>59835.586650159967</v>
      </c>
      <c r="AB8" s="165"/>
      <c r="AC8" s="166" t="s">
        <v>10</v>
      </c>
      <c r="AD8" s="166" t="s">
        <v>10</v>
      </c>
      <c r="AE8" s="3">
        <v>0.14999999999999991</v>
      </c>
      <c r="AF8" s="3">
        <v>0.69</v>
      </c>
      <c r="AG8" s="3">
        <v>0.14999999999999991</v>
      </c>
      <c r="AH8" s="3">
        <v>0.69</v>
      </c>
      <c r="AI8" s="3">
        <v>6</v>
      </c>
      <c r="AJ8" s="169">
        <f ca="1">COUNTIF(E:E, "=6")</f>
        <v>12</v>
      </c>
      <c r="AK8" s="95"/>
      <c r="AL8" s="95"/>
    </row>
    <row r="9" spans="1:42" ht="15.75" customHeight="1">
      <c r="A9" s="33">
        <v>8</v>
      </c>
      <c r="B9" s="30">
        <v>40000</v>
      </c>
      <c r="C9" s="46"/>
      <c r="D9" s="35">
        <f t="shared" ca="1" si="0"/>
        <v>0.66644574162678916</v>
      </c>
      <c r="E9" s="38">
        <f t="shared" ca="1" si="13"/>
        <v>5</v>
      </c>
      <c r="F9" s="40">
        <f t="shared" ca="1" si="1"/>
        <v>1</v>
      </c>
      <c r="G9" s="40">
        <f t="shared" ca="1" si="2"/>
        <v>1</v>
      </c>
      <c r="H9" s="40">
        <f t="shared" ca="1" si="3"/>
        <v>1</v>
      </c>
      <c r="I9" s="40">
        <f t="shared" ca="1" si="4"/>
        <v>1</v>
      </c>
      <c r="J9" s="40">
        <f t="shared" ca="1" si="5"/>
        <v>1</v>
      </c>
      <c r="K9" s="40">
        <f t="shared" ca="1" si="6"/>
        <v>0</v>
      </c>
      <c r="L9" s="40">
        <f t="shared" ca="1" si="7"/>
        <v>0</v>
      </c>
      <c r="M9" s="40">
        <f t="shared" ca="1" si="8"/>
        <v>0</v>
      </c>
      <c r="N9" s="40">
        <f t="shared" ca="1" si="9"/>
        <v>0</v>
      </c>
      <c r="O9" s="40">
        <f t="shared" ca="1" si="10"/>
        <v>0</v>
      </c>
      <c r="P9" s="42"/>
      <c r="Q9" s="31">
        <f t="shared" ref="Q9:Z9" ca="1" si="20">_xlfn.CHISQ.INV(RAND(),2)*$AL$4 *F9</f>
        <v>10248.093435089706</v>
      </c>
      <c r="R9" s="31">
        <f t="shared" ca="1" si="20"/>
        <v>24796.976929127384</v>
      </c>
      <c r="S9" s="31">
        <f t="shared" ca="1" si="20"/>
        <v>20989.793439421861</v>
      </c>
      <c r="T9" s="31">
        <f t="shared" ca="1" si="20"/>
        <v>44230.361679710768</v>
      </c>
      <c r="U9" s="31">
        <f t="shared" ca="1" si="20"/>
        <v>16040.703365774842</v>
      </c>
      <c r="V9" s="31">
        <f t="shared" ca="1" si="20"/>
        <v>0</v>
      </c>
      <c r="W9" s="31">
        <f t="shared" ca="1" si="20"/>
        <v>0</v>
      </c>
      <c r="X9" s="31">
        <f t="shared" ca="1" si="20"/>
        <v>0</v>
      </c>
      <c r="Y9" s="31">
        <f t="shared" ca="1" si="20"/>
        <v>0</v>
      </c>
      <c r="Z9" s="31">
        <f t="shared" ca="1" si="20"/>
        <v>0</v>
      </c>
      <c r="AA9" s="44">
        <f t="shared" ca="1" si="12"/>
        <v>116305.92884912457</v>
      </c>
      <c r="AB9" s="165"/>
      <c r="AC9" s="166" t="s">
        <v>10</v>
      </c>
      <c r="AD9" s="166" t="s">
        <v>10</v>
      </c>
      <c r="AE9" s="3">
        <v>0.12000000000000011</v>
      </c>
      <c r="AF9" s="3">
        <v>0.81</v>
      </c>
      <c r="AG9" s="3">
        <f>AH9-AH8</f>
        <v>0.12000000000000011</v>
      </c>
      <c r="AH9" s="3">
        <v>0.81</v>
      </c>
      <c r="AI9" s="3">
        <v>7</v>
      </c>
      <c r="AJ9" s="169">
        <f ca="1">COUNTIF(E:E, "=7")</f>
        <v>4</v>
      </c>
      <c r="AK9" s="95"/>
      <c r="AL9" s="96" t="s">
        <v>10</v>
      </c>
    </row>
    <row r="10" spans="1:42" ht="15.75" customHeight="1">
      <c r="A10" s="33">
        <v>9</v>
      </c>
      <c r="B10" s="30">
        <v>40000</v>
      </c>
      <c r="C10" s="46"/>
      <c r="D10" s="35">
        <f t="shared" ca="1" si="0"/>
        <v>0.69980392913954836</v>
      </c>
      <c r="E10" s="38">
        <f t="shared" ca="1" si="13"/>
        <v>6</v>
      </c>
      <c r="F10" s="40">
        <f t="shared" ca="1" si="1"/>
        <v>1</v>
      </c>
      <c r="G10" s="40">
        <f t="shared" ca="1" si="2"/>
        <v>1</v>
      </c>
      <c r="H10" s="40">
        <f t="shared" ca="1" si="3"/>
        <v>1</v>
      </c>
      <c r="I10" s="40">
        <f t="shared" ca="1" si="4"/>
        <v>1</v>
      </c>
      <c r="J10" s="40">
        <f t="shared" ca="1" si="5"/>
        <v>1</v>
      </c>
      <c r="K10" s="40">
        <f t="shared" ca="1" si="6"/>
        <v>1</v>
      </c>
      <c r="L10" s="40">
        <f t="shared" ca="1" si="7"/>
        <v>0</v>
      </c>
      <c r="M10" s="40">
        <f t="shared" ca="1" si="8"/>
        <v>0</v>
      </c>
      <c r="N10" s="40">
        <f t="shared" ca="1" si="9"/>
        <v>0</v>
      </c>
      <c r="O10" s="40">
        <f t="shared" ca="1" si="10"/>
        <v>0</v>
      </c>
      <c r="P10" s="42"/>
      <c r="Q10" s="31">
        <f t="shared" ref="Q10:Z10" ca="1" si="21">_xlfn.CHISQ.INV(RAND(),2)*$AL$4 *F10</f>
        <v>332.63045844201667</v>
      </c>
      <c r="R10" s="31">
        <f t="shared" ca="1" si="21"/>
        <v>11430.907658614091</v>
      </c>
      <c r="S10" s="31">
        <f t="shared" ca="1" si="21"/>
        <v>37124.924610451832</v>
      </c>
      <c r="T10" s="31">
        <f t="shared" ca="1" si="21"/>
        <v>6024.1547794937087</v>
      </c>
      <c r="U10" s="31">
        <f t="shared" ca="1" si="21"/>
        <v>13067.357774607901</v>
      </c>
      <c r="V10" s="31">
        <f t="shared" ca="1" si="21"/>
        <v>47902.956681407362</v>
      </c>
      <c r="W10" s="31">
        <f t="shared" ca="1" si="21"/>
        <v>0</v>
      </c>
      <c r="X10" s="31">
        <f t="shared" ca="1" si="21"/>
        <v>0</v>
      </c>
      <c r="Y10" s="31">
        <f t="shared" ca="1" si="21"/>
        <v>0</v>
      </c>
      <c r="Z10" s="31">
        <f t="shared" ca="1" si="21"/>
        <v>0</v>
      </c>
      <c r="AA10" s="44">
        <f t="shared" ca="1" si="12"/>
        <v>115882.9319630169</v>
      </c>
      <c r="AB10" s="165"/>
      <c r="AC10" s="166" t="s">
        <v>10</v>
      </c>
      <c r="AD10" s="166" t="s">
        <v>10</v>
      </c>
      <c r="AE10" s="3">
        <v>5.9999999999999942E-2</v>
      </c>
      <c r="AF10" s="3">
        <v>0.87</v>
      </c>
      <c r="AG10" s="3">
        <f>AH10-AH9</f>
        <v>5.9999999999999942E-2</v>
      </c>
      <c r="AH10" s="3">
        <v>0.87</v>
      </c>
      <c r="AI10" s="3">
        <v>8</v>
      </c>
      <c r="AJ10" s="169">
        <f ca="1">COUNTIF(E:E, "=8")</f>
        <v>9</v>
      </c>
      <c r="AK10" s="95"/>
      <c r="AL10" s="96" t="s">
        <v>10</v>
      </c>
    </row>
    <row r="11" spans="1:42" ht="15.75" customHeight="1">
      <c r="A11" s="33">
        <v>10</v>
      </c>
      <c r="B11" s="30">
        <v>40000</v>
      </c>
      <c r="C11" s="46"/>
      <c r="D11" s="35">
        <f t="shared" ca="1" si="0"/>
        <v>0.99262813604453481</v>
      </c>
      <c r="E11" s="38">
        <f t="shared" ca="1" si="13"/>
        <v>10</v>
      </c>
      <c r="F11" s="40">
        <f t="shared" ca="1" si="1"/>
        <v>1</v>
      </c>
      <c r="G11" s="40">
        <f t="shared" ca="1" si="2"/>
        <v>1</v>
      </c>
      <c r="H11" s="40">
        <f t="shared" ca="1" si="3"/>
        <v>1</v>
      </c>
      <c r="I11" s="40">
        <f t="shared" ca="1" si="4"/>
        <v>1</v>
      </c>
      <c r="J11" s="40">
        <f t="shared" ca="1" si="5"/>
        <v>1</v>
      </c>
      <c r="K11" s="40">
        <f t="shared" ca="1" si="6"/>
        <v>1</v>
      </c>
      <c r="L11" s="40">
        <f t="shared" ca="1" si="7"/>
        <v>1</v>
      </c>
      <c r="M11" s="40">
        <f t="shared" ca="1" si="8"/>
        <v>1</v>
      </c>
      <c r="N11" s="40">
        <f t="shared" ca="1" si="9"/>
        <v>1</v>
      </c>
      <c r="O11" s="40">
        <f t="shared" ca="1" si="10"/>
        <v>1</v>
      </c>
      <c r="P11" s="42" t="s">
        <v>10</v>
      </c>
      <c r="Q11" s="31">
        <f t="shared" ref="Q11:Z11" ca="1" si="22">_xlfn.CHISQ.INV(RAND(),2)*$AL$4 *F11</f>
        <v>53320.647091594743</v>
      </c>
      <c r="R11" s="31">
        <f t="shared" ca="1" si="22"/>
        <v>6787.6282085110806</v>
      </c>
      <c r="S11" s="31">
        <f t="shared" ca="1" si="22"/>
        <v>7401.9511489119659</v>
      </c>
      <c r="T11" s="31">
        <f t="shared" ca="1" si="22"/>
        <v>2849.2077437888643</v>
      </c>
      <c r="U11" s="31">
        <f t="shared" ca="1" si="22"/>
        <v>26939.087155680263</v>
      </c>
      <c r="V11" s="31">
        <f t="shared" ca="1" si="22"/>
        <v>55684.991201050267</v>
      </c>
      <c r="W11" s="31">
        <f t="shared" ca="1" si="22"/>
        <v>258.41378502230111</v>
      </c>
      <c r="X11" s="31">
        <f t="shared" ca="1" si="22"/>
        <v>4946.7319145263664</v>
      </c>
      <c r="Y11" s="31">
        <f t="shared" ca="1" si="22"/>
        <v>8916.5768859769396</v>
      </c>
      <c r="Z11" s="31">
        <f t="shared" ca="1" si="22"/>
        <v>21217.778347483127</v>
      </c>
      <c r="AA11" s="44">
        <f t="shared" ca="1" si="12"/>
        <v>188323.01348254594</v>
      </c>
      <c r="AB11" s="165"/>
      <c r="AC11" s="166" t="s">
        <v>10</v>
      </c>
      <c r="AD11" s="166" t="s">
        <v>10</v>
      </c>
      <c r="AE11" s="3">
        <v>5.0000000000000044E-2</v>
      </c>
      <c r="AF11" s="3">
        <v>0.92</v>
      </c>
      <c r="AG11" s="3">
        <f>AH11-AH10</f>
        <v>5.0000000000000044E-2</v>
      </c>
      <c r="AH11" s="3">
        <v>0.92</v>
      </c>
      <c r="AI11" s="3">
        <v>9</v>
      </c>
      <c r="AJ11" s="169">
        <f ca="1">COUNTIF(E:E, "=9")</f>
        <v>6</v>
      </c>
      <c r="AK11" s="95"/>
      <c r="AL11" s="96" t="s">
        <v>10</v>
      </c>
    </row>
    <row r="12" spans="1:42" ht="15.75" customHeight="1">
      <c r="A12" s="33">
        <v>11</v>
      </c>
      <c r="B12" s="30">
        <v>40000</v>
      </c>
      <c r="C12" s="46"/>
      <c r="D12" s="35">
        <f t="shared" ca="1" si="0"/>
        <v>0.26135946820069578</v>
      </c>
      <c r="E12" s="38">
        <f t="shared" ca="1" si="13"/>
        <v>2</v>
      </c>
      <c r="F12" s="40">
        <f t="shared" ca="1" si="1"/>
        <v>1</v>
      </c>
      <c r="G12" s="40">
        <f t="shared" ca="1" si="2"/>
        <v>1</v>
      </c>
      <c r="H12" s="40">
        <f t="shared" ca="1" si="3"/>
        <v>0</v>
      </c>
      <c r="I12" s="40">
        <f t="shared" ca="1" si="4"/>
        <v>0</v>
      </c>
      <c r="J12" s="40">
        <f t="shared" ca="1" si="5"/>
        <v>0</v>
      </c>
      <c r="K12" s="40">
        <f t="shared" ca="1" si="6"/>
        <v>0</v>
      </c>
      <c r="L12" s="40">
        <f t="shared" ca="1" si="7"/>
        <v>0</v>
      </c>
      <c r="M12" s="40">
        <f t="shared" ca="1" si="8"/>
        <v>0</v>
      </c>
      <c r="N12" s="40">
        <f t="shared" ca="1" si="9"/>
        <v>0</v>
      </c>
      <c r="O12" s="40">
        <f t="shared" ca="1" si="10"/>
        <v>0</v>
      </c>
      <c r="P12" s="42"/>
      <c r="Q12" s="31">
        <f t="shared" ref="Q12:Z12" ca="1" si="23">_xlfn.CHISQ.INV(RAND(),2)*$AL$4 *F12</f>
        <v>27887.679589038242</v>
      </c>
      <c r="R12" s="31">
        <f t="shared" ca="1" si="23"/>
        <v>25092.819258140469</v>
      </c>
      <c r="S12" s="31">
        <f t="shared" ca="1" si="23"/>
        <v>0</v>
      </c>
      <c r="T12" s="31">
        <f t="shared" ca="1" si="23"/>
        <v>0</v>
      </c>
      <c r="U12" s="31">
        <f t="shared" ca="1" si="23"/>
        <v>0</v>
      </c>
      <c r="V12" s="31">
        <f t="shared" ca="1" si="23"/>
        <v>0</v>
      </c>
      <c r="W12" s="31">
        <f t="shared" ca="1" si="23"/>
        <v>0</v>
      </c>
      <c r="X12" s="31">
        <f t="shared" ca="1" si="23"/>
        <v>0</v>
      </c>
      <c r="Y12" s="31">
        <f t="shared" ca="1" si="23"/>
        <v>0</v>
      </c>
      <c r="Z12" s="31">
        <f t="shared" ca="1" si="23"/>
        <v>0</v>
      </c>
      <c r="AA12" s="44">
        <f t="shared" ca="1" si="12"/>
        <v>52980.498847178707</v>
      </c>
      <c r="AB12" s="165"/>
      <c r="AC12" s="166" t="s">
        <v>10</v>
      </c>
      <c r="AD12" s="166" t="s">
        <v>10</v>
      </c>
      <c r="AE12" s="3">
        <v>4.9999999999999933E-2</v>
      </c>
      <c r="AF12" s="3">
        <v>0.97</v>
      </c>
      <c r="AG12" s="3">
        <f>AH12-AH11</f>
        <v>4.9999999999999933E-2</v>
      </c>
      <c r="AH12" s="3">
        <v>0.97</v>
      </c>
      <c r="AI12" s="3">
        <v>10</v>
      </c>
      <c r="AJ12" s="169">
        <f ca="1">COUNTIF(E:E, "=10")</f>
        <v>4</v>
      </c>
      <c r="AK12" s="96" t="s">
        <v>10</v>
      </c>
      <c r="AL12" s="96" t="s">
        <v>10</v>
      </c>
    </row>
    <row r="13" spans="1:42" ht="15.75" customHeight="1">
      <c r="A13" s="33">
        <v>12</v>
      </c>
      <c r="B13" s="30">
        <v>40000</v>
      </c>
      <c r="C13" s="46"/>
      <c r="D13" s="35">
        <f t="shared" ca="1" si="0"/>
        <v>1.2242555250614462E-2</v>
      </c>
      <c r="E13" s="38">
        <f t="shared" ca="1" si="13"/>
        <v>0</v>
      </c>
      <c r="F13" s="40">
        <f t="shared" ca="1" si="1"/>
        <v>0</v>
      </c>
      <c r="G13" s="40">
        <f t="shared" ca="1" si="2"/>
        <v>0</v>
      </c>
      <c r="H13" s="40">
        <f t="shared" ca="1" si="3"/>
        <v>0</v>
      </c>
      <c r="I13" s="40">
        <f t="shared" ca="1" si="4"/>
        <v>0</v>
      </c>
      <c r="J13" s="40">
        <f t="shared" ca="1" si="5"/>
        <v>0</v>
      </c>
      <c r="K13" s="40">
        <f t="shared" ca="1" si="6"/>
        <v>0</v>
      </c>
      <c r="L13" s="40">
        <f t="shared" ca="1" si="7"/>
        <v>0</v>
      </c>
      <c r="M13" s="40">
        <f t="shared" ca="1" si="8"/>
        <v>0</v>
      </c>
      <c r="N13" s="40">
        <f t="shared" ca="1" si="9"/>
        <v>0</v>
      </c>
      <c r="O13" s="40">
        <f t="shared" ca="1" si="10"/>
        <v>0</v>
      </c>
      <c r="P13" s="42"/>
      <c r="Q13" s="31">
        <f t="shared" ref="Q13:Z13" ca="1" si="24">_xlfn.CHISQ.INV(RAND(),2)*$AL$4 *F13</f>
        <v>0</v>
      </c>
      <c r="R13" s="31">
        <f t="shared" ca="1" si="24"/>
        <v>0</v>
      </c>
      <c r="S13" s="31">
        <f t="shared" ca="1" si="24"/>
        <v>0</v>
      </c>
      <c r="T13" s="31">
        <f t="shared" ca="1" si="24"/>
        <v>0</v>
      </c>
      <c r="U13" s="31">
        <f t="shared" ca="1" si="24"/>
        <v>0</v>
      </c>
      <c r="V13" s="31">
        <f t="shared" ca="1" si="24"/>
        <v>0</v>
      </c>
      <c r="W13" s="31">
        <f t="shared" ca="1" si="24"/>
        <v>0</v>
      </c>
      <c r="X13" s="31">
        <f t="shared" ca="1" si="24"/>
        <v>0</v>
      </c>
      <c r="Y13" s="31">
        <f t="shared" ca="1" si="24"/>
        <v>0</v>
      </c>
      <c r="Z13" s="31">
        <f t="shared" ca="1" si="24"/>
        <v>0</v>
      </c>
      <c r="AA13" s="44">
        <f t="shared" ca="1" si="12"/>
        <v>0</v>
      </c>
      <c r="AB13" s="165"/>
      <c r="AC13" s="166" t="s">
        <v>10</v>
      </c>
      <c r="AD13" s="166" t="s">
        <v>10</v>
      </c>
      <c r="AE13" s="3">
        <v>3.0000000000000027E-2</v>
      </c>
      <c r="AF13" s="3">
        <v>1</v>
      </c>
      <c r="AG13" s="3">
        <f>AH13-AH12</f>
        <v>3.0000000000000027E-2</v>
      </c>
      <c r="AH13" s="3">
        <v>1</v>
      </c>
      <c r="AI13" s="3"/>
      <c r="AJ13" s="170"/>
      <c r="AK13" s="96" t="s">
        <v>10</v>
      </c>
      <c r="AL13" s="36" t="s">
        <v>10</v>
      </c>
    </row>
    <row r="14" spans="1:42" ht="15.75" customHeight="1">
      <c r="A14" s="33">
        <v>13</v>
      </c>
      <c r="B14" s="30">
        <v>40000</v>
      </c>
      <c r="C14" s="46"/>
      <c r="D14" s="35">
        <f t="shared" ca="1" si="0"/>
        <v>0.67975088262814853</v>
      </c>
      <c r="E14" s="38">
        <f t="shared" ca="1" si="13"/>
        <v>5</v>
      </c>
      <c r="F14" s="40">
        <f t="shared" ca="1" si="1"/>
        <v>1</v>
      </c>
      <c r="G14" s="40">
        <f t="shared" ca="1" si="2"/>
        <v>1</v>
      </c>
      <c r="H14" s="40">
        <f t="shared" ca="1" si="3"/>
        <v>1</v>
      </c>
      <c r="I14" s="40">
        <f t="shared" ca="1" si="4"/>
        <v>1</v>
      </c>
      <c r="J14" s="40">
        <f t="shared" ca="1" si="5"/>
        <v>1</v>
      </c>
      <c r="K14" s="40">
        <f t="shared" ca="1" si="6"/>
        <v>0</v>
      </c>
      <c r="L14" s="40">
        <f t="shared" ca="1" si="7"/>
        <v>0</v>
      </c>
      <c r="M14" s="40">
        <f t="shared" ca="1" si="8"/>
        <v>0</v>
      </c>
      <c r="N14" s="40">
        <f t="shared" ca="1" si="9"/>
        <v>0</v>
      </c>
      <c r="O14" s="40">
        <f t="shared" ca="1" si="10"/>
        <v>0</v>
      </c>
      <c r="P14" s="42"/>
      <c r="Q14" s="31">
        <f t="shared" ref="Q14:Z14" ca="1" si="25">_xlfn.CHISQ.INV(RAND(),2)*$AL$4 *F14</f>
        <v>4978.6276392676791</v>
      </c>
      <c r="R14" s="31">
        <f t="shared" ca="1" si="25"/>
        <v>23002.630319144366</v>
      </c>
      <c r="S14" s="31">
        <f t="shared" ca="1" si="25"/>
        <v>31801.236641546016</v>
      </c>
      <c r="T14" s="31">
        <f t="shared" ca="1" si="25"/>
        <v>85059.873259894215</v>
      </c>
      <c r="U14" s="31">
        <f t="shared" ca="1" si="25"/>
        <v>23925.172747174838</v>
      </c>
      <c r="V14" s="31">
        <f t="shared" ca="1" si="25"/>
        <v>0</v>
      </c>
      <c r="W14" s="31">
        <f t="shared" ca="1" si="25"/>
        <v>0</v>
      </c>
      <c r="X14" s="31">
        <f t="shared" ca="1" si="25"/>
        <v>0</v>
      </c>
      <c r="Y14" s="31">
        <f t="shared" ca="1" si="25"/>
        <v>0</v>
      </c>
      <c r="Z14" s="31">
        <f t="shared" ca="1" si="25"/>
        <v>0</v>
      </c>
      <c r="AA14" s="44">
        <f t="shared" ca="1" si="12"/>
        <v>168767.5406070271</v>
      </c>
      <c r="AB14" s="165"/>
      <c r="AC14" s="166" t="s">
        <v>10</v>
      </c>
      <c r="AD14" s="166"/>
      <c r="AE14" s="3">
        <f>SUM(AE2:AE13)</f>
        <v>1</v>
      </c>
      <c r="AF14" s="3"/>
      <c r="AG14" s="3">
        <v>1</v>
      </c>
      <c r="AH14" s="3"/>
      <c r="AI14" s="3"/>
      <c r="AJ14" s="169" t="s">
        <v>10</v>
      </c>
      <c r="AK14" s="166" t="s">
        <v>10</v>
      </c>
      <c r="AL14" s="36" t="s">
        <v>10</v>
      </c>
    </row>
    <row r="15" spans="1:42" ht="15.75" customHeight="1">
      <c r="A15" s="33">
        <v>14</v>
      </c>
      <c r="B15" s="30">
        <v>40000</v>
      </c>
      <c r="C15" s="46"/>
      <c r="D15" s="35">
        <f t="shared" ca="1" si="0"/>
        <v>6.2591897095013671E-2</v>
      </c>
      <c r="E15" s="38">
        <f t="shared" ca="1" si="13"/>
        <v>0</v>
      </c>
      <c r="F15" s="40">
        <f t="shared" ca="1" si="1"/>
        <v>0</v>
      </c>
      <c r="G15" s="40">
        <f t="shared" ca="1" si="2"/>
        <v>0</v>
      </c>
      <c r="H15" s="40">
        <f t="shared" ca="1" si="3"/>
        <v>0</v>
      </c>
      <c r="I15" s="40">
        <f t="shared" ca="1" si="4"/>
        <v>0</v>
      </c>
      <c r="J15" s="40">
        <f t="shared" ca="1" si="5"/>
        <v>0</v>
      </c>
      <c r="K15" s="40">
        <f t="shared" ca="1" si="6"/>
        <v>0</v>
      </c>
      <c r="L15" s="40">
        <f t="shared" ca="1" si="7"/>
        <v>0</v>
      </c>
      <c r="M15" s="40">
        <f t="shared" ca="1" si="8"/>
        <v>0</v>
      </c>
      <c r="N15" s="40">
        <f t="shared" ca="1" si="9"/>
        <v>0</v>
      </c>
      <c r="O15" s="40">
        <f t="shared" ca="1" si="10"/>
        <v>0</v>
      </c>
      <c r="P15" s="42"/>
      <c r="Q15" s="31">
        <f t="shared" ref="Q15:Z15" ca="1" si="26">_xlfn.CHISQ.INV(RAND(),2)*$AL$4 *F15</f>
        <v>0</v>
      </c>
      <c r="R15" s="31">
        <f t="shared" ca="1" si="26"/>
        <v>0</v>
      </c>
      <c r="S15" s="31">
        <f t="shared" ca="1" si="26"/>
        <v>0</v>
      </c>
      <c r="T15" s="31">
        <f t="shared" ca="1" si="26"/>
        <v>0</v>
      </c>
      <c r="U15" s="31">
        <f t="shared" ca="1" si="26"/>
        <v>0</v>
      </c>
      <c r="V15" s="31">
        <f t="shared" ca="1" si="26"/>
        <v>0</v>
      </c>
      <c r="W15" s="31">
        <f t="shared" ca="1" si="26"/>
        <v>0</v>
      </c>
      <c r="X15" s="31">
        <f t="shared" ca="1" si="26"/>
        <v>0</v>
      </c>
      <c r="Y15" s="31">
        <f t="shared" ca="1" si="26"/>
        <v>0</v>
      </c>
      <c r="Z15" s="31">
        <f t="shared" ca="1" si="26"/>
        <v>0</v>
      </c>
      <c r="AA15" s="44">
        <f t="shared" ca="1" si="12"/>
        <v>0</v>
      </c>
      <c r="AB15" s="165"/>
      <c r="AC15" s="166" t="s">
        <v>10</v>
      </c>
      <c r="AD15" s="166"/>
      <c r="AE15" s="95"/>
      <c r="AF15" s="95"/>
      <c r="AG15" s="95"/>
      <c r="AH15" s="95"/>
      <c r="AI15" s="95"/>
      <c r="AJ15" s="166" t="s">
        <v>10</v>
      </c>
      <c r="AK15" s="166" t="s">
        <v>10</v>
      </c>
      <c r="AL15" s="36" t="s">
        <v>10</v>
      </c>
    </row>
    <row r="16" spans="1:42" ht="15.75" customHeight="1">
      <c r="A16" s="33">
        <v>15</v>
      </c>
      <c r="B16" s="30">
        <v>40000</v>
      </c>
      <c r="C16" s="46"/>
      <c r="D16" s="35">
        <f t="shared" ca="1" si="0"/>
        <v>8.2577577264113522E-2</v>
      </c>
      <c r="E16" s="38">
        <f t="shared" ca="1" si="13"/>
        <v>1</v>
      </c>
      <c r="F16" s="40">
        <f t="shared" ca="1" si="1"/>
        <v>1</v>
      </c>
      <c r="G16" s="40">
        <f t="shared" ca="1" si="2"/>
        <v>0</v>
      </c>
      <c r="H16" s="40">
        <f t="shared" ca="1" si="3"/>
        <v>0</v>
      </c>
      <c r="I16" s="40">
        <f t="shared" ca="1" si="4"/>
        <v>0</v>
      </c>
      <c r="J16" s="40">
        <f t="shared" ca="1" si="5"/>
        <v>0</v>
      </c>
      <c r="K16" s="40">
        <f t="shared" ca="1" si="6"/>
        <v>0</v>
      </c>
      <c r="L16" s="40">
        <f t="shared" ca="1" si="7"/>
        <v>0</v>
      </c>
      <c r="M16" s="40">
        <f t="shared" ca="1" si="8"/>
        <v>0</v>
      </c>
      <c r="N16" s="40">
        <f t="shared" ca="1" si="9"/>
        <v>0</v>
      </c>
      <c r="O16" s="40">
        <f t="shared" ca="1" si="10"/>
        <v>0</v>
      </c>
      <c r="P16" s="42"/>
      <c r="Q16" s="31">
        <f t="shared" ref="Q16:Z16" ca="1" si="27">_xlfn.CHISQ.INV(RAND(),2)*$AL$4 *F16</f>
        <v>46.064822588825081</v>
      </c>
      <c r="R16" s="31">
        <f t="shared" ca="1" si="27"/>
        <v>0</v>
      </c>
      <c r="S16" s="31">
        <f t="shared" ca="1" si="27"/>
        <v>0</v>
      </c>
      <c r="T16" s="31">
        <f t="shared" ca="1" si="27"/>
        <v>0</v>
      </c>
      <c r="U16" s="31">
        <f t="shared" ca="1" si="27"/>
        <v>0</v>
      </c>
      <c r="V16" s="31">
        <f t="shared" ca="1" si="27"/>
        <v>0</v>
      </c>
      <c r="W16" s="31">
        <f t="shared" ca="1" si="27"/>
        <v>0</v>
      </c>
      <c r="X16" s="31">
        <f t="shared" ca="1" si="27"/>
        <v>0</v>
      </c>
      <c r="Y16" s="31">
        <f t="shared" ca="1" si="27"/>
        <v>0</v>
      </c>
      <c r="Z16" s="31">
        <f t="shared" ca="1" si="27"/>
        <v>0</v>
      </c>
      <c r="AA16" s="44">
        <f t="shared" ca="1" si="12"/>
        <v>46.064822588825081</v>
      </c>
      <c r="AB16" s="165"/>
      <c r="AC16" s="166" t="s">
        <v>10</v>
      </c>
      <c r="AD16" s="166"/>
      <c r="AE16" s="166" t="s">
        <v>10</v>
      </c>
      <c r="AF16" s="166"/>
      <c r="AG16" s="95"/>
      <c r="AH16" s="95"/>
      <c r="AI16" s="95"/>
      <c r="AJ16" s="166" t="s">
        <v>10</v>
      </c>
      <c r="AK16" s="166" t="s">
        <v>10</v>
      </c>
    </row>
    <row r="17" spans="1:38" ht="15.75" customHeight="1">
      <c r="A17" s="33">
        <v>16</v>
      </c>
      <c r="B17" s="30">
        <v>40000</v>
      </c>
      <c r="C17" s="46"/>
      <c r="D17" s="35">
        <f t="shared" ca="1" si="0"/>
        <v>0.46847019537212153</v>
      </c>
      <c r="E17" s="38">
        <f t="shared" ca="1" si="13"/>
        <v>4</v>
      </c>
      <c r="F17" s="40">
        <f t="shared" ca="1" si="1"/>
        <v>1</v>
      </c>
      <c r="G17" s="40">
        <f t="shared" ca="1" si="2"/>
        <v>1</v>
      </c>
      <c r="H17" s="40">
        <f t="shared" ca="1" si="3"/>
        <v>1</v>
      </c>
      <c r="I17" s="40">
        <f t="shared" ca="1" si="4"/>
        <v>1</v>
      </c>
      <c r="J17" s="40">
        <f t="shared" ca="1" si="5"/>
        <v>0</v>
      </c>
      <c r="K17" s="40">
        <f t="shared" ca="1" si="6"/>
        <v>0</v>
      </c>
      <c r="L17" s="40">
        <f t="shared" ca="1" si="7"/>
        <v>0</v>
      </c>
      <c r="M17" s="40">
        <f t="shared" ca="1" si="8"/>
        <v>0</v>
      </c>
      <c r="N17" s="40">
        <f t="shared" ca="1" si="9"/>
        <v>0</v>
      </c>
      <c r="O17" s="40">
        <f t="shared" ca="1" si="10"/>
        <v>0</v>
      </c>
      <c r="P17" s="42"/>
      <c r="Q17" s="31">
        <f t="shared" ref="Q17:Z17" ca="1" si="28">_xlfn.CHISQ.INV(RAND(),2)*$AL$4 *F17</f>
        <v>16059.584675294001</v>
      </c>
      <c r="R17" s="31">
        <f t="shared" ca="1" si="28"/>
        <v>35070.206857462021</v>
      </c>
      <c r="S17" s="31">
        <f t="shared" ca="1" si="28"/>
        <v>49558.548313600659</v>
      </c>
      <c r="T17" s="31">
        <f t="shared" ca="1" si="28"/>
        <v>75.190801368418491</v>
      </c>
      <c r="U17" s="31">
        <f t="shared" ca="1" si="28"/>
        <v>0</v>
      </c>
      <c r="V17" s="31">
        <f t="shared" ca="1" si="28"/>
        <v>0</v>
      </c>
      <c r="W17" s="31">
        <f t="shared" ca="1" si="28"/>
        <v>0</v>
      </c>
      <c r="X17" s="31">
        <f t="shared" ca="1" si="28"/>
        <v>0</v>
      </c>
      <c r="Y17" s="31">
        <f t="shared" ca="1" si="28"/>
        <v>0</v>
      </c>
      <c r="Z17" s="31">
        <f t="shared" ca="1" si="28"/>
        <v>0</v>
      </c>
      <c r="AA17" s="44">
        <f t="shared" ca="1" si="12"/>
        <v>100763.5306477251</v>
      </c>
      <c r="AB17" s="165"/>
      <c r="AC17" s="166" t="s">
        <v>10</v>
      </c>
      <c r="AD17" s="166"/>
      <c r="AE17" s="166" t="s">
        <v>10</v>
      </c>
      <c r="AF17" s="166"/>
      <c r="AG17" s="95"/>
      <c r="AH17" s="95"/>
      <c r="AI17" s="95"/>
      <c r="AJ17" s="166" t="s">
        <v>10</v>
      </c>
      <c r="AK17" s="166" t="s">
        <v>10</v>
      </c>
    </row>
    <row r="18" spans="1:38" ht="15.75" customHeight="1">
      <c r="A18" s="33">
        <v>17</v>
      </c>
      <c r="B18" s="30">
        <v>40000</v>
      </c>
      <c r="C18" s="46"/>
      <c r="D18" s="35">
        <f t="shared" ca="1" si="0"/>
        <v>0.29544684991182546</v>
      </c>
      <c r="E18" s="38">
        <f t="shared" ca="1" si="13"/>
        <v>3</v>
      </c>
      <c r="F18" s="40">
        <f t="shared" ca="1" si="1"/>
        <v>1</v>
      </c>
      <c r="G18" s="40">
        <f t="shared" ca="1" si="2"/>
        <v>1</v>
      </c>
      <c r="H18" s="40">
        <f t="shared" ca="1" si="3"/>
        <v>1</v>
      </c>
      <c r="I18" s="40">
        <f t="shared" ca="1" si="4"/>
        <v>0</v>
      </c>
      <c r="J18" s="40">
        <f t="shared" ca="1" si="5"/>
        <v>0</v>
      </c>
      <c r="K18" s="40">
        <f t="shared" ca="1" si="6"/>
        <v>0</v>
      </c>
      <c r="L18" s="40">
        <f t="shared" ca="1" si="7"/>
        <v>0</v>
      </c>
      <c r="M18" s="40">
        <f t="shared" ca="1" si="8"/>
        <v>0</v>
      </c>
      <c r="N18" s="40">
        <f t="shared" ca="1" si="9"/>
        <v>0</v>
      </c>
      <c r="O18" s="40">
        <f t="shared" ca="1" si="10"/>
        <v>0</v>
      </c>
      <c r="P18" s="42"/>
      <c r="Q18" s="31">
        <f t="shared" ref="Q18:Z18" ca="1" si="29">_xlfn.CHISQ.INV(RAND(),2)*$AL$4 *F18</f>
        <v>4935.7340464917243</v>
      </c>
      <c r="R18" s="31">
        <f t="shared" ca="1" si="29"/>
        <v>40539.080461121303</v>
      </c>
      <c r="S18" s="31">
        <f t="shared" ca="1" si="29"/>
        <v>36935.337144267156</v>
      </c>
      <c r="T18" s="31">
        <f t="shared" ca="1" si="29"/>
        <v>0</v>
      </c>
      <c r="U18" s="31">
        <f t="shared" ca="1" si="29"/>
        <v>0</v>
      </c>
      <c r="V18" s="31">
        <f t="shared" ca="1" si="29"/>
        <v>0</v>
      </c>
      <c r="W18" s="31">
        <f t="shared" ca="1" si="29"/>
        <v>0</v>
      </c>
      <c r="X18" s="31">
        <f t="shared" ca="1" si="29"/>
        <v>0</v>
      </c>
      <c r="Y18" s="31">
        <f t="shared" ca="1" si="29"/>
        <v>0</v>
      </c>
      <c r="Z18" s="31">
        <f t="shared" ca="1" si="29"/>
        <v>0</v>
      </c>
      <c r="AA18" s="44">
        <f t="shared" ca="1" si="12"/>
        <v>82410.15165188018</v>
      </c>
      <c r="AB18" s="165"/>
      <c r="AC18" s="166" t="s">
        <v>10</v>
      </c>
      <c r="AD18" s="166"/>
      <c r="AE18" s="95"/>
      <c r="AF18" s="95"/>
      <c r="AG18" s="95"/>
      <c r="AH18" s="95"/>
      <c r="AI18" s="95"/>
      <c r="AJ18" s="166" t="s">
        <v>10</v>
      </c>
      <c r="AK18" s="166" t="s">
        <v>10</v>
      </c>
    </row>
    <row r="19" spans="1:38" ht="15.75" customHeight="1">
      <c r="A19" s="33">
        <v>18</v>
      </c>
      <c r="B19" s="30">
        <v>40000</v>
      </c>
      <c r="C19" s="46"/>
      <c r="D19" s="35">
        <f t="shared" ca="1" si="0"/>
        <v>0.26136601538356663</v>
      </c>
      <c r="E19" s="38">
        <f t="shared" ca="1" si="13"/>
        <v>2</v>
      </c>
      <c r="F19" s="40">
        <f t="shared" ca="1" si="1"/>
        <v>1</v>
      </c>
      <c r="G19" s="40">
        <f t="shared" ca="1" si="2"/>
        <v>1</v>
      </c>
      <c r="H19" s="40">
        <f t="shared" ca="1" si="3"/>
        <v>0</v>
      </c>
      <c r="I19" s="40">
        <f t="shared" ca="1" si="4"/>
        <v>0</v>
      </c>
      <c r="J19" s="40">
        <f t="shared" ca="1" si="5"/>
        <v>0</v>
      </c>
      <c r="K19" s="40">
        <f t="shared" ca="1" si="6"/>
        <v>0</v>
      </c>
      <c r="L19" s="40">
        <f t="shared" ca="1" si="7"/>
        <v>0</v>
      </c>
      <c r="M19" s="40">
        <f t="shared" ca="1" si="8"/>
        <v>0</v>
      </c>
      <c r="N19" s="40">
        <f t="shared" ca="1" si="9"/>
        <v>0</v>
      </c>
      <c r="O19" s="40">
        <f t="shared" ca="1" si="10"/>
        <v>0</v>
      </c>
      <c r="P19" s="42"/>
      <c r="Q19" s="31">
        <f t="shared" ref="Q19:Z19" ca="1" si="30">_xlfn.CHISQ.INV(RAND(),2)*$AL$4 *F19</f>
        <v>51998.341388880333</v>
      </c>
      <c r="R19" s="31">
        <f t="shared" ca="1" si="30"/>
        <v>32165.000154606936</v>
      </c>
      <c r="S19" s="31">
        <f t="shared" ca="1" si="30"/>
        <v>0</v>
      </c>
      <c r="T19" s="31">
        <f t="shared" ca="1" si="30"/>
        <v>0</v>
      </c>
      <c r="U19" s="31">
        <f t="shared" ca="1" si="30"/>
        <v>0</v>
      </c>
      <c r="V19" s="31">
        <f t="shared" ca="1" si="30"/>
        <v>0</v>
      </c>
      <c r="W19" s="31">
        <f t="shared" ca="1" si="30"/>
        <v>0</v>
      </c>
      <c r="X19" s="31">
        <f t="shared" ca="1" si="30"/>
        <v>0</v>
      </c>
      <c r="Y19" s="31">
        <f t="shared" ca="1" si="30"/>
        <v>0</v>
      </c>
      <c r="Z19" s="31">
        <f t="shared" ca="1" si="30"/>
        <v>0</v>
      </c>
      <c r="AA19" s="44">
        <f t="shared" ca="1" si="12"/>
        <v>84163.341543487273</v>
      </c>
      <c r="AB19" s="165"/>
      <c r="AC19" s="166" t="s">
        <v>10</v>
      </c>
      <c r="AD19" s="166"/>
      <c r="AE19" s="95"/>
      <c r="AF19" s="95"/>
      <c r="AG19" s="95"/>
      <c r="AH19" s="95"/>
      <c r="AI19" s="95"/>
      <c r="AJ19" s="166" t="s">
        <v>10</v>
      </c>
      <c r="AK19" s="166" t="s">
        <v>10</v>
      </c>
      <c r="AL19" s="166"/>
    </row>
    <row r="20" spans="1:38" ht="15.75" customHeight="1">
      <c r="A20" s="33">
        <v>19</v>
      </c>
      <c r="B20" s="30">
        <v>40000</v>
      </c>
      <c r="C20" s="46"/>
      <c r="D20" s="35">
        <f t="shared" ca="1" si="0"/>
        <v>0.44125211665288655</v>
      </c>
      <c r="E20" s="38">
        <f t="shared" ca="1" si="13"/>
        <v>4</v>
      </c>
      <c r="F20" s="40">
        <f t="shared" ca="1" si="1"/>
        <v>1</v>
      </c>
      <c r="G20" s="40">
        <f t="shared" ca="1" si="2"/>
        <v>1</v>
      </c>
      <c r="H20" s="40">
        <f t="shared" ca="1" si="3"/>
        <v>1</v>
      </c>
      <c r="I20" s="40">
        <f t="shared" ca="1" si="4"/>
        <v>1</v>
      </c>
      <c r="J20" s="40">
        <f t="shared" ca="1" si="5"/>
        <v>0</v>
      </c>
      <c r="K20" s="40">
        <f t="shared" ca="1" si="6"/>
        <v>0</v>
      </c>
      <c r="L20" s="40">
        <f t="shared" ca="1" si="7"/>
        <v>0</v>
      </c>
      <c r="M20" s="40">
        <f t="shared" ca="1" si="8"/>
        <v>0</v>
      </c>
      <c r="N20" s="40">
        <f t="shared" ca="1" si="9"/>
        <v>0</v>
      </c>
      <c r="O20" s="40">
        <f t="shared" ca="1" si="10"/>
        <v>0</v>
      </c>
      <c r="P20" s="42"/>
      <c r="Q20" s="31">
        <f t="shared" ref="Q20:Z20" ca="1" si="31">_xlfn.CHISQ.INV(RAND(),2)*$AL$4 *F20</f>
        <v>2507.2660027112447</v>
      </c>
      <c r="R20" s="31">
        <f t="shared" ca="1" si="31"/>
        <v>44074.618409155402</v>
      </c>
      <c r="S20" s="31">
        <f t="shared" ca="1" si="31"/>
        <v>4697.3711090981769</v>
      </c>
      <c r="T20" s="31">
        <f t="shared" ca="1" si="31"/>
        <v>7327.880093614066</v>
      </c>
      <c r="U20" s="31">
        <f t="shared" ca="1" si="31"/>
        <v>0</v>
      </c>
      <c r="V20" s="31">
        <f t="shared" ca="1" si="31"/>
        <v>0</v>
      </c>
      <c r="W20" s="31">
        <f t="shared" ca="1" si="31"/>
        <v>0</v>
      </c>
      <c r="X20" s="31">
        <f t="shared" ca="1" si="31"/>
        <v>0</v>
      </c>
      <c r="Y20" s="31">
        <f t="shared" ca="1" si="31"/>
        <v>0</v>
      </c>
      <c r="Z20" s="31">
        <f t="shared" ca="1" si="31"/>
        <v>0</v>
      </c>
      <c r="AA20" s="44">
        <f t="shared" ca="1" si="12"/>
        <v>58607.135614578889</v>
      </c>
      <c r="AB20" s="165"/>
      <c r="AC20" s="166" t="s">
        <v>10</v>
      </c>
      <c r="AD20" s="95"/>
      <c r="AE20" s="95"/>
      <c r="AF20" s="95"/>
      <c r="AG20" s="95"/>
      <c r="AH20" s="95"/>
      <c r="AI20" s="95"/>
      <c r="AJ20" s="166" t="s">
        <v>10</v>
      </c>
      <c r="AK20" s="166" t="s">
        <v>10</v>
      </c>
    </row>
    <row r="21" spans="1:38" ht="15.75" customHeight="1">
      <c r="A21" s="33">
        <v>20</v>
      </c>
      <c r="B21" s="30">
        <v>40000</v>
      </c>
      <c r="C21" s="46"/>
      <c r="D21" s="35">
        <f t="shared" ca="1" si="0"/>
        <v>0.62381813366266536</v>
      </c>
      <c r="E21" s="38">
        <f t="shared" ca="1" si="13"/>
        <v>5</v>
      </c>
      <c r="F21" s="40">
        <f t="shared" ca="1" si="1"/>
        <v>1</v>
      </c>
      <c r="G21" s="40">
        <f t="shared" ca="1" si="2"/>
        <v>1</v>
      </c>
      <c r="H21" s="40">
        <f t="shared" ca="1" si="3"/>
        <v>1</v>
      </c>
      <c r="I21" s="40">
        <f t="shared" ca="1" si="4"/>
        <v>1</v>
      </c>
      <c r="J21" s="40">
        <f t="shared" ca="1" si="5"/>
        <v>1</v>
      </c>
      <c r="K21" s="40">
        <f t="shared" ca="1" si="6"/>
        <v>0</v>
      </c>
      <c r="L21" s="40">
        <f t="shared" ca="1" si="7"/>
        <v>0</v>
      </c>
      <c r="M21" s="40">
        <f t="shared" ca="1" si="8"/>
        <v>0</v>
      </c>
      <c r="N21" s="40">
        <f t="shared" ca="1" si="9"/>
        <v>0</v>
      </c>
      <c r="O21" s="40">
        <f t="shared" ca="1" si="10"/>
        <v>0</v>
      </c>
      <c r="P21" s="42"/>
      <c r="Q21" s="31">
        <f t="shared" ref="Q21:Z21" ca="1" si="32">_xlfn.CHISQ.INV(RAND(),2)*$AL$4 *F21</f>
        <v>76026.020829102621</v>
      </c>
      <c r="R21" s="31">
        <f t="shared" ca="1" si="32"/>
        <v>1745.09499151978</v>
      </c>
      <c r="S21" s="31">
        <f t="shared" ca="1" si="32"/>
        <v>10703.594659673565</v>
      </c>
      <c r="T21" s="31">
        <f t="shared" ca="1" si="32"/>
        <v>5585.6502737537712</v>
      </c>
      <c r="U21" s="31">
        <f t="shared" ca="1" si="32"/>
        <v>50975.163444717531</v>
      </c>
      <c r="V21" s="31">
        <f t="shared" ca="1" si="32"/>
        <v>0</v>
      </c>
      <c r="W21" s="31">
        <f t="shared" ca="1" si="32"/>
        <v>0</v>
      </c>
      <c r="X21" s="31">
        <f t="shared" ca="1" si="32"/>
        <v>0</v>
      </c>
      <c r="Y21" s="31">
        <f t="shared" ca="1" si="32"/>
        <v>0</v>
      </c>
      <c r="Z21" s="31">
        <f t="shared" ca="1" si="32"/>
        <v>0</v>
      </c>
      <c r="AA21" s="44">
        <f t="shared" ca="1" si="12"/>
        <v>145035.52419876726</v>
      </c>
      <c r="AB21" s="165"/>
      <c r="AC21" s="166" t="s">
        <v>10</v>
      </c>
      <c r="AD21" s="95"/>
      <c r="AE21" s="95"/>
      <c r="AF21" s="95"/>
      <c r="AG21" s="95"/>
      <c r="AH21" s="166" t="s">
        <v>10</v>
      </c>
      <c r="AI21" s="95"/>
      <c r="AJ21" s="166" t="s">
        <v>10</v>
      </c>
      <c r="AK21" s="166" t="s">
        <v>10</v>
      </c>
    </row>
    <row r="22" spans="1:38" ht="15.75" customHeight="1">
      <c r="A22" s="33">
        <v>21</v>
      </c>
      <c r="B22" s="30">
        <v>40000</v>
      </c>
      <c r="C22" s="46"/>
      <c r="D22" s="35">
        <f t="shared" ca="1" si="0"/>
        <v>8.4040128457394614E-2</v>
      </c>
      <c r="E22" s="38">
        <f t="shared" ca="1" si="13"/>
        <v>1</v>
      </c>
      <c r="F22" s="40">
        <f t="shared" ca="1" si="1"/>
        <v>1</v>
      </c>
      <c r="G22" s="40">
        <f t="shared" ca="1" si="2"/>
        <v>0</v>
      </c>
      <c r="H22" s="40">
        <f t="shared" ca="1" si="3"/>
        <v>0</v>
      </c>
      <c r="I22" s="40">
        <f t="shared" ca="1" si="4"/>
        <v>0</v>
      </c>
      <c r="J22" s="40">
        <f t="shared" ca="1" si="5"/>
        <v>0</v>
      </c>
      <c r="K22" s="40">
        <f t="shared" ca="1" si="6"/>
        <v>0</v>
      </c>
      <c r="L22" s="40">
        <f t="shared" ca="1" si="7"/>
        <v>0</v>
      </c>
      <c r="M22" s="40">
        <f t="shared" ca="1" si="8"/>
        <v>0</v>
      </c>
      <c r="N22" s="40">
        <f t="shared" ca="1" si="9"/>
        <v>0</v>
      </c>
      <c r="O22" s="40">
        <f t="shared" ca="1" si="10"/>
        <v>0</v>
      </c>
      <c r="P22" s="42"/>
      <c r="Q22" s="31">
        <f t="shared" ref="Q22:Z22" ca="1" si="33">_xlfn.CHISQ.INV(RAND(),2)*$AL$4 *F22</f>
        <v>3900.4919007552562</v>
      </c>
      <c r="R22" s="31">
        <f t="shared" ca="1" si="33"/>
        <v>0</v>
      </c>
      <c r="S22" s="31">
        <f t="shared" ca="1" si="33"/>
        <v>0</v>
      </c>
      <c r="T22" s="31">
        <f t="shared" ca="1" si="33"/>
        <v>0</v>
      </c>
      <c r="U22" s="31">
        <f t="shared" ca="1" si="33"/>
        <v>0</v>
      </c>
      <c r="V22" s="31">
        <f t="shared" ca="1" si="33"/>
        <v>0</v>
      </c>
      <c r="W22" s="31">
        <f t="shared" ca="1" si="33"/>
        <v>0</v>
      </c>
      <c r="X22" s="31">
        <f t="shared" ca="1" si="33"/>
        <v>0</v>
      </c>
      <c r="Y22" s="31">
        <f t="shared" ca="1" si="33"/>
        <v>0</v>
      </c>
      <c r="Z22" s="31">
        <f t="shared" ca="1" si="33"/>
        <v>0</v>
      </c>
      <c r="AA22" s="44">
        <f t="shared" ca="1" si="12"/>
        <v>3900.4919007552562</v>
      </c>
      <c r="AB22" s="165"/>
      <c r="AC22" s="166" t="s">
        <v>10</v>
      </c>
      <c r="AD22" s="95"/>
      <c r="AE22" s="95"/>
      <c r="AF22" s="95"/>
      <c r="AG22" s="95"/>
      <c r="AH22" s="95"/>
      <c r="AI22" s="95"/>
      <c r="AJ22" s="166" t="s">
        <v>10</v>
      </c>
      <c r="AK22" s="166" t="s">
        <v>10</v>
      </c>
    </row>
    <row r="23" spans="1:38" ht="15.75" customHeight="1">
      <c r="A23" s="33">
        <v>22</v>
      </c>
      <c r="B23" s="30">
        <v>40000</v>
      </c>
      <c r="C23" s="46"/>
      <c r="D23" s="35">
        <f t="shared" ca="1" si="0"/>
        <v>0.68029881930808689</v>
      </c>
      <c r="E23" s="38">
        <f t="shared" ca="1" si="13"/>
        <v>5</v>
      </c>
      <c r="F23" s="40">
        <f t="shared" ca="1" si="1"/>
        <v>1</v>
      </c>
      <c r="G23" s="40">
        <f t="shared" ca="1" si="2"/>
        <v>1</v>
      </c>
      <c r="H23" s="40">
        <f t="shared" ca="1" si="3"/>
        <v>1</v>
      </c>
      <c r="I23" s="40">
        <f t="shared" ca="1" si="4"/>
        <v>1</v>
      </c>
      <c r="J23" s="40">
        <f t="shared" ca="1" si="5"/>
        <v>1</v>
      </c>
      <c r="K23" s="40">
        <f t="shared" ca="1" si="6"/>
        <v>0</v>
      </c>
      <c r="L23" s="40">
        <f t="shared" ca="1" si="7"/>
        <v>0</v>
      </c>
      <c r="M23" s="40">
        <f t="shared" ca="1" si="8"/>
        <v>0</v>
      </c>
      <c r="N23" s="40">
        <f t="shared" ca="1" si="9"/>
        <v>0</v>
      </c>
      <c r="O23" s="40">
        <f t="shared" ca="1" si="10"/>
        <v>0</v>
      </c>
      <c r="P23" s="42"/>
      <c r="Q23" s="31">
        <f t="shared" ref="Q23:Z23" ca="1" si="34">_xlfn.CHISQ.INV(RAND(),2)*$AL$4 *F23</f>
        <v>1809.0500528583634</v>
      </c>
      <c r="R23" s="31">
        <f t="shared" ca="1" si="34"/>
        <v>14059.662700870569</v>
      </c>
      <c r="S23" s="31">
        <f t="shared" ca="1" si="34"/>
        <v>41626.417210191634</v>
      </c>
      <c r="T23" s="31">
        <f t="shared" ca="1" si="34"/>
        <v>25335.181530781014</v>
      </c>
      <c r="U23" s="31">
        <f t="shared" ca="1" si="34"/>
        <v>44323.943935368472</v>
      </c>
      <c r="V23" s="31">
        <f t="shared" ca="1" si="34"/>
        <v>0</v>
      </c>
      <c r="W23" s="31">
        <f t="shared" ca="1" si="34"/>
        <v>0</v>
      </c>
      <c r="X23" s="31">
        <f t="shared" ca="1" si="34"/>
        <v>0</v>
      </c>
      <c r="Y23" s="31">
        <f t="shared" ca="1" si="34"/>
        <v>0</v>
      </c>
      <c r="Z23" s="31">
        <f t="shared" ca="1" si="34"/>
        <v>0</v>
      </c>
      <c r="AA23" s="44">
        <f t="shared" ca="1" si="12"/>
        <v>127154.25543007006</v>
      </c>
      <c r="AB23" s="165"/>
      <c r="AC23" s="166" t="s">
        <v>10</v>
      </c>
      <c r="AD23" s="95"/>
      <c r="AE23" s="95"/>
      <c r="AF23" s="95"/>
      <c r="AG23" s="95"/>
      <c r="AH23" s="166" t="s">
        <v>10</v>
      </c>
      <c r="AI23" s="95"/>
      <c r="AJ23" s="166" t="s">
        <v>10</v>
      </c>
      <c r="AK23" s="166" t="s">
        <v>10</v>
      </c>
    </row>
    <row r="24" spans="1:38" ht="15.75" customHeight="1">
      <c r="A24" s="33">
        <v>23</v>
      </c>
      <c r="B24" s="30">
        <v>40000</v>
      </c>
      <c r="C24" s="46"/>
      <c r="D24" s="35">
        <f t="shared" ca="1" si="0"/>
        <v>0.51142967294096364</v>
      </c>
      <c r="E24" s="38">
        <f t="shared" ca="1" si="13"/>
        <v>4</v>
      </c>
      <c r="F24" s="40">
        <f t="shared" ca="1" si="1"/>
        <v>1</v>
      </c>
      <c r="G24" s="40">
        <f t="shared" ca="1" si="2"/>
        <v>1</v>
      </c>
      <c r="H24" s="40">
        <f t="shared" ca="1" si="3"/>
        <v>1</v>
      </c>
      <c r="I24" s="40">
        <f t="shared" ca="1" si="4"/>
        <v>1</v>
      </c>
      <c r="J24" s="40">
        <f t="shared" ca="1" si="5"/>
        <v>0</v>
      </c>
      <c r="K24" s="40">
        <f t="shared" ca="1" si="6"/>
        <v>0</v>
      </c>
      <c r="L24" s="40">
        <f t="shared" ca="1" si="7"/>
        <v>0</v>
      </c>
      <c r="M24" s="40">
        <f t="shared" ca="1" si="8"/>
        <v>0</v>
      </c>
      <c r="N24" s="40">
        <f t="shared" ca="1" si="9"/>
        <v>0</v>
      </c>
      <c r="O24" s="40">
        <f t="shared" ca="1" si="10"/>
        <v>0</v>
      </c>
      <c r="P24" s="42"/>
      <c r="Q24" s="31">
        <f t="shared" ref="Q24:Z24" ca="1" si="35">_xlfn.CHISQ.INV(RAND(),2)*$AL$4 *F24</f>
        <v>15632.047788397242</v>
      </c>
      <c r="R24" s="31">
        <f t="shared" ca="1" si="35"/>
        <v>5367.8915955770044</v>
      </c>
      <c r="S24" s="31">
        <f t="shared" ca="1" si="35"/>
        <v>5232.4913980932515</v>
      </c>
      <c r="T24" s="31">
        <f t="shared" ca="1" si="35"/>
        <v>14288.114525909259</v>
      </c>
      <c r="U24" s="31">
        <f t="shared" ca="1" si="35"/>
        <v>0</v>
      </c>
      <c r="V24" s="31">
        <f t="shared" ca="1" si="35"/>
        <v>0</v>
      </c>
      <c r="W24" s="31">
        <f t="shared" ca="1" si="35"/>
        <v>0</v>
      </c>
      <c r="X24" s="31">
        <f t="shared" ca="1" si="35"/>
        <v>0</v>
      </c>
      <c r="Y24" s="31">
        <f t="shared" ca="1" si="35"/>
        <v>0</v>
      </c>
      <c r="Z24" s="31">
        <f t="shared" ca="1" si="35"/>
        <v>0</v>
      </c>
      <c r="AA24" s="44">
        <f t="shared" ca="1" si="12"/>
        <v>40520.545307976761</v>
      </c>
      <c r="AB24" s="165"/>
      <c r="AC24" s="166" t="s">
        <v>10</v>
      </c>
      <c r="AD24" s="166" t="s">
        <v>10</v>
      </c>
      <c r="AE24" s="95"/>
      <c r="AF24" s="95"/>
      <c r="AG24" s="95"/>
      <c r="AH24" s="166" t="s">
        <v>10</v>
      </c>
      <c r="AI24" s="95"/>
      <c r="AJ24" s="166" t="s">
        <v>10</v>
      </c>
      <c r="AK24" s="166" t="s">
        <v>10</v>
      </c>
    </row>
    <row r="25" spans="1:38" ht="15.75" customHeight="1">
      <c r="A25" s="33">
        <v>24</v>
      </c>
      <c r="B25" s="30">
        <v>40000</v>
      </c>
      <c r="C25" s="46"/>
      <c r="D25" s="35">
        <f t="shared" ca="1" si="0"/>
        <v>1.3186124573192459E-2</v>
      </c>
      <c r="E25" s="38">
        <f t="shared" ca="1" si="13"/>
        <v>0</v>
      </c>
      <c r="F25" s="40">
        <f t="shared" ca="1" si="1"/>
        <v>0</v>
      </c>
      <c r="G25" s="40">
        <f t="shared" ca="1" si="2"/>
        <v>0</v>
      </c>
      <c r="H25" s="40">
        <f t="shared" ca="1" si="3"/>
        <v>0</v>
      </c>
      <c r="I25" s="40">
        <f t="shared" ca="1" si="4"/>
        <v>0</v>
      </c>
      <c r="J25" s="40">
        <f t="shared" ca="1" si="5"/>
        <v>0</v>
      </c>
      <c r="K25" s="40">
        <f t="shared" ca="1" si="6"/>
        <v>0</v>
      </c>
      <c r="L25" s="40">
        <f t="shared" ca="1" si="7"/>
        <v>0</v>
      </c>
      <c r="M25" s="40">
        <f t="shared" ca="1" si="8"/>
        <v>0</v>
      </c>
      <c r="N25" s="40">
        <f t="shared" ca="1" si="9"/>
        <v>0</v>
      </c>
      <c r="O25" s="40">
        <f t="shared" ca="1" si="10"/>
        <v>0</v>
      </c>
      <c r="P25" s="42"/>
      <c r="Q25" s="31">
        <f t="shared" ref="Q25:Z25" ca="1" si="36">_xlfn.CHISQ.INV(RAND(),2)*$AL$4 *F25</f>
        <v>0</v>
      </c>
      <c r="R25" s="31">
        <f t="shared" ca="1" si="36"/>
        <v>0</v>
      </c>
      <c r="S25" s="31">
        <f t="shared" ca="1" si="36"/>
        <v>0</v>
      </c>
      <c r="T25" s="31">
        <f t="shared" ca="1" si="36"/>
        <v>0</v>
      </c>
      <c r="U25" s="31">
        <f t="shared" ca="1" si="36"/>
        <v>0</v>
      </c>
      <c r="V25" s="31">
        <f t="shared" ca="1" si="36"/>
        <v>0</v>
      </c>
      <c r="W25" s="31">
        <f t="shared" ca="1" si="36"/>
        <v>0</v>
      </c>
      <c r="X25" s="31">
        <f t="shared" ca="1" si="36"/>
        <v>0</v>
      </c>
      <c r="Y25" s="31">
        <f t="shared" ca="1" si="36"/>
        <v>0</v>
      </c>
      <c r="Z25" s="31">
        <f t="shared" ca="1" si="36"/>
        <v>0</v>
      </c>
      <c r="AA25" s="44">
        <f t="shared" ca="1" si="12"/>
        <v>0</v>
      </c>
      <c r="AB25" s="165"/>
      <c r="AC25" s="36" t="s">
        <v>10</v>
      </c>
      <c r="AD25" s="166" t="s">
        <v>10</v>
      </c>
      <c r="AE25" s="95"/>
      <c r="AF25" s="95"/>
      <c r="AG25" s="95"/>
      <c r="AH25" s="166" t="s">
        <v>10</v>
      </c>
      <c r="AI25" s="95"/>
      <c r="AJ25" s="166" t="s">
        <v>10</v>
      </c>
      <c r="AK25" s="166" t="s">
        <v>10</v>
      </c>
    </row>
    <row r="26" spans="1:38" ht="15.75" customHeight="1">
      <c r="A26" s="33">
        <v>25</v>
      </c>
      <c r="B26" s="30">
        <v>40000</v>
      </c>
      <c r="C26" s="46"/>
      <c r="D26" s="35">
        <f t="shared" ca="1" si="0"/>
        <v>0.50482999798634987</v>
      </c>
      <c r="E26" s="38">
        <f t="shared" ca="1" si="13"/>
        <v>4</v>
      </c>
      <c r="F26" s="40">
        <f t="shared" ca="1" si="1"/>
        <v>1</v>
      </c>
      <c r="G26" s="40">
        <f t="shared" ca="1" si="2"/>
        <v>1</v>
      </c>
      <c r="H26" s="40">
        <f t="shared" ca="1" si="3"/>
        <v>1</v>
      </c>
      <c r="I26" s="40">
        <f t="shared" ca="1" si="4"/>
        <v>1</v>
      </c>
      <c r="J26" s="40">
        <f t="shared" ca="1" si="5"/>
        <v>0</v>
      </c>
      <c r="K26" s="40">
        <f t="shared" ca="1" si="6"/>
        <v>0</v>
      </c>
      <c r="L26" s="40">
        <f t="shared" ca="1" si="7"/>
        <v>0</v>
      </c>
      <c r="M26" s="40">
        <f t="shared" ca="1" si="8"/>
        <v>0</v>
      </c>
      <c r="N26" s="40">
        <f t="shared" ca="1" si="9"/>
        <v>0</v>
      </c>
      <c r="O26" s="40">
        <f t="shared" ca="1" si="10"/>
        <v>0</v>
      </c>
      <c r="P26" s="42"/>
      <c r="Q26" s="31">
        <f t="shared" ref="Q26:Z26" ca="1" si="37">_xlfn.CHISQ.INV(RAND(),2)*$AL$4 *F26</f>
        <v>6672.7517325827275</v>
      </c>
      <c r="R26" s="31">
        <f t="shared" ca="1" si="37"/>
        <v>25300.758429262911</v>
      </c>
      <c r="S26" s="31">
        <f t="shared" ca="1" si="37"/>
        <v>11291.534899761047</v>
      </c>
      <c r="T26" s="31">
        <f t="shared" ca="1" si="37"/>
        <v>49715.53192232288</v>
      </c>
      <c r="U26" s="31">
        <f t="shared" ca="1" si="37"/>
        <v>0</v>
      </c>
      <c r="V26" s="31">
        <f t="shared" ca="1" si="37"/>
        <v>0</v>
      </c>
      <c r="W26" s="31">
        <f t="shared" ca="1" si="37"/>
        <v>0</v>
      </c>
      <c r="X26" s="31">
        <f t="shared" ca="1" si="37"/>
        <v>0</v>
      </c>
      <c r="Y26" s="31">
        <f t="shared" ca="1" si="37"/>
        <v>0</v>
      </c>
      <c r="Z26" s="31">
        <f t="shared" ca="1" si="37"/>
        <v>0</v>
      </c>
      <c r="AA26" s="44">
        <f t="shared" ca="1" si="12"/>
        <v>92980.576983929568</v>
      </c>
      <c r="AB26" s="165"/>
      <c r="AC26" s="36" t="s">
        <v>10</v>
      </c>
      <c r="AD26" s="166" t="s">
        <v>10</v>
      </c>
      <c r="AE26" s="95"/>
      <c r="AF26" s="95"/>
      <c r="AG26" s="95"/>
      <c r="AH26" s="166" t="s">
        <v>10</v>
      </c>
      <c r="AI26" s="95"/>
      <c r="AJ26" s="166" t="s">
        <v>10</v>
      </c>
      <c r="AK26" s="166" t="s">
        <v>10</v>
      </c>
    </row>
    <row r="27" spans="1:38" ht="15.75" customHeight="1">
      <c r="A27" s="33">
        <v>26</v>
      </c>
      <c r="B27" s="30">
        <v>40000</v>
      </c>
      <c r="C27" s="46"/>
      <c r="D27" s="35">
        <f t="shared" ca="1" si="0"/>
        <v>0.44645048822817601</v>
      </c>
      <c r="E27" s="38">
        <f t="shared" ca="1" si="13"/>
        <v>4</v>
      </c>
      <c r="F27" s="40">
        <f t="shared" ca="1" si="1"/>
        <v>1</v>
      </c>
      <c r="G27" s="40">
        <f t="shared" ca="1" si="2"/>
        <v>1</v>
      </c>
      <c r="H27" s="40">
        <f t="shared" ca="1" si="3"/>
        <v>1</v>
      </c>
      <c r="I27" s="40">
        <f t="shared" ca="1" si="4"/>
        <v>1</v>
      </c>
      <c r="J27" s="40">
        <f t="shared" ca="1" si="5"/>
        <v>0</v>
      </c>
      <c r="K27" s="40">
        <f t="shared" ca="1" si="6"/>
        <v>0</v>
      </c>
      <c r="L27" s="40">
        <f t="shared" ca="1" si="7"/>
        <v>0</v>
      </c>
      <c r="M27" s="40">
        <f t="shared" ca="1" si="8"/>
        <v>0</v>
      </c>
      <c r="N27" s="40">
        <f t="shared" ca="1" si="9"/>
        <v>0</v>
      </c>
      <c r="O27" s="40">
        <f t="shared" ca="1" si="10"/>
        <v>0</v>
      </c>
      <c r="P27" s="42"/>
      <c r="Q27" s="31">
        <f t="shared" ref="Q27:Z27" ca="1" si="38">_xlfn.CHISQ.INV(RAND(),2)*$AL$4 *F27</f>
        <v>27096.594461363547</v>
      </c>
      <c r="R27" s="31">
        <f t="shared" ca="1" si="38"/>
        <v>7624.8790651449453</v>
      </c>
      <c r="S27" s="31">
        <f t="shared" ca="1" si="38"/>
        <v>3197.3167723945758</v>
      </c>
      <c r="T27" s="31">
        <f t="shared" ca="1" si="38"/>
        <v>4726.7697790797683</v>
      </c>
      <c r="U27" s="31">
        <f t="shared" ca="1" si="38"/>
        <v>0</v>
      </c>
      <c r="V27" s="31">
        <f t="shared" ca="1" si="38"/>
        <v>0</v>
      </c>
      <c r="W27" s="31">
        <f t="shared" ca="1" si="38"/>
        <v>0</v>
      </c>
      <c r="X27" s="31">
        <f t="shared" ca="1" si="38"/>
        <v>0</v>
      </c>
      <c r="Y27" s="31">
        <f t="shared" ca="1" si="38"/>
        <v>0</v>
      </c>
      <c r="Z27" s="31">
        <f t="shared" ca="1" si="38"/>
        <v>0</v>
      </c>
      <c r="AA27" s="44">
        <f t="shared" ca="1" si="12"/>
        <v>42645.560077982831</v>
      </c>
      <c r="AB27" s="165"/>
      <c r="AC27" s="36" t="s">
        <v>10</v>
      </c>
      <c r="AD27" s="166" t="s">
        <v>10</v>
      </c>
      <c r="AE27" s="95"/>
      <c r="AF27" s="95"/>
      <c r="AG27" s="95"/>
      <c r="AH27" s="166" t="s">
        <v>10</v>
      </c>
      <c r="AI27" s="95"/>
      <c r="AJ27" s="166" t="s">
        <v>10</v>
      </c>
      <c r="AK27" s="166" t="s">
        <v>10</v>
      </c>
    </row>
    <row r="28" spans="1:38" ht="15.75" customHeight="1">
      <c r="A28" s="33">
        <v>27</v>
      </c>
      <c r="B28" s="30">
        <v>40000</v>
      </c>
      <c r="C28" s="46"/>
      <c r="D28" s="35">
        <f t="shared" ca="1" si="0"/>
        <v>0.93483712010660214</v>
      </c>
      <c r="E28" s="38">
        <f t="shared" ca="1" si="13"/>
        <v>9</v>
      </c>
      <c r="F28" s="40">
        <f t="shared" ca="1" si="1"/>
        <v>1</v>
      </c>
      <c r="G28" s="40">
        <f t="shared" ca="1" si="2"/>
        <v>1</v>
      </c>
      <c r="H28" s="40">
        <f t="shared" ca="1" si="3"/>
        <v>1</v>
      </c>
      <c r="I28" s="40">
        <f t="shared" ca="1" si="4"/>
        <v>1</v>
      </c>
      <c r="J28" s="40">
        <f t="shared" ca="1" si="5"/>
        <v>1</v>
      </c>
      <c r="K28" s="40">
        <f t="shared" ca="1" si="6"/>
        <v>1</v>
      </c>
      <c r="L28" s="40">
        <f t="shared" ca="1" si="7"/>
        <v>1</v>
      </c>
      <c r="M28" s="40">
        <f t="shared" ca="1" si="8"/>
        <v>1</v>
      </c>
      <c r="N28" s="40">
        <f t="shared" ca="1" si="9"/>
        <v>1</v>
      </c>
      <c r="O28" s="40">
        <f t="shared" ca="1" si="10"/>
        <v>0</v>
      </c>
      <c r="P28" s="42"/>
      <c r="Q28" s="31">
        <f t="shared" ref="Q28:Z28" ca="1" si="39">_xlfn.CHISQ.INV(RAND(),2)*$AL$4 *F28</f>
        <v>10028.681892019136</v>
      </c>
      <c r="R28" s="31">
        <f t="shared" ca="1" si="39"/>
        <v>7904.774320818763</v>
      </c>
      <c r="S28" s="31">
        <f t="shared" ca="1" si="39"/>
        <v>3902.7121499850318</v>
      </c>
      <c r="T28" s="31">
        <f t="shared" ca="1" si="39"/>
        <v>35601.149338834832</v>
      </c>
      <c r="U28" s="31">
        <f t="shared" ca="1" si="39"/>
        <v>10383.758403820957</v>
      </c>
      <c r="V28" s="31">
        <f t="shared" ca="1" si="39"/>
        <v>40137.639925039672</v>
      </c>
      <c r="W28" s="31">
        <f t="shared" ca="1" si="39"/>
        <v>71764.626293370311</v>
      </c>
      <c r="X28" s="31">
        <f t="shared" ca="1" si="39"/>
        <v>27713.925081669568</v>
      </c>
      <c r="Y28" s="31">
        <f t="shared" ca="1" si="39"/>
        <v>13835.912153901583</v>
      </c>
      <c r="Z28" s="31">
        <f t="shared" ca="1" si="39"/>
        <v>0</v>
      </c>
      <c r="AA28" s="44">
        <f t="shared" ca="1" si="12"/>
        <v>221273.17955945988</v>
      </c>
      <c r="AB28" s="165"/>
      <c r="AC28" s="36" t="s">
        <v>10</v>
      </c>
      <c r="AD28" s="166" t="s">
        <v>10</v>
      </c>
      <c r="AE28" s="95"/>
      <c r="AF28" s="95"/>
      <c r="AG28" s="95"/>
      <c r="AH28" s="166" t="s">
        <v>10</v>
      </c>
      <c r="AI28" s="95"/>
      <c r="AJ28" s="166" t="s">
        <v>10</v>
      </c>
      <c r="AK28" s="95"/>
    </row>
    <row r="29" spans="1:38" ht="15.75" customHeight="1">
      <c r="A29" s="33">
        <v>28</v>
      </c>
      <c r="B29" s="30">
        <v>40000</v>
      </c>
      <c r="C29" s="46"/>
      <c r="D29" s="35">
        <f t="shared" ca="1" si="0"/>
        <v>0.14942335146689034</v>
      </c>
      <c r="E29" s="38">
        <f t="shared" ca="1" si="13"/>
        <v>1</v>
      </c>
      <c r="F29" s="40">
        <f t="shared" ca="1" si="1"/>
        <v>1</v>
      </c>
      <c r="G29" s="40">
        <f t="shared" ca="1" si="2"/>
        <v>0</v>
      </c>
      <c r="H29" s="40">
        <f t="shared" ca="1" si="3"/>
        <v>0</v>
      </c>
      <c r="I29" s="40">
        <f t="shared" ca="1" si="4"/>
        <v>0</v>
      </c>
      <c r="J29" s="40">
        <f t="shared" ca="1" si="5"/>
        <v>0</v>
      </c>
      <c r="K29" s="40">
        <f t="shared" ca="1" si="6"/>
        <v>0</v>
      </c>
      <c r="L29" s="40">
        <f t="shared" ca="1" si="7"/>
        <v>0</v>
      </c>
      <c r="M29" s="40">
        <f t="shared" ca="1" si="8"/>
        <v>0</v>
      </c>
      <c r="N29" s="40">
        <f t="shared" ca="1" si="9"/>
        <v>0</v>
      </c>
      <c r="O29" s="40">
        <f t="shared" ca="1" si="10"/>
        <v>0</v>
      </c>
      <c r="P29" s="42"/>
      <c r="Q29" s="31">
        <f t="shared" ref="Q29:Z29" ca="1" si="40">_xlfn.CHISQ.INV(RAND(),2)*$AL$4 *F29</f>
        <v>5578.1411506532377</v>
      </c>
      <c r="R29" s="31">
        <f t="shared" ca="1" si="40"/>
        <v>0</v>
      </c>
      <c r="S29" s="31">
        <f t="shared" ca="1" si="40"/>
        <v>0</v>
      </c>
      <c r="T29" s="31">
        <f t="shared" ca="1" si="40"/>
        <v>0</v>
      </c>
      <c r="U29" s="31">
        <f t="shared" ca="1" si="40"/>
        <v>0</v>
      </c>
      <c r="V29" s="31">
        <f t="shared" ca="1" si="40"/>
        <v>0</v>
      </c>
      <c r="W29" s="31">
        <f t="shared" ca="1" si="40"/>
        <v>0</v>
      </c>
      <c r="X29" s="31">
        <f t="shared" ca="1" si="40"/>
        <v>0</v>
      </c>
      <c r="Y29" s="31">
        <f t="shared" ca="1" si="40"/>
        <v>0</v>
      </c>
      <c r="Z29" s="31">
        <f t="shared" ca="1" si="40"/>
        <v>0</v>
      </c>
      <c r="AA29" s="44">
        <f t="shared" ca="1" si="12"/>
        <v>5578.1411506532377</v>
      </c>
      <c r="AB29" s="165"/>
      <c r="AC29" s="36" t="s">
        <v>10</v>
      </c>
      <c r="AD29" s="166" t="s">
        <v>10</v>
      </c>
      <c r="AE29" s="95"/>
      <c r="AF29" s="95"/>
      <c r="AG29" s="95"/>
      <c r="AH29" s="166" t="s">
        <v>10</v>
      </c>
      <c r="AI29" s="95"/>
      <c r="AJ29" s="166" t="s">
        <v>10</v>
      </c>
      <c r="AK29" s="95"/>
    </row>
    <row r="30" spans="1:38" ht="15.75" customHeight="1">
      <c r="A30" s="33">
        <v>29</v>
      </c>
      <c r="B30" s="30">
        <v>40000</v>
      </c>
      <c r="C30" s="46"/>
      <c r="D30" s="35">
        <f t="shared" ca="1" si="0"/>
        <v>0.43948934474739065</v>
      </c>
      <c r="E30" s="38">
        <f t="shared" ca="1" si="13"/>
        <v>4</v>
      </c>
      <c r="F30" s="40">
        <f t="shared" ca="1" si="1"/>
        <v>1</v>
      </c>
      <c r="G30" s="40">
        <f t="shared" ca="1" si="2"/>
        <v>1</v>
      </c>
      <c r="H30" s="40">
        <f t="shared" ca="1" si="3"/>
        <v>1</v>
      </c>
      <c r="I30" s="40">
        <f t="shared" ca="1" si="4"/>
        <v>1</v>
      </c>
      <c r="J30" s="40">
        <f t="shared" ca="1" si="5"/>
        <v>0</v>
      </c>
      <c r="K30" s="40">
        <f t="shared" ca="1" si="6"/>
        <v>0</v>
      </c>
      <c r="L30" s="40">
        <f t="shared" ca="1" si="7"/>
        <v>0</v>
      </c>
      <c r="M30" s="40">
        <f t="shared" ca="1" si="8"/>
        <v>0</v>
      </c>
      <c r="N30" s="40">
        <f t="shared" ca="1" si="9"/>
        <v>0</v>
      </c>
      <c r="O30" s="40">
        <f t="shared" ca="1" si="10"/>
        <v>0</v>
      </c>
      <c r="P30" s="42"/>
      <c r="Q30" s="31">
        <f t="shared" ref="Q30:Z30" ca="1" si="41">_xlfn.CHISQ.INV(RAND(),2)*$AL$4 *F30</f>
        <v>14963.325263002676</v>
      </c>
      <c r="R30" s="31">
        <f t="shared" ca="1" si="41"/>
        <v>25016.546441573282</v>
      </c>
      <c r="S30" s="31">
        <f t="shared" ca="1" si="41"/>
        <v>24776.347212048127</v>
      </c>
      <c r="T30" s="31">
        <f t="shared" ca="1" si="41"/>
        <v>13420.45187466895</v>
      </c>
      <c r="U30" s="31">
        <f t="shared" ca="1" si="41"/>
        <v>0</v>
      </c>
      <c r="V30" s="31">
        <f t="shared" ca="1" si="41"/>
        <v>0</v>
      </c>
      <c r="W30" s="31">
        <f t="shared" ca="1" si="41"/>
        <v>0</v>
      </c>
      <c r="X30" s="31">
        <f t="shared" ca="1" si="41"/>
        <v>0</v>
      </c>
      <c r="Y30" s="31">
        <f t="shared" ca="1" si="41"/>
        <v>0</v>
      </c>
      <c r="Z30" s="31">
        <f t="shared" ca="1" si="41"/>
        <v>0</v>
      </c>
      <c r="AA30" s="44">
        <f t="shared" ca="1" si="12"/>
        <v>78176.670791293029</v>
      </c>
      <c r="AB30" s="165"/>
      <c r="AC30" s="36" t="s">
        <v>10</v>
      </c>
      <c r="AD30" s="166" t="s">
        <v>10</v>
      </c>
      <c r="AE30" s="95"/>
      <c r="AF30" s="95"/>
      <c r="AG30" s="95"/>
      <c r="AH30" s="166" t="s">
        <v>10</v>
      </c>
      <c r="AI30" s="95"/>
      <c r="AJ30" s="166" t="s">
        <v>10</v>
      </c>
      <c r="AK30" s="95"/>
    </row>
    <row r="31" spans="1:38" ht="15.75" customHeight="1">
      <c r="A31" s="33">
        <v>30</v>
      </c>
      <c r="B31" s="30">
        <v>40000</v>
      </c>
      <c r="C31" s="46"/>
      <c r="D31" s="35">
        <f t="shared" ca="1" si="0"/>
        <v>6.670743392750289E-2</v>
      </c>
      <c r="E31" s="38">
        <f t="shared" ca="1" si="13"/>
        <v>0</v>
      </c>
      <c r="F31" s="40">
        <f t="shared" ca="1" si="1"/>
        <v>0</v>
      </c>
      <c r="G31" s="40">
        <f t="shared" ca="1" si="2"/>
        <v>0</v>
      </c>
      <c r="H31" s="40">
        <f t="shared" ca="1" si="3"/>
        <v>0</v>
      </c>
      <c r="I31" s="40">
        <f t="shared" ca="1" si="4"/>
        <v>0</v>
      </c>
      <c r="J31" s="40">
        <f t="shared" ca="1" si="5"/>
        <v>0</v>
      </c>
      <c r="K31" s="40">
        <f t="shared" ca="1" si="6"/>
        <v>0</v>
      </c>
      <c r="L31" s="40">
        <f t="shared" ca="1" si="7"/>
        <v>0</v>
      </c>
      <c r="M31" s="40">
        <f t="shared" ca="1" si="8"/>
        <v>0</v>
      </c>
      <c r="N31" s="40">
        <f t="shared" ca="1" si="9"/>
        <v>0</v>
      </c>
      <c r="O31" s="40">
        <f t="shared" ca="1" si="10"/>
        <v>0</v>
      </c>
      <c r="P31" s="42"/>
      <c r="Q31" s="31">
        <f t="shared" ref="Q31:Z31" ca="1" si="42">_xlfn.CHISQ.INV(RAND(),2)*$AL$4 *F31</f>
        <v>0</v>
      </c>
      <c r="R31" s="31">
        <f t="shared" ca="1" si="42"/>
        <v>0</v>
      </c>
      <c r="S31" s="31">
        <f t="shared" ca="1" si="42"/>
        <v>0</v>
      </c>
      <c r="T31" s="31">
        <f t="shared" ca="1" si="42"/>
        <v>0</v>
      </c>
      <c r="U31" s="31">
        <f t="shared" ca="1" si="42"/>
        <v>0</v>
      </c>
      <c r="V31" s="31">
        <f t="shared" ca="1" si="42"/>
        <v>0</v>
      </c>
      <c r="W31" s="31">
        <f t="shared" ca="1" si="42"/>
        <v>0</v>
      </c>
      <c r="X31" s="31">
        <f t="shared" ca="1" si="42"/>
        <v>0</v>
      </c>
      <c r="Y31" s="31">
        <f t="shared" ca="1" si="42"/>
        <v>0</v>
      </c>
      <c r="Z31" s="31">
        <f t="shared" ca="1" si="42"/>
        <v>0</v>
      </c>
      <c r="AA31" s="44">
        <f t="shared" ca="1" si="12"/>
        <v>0</v>
      </c>
      <c r="AB31" s="165"/>
      <c r="AC31" s="95"/>
      <c r="AD31" s="95"/>
      <c r="AE31" s="95"/>
      <c r="AF31" s="95"/>
      <c r="AG31" s="95"/>
      <c r="AH31" s="166" t="s">
        <v>10</v>
      </c>
      <c r="AI31" s="95"/>
      <c r="AJ31" s="166" t="s">
        <v>10</v>
      </c>
      <c r="AK31" s="95"/>
    </row>
    <row r="32" spans="1:38" ht="15.75" customHeight="1">
      <c r="A32" s="33">
        <v>31</v>
      </c>
      <c r="B32" s="30">
        <v>40000</v>
      </c>
      <c r="C32" s="46"/>
      <c r="D32" s="35">
        <f t="shared" ca="1" si="0"/>
        <v>0.51901415917338034</v>
      </c>
      <c r="E32" s="38">
        <f t="shared" ca="1" si="13"/>
        <v>4</v>
      </c>
      <c r="F32" s="40">
        <f t="shared" ca="1" si="1"/>
        <v>1</v>
      </c>
      <c r="G32" s="40">
        <f t="shared" ca="1" si="2"/>
        <v>1</v>
      </c>
      <c r="H32" s="40">
        <f t="shared" ca="1" si="3"/>
        <v>1</v>
      </c>
      <c r="I32" s="40">
        <f t="shared" ca="1" si="4"/>
        <v>1</v>
      </c>
      <c r="J32" s="40">
        <f t="shared" ca="1" si="5"/>
        <v>0</v>
      </c>
      <c r="K32" s="40">
        <f t="shared" ca="1" si="6"/>
        <v>0</v>
      </c>
      <c r="L32" s="40">
        <f t="shared" ca="1" si="7"/>
        <v>0</v>
      </c>
      <c r="M32" s="40">
        <f t="shared" ca="1" si="8"/>
        <v>0</v>
      </c>
      <c r="N32" s="40">
        <f t="shared" ca="1" si="9"/>
        <v>0</v>
      </c>
      <c r="O32" s="40">
        <f t="shared" ca="1" si="10"/>
        <v>0</v>
      </c>
      <c r="P32" s="42"/>
      <c r="Q32" s="31">
        <f t="shared" ref="Q32:Z32" ca="1" si="43">_xlfn.CHISQ.INV(RAND(),2)*$AL$4 *F32</f>
        <v>62997.499170026291</v>
      </c>
      <c r="R32" s="31">
        <f t="shared" ca="1" si="43"/>
        <v>47253.035489681133</v>
      </c>
      <c r="S32" s="31">
        <f t="shared" ca="1" si="43"/>
        <v>78733.600514779202</v>
      </c>
      <c r="T32" s="31">
        <f t="shared" ca="1" si="43"/>
        <v>55900.825110663005</v>
      </c>
      <c r="U32" s="31">
        <f t="shared" ca="1" si="43"/>
        <v>0</v>
      </c>
      <c r="V32" s="31">
        <f t="shared" ca="1" si="43"/>
        <v>0</v>
      </c>
      <c r="W32" s="31">
        <f t="shared" ca="1" si="43"/>
        <v>0</v>
      </c>
      <c r="X32" s="31">
        <f t="shared" ca="1" si="43"/>
        <v>0</v>
      </c>
      <c r="Y32" s="31">
        <f t="shared" ca="1" si="43"/>
        <v>0</v>
      </c>
      <c r="Z32" s="31">
        <f t="shared" ca="1" si="43"/>
        <v>0</v>
      </c>
      <c r="AA32" s="44">
        <f t="shared" ca="1" si="12"/>
        <v>244884.96028514963</v>
      </c>
      <c r="AB32" s="165"/>
      <c r="AC32" s="95"/>
      <c r="AD32" s="95"/>
      <c r="AE32" s="95"/>
      <c r="AF32" s="95"/>
      <c r="AG32" s="95"/>
      <c r="AH32" s="166" t="s">
        <v>10</v>
      </c>
      <c r="AI32" s="95"/>
      <c r="AJ32" s="166" t="s">
        <v>10</v>
      </c>
      <c r="AK32" s="95"/>
    </row>
    <row r="33" spans="1:38" ht="15.75" customHeight="1">
      <c r="A33" s="33">
        <v>32</v>
      </c>
      <c r="B33" s="30">
        <v>40000</v>
      </c>
      <c r="C33" s="46"/>
      <c r="D33" s="35">
        <f t="shared" ca="1" si="0"/>
        <v>0.28254329467853967</v>
      </c>
      <c r="E33" s="38">
        <f t="shared" ca="1" si="13"/>
        <v>3</v>
      </c>
      <c r="F33" s="40">
        <f t="shared" ca="1" si="1"/>
        <v>1</v>
      </c>
      <c r="G33" s="40">
        <f t="shared" ca="1" si="2"/>
        <v>1</v>
      </c>
      <c r="H33" s="40">
        <f t="shared" ca="1" si="3"/>
        <v>1</v>
      </c>
      <c r="I33" s="40">
        <f t="shared" ca="1" si="4"/>
        <v>0</v>
      </c>
      <c r="J33" s="40">
        <f t="shared" ca="1" si="5"/>
        <v>0</v>
      </c>
      <c r="K33" s="40">
        <f t="shared" ca="1" si="6"/>
        <v>0</v>
      </c>
      <c r="L33" s="40">
        <f t="shared" ca="1" si="7"/>
        <v>0</v>
      </c>
      <c r="M33" s="40">
        <f t="shared" ca="1" si="8"/>
        <v>0</v>
      </c>
      <c r="N33" s="40">
        <f t="shared" ca="1" si="9"/>
        <v>0</v>
      </c>
      <c r="O33" s="40">
        <f t="shared" ca="1" si="10"/>
        <v>0</v>
      </c>
      <c r="P33" s="42"/>
      <c r="Q33" s="31">
        <f t="shared" ref="Q33:Z33" ca="1" si="44">_xlfn.CHISQ.INV(RAND(),2)*$AL$4 *F33</f>
        <v>9229.652367791854</v>
      </c>
      <c r="R33" s="31">
        <f t="shared" ca="1" si="44"/>
        <v>10489.279633304113</v>
      </c>
      <c r="S33" s="31">
        <f t="shared" ca="1" si="44"/>
        <v>38849.946842475598</v>
      </c>
      <c r="T33" s="31">
        <f t="shared" ca="1" si="44"/>
        <v>0</v>
      </c>
      <c r="U33" s="31">
        <f t="shared" ca="1" si="44"/>
        <v>0</v>
      </c>
      <c r="V33" s="31">
        <f t="shared" ca="1" si="44"/>
        <v>0</v>
      </c>
      <c r="W33" s="31">
        <f t="shared" ca="1" si="44"/>
        <v>0</v>
      </c>
      <c r="X33" s="31">
        <f t="shared" ca="1" si="44"/>
        <v>0</v>
      </c>
      <c r="Y33" s="31">
        <f t="shared" ca="1" si="44"/>
        <v>0</v>
      </c>
      <c r="Z33" s="31">
        <f t="shared" ca="1" si="44"/>
        <v>0</v>
      </c>
      <c r="AA33" s="44">
        <f t="shared" ca="1" si="12"/>
        <v>58568.878843571569</v>
      </c>
      <c r="AB33" s="165"/>
      <c r="AC33" s="95"/>
      <c r="AD33" s="95"/>
      <c r="AE33" s="95"/>
      <c r="AF33" s="95"/>
      <c r="AG33" s="95"/>
      <c r="AH33" s="166" t="s">
        <v>10</v>
      </c>
      <c r="AI33" s="95"/>
      <c r="AJ33" s="166" t="s">
        <v>10</v>
      </c>
      <c r="AK33" s="95"/>
    </row>
    <row r="34" spans="1:38" ht="15.75" customHeight="1">
      <c r="A34" s="33">
        <v>33</v>
      </c>
      <c r="B34" s="30">
        <v>40000</v>
      </c>
      <c r="C34" s="46"/>
      <c r="D34" s="35">
        <f t="shared" ca="1" si="0"/>
        <v>0.63036553631704439</v>
      </c>
      <c r="E34" s="38">
        <f t="shared" ref="E34:E65" ca="1" si="45">VLOOKUP(D34,$AH$2:$AI$13, 2, TRUE)</f>
        <v>5</v>
      </c>
      <c r="F34" s="40">
        <f t="shared" ref="F34:F65" ca="1" si="46">IF(E34&gt;=1,1,0)</f>
        <v>1</v>
      </c>
      <c r="G34" s="40">
        <f t="shared" ref="G34:G65" ca="1" si="47">IF(E34&gt;=2,1,0)</f>
        <v>1</v>
      </c>
      <c r="H34" s="40">
        <f t="shared" ref="H34:H65" ca="1" si="48">IF(E34&gt;=3,1,0)</f>
        <v>1</v>
      </c>
      <c r="I34" s="40">
        <f t="shared" ref="I34:I65" ca="1" si="49">IF(E34&gt;=4,1,0)</f>
        <v>1</v>
      </c>
      <c r="J34" s="40">
        <f t="shared" ref="J34:J65" ca="1" si="50">IF(E34&gt;=5,1,0)</f>
        <v>1</v>
      </c>
      <c r="K34" s="40">
        <f t="shared" ref="K34:K65" ca="1" si="51">IF(E34&gt;=6,1,0)</f>
        <v>0</v>
      </c>
      <c r="L34" s="40">
        <f t="shared" ref="L34:L65" ca="1" si="52">IF(E34&gt;=7,1,0)</f>
        <v>0</v>
      </c>
      <c r="M34" s="40">
        <f t="shared" ref="M34:M65" ca="1" si="53">IF(E34&gt;=8,1,0)</f>
        <v>0</v>
      </c>
      <c r="N34" s="40">
        <f t="shared" ref="N34:N65" ca="1" si="54">IF(E34&gt;=9,1,0)</f>
        <v>0</v>
      </c>
      <c r="O34" s="40">
        <f t="shared" ref="O34:O65" ca="1" si="55">IF(E34&gt;=10,1,0)</f>
        <v>0</v>
      </c>
      <c r="P34" s="42"/>
      <c r="Q34" s="31">
        <f t="shared" ref="Q34:Z34" ca="1" si="56">_xlfn.CHISQ.INV(RAND(),2)*$AL$4 *F34</f>
        <v>10404.343201217423</v>
      </c>
      <c r="R34" s="31">
        <f t="shared" ca="1" si="56"/>
        <v>3328.1847075412788</v>
      </c>
      <c r="S34" s="31">
        <f t="shared" ca="1" si="56"/>
        <v>1440.9674386608549</v>
      </c>
      <c r="T34" s="31">
        <f t="shared" ca="1" si="56"/>
        <v>11402.542886183979</v>
      </c>
      <c r="U34" s="31">
        <f t="shared" ca="1" si="56"/>
        <v>5438.7215203361184</v>
      </c>
      <c r="V34" s="31">
        <f t="shared" ca="1" si="56"/>
        <v>0</v>
      </c>
      <c r="W34" s="31">
        <f t="shared" ca="1" si="56"/>
        <v>0</v>
      </c>
      <c r="X34" s="31">
        <f t="shared" ca="1" si="56"/>
        <v>0</v>
      </c>
      <c r="Y34" s="31">
        <f t="shared" ca="1" si="56"/>
        <v>0</v>
      </c>
      <c r="Z34" s="31">
        <f t="shared" ca="1" si="56"/>
        <v>0</v>
      </c>
      <c r="AA34" s="44">
        <f t="shared" ca="1" si="12"/>
        <v>32014.759753939656</v>
      </c>
      <c r="AB34" s="165"/>
      <c r="AC34" s="95"/>
      <c r="AD34" s="95"/>
      <c r="AE34" s="95"/>
      <c r="AF34" s="95"/>
      <c r="AG34" s="95"/>
      <c r="AH34" s="166" t="s">
        <v>10</v>
      </c>
      <c r="AI34" s="95"/>
      <c r="AJ34" s="166" t="s">
        <v>10</v>
      </c>
      <c r="AK34" s="95"/>
    </row>
    <row r="35" spans="1:38" ht="15.75" customHeight="1">
      <c r="A35" s="33">
        <v>34</v>
      </c>
      <c r="B35" s="30">
        <v>40000</v>
      </c>
      <c r="C35" s="46"/>
      <c r="D35" s="35">
        <f t="shared" ca="1" si="0"/>
        <v>0.56496722100596419</v>
      </c>
      <c r="E35" s="38">
        <f t="shared" ca="1" si="45"/>
        <v>5</v>
      </c>
      <c r="F35" s="40">
        <f t="shared" ca="1" si="46"/>
        <v>1</v>
      </c>
      <c r="G35" s="40">
        <f t="shared" ca="1" si="47"/>
        <v>1</v>
      </c>
      <c r="H35" s="40">
        <f t="shared" ca="1" si="48"/>
        <v>1</v>
      </c>
      <c r="I35" s="40">
        <f t="shared" ca="1" si="49"/>
        <v>1</v>
      </c>
      <c r="J35" s="40">
        <f t="shared" ca="1" si="50"/>
        <v>1</v>
      </c>
      <c r="K35" s="40">
        <f t="shared" ca="1" si="51"/>
        <v>0</v>
      </c>
      <c r="L35" s="40">
        <f t="shared" ca="1" si="52"/>
        <v>0</v>
      </c>
      <c r="M35" s="40">
        <f t="shared" ca="1" si="53"/>
        <v>0</v>
      </c>
      <c r="N35" s="40">
        <f t="shared" ca="1" si="54"/>
        <v>0</v>
      </c>
      <c r="O35" s="40">
        <f t="shared" ca="1" si="55"/>
        <v>0</v>
      </c>
      <c r="P35" s="42"/>
      <c r="Q35" s="31">
        <f t="shared" ref="Q35:Z35" ca="1" si="57">_xlfn.CHISQ.INV(RAND(),2)*$AL$4 *F35</f>
        <v>26549.209465482829</v>
      </c>
      <c r="R35" s="31">
        <f t="shared" ca="1" si="57"/>
        <v>9448.7113518568949</v>
      </c>
      <c r="S35" s="31">
        <f t="shared" ca="1" si="57"/>
        <v>2008.7637197866857</v>
      </c>
      <c r="T35" s="31">
        <f t="shared" ca="1" si="57"/>
        <v>14665.442391405439</v>
      </c>
      <c r="U35" s="31">
        <f t="shared" ca="1" si="57"/>
        <v>1484.8333849962705</v>
      </c>
      <c r="V35" s="31">
        <f t="shared" ca="1" si="57"/>
        <v>0</v>
      </c>
      <c r="W35" s="31">
        <f t="shared" ca="1" si="57"/>
        <v>0</v>
      </c>
      <c r="X35" s="31">
        <f t="shared" ca="1" si="57"/>
        <v>0</v>
      </c>
      <c r="Y35" s="31">
        <f t="shared" ca="1" si="57"/>
        <v>0</v>
      </c>
      <c r="Z35" s="31">
        <f t="shared" ca="1" si="57"/>
        <v>0</v>
      </c>
      <c r="AA35" s="44">
        <f t="shared" ca="1" si="12"/>
        <v>54156.960313528114</v>
      </c>
      <c r="AB35" s="165"/>
      <c r="AC35" s="95"/>
      <c r="AD35" s="95"/>
      <c r="AE35" s="95"/>
      <c r="AF35" s="95"/>
      <c r="AG35" s="95"/>
      <c r="AH35" s="166" t="s">
        <v>10</v>
      </c>
      <c r="AI35" s="95"/>
      <c r="AJ35" s="166" t="s">
        <v>10</v>
      </c>
      <c r="AK35" s="95"/>
    </row>
    <row r="36" spans="1:38" ht="15.75" customHeight="1">
      <c r="A36" s="33">
        <v>35</v>
      </c>
      <c r="B36" s="30">
        <v>40000</v>
      </c>
      <c r="C36" s="46"/>
      <c r="D36" s="35">
        <f t="shared" ca="1" si="0"/>
        <v>0.29070310460128901</v>
      </c>
      <c r="E36" s="38">
        <f t="shared" ca="1" si="45"/>
        <v>3</v>
      </c>
      <c r="F36" s="40">
        <f t="shared" ca="1" si="46"/>
        <v>1</v>
      </c>
      <c r="G36" s="40">
        <f t="shared" ca="1" si="47"/>
        <v>1</v>
      </c>
      <c r="H36" s="40">
        <f t="shared" ca="1" si="48"/>
        <v>1</v>
      </c>
      <c r="I36" s="40">
        <f t="shared" ca="1" si="49"/>
        <v>0</v>
      </c>
      <c r="J36" s="40">
        <f t="shared" ca="1" si="50"/>
        <v>0</v>
      </c>
      <c r="K36" s="40">
        <f t="shared" ca="1" si="51"/>
        <v>0</v>
      </c>
      <c r="L36" s="40">
        <f t="shared" ca="1" si="52"/>
        <v>0</v>
      </c>
      <c r="M36" s="40">
        <f t="shared" ca="1" si="53"/>
        <v>0</v>
      </c>
      <c r="N36" s="40">
        <f t="shared" ca="1" si="54"/>
        <v>0</v>
      </c>
      <c r="O36" s="40">
        <f t="shared" ca="1" si="55"/>
        <v>0</v>
      </c>
      <c r="P36" s="42"/>
      <c r="Q36" s="31">
        <f t="shared" ref="Q36:Z36" ca="1" si="58">_xlfn.CHISQ.INV(RAND(),2)*$AL$4 *F36</f>
        <v>3024.6715180127935</v>
      </c>
      <c r="R36" s="31">
        <f t="shared" ca="1" si="58"/>
        <v>64909.993614760351</v>
      </c>
      <c r="S36" s="31">
        <f t="shared" ca="1" si="58"/>
        <v>6413.8898264357904</v>
      </c>
      <c r="T36" s="31">
        <f t="shared" ca="1" si="58"/>
        <v>0</v>
      </c>
      <c r="U36" s="31">
        <f t="shared" ca="1" si="58"/>
        <v>0</v>
      </c>
      <c r="V36" s="31">
        <f t="shared" ca="1" si="58"/>
        <v>0</v>
      </c>
      <c r="W36" s="31">
        <f t="shared" ca="1" si="58"/>
        <v>0</v>
      </c>
      <c r="X36" s="31">
        <f t="shared" ca="1" si="58"/>
        <v>0</v>
      </c>
      <c r="Y36" s="31">
        <f t="shared" ca="1" si="58"/>
        <v>0</v>
      </c>
      <c r="Z36" s="31">
        <f t="shared" ca="1" si="58"/>
        <v>0</v>
      </c>
      <c r="AA36" s="44">
        <f t="shared" ca="1" si="12"/>
        <v>74348.554959208923</v>
      </c>
      <c r="AB36" s="165"/>
      <c r="AC36" s="95"/>
      <c r="AD36" s="95"/>
      <c r="AE36" s="95"/>
      <c r="AF36" s="95"/>
      <c r="AG36" s="95"/>
      <c r="AH36" s="166" t="s">
        <v>10</v>
      </c>
      <c r="AI36" s="95"/>
      <c r="AJ36" s="166" t="s">
        <v>10</v>
      </c>
      <c r="AK36" s="95"/>
    </row>
    <row r="37" spans="1:38" ht="15.75" customHeight="1">
      <c r="A37" s="33">
        <v>36</v>
      </c>
      <c r="B37" s="30">
        <v>40000</v>
      </c>
      <c r="C37" s="46"/>
      <c r="D37" s="35">
        <f t="shared" ca="1" si="0"/>
        <v>0.98825858131899513</v>
      </c>
      <c r="E37" s="38">
        <f t="shared" ca="1" si="45"/>
        <v>10</v>
      </c>
      <c r="F37" s="40">
        <f t="shared" ca="1" si="46"/>
        <v>1</v>
      </c>
      <c r="G37" s="40">
        <f t="shared" ca="1" si="47"/>
        <v>1</v>
      </c>
      <c r="H37" s="40">
        <f t="shared" ca="1" si="48"/>
        <v>1</v>
      </c>
      <c r="I37" s="40">
        <f t="shared" ca="1" si="49"/>
        <v>1</v>
      </c>
      <c r="J37" s="40">
        <f t="shared" ca="1" si="50"/>
        <v>1</v>
      </c>
      <c r="K37" s="40">
        <f t="shared" ca="1" si="51"/>
        <v>1</v>
      </c>
      <c r="L37" s="40">
        <f t="shared" ca="1" si="52"/>
        <v>1</v>
      </c>
      <c r="M37" s="40">
        <f t="shared" ca="1" si="53"/>
        <v>1</v>
      </c>
      <c r="N37" s="40">
        <f t="shared" ca="1" si="54"/>
        <v>1</v>
      </c>
      <c r="O37" s="40">
        <f t="shared" ca="1" si="55"/>
        <v>1</v>
      </c>
      <c r="P37" s="42"/>
      <c r="Q37" s="31">
        <f t="shared" ref="Q37:Z37" ca="1" si="59">_xlfn.CHISQ.INV(RAND(),2)*$AL$4 *F37</f>
        <v>6784.8355517418477</v>
      </c>
      <c r="R37" s="31">
        <f t="shared" ca="1" si="59"/>
        <v>1157.4446519233168</v>
      </c>
      <c r="S37" s="31">
        <f t="shared" ca="1" si="59"/>
        <v>16675.347684544362</v>
      </c>
      <c r="T37" s="31">
        <f t="shared" ca="1" si="59"/>
        <v>8106.9704023006743</v>
      </c>
      <c r="U37" s="31">
        <f t="shared" ca="1" si="59"/>
        <v>6450.2609749320645</v>
      </c>
      <c r="V37" s="31">
        <f t="shared" ca="1" si="59"/>
        <v>7994.9601212780562</v>
      </c>
      <c r="W37" s="31">
        <f t="shared" ca="1" si="59"/>
        <v>16290.566739457377</v>
      </c>
      <c r="X37" s="31">
        <f t="shared" ca="1" si="59"/>
        <v>31869.134754448773</v>
      </c>
      <c r="Y37" s="31">
        <f t="shared" ca="1" si="59"/>
        <v>1667.7912535692133</v>
      </c>
      <c r="Z37" s="31">
        <f t="shared" ca="1" si="59"/>
        <v>8020.9123980843397</v>
      </c>
      <c r="AA37" s="44">
        <f t="shared" ca="1" si="12"/>
        <v>105018.22453228003</v>
      </c>
      <c r="AB37" s="165"/>
      <c r="AC37" s="95"/>
      <c r="AD37" s="95"/>
      <c r="AE37" s="95"/>
      <c r="AF37" s="95"/>
      <c r="AG37" s="95"/>
      <c r="AH37" s="166" t="s">
        <v>10</v>
      </c>
      <c r="AI37" s="95"/>
      <c r="AJ37" s="95"/>
      <c r="AK37" s="95"/>
    </row>
    <row r="38" spans="1:38" ht="15.75" customHeight="1">
      <c r="A38" s="33">
        <v>37</v>
      </c>
      <c r="B38" s="30">
        <v>40000</v>
      </c>
      <c r="C38" s="46"/>
      <c r="D38" s="35">
        <f t="shared" ca="1" si="0"/>
        <v>0.76029704724721059</v>
      </c>
      <c r="E38" s="38">
        <f t="shared" ca="1" si="45"/>
        <v>6</v>
      </c>
      <c r="F38" s="40">
        <f t="shared" ca="1" si="46"/>
        <v>1</v>
      </c>
      <c r="G38" s="40">
        <f t="shared" ca="1" si="47"/>
        <v>1</v>
      </c>
      <c r="H38" s="40">
        <f t="shared" ca="1" si="48"/>
        <v>1</v>
      </c>
      <c r="I38" s="40">
        <f t="shared" ca="1" si="49"/>
        <v>1</v>
      </c>
      <c r="J38" s="40">
        <f t="shared" ca="1" si="50"/>
        <v>1</v>
      </c>
      <c r="K38" s="40">
        <f t="shared" ca="1" si="51"/>
        <v>1</v>
      </c>
      <c r="L38" s="40">
        <f t="shared" ca="1" si="52"/>
        <v>0</v>
      </c>
      <c r="M38" s="40">
        <f t="shared" ca="1" si="53"/>
        <v>0</v>
      </c>
      <c r="N38" s="40">
        <f t="shared" ca="1" si="54"/>
        <v>0</v>
      </c>
      <c r="O38" s="40">
        <f t="shared" ca="1" si="55"/>
        <v>0</v>
      </c>
      <c r="P38" s="42"/>
      <c r="Q38" s="31">
        <f t="shared" ref="Q38:Z38" ca="1" si="60">_xlfn.CHISQ.INV(RAND(),2)*$AL$4 *F38</f>
        <v>2244.267065784546</v>
      </c>
      <c r="R38" s="31">
        <f t="shared" ca="1" si="60"/>
        <v>14927.918669477505</v>
      </c>
      <c r="S38" s="31">
        <f t="shared" ca="1" si="60"/>
        <v>51668.724065017064</v>
      </c>
      <c r="T38" s="31">
        <f t="shared" ca="1" si="60"/>
        <v>21114.122512721322</v>
      </c>
      <c r="U38" s="31">
        <f t="shared" ca="1" si="60"/>
        <v>15266.946755471496</v>
      </c>
      <c r="V38" s="31">
        <f t="shared" ca="1" si="60"/>
        <v>9636.8833259531875</v>
      </c>
      <c r="W38" s="31">
        <f t="shared" ca="1" si="60"/>
        <v>0</v>
      </c>
      <c r="X38" s="31">
        <f t="shared" ca="1" si="60"/>
        <v>0</v>
      </c>
      <c r="Y38" s="31">
        <f t="shared" ca="1" si="60"/>
        <v>0</v>
      </c>
      <c r="Z38" s="31">
        <f t="shared" ca="1" si="60"/>
        <v>0</v>
      </c>
      <c r="AA38" s="44">
        <f t="shared" ca="1" si="12"/>
        <v>114858.86239442512</v>
      </c>
      <c r="AB38" s="165"/>
      <c r="AC38" s="95"/>
      <c r="AD38" s="95"/>
      <c r="AE38" s="95"/>
      <c r="AF38" s="95"/>
      <c r="AG38" s="95"/>
      <c r="AH38" s="166" t="s">
        <v>10</v>
      </c>
      <c r="AI38" s="95"/>
      <c r="AJ38" s="95"/>
      <c r="AK38" s="95"/>
    </row>
    <row r="39" spans="1:38" ht="15.75" customHeight="1">
      <c r="A39" s="33">
        <v>38</v>
      </c>
      <c r="B39" s="30">
        <v>40000</v>
      </c>
      <c r="C39" s="46"/>
      <c r="D39" s="35">
        <f t="shared" ca="1" si="0"/>
        <v>0.32860458440326656</v>
      </c>
      <c r="E39" s="38">
        <f t="shared" ca="1" si="45"/>
        <v>3</v>
      </c>
      <c r="F39" s="40">
        <f t="shared" ca="1" si="46"/>
        <v>1</v>
      </c>
      <c r="G39" s="40">
        <f t="shared" ca="1" si="47"/>
        <v>1</v>
      </c>
      <c r="H39" s="40">
        <f t="shared" ca="1" si="48"/>
        <v>1</v>
      </c>
      <c r="I39" s="40">
        <f t="shared" ca="1" si="49"/>
        <v>0</v>
      </c>
      <c r="J39" s="40">
        <f t="shared" ca="1" si="50"/>
        <v>0</v>
      </c>
      <c r="K39" s="40">
        <f t="shared" ca="1" si="51"/>
        <v>0</v>
      </c>
      <c r="L39" s="40" t="s">
        <v>146</v>
      </c>
      <c r="M39" s="40">
        <f t="shared" ca="1" si="53"/>
        <v>0</v>
      </c>
      <c r="N39" s="40">
        <f t="shared" ca="1" si="54"/>
        <v>0</v>
      </c>
      <c r="O39" s="40">
        <f t="shared" ca="1" si="55"/>
        <v>0</v>
      </c>
      <c r="P39" s="42"/>
      <c r="Q39" s="31">
        <f t="shared" ref="Q39:Z39" ca="1" si="61">_xlfn.CHISQ.INV(RAND(),2)*$AL$4 *F39</f>
        <v>2509.4295848377528</v>
      </c>
      <c r="R39" s="31">
        <f t="shared" ca="1" si="61"/>
        <v>16361.686252603226</v>
      </c>
      <c r="S39" s="31">
        <f t="shared" ca="1" si="61"/>
        <v>839.06532548779774</v>
      </c>
      <c r="T39" s="31">
        <f t="shared" ca="1" si="61"/>
        <v>0</v>
      </c>
      <c r="U39" s="31">
        <f t="shared" ca="1" si="61"/>
        <v>0</v>
      </c>
      <c r="V39" s="31">
        <f t="shared" ca="1" si="61"/>
        <v>0</v>
      </c>
      <c r="W39" s="31" t="e">
        <f t="shared" ca="1" si="61"/>
        <v>#VALUE!</v>
      </c>
      <c r="X39" s="31">
        <f t="shared" ca="1" si="61"/>
        <v>0</v>
      </c>
      <c r="Y39" s="31">
        <f t="shared" ca="1" si="61"/>
        <v>0</v>
      </c>
      <c r="Z39" s="31">
        <f t="shared" ca="1" si="61"/>
        <v>0</v>
      </c>
      <c r="AA39" s="44" t="e">
        <f t="shared" ca="1" si="12"/>
        <v>#VALUE!</v>
      </c>
      <c r="AB39" s="165"/>
      <c r="AC39" s="95"/>
      <c r="AD39" s="95"/>
      <c r="AE39" s="95"/>
      <c r="AF39" s="95"/>
      <c r="AG39" s="95"/>
      <c r="AH39" s="166" t="s">
        <v>10</v>
      </c>
      <c r="AI39" s="95"/>
      <c r="AJ39" s="95"/>
      <c r="AK39" s="95"/>
    </row>
    <row r="40" spans="1:38" ht="15.75" customHeight="1">
      <c r="A40" s="33">
        <v>39</v>
      </c>
      <c r="B40" s="30">
        <v>40000</v>
      </c>
      <c r="C40" s="46"/>
      <c r="D40" s="35">
        <f t="shared" ca="1" si="0"/>
        <v>0.35667097685259708</v>
      </c>
      <c r="E40" s="38">
        <f t="shared" ca="1" si="45"/>
        <v>3</v>
      </c>
      <c r="F40" s="40">
        <f t="shared" ca="1" si="46"/>
        <v>1</v>
      </c>
      <c r="G40" s="40">
        <f t="shared" ca="1" si="47"/>
        <v>1</v>
      </c>
      <c r="H40" s="40">
        <f t="shared" ca="1" si="48"/>
        <v>1</v>
      </c>
      <c r="I40" s="40">
        <f t="shared" ca="1" si="49"/>
        <v>0</v>
      </c>
      <c r="J40" s="40">
        <f t="shared" ca="1" si="50"/>
        <v>0</v>
      </c>
      <c r="K40" s="40">
        <f t="shared" ca="1" si="51"/>
        <v>0</v>
      </c>
      <c r="L40" s="40">
        <f t="shared" ca="1" si="52"/>
        <v>0</v>
      </c>
      <c r="M40" s="40">
        <f t="shared" ca="1" si="53"/>
        <v>0</v>
      </c>
      <c r="N40" s="40">
        <f t="shared" ca="1" si="54"/>
        <v>0</v>
      </c>
      <c r="O40" s="40">
        <f t="shared" ca="1" si="55"/>
        <v>0</v>
      </c>
      <c r="P40" s="42"/>
      <c r="Q40" s="31">
        <f t="shared" ref="Q40:Z40" ca="1" si="62">_xlfn.CHISQ.INV(RAND(),2)*$AL$4 *F40</f>
        <v>3338.8319203404494</v>
      </c>
      <c r="R40" s="31">
        <f t="shared" ca="1" si="62"/>
        <v>24576.088828026142</v>
      </c>
      <c r="S40" s="31">
        <f t="shared" ca="1" si="62"/>
        <v>13318.981872161918</v>
      </c>
      <c r="T40" s="31">
        <f t="shared" ca="1" si="62"/>
        <v>0</v>
      </c>
      <c r="U40" s="31">
        <f t="shared" ca="1" si="62"/>
        <v>0</v>
      </c>
      <c r="V40" s="31">
        <f t="shared" ca="1" si="62"/>
        <v>0</v>
      </c>
      <c r="W40" s="31">
        <f t="shared" ca="1" si="62"/>
        <v>0</v>
      </c>
      <c r="X40" s="31">
        <f t="shared" ca="1" si="62"/>
        <v>0</v>
      </c>
      <c r="Y40" s="31">
        <f t="shared" ca="1" si="62"/>
        <v>0</v>
      </c>
      <c r="Z40" s="31">
        <f t="shared" ca="1" si="62"/>
        <v>0</v>
      </c>
      <c r="AA40" s="44">
        <f t="shared" ca="1" si="12"/>
        <v>41233.902620528512</v>
      </c>
      <c r="AB40" s="165"/>
      <c r="AC40" s="95"/>
      <c r="AD40" s="95"/>
      <c r="AE40" s="95"/>
      <c r="AF40" s="95"/>
      <c r="AG40" s="95"/>
      <c r="AH40" s="166" t="s">
        <v>10</v>
      </c>
      <c r="AI40" s="95"/>
      <c r="AJ40" s="95"/>
      <c r="AK40" s="95"/>
    </row>
    <row r="41" spans="1:38" ht="15.75" customHeight="1">
      <c r="A41" s="33">
        <v>40</v>
      </c>
      <c r="B41" s="30">
        <v>40000</v>
      </c>
      <c r="C41" s="46"/>
      <c r="D41" s="35">
        <f t="shared" ca="1" si="0"/>
        <v>0.14703523822301412</v>
      </c>
      <c r="E41" s="38">
        <f t="shared" ca="1" si="45"/>
        <v>1</v>
      </c>
      <c r="F41" s="40">
        <f t="shared" ca="1" si="46"/>
        <v>1</v>
      </c>
      <c r="G41" s="40">
        <f t="shared" ca="1" si="47"/>
        <v>0</v>
      </c>
      <c r="H41" s="40">
        <f t="shared" ca="1" si="48"/>
        <v>0</v>
      </c>
      <c r="I41" s="40">
        <f t="shared" ca="1" si="49"/>
        <v>0</v>
      </c>
      <c r="J41" s="40">
        <f t="shared" ca="1" si="50"/>
        <v>0</v>
      </c>
      <c r="K41" s="40">
        <f t="shared" ca="1" si="51"/>
        <v>0</v>
      </c>
      <c r="L41" s="40">
        <f t="shared" ca="1" si="52"/>
        <v>0</v>
      </c>
      <c r="M41" s="40">
        <f t="shared" ca="1" si="53"/>
        <v>0</v>
      </c>
      <c r="N41" s="40">
        <f t="shared" ca="1" si="54"/>
        <v>0</v>
      </c>
      <c r="O41" s="40">
        <f t="shared" ca="1" si="55"/>
        <v>0</v>
      </c>
      <c r="P41" s="42"/>
      <c r="Q41" s="31">
        <f t="shared" ref="Q41:Z41" ca="1" si="63">_xlfn.CHISQ.INV(RAND(),2)*$AL$4 *F41</f>
        <v>46623.149439299319</v>
      </c>
      <c r="R41" s="31">
        <f t="shared" ca="1" si="63"/>
        <v>0</v>
      </c>
      <c r="S41" s="31">
        <f t="shared" ca="1" si="63"/>
        <v>0</v>
      </c>
      <c r="T41" s="31">
        <f t="shared" ca="1" si="63"/>
        <v>0</v>
      </c>
      <c r="U41" s="31">
        <f t="shared" ca="1" si="63"/>
        <v>0</v>
      </c>
      <c r="V41" s="31">
        <f t="shared" ca="1" si="63"/>
        <v>0</v>
      </c>
      <c r="W41" s="31">
        <f t="shared" ca="1" si="63"/>
        <v>0</v>
      </c>
      <c r="X41" s="31">
        <f t="shared" ca="1" si="63"/>
        <v>0</v>
      </c>
      <c r="Y41" s="31">
        <f t="shared" ca="1" si="63"/>
        <v>0</v>
      </c>
      <c r="Z41" s="31">
        <f t="shared" ca="1" si="63"/>
        <v>0</v>
      </c>
      <c r="AA41" s="44">
        <f t="shared" ca="1" si="12"/>
        <v>46623.149439299319</v>
      </c>
      <c r="AB41" s="165"/>
      <c r="AC41" s="95"/>
      <c r="AD41" s="95"/>
      <c r="AE41" s="95"/>
      <c r="AF41" s="95"/>
      <c r="AG41" s="95"/>
      <c r="AH41" s="166" t="s">
        <v>10</v>
      </c>
      <c r="AI41" s="95"/>
      <c r="AJ41" s="95"/>
      <c r="AK41" s="95"/>
      <c r="AL41" s="95"/>
    </row>
    <row r="42" spans="1:38" ht="15.75" customHeight="1">
      <c r="A42" s="33">
        <v>41</v>
      </c>
      <c r="B42" s="30">
        <v>40000</v>
      </c>
      <c r="C42" s="46"/>
      <c r="D42" s="35">
        <f t="shared" ca="1" si="0"/>
        <v>0.15604265424187802</v>
      </c>
      <c r="E42" s="38">
        <f t="shared" ca="1" si="45"/>
        <v>1</v>
      </c>
      <c r="F42" s="40">
        <f t="shared" ca="1" si="46"/>
        <v>1</v>
      </c>
      <c r="G42" s="40">
        <f t="shared" ca="1" si="47"/>
        <v>0</v>
      </c>
      <c r="H42" s="40">
        <f t="shared" ca="1" si="48"/>
        <v>0</v>
      </c>
      <c r="I42" s="40">
        <f t="shared" ca="1" si="49"/>
        <v>0</v>
      </c>
      <c r="J42" s="40">
        <f t="shared" ca="1" si="50"/>
        <v>0</v>
      </c>
      <c r="K42" s="40">
        <f t="shared" ca="1" si="51"/>
        <v>0</v>
      </c>
      <c r="L42" s="40">
        <f t="shared" ca="1" si="52"/>
        <v>0</v>
      </c>
      <c r="M42" s="40">
        <f t="shared" ca="1" si="53"/>
        <v>0</v>
      </c>
      <c r="N42" s="40">
        <f t="shared" ca="1" si="54"/>
        <v>0</v>
      </c>
      <c r="O42" s="40">
        <f t="shared" ca="1" si="55"/>
        <v>0</v>
      </c>
      <c r="P42" s="42"/>
      <c r="Q42" s="31">
        <f t="shared" ref="Q42:Z42" ca="1" si="64">_xlfn.CHISQ.INV(RAND(),2)*$AL$4 *F42</f>
        <v>33369.17235872872</v>
      </c>
      <c r="R42" s="31">
        <f t="shared" ca="1" si="64"/>
        <v>0</v>
      </c>
      <c r="S42" s="31">
        <f t="shared" ca="1" si="64"/>
        <v>0</v>
      </c>
      <c r="T42" s="31">
        <f t="shared" ca="1" si="64"/>
        <v>0</v>
      </c>
      <c r="U42" s="31">
        <f t="shared" ca="1" si="64"/>
        <v>0</v>
      </c>
      <c r="V42" s="31">
        <f t="shared" ca="1" si="64"/>
        <v>0</v>
      </c>
      <c r="W42" s="31">
        <f t="shared" ca="1" si="64"/>
        <v>0</v>
      </c>
      <c r="X42" s="31">
        <f t="shared" ca="1" si="64"/>
        <v>0</v>
      </c>
      <c r="Y42" s="31">
        <f t="shared" ca="1" si="64"/>
        <v>0</v>
      </c>
      <c r="Z42" s="31">
        <f t="shared" ca="1" si="64"/>
        <v>0</v>
      </c>
      <c r="AA42" s="44">
        <f t="shared" ca="1" si="12"/>
        <v>33369.17235872872</v>
      </c>
      <c r="AB42" s="165"/>
      <c r="AC42" s="95"/>
      <c r="AD42" s="95"/>
      <c r="AE42" s="95"/>
      <c r="AF42" s="95"/>
      <c r="AG42" s="95"/>
      <c r="AH42" s="95"/>
      <c r="AI42" s="95"/>
      <c r="AJ42" s="95"/>
      <c r="AK42" s="95"/>
      <c r="AL42" s="95"/>
    </row>
    <row r="43" spans="1:38" ht="15.75" customHeight="1">
      <c r="A43" s="33">
        <v>42</v>
      </c>
      <c r="B43" s="30">
        <v>40000</v>
      </c>
      <c r="C43" s="46"/>
      <c r="D43" s="35">
        <f t="shared" ca="1" si="0"/>
        <v>0.89659411850061133</v>
      </c>
      <c r="E43" s="38">
        <f t="shared" ca="1" si="45"/>
        <v>8</v>
      </c>
      <c r="F43" s="40">
        <f t="shared" ca="1" si="46"/>
        <v>1</v>
      </c>
      <c r="G43" s="40">
        <f t="shared" ca="1" si="47"/>
        <v>1</v>
      </c>
      <c r="H43" s="40">
        <f t="shared" ca="1" si="48"/>
        <v>1</v>
      </c>
      <c r="I43" s="40">
        <f t="shared" ca="1" si="49"/>
        <v>1</v>
      </c>
      <c r="J43" s="40">
        <f t="shared" ca="1" si="50"/>
        <v>1</v>
      </c>
      <c r="K43" s="40">
        <f t="shared" ca="1" si="51"/>
        <v>1</v>
      </c>
      <c r="L43" s="40">
        <f t="shared" ca="1" si="52"/>
        <v>1</v>
      </c>
      <c r="M43" s="40">
        <f t="shared" ca="1" si="53"/>
        <v>1</v>
      </c>
      <c r="N43" s="40">
        <f t="shared" ca="1" si="54"/>
        <v>0</v>
      </c>
      <c r="O43" s="40">
        <f t="shared" ca="1" si="55"/>
        <v>0</v>
      </c>
      <c r="P43" s="42"/>
      <c r="Q43" s="31">
        <f t="shared" ref="Q43:Z43" ca="1" si="65">_xlfn.CHISQ.INV(RAND(),2)*$AL$4 *F43</f>
        <v>1976.3525874338159</v>
      </c>
      <c r="R43" s="31">
        <f t="shared" ca="1" si="65"/>
        <v>54546.326439345059</v>
      </c>
      <c r="S43" s="31">
        <f t="shared" ca="1" si="65"/>
        <v>9120.1047577817881</v>
      </c>
      <c r="T43" s="31">
        <f t="shared" ca="1" si="65"/>
        <v>49854.738108460748</v>
      </c>
      <c r="U43" s="31">
        <f t="shared" ca="1" si="65"/>
        <v>879.18886621304625</v>
      </c>
      <c r="V43" s="31">
        <f t="shared" ca="1" si="65"/>
        <v>19823.405249336789</v>
      </c>
      <c r="W43" s="31">
        <f t="shared" ca="1" si="65"/>
        <v>8016.8736989779363</v>
      </c>
      <c r="X43" s="31">
        <f t="shared" ca="1" si="65"/>
        <v>10239.829038446796</v>
      </c>
      <c r="Y43" s="31">
        <f t="shared" ca="1" si="65"/>
        <v>0</v>
      </c>
      <c r="Z43" s="31">
        <f t="shared" ca="1" si="65"/>
        <v>0</v>
      </c>
      <c r="AA43" s="44">
        <f t="shared" ca="1" si="12"/>
        <v>154456.81874599596</v>
      </c>
      <c r="AB43" s="165"/>
      <c r="AC43" s="95"/>
      <c r="AD43" s="95"/>
      <c r="AE43" s="95"/>
      <c r="AF43" s="95"/>
      <c r="AG43" s="95"/>
      <c r="AH43" s="95"/>
      <c r="AI43" s="95"/>
      <c r="AJ43" s="95"/>
      <c r="AK43" s="95"/>
      <c r="AL43" s="95"/>
    </row>
    <row r="44" spans="1:38" ht="15.75" customHeight="1">
      <c r="A44" s="33">
        <v>43</v>
      </c>
      <c r="B44" s="30">
        <v>40000</v>
      </c>
      <c r="C44" s="46"/>
      <c r="D44" s="35">
        <f t="shared" ca="1" si="0"/>
        <v>0.54382837868504497</v>
      </c>
      <c r="E44" s="38">
        <f t="shared" ca="1" si="45"/>
        <v>5</v>
      </c>
      <c r="F44" s="40">
        <f t="shared" ca="1" si="46"/>
        <v>1</v>
      </c>
      <c r="G44" s="40">
        <f t="shared" ca="1" si="47"/>
        <v>1</v>
      </c>
      <c r="H44" s="40">
        <f t="shared" ca="1" si="48"/>
        <v>1</v>
      </c>
      <c r="I44" s="40">
        <f t="shared" ca="1" si="49"/>
        <v>1</v>
      </c>
      <c r="J44" s="40">
        <f t="shared" ca="1" si="50"/>
        <v>1</v>
      </c>
      <c r="K44" s="40">
        <f t="shared" ca="1" si="51"/>
        <v>0</v>
      </c>
      <c r="L44" s="40">
        <f t="shared" ca="1" si="52"/>
        <v>0</v>
      </c>
      <c r="M44" s="40">
        <f t="shared" ca="1" si="53"/>
        <v>0</v>
      </c>
      <c r="N44" s="40">
        <f t="shared" ca="1" si="54"/>
        <v>0</v>
      </c>
      <c r="O44" s="40">
        <f t="shared" ca="1" si="55"/>
        <v>0</v>
      </c>
      <c r="P44" s="42"/>
      <c r="Q44" s="31">
        <f t="shared" ref="Q44:Z44" ca="1" si="66">_xlfn.CHISQ.INV(RAND(),2)*$AL$4 *F44</f>
        <v>74367.392548683216</v>
      </c>
      <c r="R44" s="31">
        <f t="shared" ca="1" si="66"/>
        <v>3784.189189683349</v>
      </c>
      <c r="S44" s="31">
        <f t="shared" ca="1" si="66"/>
        <v>4613.7467168231633</v>
      </c>
      <c r="T44" s="31">
        <f t="shared" ca="1" si="66"/>
        <v>6227.4780241262924</v>
      </c>
      <c r="U44" s="31">
        <f t="shared" ca="1" si="66"/>
        <v>12731.901823983797</v>
      </c>
      <c r="V44" s="31">
        <f t="shared" ca="1" si="66"/>
        <v>0</v>
      </c>
      <c r="W44" s="31">
        <f t="shared" ca="1" si="66"/>
        <v>0</v>
      </c>
      <c r="X44" s="31">
        <f t="shared" ca="1" si="66"/>
        <v>0</v>
      </c>
      <c r="Y44" s="31">
        <f t="shared" ca="1" si="66"/>
        <v>0</v>
      </c>
      <c r="Z44" s="31">
        <f t="shared" ca="1" si="66"/>
        <v>0</v>
      </c>
      <c r="AA44" s="44">
        <f t="shared" ca="1" si="12"/>
        <v>101724.70830329982</v>
      </c>
      <c r="AB44" s="165"/>
      <c r="AC44" s="95"/>
      <c r="AD44" s="95"/>
      <c r="AE44" s="95"/>
      <c r="AF44" s="95"/>
      <c r="AG44" s="95"/>
      <c r="AH44" s="95"/>
      <c r="AI44" s="95"/>
      <c r="AJ44" s="95"/>
      <c r="AK44" s="95"/>
      <c r="AL44" s="95"/>
    </row>
    <row r="45" spans="1:38" ht="15.75" customHeight="1">
      <c r="A45" s="33">
        <v>44</v>
      </c>
      <c r="B45" s="30">
        <v>40000</v>
      </c>
      <c r="C45" s="46"/>
      <c r="D45" s="35">
        <f t="shared" ca="1" si="0"/>
        <v>0.24485089833948059</v>
      </c>
      <c r="E45" s="38">
        <f t="shared" ca="1" si="45"/>
        <v>2</v>
      </c>
      <c r="F45" s="40">
        <f t="shared" ca="1" si="46"/>
        <v>1</v>
      </c>
      <c r="G45" s="40">
        <f t="shared" ca="1" si="47"/>
        <v>1</v>
      </c>
      <c r="H45" s="40">
        <f t="shared" ca="1" si="48"/>
        <v>0</v>
      </c>
      <c r="I45" s="40">
        <f t="shared" ca="1" si="49"/>
        <v>0</v>
      </c>
      <c r="J45" s="40">
        <f t="shared" ca="1" si="50"/>
        <v>0</v>
      </c>
      <c r="K45" s="40">
        <f t="shared" ca="1" si="51"/>
        <v>0</v>
      </c>
      <c r="L45" s="40">
        <f t="shared" ca="1" si="52"/>
        <v>0</v>
      </c>
      <c r="M45" s="40">
        <f t="shared" ca="1" si="53"/>
        <v>0</v>
      </c>
      <c r="N45" s="40">
        <f t="shared" ca="1" si="54"/>
        <v>0</v>
      </c>
      <c r="O45" s="40">
        <f t="shared" ca="1" si="55"/>
        <v>0</v>
      </c>
      <c r="P45" s="42"/>
      <c r="Q45" s="31">
        <f t="shared" ref="Q45:Z45" ca="1" si="67">_xlfn.CHISQ.INV(RAND(),2)*$AL$4 *F45</f>
        <v>4083.1191119840205</v>
      </c>
      <c r="R45" s="31">
        <f t="shared" ca="1" si="67"/>
        <v>26047.173024204665</v>
      </c>
      <c r="S45" s="31">
        <f t="shared" ca="1" si="67"/>
        <v>0</v>
      </c>
      <c r="T45" s="31">
        <f t="shared" ca="1" si="67"/>
        <v>0</v>
      </c>
      <c r="U45" s="31">
        <f t="shared" ca="1" si="67"/>
        <v>0</v>
      </c>
      <c r="V45" s="31">
        <f t="shared" ca="1" si="67"/>
        <v>0</v>
      </c>
      <c r="W45" s="31">
        <f t="shared" ca="1" si="67"/>
        <v>0</v>
      </c>
      <c r="X45" s="31">
        <f t="shared" ca="1" si="67"/>
        <v>0</v>
      </c>
      <c r="Y45" s="31">
        <f t="shared" ca="1" si="67"/>
        <v>0</v>
      </c>
      <c r="Z45" s="31">
        <f t="shared" ca="1" si="67"/>
        <v>0</v>
      </c>
      <c r="AA45" s="44">
        <f t="shared" ca="1" si="12"/>
        <v>30130.292136188684</v>
      </c>
      <c r="AB45" s="165"/>
      <c r="AC45" s="95"/>
      <c r="AD45" s="95"/>
      <c r="AE45" s="95"/>
      <c r="AF45" s="95"/>
      <c r="AG45" s="95"/>
      <c r="AH45" s="95"/>
      <c r="AI45" s="95"/>
      <c r="AJ45" s="95"/>
      <c r="AK45" s="95"/>
      <c r="AL45" s="95"/>
    </row>
    <row r="46" spans="1:38" ht="15.75" customHeight="1">
      <c r="A46" s="33">
        <v>45</v>
      </c>
      <c r="B46" s="30">
        <v>40000</v>
      </c>
      <c r="C46" s="46"/>
      <c r="D46" s="35">
        <f t="shared" ca="1" si="0"/>
        <v>7.3701875146837459E-2</v>
      </c>
      <c r="E46" s="38">
        <f t="shared" ca="1" si="45"/>
        <v>1</v>
      </c>
      <c r="F46" s="40">
        <f t="shared" ca="1" si="46"/>
        <v>1</v>
      </c>
      <c r="G46" s="40">
        <f t="shared" ca="1" si="47"/>
        <v>0</v>
      </c>
      <c r="H46" s="40">
        <f t="shared" ca="1" si="48"/>
        <v>0</v>
      </c>
      <c r="I46" s="40">
        <f t="shared" ca="1" si="49"/>
        <v>0</v>
      </c>
      <c r="J46" s="40">
        <f t="shared" ca="1" si="50"/>
        <v>0</v>
      </c>
      <c r="K46" s="40">
        <f t="shared" ca="1" si="51"/>
        <v>0</v>
      </c>
      <c r="L46" s="40">
        <f t="shared" ca="1" si="52"/>
        <v>0</v>
      </c>
      <c r="M46" s="40">
        <f t="shared" ca="1" si="53"/>
        <v>0</v>
      </c>
      <c r="N46" s="40">
        <f t="shared" ca="1" si="54"/>
        <v>0</v>
      </c>
      <c r="O46" s="40">
        <f t="shared" ca="1" si="55"/>
        <v>0</v>
      </c>
      <c r="P46" s="42"/>
      <c r="Q46" s="31">
        <f t="shared" ref="Q46:Z46" ca="1" si="68">_xlfn.CHISQ.INV(RAND(),2)*$AL$4 *F46</f>
        <v>9421.9140009277871</v>
      </c>
      <c r="R46" s="31">
        <f t="shared" ca="1" si="68"/>
        <v>0</v>
      </c>
      <c r="S46" s="31">
        <f t="shared" ca="1" si="68"/>
        <v>0</v>
      </c>
      <c r="T46" s="31">
        <f t="shared" ca="1" si="68"/>
        <v>0</v>
      </c>
      <c r="U46" s="31">
        <f t="shared" ca="1" si="68"/>
        <v>0</v>
      </c>
      <c r="V46" s="31">
        <f t="shared" ca="1" si="68"/>
        <v>0</v>
      </c>
      <c r="W46" s="31">
        <f t="shared" ca="1" si="68"/>
        <v>0</v>
      </c>
      <c r="X46" s="31">
        <f t="shared" ca="1" si="68"/>
        <v>0</v>
      </c>
      <c r="Y46" s="31">
        <f t="shared" ca="1" si="68"/>
        <v>0</v>
      </c>
      <c r="Z46" s="31">
        <f t="shared" ca="1" si="68"/>
        <v>0</v>
      </c>
      <c r="AA46" s="44">
        <f t="shared" ca="1" si="12"/>
        <v>9421.9140009277871</v>
      </c>
      <c r="AB46" s="165"/>
      <c r="AC46" s="95"/>
      <c r="AD46" s="95"/>
      <c r="AE46" s="95"/>
      <c r="AF46" s="95"/>
      <c r="AG46" s="95"/>
      <c r="AH46" s="95"/>
      <c r="AI46" s="95"/>
      <c r="AJ46" s="96" t="s">
        <v>10</v>
      </c>
      <c r="AK46" s="95"/>
      <c r="AL46" s="95"/>
    </row>
    <row r="47" spans="1:38" ht="15.75" customHeight="1">
      <c r="A47" s="33">
        <v>46</v>
      </c>
      <c r="B47" s="30">
        <v>40000</v>
      </c>
      <c r="C47" s="46"/>
      <c r="D47" s="35">
        <f t="shared" ca="1" si="0"/>
        <v>0.7397867905345048</v>
      </c>
      <c r="E47" s="38">
        <f t="shared" ca="1" si="45"/>
        <v>6</v>
      </c>
      <c r="F47" s="40">
        <f t="shared" ca="1" si="46"/>
        <v>1</v>
      </c>
      <c r="G47" s="40">
        <f t="shared" ca="1" si="47"/>
        <v>1</v>
      </c>
      <c r="H47" s="40">
        <f t="shared" ca="1" si="48"/>
        <v>1</v>
      </c>
      <c r="I47" s="40">
        <f t="shared" ca="1" si="49"/>
        <v>1</v>
      </c>
      <c r="J47" s="40">
        <f t="shared" ca="1" si="50"/>
        <v>1</v>
      </c>
      <c r="K47" s="40">
        <f t="shared" ca="1" si="51"/>
        <v>1</v>
      </c>
      <c r="L47" s="40">
        <f t="shared" ca="1" si="52"/>
        <v>0</v>
      </c>
      <c r="M47" s="40">
        <f t="shared" ca="1" si="53"/>
        <v>0</v>
      </c>
      <c r="N47" s="40">
        <f t="shared" ca="1" si="54"/>
        <v>0</v>
      </c>
      <c r="O47" s="40">
        <f t="shared" ca="1" si="55"/>
        <v>0</v>
      </c>
      <c r="P47" s="42"/>
      <c r="Q47" s="31">
        <f t="shared" ref="Q47:Z47" ca="1" si="69">_xlfn.CHISQ.INV(RAND(),2)*$AL$4 *F47</f>
        <v>86207.715624342265</v>
      </c>
      <c r="R47" s="31">
        <f t="shared" ca="1" si="69"/>
        <v>32456.620439907663</v>
      </c>
      <c r="S47" s="31">
        <f t="shared" ca="1" si="69"/>
        <v>48195.04288845972</v>
      </c>
      <c r="T47" s="31">
        <f t="shared" ca="1" si="69"/>
        <v>22991.2666114731</v>
      </c>
      <c r="U47" s="31">
        <f t="shared" ca="1" si="69"/>
        <v>5308.8808978596544</v>
      </c>
      <c r="V47" s="31">
        <f t="shared" ca="1" si="69"/>
        <v>7455.5816936796637</v>
      </c>
      <c r="W47" s="31">
        <f t="shared" ca="1" si="69"/>
        <v>0</v>
      </c>
      <c r="X47" s="31">
        <f t="shared" ca="1" si="69"/>
        <v>0</v>
      </c>
      <c r="Y47" s="31">
        <f t="shared" ca="1" si="69"/>
        <v>0</v>
      </c>
      <c r="Z47" s="31">
        <f t="shared" ca="1" si="69"/>
        <v>0</v>
      </c>
      <c r="AA47" s="44">
        <f t="shared" ca="1" si="12"/>
        <v>202615.10815572212</v>
      </c>
      <c r="AB47" s="165"/>
      <c r="AC47" s="95"/>
      <c r="AD47" s="95"/>
      <c r="AE47" s="95"/>
      <c r="AF47" s="95"/>
      <c r="AG47" s="95"/>
      <c r="AH47" s="95"/>
      <c r="AI47" s="95"/>
      <c r="AJ47" s="96" t="s">
        <v>10</v>
      </c>
      <c r="AK47" s="95"/>
      <c r="AL47" s="95"/>
    </row>
    <row r="48" spans="1:38" ht="15.75" customHeight="1">
      <c r="A48" s="33">
        <v>47</v>
      </c>
      <c r="B48" s="30">
        <v>40000</v>
      </c>
      <c r="C48" s="46"/>
      <c r="D48" s="35">
        <f t="shared" ca="1" si="0"/>
        <v>0.79607064857797993</v>
      </c>
      <c r="E48" s="38">
        <f t="shared" ca="1" si="45"/>
        <v>6</v>
      </c>
      <c r="F48" s="40">
        <f t="shared" ca="1" si="46"/>
        <v>1</v>
      </c>
      <c r="G48" s="40">
        <f t="shared" ca="1" si="47"/>
        <v>1</v>
      </c>
      <c r="H48" s="40">
        <f t="shared" ca="1" si="48"/>
        <v>1</v>
      </c>
      <c r="I48" s="40">
        <f t="shared" ca="1" si="49"/>
        <v>1</v>
      </c>
      <c r="J48" s="40">
        <f t="shared" ca="1" si="50"/>
        <v>1</v>
      </c>
      <c r="K48" s="40">
        <f t="shared" ca="1" si="51"/>
        <v>1</v>
      </c>
      <c r="L48" s="40">
        <f t="shared" ca="1" si="52"/>
        <v>0</v>
      </c>
      <c r="M48" s="40">
        <f t="shared" ca="1" si="53"/>
        <v>0</v>
      </c>
      <c r="N48" s="40">
        <f t="shared" ca="1" si="54"/>
        <v>0</v>
      </c>
      <c r="O48" s="40">
        <f t="shared" ca="1" si="55"/>
        <v>0</v>
      </c>
      <c r="P48" s="42"/>
      <c r="Q48" s="31">
        <f t="shared" ref="Q48:Z48" ca="1" si="70">_xlfn.CHISQ.INV(RAND(),2)*$AL$4 *F48</f>
        <v>45482.229159554954</v>
      </c>
      <c r="R48" s="31">
        <f t="shared" ca="1" si="70"/>
        <v>8462.2595972968302</v>
      </c>
      <c r="S48" s="31">
        <f t="shared" ca="1" si="70"/>
        <v>12020.458764686313</v>
      </c>
      <c r="T48" s="31">
        <f t="shared" ca="1" si="70"/>
        <v>4571.3141797216913</v>
      </c>
      <c r="U48" s="31">
        <f t="shared" ca="1" si="70"/>
        <v>22503.459654764825</v>
      </c>
      <c r="V48" s="31">
        <f t="shared" ca="1" si="70"/>
        <v>24127.264205835032</v>
      </c>
      <c r="W48" s="31">
        <f t="shared" ca="1" si="70"/>
        <v>0</v>
      </c>
      <c r="X48" s="31">
        <f t="shared" ca="1" si="70"/>
        <v>0</v>
      </c>
      <c r="Y48" s="31">
        <f t="shared" ca="1" si="70"/>
        <v>0</v>
      </c>
      <c r="Z48" s="31">
        <f t="shared" ca="1" si="70"/>
        <v>0</v>
      </c>
      <c r="AA48" s="44">
        <f t="shared" ca="1" si="12"/>
        <v>117166.98556185965</v>
      </c>
      <c r="AB48" s="165"/>
      <c r="AC48" s="95"/>
      <c r="AD48" s="95"/>
      <c r="AE48" s="95"/>
      <c r="AF48" s="95"/>
      <c r="AG48" s="95"/>
      <c r="AH48" s="95"/>
      <c r="AI48" s="95"/>
      <c r="AJ48" s="96" t="s">
        <v>10</v>
      </c>
      <c r="AK48" s="95"/>
      <c r="AL48" s="95"/>
    </row>
    <row r="49" spans="1:38" ht="13.2">
      <c r="A49" s="33">
        <v>48</v>
      </c>
      <c r="B49" s="30">
        <v>40000</v>
      </c>
      <c r="C49" s="46"/>
      <c r="D49" s="35">
        <f t="shared" ca="1" si="0"/>
        <v>0.47512804434401756</v>
      </c>
      <c r="E49" s="38">
        <f t="shared" ca="1" si="45"/>
        <v>4</v>
      </c>
      <c r="F49" s="40">
        <f t="shared" ca="1" si="46"/>
        <v>1</v>
      </c>
      <c r="G49" s="40">
        <f t="shared" ca="1" si="47"/>
        <v>1</v>
      </c>
      <c r="H49" s="40">
        <f t="shared" ca="1" si="48"/>
        <v>1</v>
      </c>
      <c r="I49" s="40">
        <f t="shared" ca="1" si="49"/>
        <v>1</v>
      </c>
      <c r="J49" s="40">
        <f t="shared" ca="1" si="50"/>
        <v>0</v>
      </c>
      <c r="K49" s="40">
        <f t="shared" ca="1" si="51"/>
        <v>0</v>
      </c>
      <c r="L49" s="40">
        <f t="shared" ca="1" si="52"/>
        <v>0</v>
      </c>
      <c r="M49" s="40">
        <f t="shared" ca="1" si="53"/>
        <v>0</v>
      </c>
      <c r="N49" s="40">
        <f t="shared" ca="1" si="54"/>
        <v>0</v>
      </c>
      <c r="O49" s="40">
        <f t="shared" ca="1" si="55"/>
        <v>0</v>
      </c>
      <c r="P49" s="42"/>
      <c r="Q49" s="31">
        <f t="shared" ref="Q49:Z49" ca="1" si="71">_xlfn.CHISQ.INV(RAND(),2)*$AL$4 *F49</f>
        <v>5719.0124167753474</v>
      </c>
      <c r="R49" s="31">
        <f t="shared" ca="1" si="71"/>
        <v>5145.1042504120596</v>
      </c>
      <c r="S49" s="31">
        <f t="shared" ca="1" si="71"/>
        <v>6877.8077115825708</v>
      </c>
      <c r="T49" s="31">
        <f t="shared" ca="1" si="71"/>
        <v>9212.6070020750776</v>
      </c>
      <c r="U49" s="31">
        <f t="shared" ca="1" si="71"/>
        <v>0</v>
      </c>
      <c r="V49" s="31">
        <f t="shared" ca="1" si="71"/>
        <v>0</v>
      </c>
      <c r="W49" s="31">
        <f t="shared" ca="1" si="71"/>
        <v>0</v>
      </c>
      <c r="X49" s="31">
        <f t="shared" ca="1" si="71"/>
        <v>0</v>
      </c>
      <c r="Y49" s="31">
        <f t="shared" ca="1" si="71"/>
        <v>0</v>
      </c>
      <c r="Z49" s="31">
        <f t="shared" ca="1" si="71"/>
        <v>0</v>
      </c>
      <c r="AA49" s="44">
        <f t="shared" ca="1" si="12"/>
        <v>26954.531380845056</v>
      </c>
      <c r="AB49" s="165"/>
      <c r="AC49" s="95"/>
      <c r="AD49" s="95"/>
      <c r="AE49" s="95"/>
      <c r="AF49" s="95"/>
      <c r="AG49" s="95"/>
      <c r="AH49" s="95"/>
      <c r="AI49" s="95"/>
      <c r="AJ49" s="96" t="s">
        <v>10</v>
      </c>
      <c r="AK49" s="95"/>
      <c r="AL49" s="95"/>
    </row>
    <row r="50" spans="1:38" ht="13.2">
      <c r="A50" s="33">
        <v>49</v>
      </c>
      <c r="B50" s="30">
        <v>40000</v>
      </c>
      <c r="C50" s="46"/>
      <c r="D50" s="35">
        <f t="shared" ca="1" si="0"/>
        <v>0.15717056439359889</v>
      </c>
      <c r="E50" s="38">
        <f t="shared" ca="1" si="45"/>
        <v>1</v>
      </c>
      <c r="F50" s="40">
        <f t="shared" ca="1" si="46"/>
        <v>1</v>
      </c>
      <c r="G50" s="40">
        <f t="shared" ca="1" si="47"/>
        <v>0</v>
      </c>
      <c r="H50" s="40">
        <f t="shared" ca="1" si="48"/>
        <v>0</v>
      </c>
      <c r="I50" s="40">
        <f t="shared" ca="1" si="49"/>
        <v>0</v>
      </c>
      <c r="J50" s="40">
        <f t="shared" ca="1" si="50"/>
        <v>0</v>
      </c>
      <c r="K50" s="40">
        <f t="shared" ca="1" si="51"/>
        <v>0</v>
      </c>
      <c r="L50" s="40">
        <f t="shared" ca="1" si="52"/>
        <v>0</v>
      </c>
      <c r="M50" s="40">
        <f t="shared" ca="1" si="53"/>
        <v>0</v>
      </c>
      <c r="N50" s="40">
        <f t="shared" ca="1" si="54"/>
        <v>0</v>
      </c>
      <c r="O50" s="40">
        <f t="shared" ca="1" si="55"/>
        <v>0</v>
      </c>
      <c r="P50" s="42"/>
      <c r="Q50" s="31">
        <f t="shared" ref="Q50:Z50" ca="1" si="72">_xlfn.CHISQ.INV(RAND(),2)*$AL$4 *F50</f>
        <v>28296.971466249277</v>
      </c>
      <c r="R50" s="31">
        <f t="shared" ca="1" si="72"/>
        <v>0</v>
      </c>
      <c r="S50" s="31">
        <f t="shared" ca="1" si="72"/>
        <v>0</v>
      </c>
      <c r="T50" s="31">
        <f t="shared" ca="1" si="72"/>
        <v>0</v>
      </c>
      <c r="U50" s="31">
        <f t="shared" ca="1" si="72"/>
        <v>0</v>
      </c>
      <c r="V50" s="31">
        <f t="shared" ca="1" si="72"/>
        <v>0</v>
      </c>
      <c r="W50" s="31">
        <f t="shared" ca="1" si="72"/>
        <v>0</v>
      </c>
      <c r="X50" s="31">
        <f t="shared" ca="1" si="72"/>
        <v>0</v>
      </c>
      <c r="Y50" s="31">
        <f t="shared" ca="1" si="72"/>
        <v>0</v>
      </c>
      <c r="Z50" s="31">
        <f t="shared" ca="1" si="72"/>
        <v>0</v>
      </c>
      <c r="AA50" s="44">
        <f t="shared" ca="1" si="12"/>
        <v>28296.971466249277</v>
      </c>
      <c r="AB50" s="165"/>
      <c r="AC50" s="95"/>
      <c r="AD50" s="95"/>
      <c r="AE50" s="95"/>
      <c r="AF50" s="95"/>
      <c r="AG50" s="95"/>
      <c r="AH50" s="95"/>
      <c r="AI50" s="95"/>
      <c r="AJ50" s="96" t="s">
        <v>10</v>
      </c>
      <c r="AK50" s="95"/>
      <c r="AL50" s="95"/>
    </row>
    <row r="51" spans="1:38" ht="13.2">
      <c r="A51" s="33">
        <v>50</v>
      </c>
      <c r="B51" s="30">
        <v>40000</v>
      </c>
      <c r="C51" s="46"/>
      <c r="D51" s="35">
        <f t="shared" ca="1" si="0"/>
        <v>0.45365999175124327</v>
      </c>
      <c r="E51" s="38">
        <f t="shared" ca="1" si="45"/>
        <v>4</v>
      </c>
      <c r="F51" s="40">
        <f t="shared" ca="1" si="46"/>
        <v>1</v>
      </c>
      <c r="G51" s="40">
        <f t="shared" ca="1" si="47"/>
        <v>1</v>
      </c>
      <c r="H51" s="40">
        <f t="shared" ca="1" si="48"/>
        <v>1</v>
      </c>
      <c r="I51" s="40">
        <f t="shared" ca="1" si="49"/>
        <v>1</v>
      </c>
      <c r="J51" s="40">
        <f t="shared" ca="1" si="50"/>
        <v>0</v>
      </c>
      <c r="K51" s="40">
        <f t="shared" ca="1" si="51"/>
        <v>0</v>
      </c>
      <c r="L51" s="40">
        <f t="shared" ca="1" si="52"/>
        <v>0</v>
      </c>
      <c r="M51" s="40">
        <f t="shared" ca="1" si="53"/>
        <v>0</v>
      </c>
      <c r="N51" s="40">
        <f t="shared" ca="1" si="54"/>
        <v>0</v>
      </c>
      <c r="O51" s="40">
        <f t="shared" ca="1" si="55"/>
        <v>0</v>
      </c>
      <c r="P51" s="42"/>
      <c r="Q51" s="31">
        <f t="shared" ref="Q51:Z51" ca="1" si="73">_xlfn.CHISQ.INV(RAND(),2)*$AL$4 *F51</f>
        <v>3050.5481200348495</v>
      </c>
      <c r="R51" s="31">
        <f t="shared" ca="1" si="73"/>
        <v>14355.629701302209</v>
      </c>
      <c r="S51" s="31">
        <f t="shared" ca="1" si="73"/>
        <v>7551.766582461757</v>
      </c>
      <c r="T51" s="31">
        <f t="shared" ca="1" si="73"/>
        <v>11602.261044578163</v>
      </c>
      <c r="U51" s="31">
        <f t="shared" ca="1" si="73"/>
        <v>0</v>
      </c>
      <c r="V51" s="31">
        <f t="shared" ca="1" si="73"/>
        <v>0</v>
      </c>
      <c r="W51" s="31">
        <f t="shared" ca="1" si="73"/>
        <v>0</v>
      </c>
      <c r="X51" s="31">
        <f t="shared" ca="1" si="73"/>
        <v>0</v>
      </c>
      <c r="Y51" s="31">
        <f t="shared" ca="1" si="73"/>
        <v>0</v>
      </c>
      <c r="Z51" s="31">
        <f t="shared" ca="1" si="73"/>
        <v>0</v>
      </c>
      <c r="AA51" s="44">
        <f t="shared" ca="1" si="12"/>
        <v>36560.205448376975</v>
      </c>
      <c r="AB51" s="165"/>
      <c r="AC51" s="95"/>
      <c r="AD51" s="95"/>
      <c r="AE51" s="95"/>
      <c r="AF51" s="95"/>
      <c r="AG51" s="95"/>
      <c r="AH51" s="95"/>
      <c r="AI51" s="95"/>
      <c r="AJ51" s="96" t="s">
        <v>10</v>
      </c>
      <c r="AK51" s="95"/>
      <c r="AL51" s="95"/>
    </row>
    <row r="52" spans="1:38" ht="13.2">
      <c r="A52" s="33">
        <v>51</v>
      </c>
      <c r="B52" s="30">
        <v>40000</v>
      </c>
      <c r="C52" s="46"/>
      <c r="D52" s="35">
        <f t="shared" ca="1" si="0"/>
        <v>0.13030849653125098</v>
      </c>
      <c r="E52" s="38">
        <f t="shared" ca="1" si="45"/>
        <v>1</v>
      </c>
      <c r="F52" s="40">
        <f t="shared" ca="1" si="46"/>
        <v>1</v>
      </c>
      <c r="G52" s="40">
        <f t="shared" ca="1" si="47"/>
        <v>0</v>
      </c>
      <c r="H52" s="40">
        <f t="shared" ca="1" si="48"/>
        <v>0</v>
      </c>
      <c r="I52" s="40">
        <f t="shared" ca="1" si="49"/>
        <v>0</v>
      </c>
      <c r="J52" s="40">
        <f t="shared" ca="1" si="50"/>
        <v>0</v>
      </c>
      <c r="K52" s="40">
        <f t="shared" ca="1" si="51"/>
        <v>0</v>
      </c>
      <c r="L52" s="40">
        <f t="shared" ca="1" si="52"/>
        <v>0</v>
      </c>
      <c r="M52" s="40">
        <f t="shared" ca="1" si="53"/>
        <v>0</v>
      </c>
      <c r="N52" s="40">
        <f t="shared" ca="1" si="54"/>
        <v>0</v>
      </c>
      <c r="O52" s="40">
        <f t="shared" ca="1" si="55"/>
        <v>0</v>
      </c>
      <c r="P52" s="42"/>
      <c r="Q52" s="31">
        <f t="shared" ref="Q52:Z52" ca="1" si="74">_xlfn.CHISQ.INV(RAND(),2)*$AL$4 *F52</f>
        <v>18024.634595998468</v>
      </c>
      <c r="R52" s="31">
        <f t="shared" ca="1" si="74"/>
        <v>0</v>
      </c>
      <c r="S52" s="31">
        <f t="shared" ca="1" si="74"/>
        <v>0</v>
      </c>
      <c r="T52" s="31">
        <f t="shared" ca="1" si="74"/>
        <v>0</v>
      </c>
      <c r="U52" s="31">
        <f t="shared" ca="1" si="74"/>
        <v>0</v>
      </c>
      <c r="V52" s="31">
        <f t="shared" ca="1" si="74"/>
        <v>0</v>
      </c>
      <c r="W52" s="31">
        <f t="shared" ca="1" si="74"/>
        <v>0</v>
      </c>
      <c r="X52" s="31">
        <f t="shared" ca="1" si="74"/>
        <v>0</v>
      </c>
      <c r="Y52" s="31">
        <f t="shared" ca="1" si="74"/>
        <v>0</v>
      </c>
      <c r="Z52" s="31">
        <f t="shared" ca="1" si="74"/>
        <v>0</v>
      </c>
      <c r="AA52" s="44">
        <f t="shared" ca="1" si="12"/>
        <v>18024.634595998468</v>
      </c>
      <c r="AB52" s="165"/>
      <c r="AC52" s="95"/>
      <c r="AD52" s="95"/>
      <c r="AE52" s="95"/>
      <c r="AF52" s="95"/>
      <c r="AG52" s="95"/>
      <c r="AH52" s="95"/>
      <c r="AI52" s="95"/>
      <c r="AJ52" s="96" t="s">
        <v>10</v>
      </c>
      <c r="AK52" s="95"/>
      <c r="AL52" s="95"/>
    </row>
    <row r="53" spans="1:38" ht="13.2">
      <c r="A53" s="33">
        <v>52</v>
      </c>
      <c r="B53" s="30">
        <v>40000</v>
      </c>
      <c r="C53" s="46"/>
      <c r="D53" s="35">
        <f t="shared" ca="1" si="0"/>
        <v>0.5222058923093913</v>
      </c>
      <c r="E53" s="38">
        <f t="shared" ca="1" si="45"/>
        <v>4</v>
      </c>
      <c r="F53" s="40">
        <f t="shared" ca="1" si="46"/>
        <v>1</v>
      </c>
      <c r="G53" s="40">
        <f t="shared" ca="1" si="47"/>
        <v>1</v>
      </c>
      <c r="H53" s="40">
        <f t="shared" ca="1" si="48"/>
        <v>1</v>
      </c>
      <c r="I53" s="40">
        <f t="shared" ca="1" si="49"/>
        <v>1</v>
      </c>
      <c r="J53" s="40">
        <f t="shared" ca="1" si="50"/>
        <v>0</v>
      </c>
      <c r="K53" s="40">
        <f t="shared" ca="1" si="51"/>
        <v>0</v>
      </c>
      <c r="L53" s="40">
        <f t="shared" ca="1" si="52"/>
        <v>0</v>
      </c>
      <c r="M53" s="40">
        <f t="shared" ca="1" si="53"/>
        <v>0</v>
      </c>
      <c r="N53" s="40">
        <f t="shared" ca="1" si="54"/>
        <v>0</v>
      </c>
      <c r="O53" s="40">
        <f t="shared" ca="1" si="55"/>
        <v>0</v>
      </c>
      <c r="P53" s="42"/>
      <c r="Q53" s="31">
        <f t="shared" ref="Q53:Z53" ca="1" si="75">_xlfn.CHISQ.INV(RAND(),2)*$AL$4 *F53</f>
        <v>48411.192912524006</v>
      </c>
      <c r="R53" s="31">
        <f t="shared" ca="1" si="75"/>
        <v>7642.6830345429653</v>
      </c>
      <c r="S53" s="31">
        <f t="shared" ca="1" si="75"/>
        <v>8453.7584430320094</v>
      </c>
      <c r="T53" s="31">
        <f t="shared" ca="1" si="75"/>
        <v>22193.09906510271</v>
      </c>
      <c r="U53" s="31">
        <f t="shared" ca="1" si="75"/>
        <v>0</v>
      </c>
      <c r="V53" s="31">
        <f t="shared" ca="1" si="75"/>
        <v>0</v>
      </c>
      <c r="W53" s="31">
        <f t="shared" ca="1" si="75"/>
        <v>0</v>
      </c>
      <c r="X53" s="31">
        <f t="shared" ca="1" si="75"/>
        <v>0</v>
      </c>
      <c r="Y53" s="31">
        <f t="shared" ca="1" si="75"/>
        <v>0</v>
      </c>
      <c r="Z53" s="31">
        <f t="shared" ca="1" si="75"/>
        <v>0</v>
      </c>
      <c r="AA53" s="44">
        <f t="shared" ca="1" si="12"/>
        <v>86700.733455201684</v>
      </c>
      <c r="AB53" s="165"/>
      <c r="AC53" s="95"/>
      <c r="AD53" s="95"/>
      <c r="AE53" s="95"/>
      <c r="AF53" s="95"/>
      <c r="AG53" s="95"/>
      <c r="AH53" s="95"/>
      <c r="AI53" s="95"/>
      <c r="AJ53" s="96" t="s">
        <v>10</v>
      </c>
      <c r="AK53" s="95"/>
      <c r="AL53" s="95"/>
    </row>
    <row r="54" spans="1:38" ht="13.2">
      <c r="A54" s="33">
        <v>53</v>
      </c>
      <c r="B54" s="30">
        <v>40000</v>
      </c>
      <c r="C54" s="46"/>
      <c r="D54" s="35">
        <f t="shared" ca="1" si="0"/>
        <v>0.23102393375079278</v>
      </c>
      <c r="E54" s="38">
        <f t="shared" ca="1" si="45"/>
        <v>2</v>
      </c>
      <c r="F54" s="40">
        <f t="shared" ca="1" si="46"/>
        <v>1</v>
      </c>
      <c r="G54" s="40">
        <f t="shared" ca="1" si="47"/>
        <v>1</v>
      </c>
      <c r="H54" s="40">
        <f t="shared" ca="1" si="48"/>
        <v>0</v>
      </c>
      <c r="I54" s="40">
        <f t="shared" ca="1" si="49"/>
        <v>0</v>
      </c>
      <c r="J54" s="40">
        <f t="shared" ca="1" si="50"/>
        <v>0</v>
      </c>
      <c r="K54" s="40">
        <f t="shared" ca="1" si="51"/>
        <v>0</v>
      </c>
      <c r="L54" s="40">
        <f t="shared" ca="1" si="52"/>
        <v>0</v>
      </c>
      <c r="M54" s="40">
        <f t="shared" ca="1" si="53"/>
        <v>0</v>
      </c>
      <c r="N54" s="40">
        <f t="shared" ca="1" si="54"/>
        <v>0</v>
      </c>
      <c r="O54" s="40">
        <f t="shared" ca="1" si="55"/>
        <v>0</v>
      </c>
      <c r="P54" s="42"/>
      <c r="Q54" s="31">
        <f t="shared" ref="Q54:Z54" ca="1" si="76">_xlfn.CHISQ.INV(RAND(),2)*$AL$4 *F54</f>
        <v>55870.731271795397</v>
      </c>
      <c r="R54" s="31">
        <f t="shared" ca="1" si="76"/>
        <v>25924.971120357997</v>
      </c>
      <c r="S54" s="31">
        <f t="shared" ca="1" si="76"/>
        <v>0</v>
      </c>
      <c r="T54" s="31">
        <f t="shared" ca="1" si="76"/>
        <v>0</v>
      </c>
      <c r="U54" s="31">
        <f t="shared" ca="1" si="76"/>
        <v>0</v>
      </c>
      <c r="V54" s="31">
        <f t="shared" ca="1" si="76"/>
        <v>0</v>
      </c>
      <c r="W54" s="31">
        <f t="shared" ca="1" si="76"/>
        <v>0</v>
      </c>
      <c r="X54" s="31">
        <f t="shared" ca="1" si="76"/>
        <v>0</v>
      </c>
      <c r="Y54" s="31">
        <f t="shared" ca="1" si="76"/>
        <v>0</v>
      </c>
      <c r="Z54" s="31">
        <f t="shared" ca="1" si="76"/>
        <v>0</v>
      </c>
      <c r="AA54" s="44">
        <f t="shared" ca="1" si="12"/>
        <v>81795.702392153398</v>
      </c>
      <c r="AB54" s="165"/>
      <c r="AC54" s="95"/>
      <c r="AD54" s="95"/>
      <c r="AE54" s="95"/>
      <c r="AF54" s="95"/>
      <c r="AG54" s="95"/>
      <c r="AH54" s="95"/>
      <c r="AI54" s="95"/>
      <c r="AJ54" s="95"/>
      <c r="AK54" s="95"/>
      <c r="AL54" s="95"/>
    </row>
    <row r="55" spans="1:38" ht="13.2">
      <c r="A55" s="33">
        <v>54</v>
      </c>
      <c r="B55" s="30">
        <v>40000</v>
      </c>
      <c r="C55" s="46"/>
      <c r="D55" s="35">
        <f t="shared" ca="1" si="0"/>
        <v>0.36995001619889933</v>
      </c>
      <c r="E55" s="38">
        <f t="shared" ca="1" si="45"/>
        <v>3</v>
      </c>
      <c r="F55" s="40">
        <f t="shared" ca="1" si="46"/>
        <v>1</v>
      </c>
      <c r="G55" s="40">
        <f t="shared" ca="1" si="47"/>
        <v>1</v>
      </c>
      <c r="H55" s="40">
        <f t="shared" ca="1" si="48"/>
        <v>1</v>
      </c>
      <c r="I55" s="40">
        <f t="shared" ca="1" si="49"/>
        <v>0</v>
      </c>
      <c r="J55" s="40">
        <f t="shared" ca="1" si="50"/>
        <v>0</v>
      </c>
      <c r="K55" s="40">
        <f t="shared" ca="1" si="51"/>
        <v>0</v>
      </c>
      <c r="L55" s="40">
        <f t="shared" ca="1" si="52"/>
        <v>0</v>
      </c>
      <c r="M55" s="40">
        <f t="shared" ca="1" si="53"/>
        <v>0</v>
      </c>
      <c r="N55" s="40">
        <f t="shared" ca="1" si="54"/>
        <v>0</v>
      </c>
      <c r="O55" s="40">
        <f t="shared" ca="1" si="55"/>
        <v>0</v>
      </c>
      <c r="P55" s="42"/>
      <c r="Q55" s="31">
        <f t="shared" ref="Q55:Z55" ca="1" si="77">_xlfn.CHISQ.INV(RAND(),2)*$AL$4 *F55</f>
        <v>2557.7955979469825</v>
      </c>
      <c r="R55" s="31">
        <f t="shared" ca="1" si="77"/>
        <v>67428.605820587472</v>
      </c>
      <c r="S55" s="31">
        <f t="shared" ca="1" si="77"/>
        <v>11901.453619318529</v>
      </c>
      <c r="T55" s="31">
        <f t="shared" ca="1" si="77"/>
        <v>0</v>
      </c>
      <c r="U55" s="31">
        <f t="shared" ca="1" si="77"/>
        <v>0</v>
      </c>
      <c r="V55" s="31">
        <f t="shared" ca="1" si="77"/>
        <v>0</v>
      </c>
      <c r="W55" s="31">
        <f t="shared" ca="1" si="77"/>
        <v>0</v>
      </c>
      <c r="X55" s="31">
        <f t="shared" ca="1" si="77"/>
        <v>0</v>
      </c>
      <c r="Y55" s="31">
        <f t="shared" ca="1" si="77"/>
        <v>0</v>
      </c>
      <c r="Z55" s="31">
        <f t="shared" ca="1" si="77"/>
        <v>0</v>
      </c>
      <c r="AA55" s="44">
        <f t="shared" ca="1" si="12"/>
        <v>81887.855037852991</v>
      </c>
      <c r="AB55" s="16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1:38" ht="13.2">
      <c r="A56" s="33">
        <v>55</v>
      </c>
      <c r="B56" s="30">
        <v>40000</v>
      </c>
      <c r="C56" s="46"/>
      <c r="D56" s="35">
        <f t="shared" ca="1" si="0"/>
        <v>0.45492906321464366</v>
      </c>
      <c r="E56" s="38">
        <f t="shared" ca="1" si="45"/>
        <v>4</v>
      </c>
      <c r="F56" s="40">
        <f t="shared" ca="1" si="46"/>
        <v>1</v>
      </c>
      <c r="G56" s="40">
        <f t="shared" ca="1" si="47"/>
        <v>1</v>
      </c>
      <c r="H56" s="40">
        <f t="shared" ca="1" si="48"/>
        <v>1</v>
      </c>
      <c r="I56" s="40">
        <f t="shared" ca="1" si="49"/>
        <v>1</v>
      </c>
      <c r="J56" s="40">
        <f t="shared" ca="1" si="50"/>
        <v>0</v>
      </c>
      <c r="K56" s="40">
        <f t="shared" ca="1" si="51"/>
        <v>0</v>
      </c>
      <c r="L56" s="40">
        <f t="shared" ca="1" si="52"/>
        <v>0</v>
      </c>
      <c r="M56" s="40">
        <f t="shared" ca="1" si="53"/>
        <v>0</v>
      </c>
      <c r="N56" s="40">
        <f t="shared" ca="1" si="54"/>
        <v>0</v>
      </c>
      <c r="O56" s="40">
        <f t="shared" ca="1" si="55"/>
        <v>0</v>
      </c>
      <c r="P56" s="42"/>
      <c r="Q56" s="31">
        <f t="shared" ref="Q56:Z56" ca="1" si="78">_xlfn.CHISQ.INV(RAND(),2)*$AL$4 *F56</f>
        <v>6147.5381931455313</v>
      </c>
      <c r="R56" s="31">
        <f t="shared" ca="1" si="78"/>
        <v>14596.560434259183</v>
      </c>
      <c r="S56" s="31">
        <f t="shared" ca="1" si="78"/>
        <v>5448.6212845011869</v>
      </c>
      <c r="T56" s="31">
        <f t="shared" ca="1" si="78"/>
        <v>358.14039038867429</v>
      </c>
      <c r="U56" s="31">
        <f t="shared" ca="1" si="78"/>
        <v>0</v>
      </c>
      <c r="V56" s="31">
        <f t="shared" ca="1" si="78"/>
        <v>0</v>
      </c>
      <c r="W56" s="31">
        <f t="shared" ca="1" si="78"/>
        <v>0</v>
      </c>
      <c r="X56" s="31">
        <f t="shared" ca="1" si="78"/>
        <v>0</v>
      </c>
      <c r="Y56" s="31">
        <f t="shared" ca="1" si="78"/>
        <v>0</v>
      </c>
      <c r="Z56" s="31">
        <f t="shared" ca="1" si="78"/>
        <v>0</v>
      </c>
      <c r="AA56" s="44">
        <f t="shared" ca="1" si="12"/>
        <v>26550.860302294575</v>
      </c>
      <c r="AB56" s="16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1:38" ht="13.2">
      <c r="A57" s="33">
        <v>56</v>
      </c>
      <c r="B57" s="30">
        <v>40000</v>
      </c>
      <c r="C57" s="46"/>
      <c r="D57" s="35">
        <f t="shared" ca="1" si="0"/>
        <v>0.75087370345276161</v>
      </c>
      <c r="E57" s="38">
        <f t="shared" ca="1" si="45"/>
        <v>6</v>
      </c>
      <c r="F57" s="40">
        <f t="shared" ca="1" si="46"/>
        <v>1</v>
      </c>
      <c r="G57" s="40">
        <f t="shared" ca="1" si="47"/>
        <v>1</v>
      </c>
      <c r="H57" s="40">
        <f t="shared" ca="1" si="48"/>
        <v>1</v>
      </c>
      <c r="I57" s="40">
        <f t="shared" ca="1" si="49"/>
        <v>1</v>
      </c>
      <c r="J57" s="40">
        <f t="shared" ca="1" si="50"/>
        <v>1</v>
      </c>
      <c r="K57" s="40">
        <f t="shared" ca="1" si="51"/>
        <v>1</v>
      </c>
      <c r="L57" s="40">
        <f t="shared" ca="1" si="52"/>
        <v>0</v>
      </c>
      <c r="M57" s="40">
        <f t="shared" ca="1" si="53"/>
        <v>0</v>
      </c>
      <c r="N57" s="40">
        <f t="shared" ca="1" si="54"/>
        <v>0</v>
      </c>
      <c r="O57" s="40">
        <f t="shared" ca="1" si="55"/>
        <v>0</v>
      </c>
      <c r="P57" s="42"/>
      <c r="Q57" s="31">
        <f t="shared" ref="Q57:Z57" ca="1" si="79">_xlfn.CHISQ.INV(RAND(),2)*$AL$4 *F57</f>
        <v>57176.762113597499</v>
      </c>
      <c r="R57" s="31">
        <f t="shared" ca="1" si="79"/>
        <v>4614.426863847877</v>
      </c>
      <c r="S57" s="31">
        <f t="shared" ca="1" si="79"/>
        <v>35331.575722712609</v>
      </c>
      <c r="T57" s="31">
        <f t="shared" ca="1" si="79"/>
        <v>723.58115768565222</v>
      </c>
      <c r="U57" s="31">
        <f t="shared" ca="1" si="79"/>
        <v>20405.134402345771</v>
      </c>
      <c r="V57" s="31">
        <f t="shared" ca="1" si="79"/>
        <v>5976.0074148867989</v>
      </c>
      <c r="W57" s="31">
        <f t="shared" ca="1" si="79"/>
        <v>0</v>
      </c>
      <c r="X57" s="31">
        <f t="shared" ca="1" si="79"/>
        <v>0</v>
      </c>
      <c r="Y57" s="31">
        <f t="shared" ca="1" si="79"/>
        <v>0</v>
      </c>
      <c r="Z57" s="31">
        <f t="shared" ca="1" si="79"/>
        <v>0</v>
      </c>
      <c r="AA57" s="44">
        <f t="shared" ca="1" si="12"/>
        <v>124227.48767507619</v>
      </c>
      <c r="AB57" s="16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1:38" ht="13.2">
      <c r="A58" s="33">
        <v>57</v>
      </c>
      <c r="B58" s="30">
        <v>40000</v>
      </c>
      <c r="C58" s="46"/>
      <c r="D58" s="35">
        <f t="shared" ca="1" si="0"/>
        <v>0.30582236903842541</v>
      </c>
      <c r="E58" s="38">
        <f t="shared" ca="1" si="45"/>
        <v>3</v>
      </c>
      <c r="F58" s="40">
        <f t="shared" ca="1" si="46"/>
        <v>1</v>
      </c>
      <c r="G58" s="40">
        <f t="shared" ca="1" si="47"/>
        <v>1</v>
      </c>
      <c r="H58" s="40">
        <f t="shared" ca="1" si="48"/>
        <v>1</v>
      </c>
      <c r="I58" s="40">
        <f t="shared" ca="1" si="49"/>
        <v>0</v>
      </c>
      <c r="J58" s="40">
        <f t="shared" ca="1" si="50"/>
        <v>0</v>
      </c>
      <c r="K58" s="40">
        <f t="shared" ca="1" si="51"/>
        <v>0</v>
      </c>
      <c r="L58" s="40">
        <f t="shared" ca="1" si="52"/>
        <v>0</v>
      </c>
      <c r="M58" s="40">
        <f t="shared" ca="1" si="53"/>
        <v>0</v>
      </c>
      <c r="N58" s="40">
        <f t="shared" ca="1" si="54"/>
        <v>0</v>
      </c>
      <c r="O58" s="40">
        <f t="shared" ca="1" si="55"/>
        <v>0</v>
      </c>
      <c r="P58" s="42"/>
      <c r="Q58" s="31">
        <f t="shared" ref="Q58:Z58" ca="1" si="80">_xlfn.CHISQ.INV(RAND(),2)*$AL$4 *F58</f>
        <v>2122.3701470228625</v>
      </c>
      <c r="R58" s="31">
        <f t="shared" ca="1" si="80"/>
        <v>9098.4047872586907</v>
      </c>
      <c r="S58" s="31">
        <f t="shared" ca="1" si="80"/>
        <v>5155.7373333658297</v>
      </c>
      <c r="T58" s="31">
        <f t="shared" ca="1" si="80"/>
        <v>0</v>
      </c>
      <c r="U58" s="31">
        <f t="shared" ca="1" si="80"/>
        <v>0</v>
      </c>
      <c r="V58" s="31">
        <f t="shared" ca="1" si="80"/>
        <v>0</v>
      </c>
      <c r="W58" s="31">
        <f t="shared" ca="1" si="80"/>
        <v>0</v>
      </c>
      <c r="X58" s="31">
        <f t="shared" ca="1" si="80"/>
        <v>0</v>
      </c>
      <c r="Y58" s="31">
        <f t="shared" ca="1" si="80"/>
        <v>0</v>
      </c>
      <c r="Z58" s="31">
        <f t="shared" ca="1" si="80"/>
        <v>0</v>
      </c>
      <c r="AA58" s="44">
        <f t="shared" ca="1" si="12"/>
        <v>16376.512267647384</v>
      </c>
      <c r="AB58" s="16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1:38" ht="13.2">
      <c r="A59" s="33">
        <v>58</v>
      </c>
      <c r="B59" s="30">
        <v>40000</v>
      </c>
      <c r="C59" s="46"/>
      <c r="D59" s="35">
        <f t="shared" ca="1" si="0"/>
        <v>0.68048706346220411</v>
      </c>
      <c r="E59" s="38">
        <f t="shared" ca="1" si="45"/>
        <v>5</v>
      </c>
      <c r="F59" s="40">
        <f t="shared" ca="1" si="46"/>
        <v>1</v>
      </c>
      <c r="G59" s="40">
        <f t="shared" ca="1" si="47"/>
        <v>1</v>
      </c>
      <c r="H59" s="40">
        <f t="shared" ca="1" si="48"/>
        <v>1</v>
      </c>
      <c r="I59" s="40">
        <f t="shared" ca="1" si="49"/>
        <v>1</v>
      </c>
      <c r="J59" s="40">
        <f t="shared" ca="1" si="50"/>
        <v>1</v>
      </c>
      <c r="K59" s="40">
        <f t="shared" ca="1" si="51"/>
        <v>0</v>
      </c>
      <c r="L59" s="40">
        <f t="shared" ca="1" si="52"/>
        <v>0</v>
      </c>
      <c r="M59" s="40">
        <f t="shared" ca="1" si="53"/>
        <v>0</v>
      </c>
      <c r="N59" s="40">
        <f t="shared" ca="1" si="54"/>
        <v>0</v>
      </c>
      <c r="O59" s="40">
        <f t="shared" ca="1" si="55"/>
        <v>0</v>
      </c>
      <c r="P59" s="42"/>
      <c r="Q59" s="31">
        <f t="shared" ref="Q59:Z59" ca="1" si="81">_xlfn.CHISQ.INV(RAND(),2)*$AL$4 *F59</f>
        <v>98632.54790457763</v>
      </c>
      <c r="R59" s="31">
        <f t="shared" ca="1" si="81"/>
        <v>12510.707075997603</v>
      </c>
      <c r="S59" s="31">
        <f t="shared" ca="1" si="81"/>
        <v>62275.118373868077</v>
      </c>
      <c r="T59" s="31">
        <f t="shared" ca="1" si="81"/>
        <v>15107.674642704207</v>
      </c>
      <c r="U59" s="31">
        <f t="shared" ca="1" si="81"/>
        <v>69415.922972596105</v>
      </c>
      <c r="V59" s="31">
        <f t="shared" ca="1" si="81"/>
        <v>0</v>
      </c>
      <c r="W59" s="31">
        <f t="shared" ca="1" si="81"/>
        <v>0</v>
      </c>
      <c r="X59" s="31">
        <f t="shared" ca="1" si="81"/>
        <v>0</v>
      </c>
      <c r="Y59" s="31">
        <f t="shared" ca="1" si="81"/>
        <v>0</v>
      </c>
      <c r="Z59" s="31">
        <f t="shared" ca="1" si="81"/>
        <v>0</v>
      </c>
      <c r="AA59" s="44">
        <f t="shared" ca="1" si="12"/>
        <v>257941.97096974362</v>
      </c>
      <c r="AB59" s="16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1:38" ht="13.2">
      <c r="A60" s="33">
        <v>59</v>
      </c>
      <c r="B60" s="30">
        <v>40000</v>
      </c>
      <c r="C60" s="46"/>
      <c r="D60" s="35">
        <f t="shared" ca="1" si="0"/>
        <v>0.66119939412967244</v>
      </c>
      <c r="E60" s="38">
        <f t="shared" ca="1" si="45"/>
        <v>5</v>
      </c>
      <c r="F60" s="40">
        <f t="shared" ca="1" si="46"/>
        <v>1</v>
      </c>
      <c r="G60" s="40">
        <f t="shared" ca="1" si="47"/>
        <v>1</v>
      </c>
      <c r="H60" s="40">
        <f t="shared" ca="1" si="48"/>
        <v>1</v>
      </c>
      <c r="I60" s="40">
        <f t="shared" ca="1" si="49"/>
        <v>1</v>
      </c>
      <c r="J60" s="40">
        <f t="shared" ca="1" si="50"/>
        <v>1</v>
      </c>
      <c r="K60" s="40">
        <f t="shared" ca="1" si="51"/>
        <v>0</v>
      </c>
      <c r="L60" s="40">
        <f t="shared" ca="1" si="52"/>
        <v>0</v>
      </c>
      <c r="M60" s="40">
        <f t="shared" ca="1" si="53"/>
        <v>0</v>
      </c>
      <c r="N60" s="40">
        <f t="shared" ca="1" si="54"/>
        <v>0</v>
      </c>
      <c r="O60" s="40">
        <f t="shared" ca="1" si="55"/>
        <v>0</v>
      </c>
      <c r="P60" s="42"/>
      <c r="Q60" s="31">
        <f t="shared" ref="Q60:Z60" ca="1" si="82">_xlfn.CHISQ.INV(RAND(),2)*$AL$4 *F60</f>
        <v>23700.682413776569</v>
      </c>
      <c r="R60" s="31">
        <f t="shared" ca="1" si="82"/>
        <v>17363.58783361227</v>
      </c>
      <c r="S60" s="31">
        <f t="shared" ca="1" si="82"/>
        <v>73686.333280350504</v>
      </c>
      <c r="T60" s="31">
        <f t="shared" ca="1" si="82"/>
        <v>9338.4200366948971</v>
      </c>
      <c r="U60" s="31">
        <f t="shared" ca="1" si="82"/>
        <v>43982.339874469879</v>
      </c>
      <c r="V60" s="31">
        <f t="shared" ca="1" si="82"/>
        <v>0</v>
      </c>
      <c r="W60" s="31">
        <f t="shared" ca="1" si="82"/>
        <v>0</v>
      </c>
      <c r="X60" s="31">
        <f t="shared" ca="1" si="82"/>
        <v>0</v>
      </c>
      <c r="Y60" s="31">
        <f t="shared" ca="1" si="82"/>
        <v>0</v>
      </c>
      <c r="Z60" s="31">
        <f t="shared" ca="1" si="82"/>
        <v>0</v>
      </c>
      <c r="AA60" s="44">
        <f t="shared" ca="1" si="12"/>
        <v>168071.36343890411</v>
      </c>
      <c r="AB60" s="16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1:38" ht="13.2">
      <c r="A61" s="33">
        <v>60</v>
      </c>
      <c r="B61" s="30">
        <v>40000</v>
      </c>
      <c r="C61" s="46"/>
      <c r="D61" s="35">
        <f t="shared" ca="1" si="0"/>
        <v>0.4375727900589319</v>
      </c>
      <c r="E61" s="38">
        <f t="shared" ca="1" si="45"/>
        <v>4</v>
      </c>
      <c r="F61" s="40">
        <f t="shared" ca="1" si="46"/>
        <v>1</v>
      </c>
      <c r="G61" s="40">
        <f t="shared" ca="1" si="47"/>
        <v>1</v>
      </c>
      <c r="H61" s="40">
        <f t="shared" ca="1" si="48"/>
        <v>1</v>
      </c>
      <c r="I61" s="40">
        <f t="shared" ca="1" si="49"/>
        <v>1</v>
      </c>
      <c r="J61" s="40">
        <f t="shared" ca="1" si="50"/>
        <v>0</v>
      </c>
      <c r="K61" s="40">
        <f t="shared" ca="1" si="51"/>
        <v>0</v>
      </c>
      <c r="L61" s="40">
        <f t="shared" ca="1" si="52"/>
        <v>0</v>
      </c>
      <c r="M61" s="40">
        <f t="shared" ca="1" si="53"/>
        <v>0</v>
      </c>
      <c r="N61" s="40">
        <f t="shared" ca="1" si="54"/>
        <v>0</v>
      </c>
      <c r="O61" s="40">
        <f t="shared" ca="1" si="55"/>
        <v>0</v>
      </c>
      <c r="P61" s="42"/>
      <c r="Q61" s="31">
        <f t="shared" ref="Q61:Z61" ca="1" si="83">_xlfn.CHISQ.INV(RAND(),2)*$AL$4 *F61</f>
        <v>18470.19522136536</v>
      </c>
      <c r="R61" s="31">
        <f t="shared" ca="1" si="83"/>
        <v>24244.357295790269</v>
      </c>
      <c r="S61" s="31">
        <f t="shared" ca="1" si="83"/>
        <v>5126.8760139187752</v>
      </c>
      <c r="T61" s="31">
        <f t="shared" ca="1" si="83"/>
        <v>40341.164982907969</v>
      </c>
      <c r="U61" s="31">
        <f t="shared" ca="1" si="83"/>
        <v>0</v>
      </c>
      <c r="V61" s="31">
        <f t="shared" ca="1" si="83"/>
        <v>0</v>
      </c>
      <c r="W61" s="31">
        <f t="shared" ca="1" si="83"/>
        <v>0</v>
      </c>
      <c r="X61" s="31">
        <f t="shared" ca="1" si="83"/>
        <v>0</v>
      </c>
      <c r="Y61" s="31">
        <f t="shared" ca="1" si="83"/>
        <v>0</v>
      </c>
      <c r="Z61" s="31">
        <f t="shared" ca="1" si="83"/>
        <v>0</v>
      </c>
      <c r="AA61" s="44">
        <f t="shared" ca="1" si="12"/>
        <v>88182.59351398237</v>
      </c>
      <c r="AB61" s="16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1:38" ht="13.2">
      <c r="A62" s="33">
        <v>61</v>
      </c>
      <c r="B62" s="30">
        <v>40000</v>
      </c>
      <c r="C62" s="46"/>
      <c r="D62" s="35">
        <f t="shared" ca="1" si="0"/>
        <v>0.30488972399170755</v>
      </c>
      <c r="E62" s="38">
        <f t="shared" ca="1" si="45"/>
        <v>3</v>
      </c>
      <c r="F62" s="40">
        <f t="shared" ca="1" si="46"/>
        <v>1</v>
      </c>
      <c r="G62" s="40">
        <f t="shared" ca="1" si="47"/>
        <v>1</v>
      </c>
      <c r="H62" s="40">
        <f t="shared" ca="1" si="48"/>
        <v>1</v>
      </c>
      <c r="I62" s="40">
        <f t="shared" ca="1" si="49"/>
        <v>0</v>
      </c>
      <c r="J62" s="40">
        <f t="shared" ca="1" si="50"/>
        <v>0</v>
      </c>
      <c r="K62" s="40">
        <f t="shared" ca="1" si="51"/>
        <v>0</v>
      </c>
      <c r="L62" s="40">
        <f t="shared" ca="1" si="52"/>
        <v>0</v>
      </c>
      <c r="M62" s="40">
        <f t="shared" ca="1" si="53"/>
        <v>0</v>
      </c>
      <c r="N62" s="40">
        <f t="shared" ca="1" si="54"/>
        <v>0</v>
      </c>
      <c r="O62" s="40">
        <f t="shared" ca="1" si="55"/>
        <v>0</v>
      </c>
      <c r="P62" s="42"/>
      <c r="Q62" s="31">
        <f t="shared" ref="Q62:Z62" ca="1" si="84">_xlfn.CHISQ.INV(RAND(),2)*$AL$4 *F62</f>
        <v>11669.464835808227</v>
      </c>
      <c r="R62" s="31">
        <f t="shared" ca="1" si="84"/>
        <v>15655.772458700454</v>
      </c>
      <c r="S62" s="31">
        <f t="shared" ca="1" si="84"/>
        <v>9414.3365184719842</v>
      </c>
      <c r="T62" s="31">
        <f t="shared" ca="1" si="84"/>
        <v>0</v>
      </c>
      <c r="U62" s="31">
        <f t="shared" ca="1" si="84"/>
        <v>0</v>
      </c>
      <c r="V62" s="31">
        <f t="shared" ca="1" si="84"/>
        <v>0</v>
      </c>
      <c r="W62" s="31">
        <f t="shared" ca="1" si="84"/>
        <v>0</v>
      </c>
      <c r="X62" s="31">
        <f t="shared" ca="1" si="84"/>
        <v>0</v>
      </c>
      <c r="Y62" s="31">
        <f t="shared" ca="1" si="84"/>
        <v>0</v>
      </c>
      <c r="Z62" s="31">
        <f t="shared" ca="1" si="84"/>
        <v>0</v>
      </c>
      <c r="AA62" s="44">
        <f t="shared" ca="1" si="12"/>
        <v>36739.57381298067</v>
      </c>
      <c r="AB62" s="16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1:38" ht="13.2">
      <c r="A63" s="33">
        <v>62</v>
      </c>
      <c r="B63" s="30">
        <v>40000</v>
      </c>
      <c r="C63" s="46"/>
      <c r="D63" s="35">
        <f t="shared" ca="1" si="0"/>
        <v>0.98542377205010678</v>
      </c>
      <c r="E63" s="38">
        <f t="shared" ca="1" si="45"/>
        <v>10</v>
      </c>
      <c r="F63" s="40">
        <f t="shared" ca="1" si="46"/>
        <v>1</v>
      </c>
      <c r="G63" s="40">
        <f t="shared" ca="1" si="47"/>
        <v>1</v>
      </c>
      <c r="H63" s="40">
        <f t="shared" ca="1" si="48"/>
        <v>1</v>
      </c>
      <c r="I63" s="40">
        <f t="shared" ca="1" si="49"/>
        <v>1</v>
      </c>
      <c r="J63" s="40">
        <f t="shared" ca="1" si="50"/>
        <v>1</v>
      </c>
      <c r="K63" s="40">
        <f t="shared" ca="1" si="51"/>
        <v>1</v>
      </c>
      <c r="L63" s="40">
        <f t="shared" ca="1" si="52"/>
        <v>1</v>
      </c>
      <c r="M63" s="40">
        <f t="shared" ca="1" si="53"/>
        <v>1</v>
      </c>
      <c r="N63" s="40">
        <f t="shared" ca="1" si="54"/>
        <v>1</v>
      </c>
      <c r="O63" s="40">
        <f t="shared" ca="1" si="55"/>
        <v>1</v>
      </c>
      <c r="P63" s="42"/>
      <c r="Q63" s="31">
        <f t="shared" ref="Q63:Z63" ca="1" si="85">_xlfn.CHISQ.INV(RAND(),2)*$AL$4 *F63</f>
        <v>23496.518135126364</v>
      </c>
      <c r="R63" s="31">
        <f t="shared" ca="1" si="85"/>
        <v>14433.011502589761</v>
      </c>
      <c r="S63" s="31">
        <f t="shared" ca="1" si="85"/>
        <v>649.89009151954906</v>
      </c>
      <c r="T63" s="31">
        <f t="shared" ca="1" si="85"/>
        <v>9722.2803938427332</v>
      </c>
      <c r="U63" s="31">
        <f t="shared" ca="1" si="85"/>
        <v>101349.31889966503</v>
      </c>
      <c r="V63" s="31">
        <f t="shared" ca="1" si="85"/>
        <v>18228.752675620457</v>
      </c>
      <c r="W63" s="31">
        <f t="shared" ca="1" si="85"/>
        <v>20287.616009684167</v>
      </c>
      <c r="X63" s="31">
        <f t="shared" ca="1" si="85"/>
        <v>2234.555351257919</v>
      </c>
      <c r="Y63" s="31">
        <f t="shared" ca="1" si="85"/>
        <v>16047.438676041405</v>
      </c>
      <c r="Z63" s="31">
        <f t="shared" ca="1" si="85"/>
        <v>281.08709013280071</v>
      </c>
      <c r="AA63" s="44">
        <f t="shared" ca="1" si="12"/>
        <v>206730.46882548017</v>
      </c>
      <c r="AB63" s="16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1:38" ht="13.2">
      <c r="A64" s="33">
        <v>63</v>
      </c>
      <c r="B64" s="30">
        <v>40000</v>
      </c>
      <c r="C64" s="46"/>
      <c r="D64" s="35">
        <f t="shared" ca="1" si="0"/>
        <v>0.23850754203471947</v>
      </c>
      <c r="E64" s="38">
        <f t="shared" ca="1" si="45"/>
        <v>2</v>
      </c>
      <c r="F64" s="40">
        <f t="shared" ca="1" si="46"/>
        <v>1</v>
      </c>
      <c r="G64" s="40">
        <f t="shared" ca="1" si="47"/>
        <v>1</v>
      </c>
      <c r="H64" s="40">
        <f t="shared" ca="1" si="48"/>
        <v>0</v>
      </c>
      <c r="I64" s="40">
        <f t="shared" ca="1" si="49"/>
        <v>0</v>
      </c>
      <c r="J64" s="40">
        <f t="shared" ca="1" si="50"/>
        <v>0</v>
      </c>
      <c r="K64" s="40">
        <f t="shared" ca="1" si="51"/>
        <v>0</v>
      </c>
      <c r="L64" s="40">
        <f t="shared" ca="1" si="52"/>
        <v>0</v>
      </c>
      <c r="M64" s="40">
        <f t="shared" ca="1" si="53"/>
        <v>0</v>
      </c>
      <c r="N64" s="40">
        <f t="shared" ca="1" si="54"/>
        <v>0</v>
      </c>
      <c r="O64" s="40">
        <f t="shared" ca="1" si="55"/>
        <v>0</v>
      </c>
      <c r="P64" s="42"/>
      <c r="Q64" s="31">
        <f t="shared" ref="Q64:Z64" ca="1" si="86">_xlfn.CHISQ.INV(RAND(),2)*$AL$4 *F64</f>
        <v>5497.1209917359802</v>
      </c>
      <c r="R64" s="31">
        <f t="shared" ca="1" si="86"/>
        <v>16215.450631376247</v>
      </c>
      <c r="S64" s="31">
        <f t="shared" ca="1" si="86"/>
        <v>0</v>
      </c>
      <c r="T64" s="31">
        <f t="shared" ca="1" si="86"/>
        <v>0</v>
      </c>
      <c r="U64" s="31">
        <f t="shared" ca="1" si="86"/>
        <v>0</v>
      </c>
      <c r="V64" s="31">
        <f t="shared" ca="1" si="86"/>
        <v>0</v>
      </c>
      <c r="W64" s="31">
        <f t="shared" ca="1" si="86"/>
        <v>0</v>
      </c>
      <c r="X64" s="31">
        <f t="shared" ca="1" si="86"/>
        <v>0</v>
      </c>
      <c r="Y64" s="31">
        <f t="shared" ca="1" si="86"/>
        <v>0</v>
      </c>
      <c r="Z64" s="31">
        <f t="shared" ca="1" si="86"/>
        <v>0</v>
      </c>
      <c r="AA64" s="44">
        <f t="shared" ca="1" si="12"/>
        <v>21712.571623112228</v>
      </c>
      <c r="AB64" s="165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1:38" ht="13.2">
      <c r="A65" s="33">
        <v>64</v>
      </c>
      <c r="B65" s="30">
        <v>40000</v>
      </c>
      <c r="C65" s="46"/>
      <c r="D65" s="35">
        <f t="shared" ca="1" si="0"/>
        <v>0.88868790349036442</v>
      </c>
      <c r="E65" s="38">
        <f t="shared" ca="1" si="45"/>
        <v>8</v>
      </c>
      <c r="F65" s="40">
        <f t="shared" ca="1" si="46"/>
        <v>1</v>
      </c>
      <c r="G65" s="40">
        <f t="shared" ca="1" si="47"/>
        <v>1</v>
      </c>
      <c r="H65" s="40">
        <f t="shared" ca="1" si="48"/>
        <v>1</v>
      </c>
      <c r="I65" s="40">
        <f t="shared" ca="1" si="49"/>
        <v>1</v>
      </c>
      <c r="J65" s="40">
        <f t="shared" ca="1" si="50"/>
        <v>1</v>
      </c>
      <c r="K65" s="40">
        <f t="shared" ca="1" si="51"/>
        <v>1</v>
      </c>
      <c r="L65" s="40">
        <f t="shared" ca="1" si="52"/>
        <v>1</v>
      </c>
      <c r="M65" s="40">
        <f t="shared" ca="1" si="53"/>
        <v>1</v>
      </c>
      <c r="N65" s="40">
        <f t="shared" ca="1" si="54"/>
        <v>0</v>
      </c>
      <c r="O65" s="40">
        <f t="shared" ca="1" si="55"/>
        <v>0</v>
      </c>
      <c r="P65" s="42"/>
      <c r="Q65" s="31">
        <f t="shared" ref="Q65:Z65" ca="1" si="87">_xlfn.CHISQ.INV(RAND(),2)*$AL$4 *F65</f>
        <v>164.19468271671073</v>
      </c>
      <c r="R65" s="31">
        <f t="shared" ca="1" si="87"/>
        <v>465.24975918519601</v>
      </c>
      <c r="S65" s="31">
        <f t="shared" ca="1" si="87"/>
        <v>4213.2224713803907</v>
      </c>
      <c r="T65" s="31">
        <f t="shared" ca="1" si="87"/>
        <v>36897.617145666838</v>
      </c>
      <c r="U65" s="31">
        <f t="shared" ca="1" si="87"/>
        <v>8483.2265099318702</v>
      </c>
      <c r="V65" s="31">
        <f t="shared" ca="1" si="87"/>
        <v>41022.119217635169</v>
      </c>
      <c r="W65" s="31">
        <f t="shared" ca="1" si="87"/>
        <v>3696.234213011187</v>
      </c>
      <c r="X65" s="31">
        <f t="shared" ca="1" si="87"/>
        <v>87302.461863399585</v>
      </c>
      <c r="Y65" s="31">
        <f t="shared" ca="1" si="87"/>
        <v>0</v>
      </c>
      <c r="Z65" s="31">
        <f t="shared" ca="1" si="87"/>
        <v>0</v>
      </c>
      <c r="AA65" s="44">
        <f t="shared" ca="1" si="12"/>
        <v>182244.32586292695</v>
      </c>
      <c r="AB65" s="16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1:38" ht="13.2">
      <c r="A66" s="33">
        <v>65</v>
      </c>
      <c r="B66" s="30">
        <v>40000</v>
      </c>
      <c r="C66" s="46"/>
      <c r="D66" s="35">
        <f t="shared" ca="1" si="0"/>
        <v>6.970215899322485E-2</v>
      </c>
      <c r="E66" s="38">
        <f t="shared" ref="E66:E97" ca="1" si="88">VLOOKUP(D66,$AH$2:$AI$13, 2, TRUE)</f>
        <v>0</v>
      </c>
      <c r="F66" s="40">
        <f t="shared" ref="F66:F97" ca="1" si="89">IF(E66&gt;=1,1,0)</f>
        <v>0</v>
      </c>
      <c r="G66" s="40">
        <f t="shared" ref="G66:G97" ca="1" si="90">IF(E66&gt;=2,1,0)</f>
        <v>0</v>
      </c>
      <c r="H66" s="40">
        <f t="shared" ref="H66:H97" ca="1" si="91">IF(E66&gt;=3,1,0)</f>
        <v>0</v>
      </c>
      <c r="I66" s="40">
        <f t="shared" ref="I66:I97" ca="1" si="92">IF(E66&gt;=4,1,0)</f>
        <v>0</v>
      </c>
      <c r="J66" s="40">
        <f t="shared" ref="J66:J97" ca="1" si="93">IF(E66&gt;=5,1,0)</f>
        <v>0</v>
      </c>
      <c r="K66" s="40">
        <f t="shared" ref="K66:K97" ca="1" si="94">IF(E66&gt;=6,1,0)</f>
        <v>0</v>
      </c>
      <c r="L66" s="40">
        <f t="shared" ref="L66:L97" ca="1" si="95">IF(E66&gt;=7,1,0)</f>
        <v>0</v>
      </c>
      <c r="M66" s="40">
        <f t="shared" ref="M66:M97" ca="1" si="96">IF(E66&gt;=8,1,0)</f>
        <v>0</v>
      </c>
      <c r="N66" s="40">
        <f t="shared" ref="N66:N97" ca="1" si="97">IF(E66&gt;=9,1,0)</f>
        <v>0</v>
      </c>
      <c r="O66" s="40">
        <f t="shared" ref="O66:O97" ca="1" si="98">IF(E66&gt;=10,1,0)</f>
        <v>0</v>
      </c>
      <c r="P66" s="42"/>
      <c r="Q66" s="31">
        <f t="shared" ref="Q66:Z66" ca="1" si="99">_xlfn.CHISQ.INV(RAND(),2)*$AL$4 *F66</f>
        <v>0</v>
      </c>
      <c r="R66" s="31">
        <f t="shared" ca="1" si="99"/>
        <v>0</v>
      </c>
      <c r="S66" s="31">
        <f t="shared" ca="1" si="99"/>
        <v>0</v>
      </c>
      <c r="T66" s="31">
        <f t="shared" ca="1" si="99"/>
        <v>0</v>
      </c>
      <c r="U66" s="31">
        <f t="shared" ca="1" si="99"/>
        <v>0</v>
      </c>
      <c r="V66" s="31">
        <f t="shared" ca="1" si="99"/>
        <v>0</v>
      </c>
      <c r="W66" s="31">
        <f t="shared" ca="1" si="99"/>
        <v>0</v>
      </c>
      <c r="X66" s="31">
        <f t="shared" ca="1" si="99"/>
        <v>0</v>
      </c>
      <c r="Y66" s="31">
        <f t="shared" ca="1" si="99"/>
        <v>0</v>
      </c>
      <c r="Z66" s="31">
        <f t="shared" ca="1" si="99"/>
        <v>0</v>
      </c>
      <c r="AA66" s="44">
        <f t="shared" ca="1" si="12"/>
        <v>0</v>
      </c>
      <c r="AB66" s="16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1:38" ht="13.2">
      <c r="A67" s="33">
        <v>66</v>
      </c>
      <c r="B67" s="30">
        <v>40000</v>
      </c>
      <c r="C67" s="46"/>
      <c r="D67" s="35">
        <f t="shared" ca="1" si="0"/>
        <v>8.602881840029597E-2</v>
      </c>
      <c r="E67" s="38">
        <f t="shared" ca="1" si="88"/>
        <v>1</v>
      </c>
      <c r="F67" s="40">
        <f t="shared" ca="1" si="89"/>
        <v>1</v>
      </c>
      <c r="G67" s="40">
        <f t="shared" ca="1" si="90"/>
        <v>0</v>
      </c>
      <c r="H67" s="40">
        <f t="shared" ca="1" si="91"/>
        <v>0</v>
      </c>
      <c r="I67" s="40">
        <f t="shared" ca="1" si="92"/>
        <v>0</v>
      </c>
      <c r="J67" s="40">
        <f t="shared" ca="1" si="93"/>
        <v>0</v>
      </c>
      <c r="K67" s="40">
        <f t="shared" ca="1" si="94"/>
        <v>0</v>
      </c>
      <c r="L67" s="40">
        <f t="shared" ca="1" si="95"/>
        <v>0</v>
      </c>
      <c r="M67" s="40">
        <f t="shared" ca="1" si="96"/>
        <v>0</v>
      </c>
      <c r="N67" s="40">
        <f t="shared" ca="1" si="97"/>
        <v>0</v>
      </c>
      <c r="O67" s="40">
        <f t="shared" ca="1" si="98"/>
        <v>0</v>
      </c>
      <c r="P67" s="42"/>
      <c r="Q67" s="31">
        <f t="shared" ref="Q67:Z67" ca="1" si="100">_xlfn.CHISQ.INV(RAND(),2)*$AL$4 *F67</f>
        <v>3974.2538223156521</v>
      </c>
      <c r="R67" s="31">
        <f t="shared" ca="1" si="100"/>
        <v>0</v>
      </c>
      <c r="S67" s="31">
        <f t="shared" ca="1" si="100"/>
        <v>0</v>
      </c>
      <c r="T67" s="31">
        <f t="shared" ca="1" si="100"/>
        <v>0</v>
      </c>
      <c r="U67" s="31">
        <f t="shared" ca="1" si="100"/>
        <v>0</v>
      </c>
      <c r="V67" s="31">
        <f t="shared" ca="1" si="100"/>
        <v>0</v>
      </c>
      <c r="W67" s="31">
        <f t="shared" ca="1" si="100"/>
        <v>0</v>
      </c>
      <c r="X67" s="31">
        <f t="shared" ca="1" si="100"/>
        <v>0</v>
      </c>
      <c r="Y67" s="31">
        <f t="shared" ca="1" si="100"/>
        <v>0</v>
      </c>
      <c r="Z67" s="31">
        <f t="shared" ca="1" si="100"/>
        <v>0</v>
      </c>
      <c r="AA67" s="44">
        <f t="shared" ca="1" si="12"/>
        <v>3974.2538223156521</v>
      </c>
      <c r="AB67" s="165"/>
      <c r="AC67" s="95"/>
      <c r="AD67" s="95"/>
      <c r="AE67" s="95"/>
      <c r="AF67" s="95"/>
      <c r="AG67" s="95"/>
      <c r="AH67" s="95"/>
      <c r="AI67" s="95"/>
      <c r="AJ67" s="95"/>
      <c r="AK67" s="95"/>
      <c r="AL67" s="95"/>
    </row>
    <row r="68" spans="1:38" ht="13.2">
      <c r="A68" s="33">
        <v>67</v>
      </c>
      <c r="B68" s="30">
        <v>40000</v>
      </c>
      <c r="C68" s="46"/>
      <c r="D68" s="35">
        <f t="shared" ca="1" si="0"/>
        <v>0.11795659831644478</v>
      </c>
      <c r="E68" s="38">
        <f t="shared" ca="1" si="88"/>
        <v>1</v>
      </c>
      <c r="F68" s="40">
        <f t="shared" ca="1" si="89"/>
        <v>1</v>
      </c>
      <c r="G68" s="40">
        <f t="shared" ca="1" si="90"/>
        <v>0</v>
      </c>
      <c r="H68" s="40">
        <f t="shared" ca="1" si="91"/>
        <v>0</v>
      </c>
      <c r="I68" s="40">
        <f t="shared" ca="1" si="92"/>
        <v>0</v>
      </c>
      <c r="J68" s="40">
        <f t="shared" ca="1" si="93"/>
        <v>0</v>
      </c>
      <c r="K68" s="40">
        <f t="shared" ca="1" si="94"/>
        <v>0</v>
      </c>
      <c r="L68" s="40">
        <f t="shared" ca="1" si="95"/>
        <v>0</v>
      </c>
      <c r="M68" s="40">
        <f t="shared" ca="1" si="96"/>
        <v>0</v>
      </c>
      <c r="N68" s="40">
        <f t="shared" ca="1" si="97"/>
        <v>0</v>
      </c>
      <c r="O68" s="40">
        <f t="shared" ca="1" si="98"/>
        <v>0</v>
      </c>
      <c r="P68" s="42"/>
      <c r="Q68" s="31">
        <f t="shared" ref="Q68:Z68" ca="1" si="101">_xlfn.CHISQ.INV(RAND(),2)*$AL$4 *F68</f>
        <v>17429.727023714975</v>
      </c>
      <c r="R68" s="31">
        <f t="shared" ca="1" si="101"/>
        <v>0</v>
      </c>
      <c r="S68" s="31">
        <f t="shared" ca="1" si="101"/>
        <v>0</v>
      </c>
      <c r="T68" s="31">
        <f t="shared" ca="1" si="101"/>
        <v>0</v>
      </c>
      <c r="U68" s="31">
        <f t="shared" ca="1" si="101"/>
        <v>0</v>
      </c>
      <c r="V68" s="31">
        <f t="shared" ca="1" si="101"/>
        <v>0</v>
      </c>
      <c r="W68" s="31">
        <f t="shared" ca="1" si="101"/>
        <v>0</v>
      </c>
      <c r="X68" s="31">
        <f t="shared" ca="1" si="101"/>
        <v>0</v>
      </c>
      <c r="Y68" s="31">
        <f t="shared" ca="1" si="101"/>
        <v>0</v>
      </c>
      <c r="Z68" s="31">
        <f t="shared" ca="1" si="101"/>
        <v>0</v>
      </c>
      <c r="AA68" s="44">
        <f t="shared" ca="1" si="12"/>
        <v>17429.727023714975</v>
      </c>
      <c r="AB68" s="165"/>
      <c r="AC68" s="95"/>
      <c r="AD68" s="95"/>
      <c r="AE68" s="95"/>
      <c r="AF68" s="95"/>
      <c r="AG68" s="95"/>
      <c r="AH68" s="95"/>
      <c r="AI68" s="95"/>
      <c r="AJ68" s="95"/>
      <c r="AK68" s="95"/>
      <c r="AL68" s="95"/>
    </row>
    <row r="69" spans="1:38" ht="13.2">
      <c r="A69" s="33">
        <v>68</v>
      </c>
      <c r="B69" s="30">
        <v>40000</v>
      </c>
      <c r="C69" s="46"/>
      <c r="D69" s="35">
        <f t="shared" ca="1" si="0"/>
        <v>2.0628009633320232E-2</v>
      </c>
      <c r="E69" s="38">
        <f t="shared" ca="1" si="88"/>
        <v>0</v>
      </c>
      <c r="F69" s="40">
        <f t="shared" ca="1" si="89"/>
        <v>0</v>
      </c>
      <c r="G69" s="40">
        <f t="shared" ca="1" si="90"/>
        <v>0</v>
      </c>
      <c r="H69" s="40">
        <f t="shared" ca="1" si="91"/>
        <v>0</v>
      </c>
      <c r="I69" s="40">
        <f t="shared" ca="1" si="92"/>
        <v>0</v>
      </c>
      <c r="J69" s="40">
        <f t="shared" ca="1" si="93"/>
        <v>0</v>
      </c>
      <c r="K69" s="40">
        <f t="shared" ca="1" si="94"/>
        <v>0</v>
      </c>
      <c r="L69" s="40">
        <f t="shared" ca="1" si="95"/>
        <v>0</v>
      </c>
      <c r="M69" s="40">
        <f t="shared" ca="1" si="96"/>
        <v>0</v>
      </c>
      <c r="N69" s="40">
        <f t="shared" ca="1" si="97"/>
        <v>0</v>
      </c>
      <c r="O69" s="40">
        <f t="shared" ca="1" si="98"/>
        <v>0</v>
      </c>
      <c r="P69" s="42"/>
      <c r="Q69" s="31">
        <f t="shared" ref="Q69:Z69" ca="1" si="102">_xlfn.CHISQ.INV(RAND(),2)*$AL$4 *F69</f>
        <v>0</v>
      </c>
      <c r="R69" s="31">
        <f t="shared" ca="1" si="102"/>
        <v>0</v>
      </c>
      <c r="S69" s="31">
        <f t="shared" ca="1" si="102"/>
        <v>0</v>
      </c>
      <c r="T69" s="31">
        <f t="shared" ca="1" si="102"/>
        <v>0</v>
      </c>
      <c r="U69" s="31">
        <f t="shared" ca="1" si="102"/>
        <v>0</v>
      </c>
      <c r="V69" s="31">
        <f t="shared" ca="1" si="102"/>
        <v>0</v>
      </c>
      <c r="W69" s="31">
        <f t="shared" ca="1" si="102"/>
        <v>0</v>
      </c>
      <c r="X69" s="31">
        <f t="shared" ca="1" si="102"/>
        <v>0</v>
      </c>
      <c r="Y69" s="31">
        <f t="shared" ca="1" si="102"/>
        <v>0</v>
      </c>
      <c r="Z69" s="31">
        <f t="shared" ca="1" si="102"/>
        <v>0</v>
      </c>
      <c r="AA69" s="44">
        <f t="shared" ca="1" si="12"/>
        <v>0</v>
      </c>
      <c r="AB69" s="165"/>
      <c r="AC69" s="95"/>
      <c r="AD69" s="95"/>
      <c r="AE69" s="95"/>
      <c r="AF69" s="95"/>
      <c r="AG69" s="95"/>
      <c r="AH69" s="95"/>
      <c r="AI69" s="95"/>
      <c r="AJ69" s="95"/>
      <c r="AK69" s="95"/>
      <c r="AL69" s="95"/>
    </row>
    <row r="70" spans="1:38" ht="13.2">
      <c r="A70" s="33">
        <v>69</v>
      </c>
      <c r="B70" s="30">
        <v>40000</v>
      </c>
      <c r="C70" s="46"/>
      <c r="D70" s="35">
        <f t="shared" ca="1" si="0"/>
        <v>0.477875174484933</v>
      </c>
      <c r="E70" s="38">
        <f t="shared" ca="1" si="88"/>
        <v>4</v>
      </c>
      <c r="F70" s="40">
        <f t="shared" ca="1" si="89"/>
        <v>1</v>
      </c>
      <c r="G70" s="40">
        <f t="shared" ca="1" si="90"/>
        <v>1</v>
      </c>
      <c r="H70" s="40">
        <f t="shared" ca="1" si="91"/>
        <v>1</v>
      </c>
      <c r="I70" s="40">
        <f t="shared" ca="1" si="92"/>
        <v>1</v>
      </c>
      <c r="J70" s="40">
        <f t="shared" ca="1" si="93"/>
        <v>0</v>
      </c>
      <c r="K70" s="40">
        <f t="shared" ca="1" si="94"/>
        <v>0</v>
      </c>
      <c r="L70" s="40">
        <f t="shared" ca="1" si="95"/>
        <v>0</v>
      </c>
      <c r="M70" s="40">
        <f t="shared" ca="1" si="96"/>
        <v>0</v>
      </c>
      <c r="N70" s="40">
        <f t="shared" ca="1" si="97"/>
        <v>0</v>
      </c>
      <c r="O70" s="40">
        <f t="shared" ca="1" si="98"/>
        <v>0</v>
      </c>
      <c r="P70" s="42"/>
      <c r="Q70" s="31">
        <f t="shared" ref="Q70:Z70" ca="1" si="103">_xlfn.CHISQ.INV(RAND(),2)*$AL$4 *F70</f>
        <v>62725.340033815104</v>
      </c>
      <c r="R70" s="31">
        <f t="shared" ca="1" si="103"/>
        <v>7856.1803482764117</v>
      </c>
      <c r="S70" s="31">
        <f t="shared" ca="1" si="103"/>
        <v>1852.3868676015156</v>
      </c>
      <c r="T70" s="31">
        <f t="shared" ca="1" si="103"/>
        <v>12678.718490724179</v>
      </c>
      <c r="U70" s="31">
        <f t="shared" ca="1" si="103"/>
        <v>0</v>
      </c>
      <c r="V70" s="31">
        <f t="shared" ca="1" si="103"/>
        <v>0</v>
      </c>
      <c r="W70" s="31">
        <f t="shared" ca="1" si="103"/>
        <v>0</v>
      </c>
      <c r="X70" s="31">
        <f t="shared" ca="1" si="103"/>
        <v>0</v>
      </c>
      <c r="Y70" s="31">
        <f t="shared" ca="1" si="103"/>
        <v>0</v>
      </c>
      <c r="Z70" s="31">
        <f t="shared" ca="1" si="103"/>
        <v>0</v>
      </c>
      <c r="AA70" s="44">
        <f t="shared" ca="1" si="12"/>
        <v>85112.625740417207</v>
      </c>
      <c r="AB70" s="165"/>
      <c r="AC70" s="95"/>
      <c r="AD70" s="95"/>
      <c r="AE70" s="95"/>
      <c r="AF70" s="95"/>
      <c r="AG70" s="95"/>
      <c r="AH70" s="95"/>
      <c r="AI70" s="95"/>
      <c r="AJ70" s="95"/>
      <c r="AK70" s="95"/>
      <c r="AL70" s="95"/>
    </row>
    <row r="71" spans="1:38" ht="13.2">
      <c r="A71" s="33">
        <v>70</v>
      </c>
      <c r="B71" s="30">
        <v>40000</v>
      </c>
      <c r="C71" s="46"/>
      <c r="D71" s="35">
        <f t="shared" ca="1" si="0"/>
        <v>0.58128203001302869</v>
      </c>
      <c r="E71" s="38">
        <f t="shared" ca="1" si="88"/>
        <v>5</v>
      </c>
      <c r="F71" s="40">
        <f t="shared" ca="1" si="89"/>
        <v>1</v>
      </c>
      <c r="G71" s="40">
        <f t="shared" ca="1" si="90"/>
        <v>1</v>
      </c>
      <c r="H71" s="40">
        <f t="shared" ca="1" si="91"/>
        <v>1</v>
      </c>
      <c r="I71" s="40">
        <f t="shared" ca="1" si="92"/>
        <v>1</v>
      </c>
      <c r="J71" s="40">
        <f t="shared" ca="1" si="93"/>
        <v>1</v>
      </c>
      <c r="K71" s="40">
        <f t="shared" ca="1" si="94"/>
        <v>0</v>
      </c>
      <c r="L71" s="40">
        <f t="shared" ca="1" si="95"/>
        <v>0</v>
      </c>
      <c r="M71" s="40">
        <f t="shared" ca="1" si="96"/>
        <v>0</v>
      </c>
      <c r="N71" s="40">
        <f t="shared" ca="1" si="97"/>
        <v>0</v>
      </c>
      <c r="O71" s="40">
        <f t="shared" ca="1" si="98"/>
        <v>0</v>
      </c>
      <c r="P71" s="42"/>
      <c r="Q71" s="31">
        <f t="shared" ref="Q71:Z71" ca="1" si="104">_xlfn.CHISQ.INV(RAND(),2)*$AL$4 *F71</f>
        <v>31760.251507927758</v>
      </c>
      <c r="R71" s="31">
        <f t="shared" ca="1" si="104"/>
        <v>23179.061212045359</v>
      </c>
      <c r="S71" s="31">
        <f t="shared" ca="1" si="104"/>
        <v>502.79035966523355</v>
      </c>
      <c r="T71" s="31">
        <f t="shared" ca="1" si="104"/>
        <v>9735.0224656117061</v>
      </c>
      <c r="U71" s="31">
        <f t="shared" ca="1" si="104"/>
        <v>6644.07498118068</v>
      </c>
      <c r="V71" s="31">
        <f t="shared" ca="1" si="104"/>
        <v>0</v>
      </c>
      <c r="W71" s="31">
        <f t="shared" ca="1" si="104"/>
        <v>0</v>
      </c>
      <c r="X71" s="31">
        <f t="shared" ca="1" si="104"/>
        <v>0</v>
      </c>
      <c r="Y71" s="31">
        <f t="shared" ca="1" si="104"/>
        <v>0</v>
      </c>
      <c r="Z71" s="31">
        <f t="shared" ca="1" si="104"/>
        <v>0</v>
      </c>
      <c r="AA71" s="44">
        <f t="shared" ca="1" si="12"/>
        <v>71821.200526430737</v>
      </c>
      <c r="AB71" s="165"/>
      <c r="AC71" s="95"/>
      <c r="AD71" s="95"/>
      <c r="AE71" s="95"/>
      <c r="AF71" s="95"/>
      <c r="AG71" s="95"/>
      <c r="AH71" s="95"/>
      <c r="AI71" s="95"/>
      <c r="AJ71" s="95"/>
      <c r="AK71" s="95"/>
      <c r="AL71" s="95"/>
    </row>
    <row r="72" spans="1:38" ht="13.2">
      <c r="A72" s="33">
        <v>71</v>
      </c>
      <c r="B72" s="30">
        <v>40000</v>
      </c>
      <c r="C72" s="46"/>
      <c r="D72" s="35">
        <f t="shared" ca="1" si="0"/>
        <v>0.90773073761706269</v>
      </c>
      <c r="E72" s="38">
        <f t="shared" ca="1" si="88"/>
        <v>8</v>
      </c>
      <c r="F72" s="40">
        <f t="shared" ca="1" si="89"/>
        <v>1</v>
      </c>
      <c r="G72" s="40">
        <f t="shared" ca="1" si="90"/>
        <v>1</v>
      </c>
      <c r="H72" s="40">
        <f t="shared" ca="1" si="91"/>
        <v>1</v>
      </c>
      <c r="I72" s="40">
        <f t="shared" ca="1" si="92"/>
        <v>1</v>
      </c>
      <c r="J72" s="40">
        <f t="shared" ca="1" si="93"/>
        <v>1</v>
      </c>
      <c r="K72" s="40">
        <f t="shared" ca="1" si="94"/>
        <v>1</v>
      </c>
      <c r="L72" s="40">
        <f t="shared" ca="1" si="95"/>
        <v>1</v>
      </c>
      <c r="M72" s="40">
        <f t="shared" ca="1" si="96"/>
        <v>1</v>
      </c>
      <c r="N72" s="40">
        <f t="shared" ca="1" si="97"/>
        <v>0</v>
      </c>
      <c r="O72" s="40">
        <f t="shared" ca="1" si="98"/>
        <v>0</v>
      </c>
      <c r="P72" s="42"/>
      <c r="Q72" s="31">
        <f t="shared" ref="Q72:Z72" ca="1" si="105">_xlfn.CHISQ.INV(RAND(),2)*$AL$4 *F72</f>
        <v>27969.775192973491</v>
      </c>
      <c r="R72" s="31">
        <f t="shared" ca="1" si="105"/>
        <v>9258.8792824635584</v>
      </c>
      <c r="S72" s="31">
        <f t="shared" ca="1" si="105"/>
        <v>15131.058402337667</v>
      </c>
      <c r="T72" s="31">
        <f t="shared" ca="1" si="105"/>
        <v>14569.516595234119</v>
      </c>
      <c r="U72" s="31">
        <f t="shared" ca="1" si="105"/>
        <v>12794.920727226789</v>
      </c>
      <c r="V72" s="31">
        <f t="shared" ca="1" si="105"/>
        <v>17455.24803233342</v>
      </c>
      <c r="W72" s="31">
        <f t="shared" ca="1" si="105"/>
        <v>36621.734320679752</v>
      </c>
      <c r="X72" s="31">
        <f t="shared" ca="1" si="105"/>
        <v>17744.804478203878</v>
      </c>
      <c r="Y72" s="31">
        <f t="shared" ca="1" si="105"/>
        <v>0</v>
      </c>
      <c r="Z72" s="31">
        <f t="shared" ca="1" si="105"/>
        <v>0</v>
      </c>
      <c r="AA72" s="44">
        <f t="shared" ca="1" si="12"/>
        <v>151545.93703145266</v>
      </c>
      <c r="AB72" s="165"/>
      <c r="AC72" s="166" t="s">
        <v>10</v>
      </c>
      <c r="AD72" s="95"/>
      <c r="AE72" s="95"/>
      <c r="AF72" s="95"/>
      <c r="AG72" s="95"/>
      <c r="AH72" s="95"/>
      <c r="AI72" s="95"/>
      <c r="AJ72" s="95"/>
      <c r="AK72" s="95"/>
      <c r="AL72" s="95"/>
    </row>
    <row r="73" spans="1:38" ht="13.2">
      <c r="A73" s="33">
        <v>72</v>
      </c>
      <c r="B73" s="30">
        <v>40000</v>
      </c>
      <c r="C73" s="46"/>
      <c r="D73" s="35">
        <f t="shared" ca="1" si="0"/>
        <v>0.53350794500500354</v>
      </c>
      <c r="E73" s="38">
        <f t="shared" ca="1" si="88"/>
        <v>4</v>
      </c>
      <c r="F73" s="40">
        <f t="shared" ca="1" si="89"/>
        <v>1</v>
      </c>
      <c r="G73" s="40">
        <f t="shared" ca="1" si="90"/>
        <v>1</v>
      </c>
      <c r="H73" s="40">
        <f t="shared" ca="1" si="91"/>
        <v>1</v>
      </c>
      <c r="I73" s="40">
        <f t="shared" ca="1" si="92"/>
        <v>1</v>
      </c>
      <c r="J73" s="40">
        <f t="shared" ca="1" si="93"/>
        <v>0</v>
      </c>
      <c r="K73" s="40">
        <f t="shared" ca="1" si="94"/>
        <v>0</v>
      </c>
      <c r="L73" s="40">
        <f t="shared" ca="1" si="95"/>
        <v>0</v>
      </c>
      <c r="M73" s="40">
        <f t="shared" ca="1" si="96"/>
        <v>0</v>
      </c>
      <c r="N73" s="40">
        <f t="shared" ca="1" si="97"/>
        <v>0</v>
      </c>
      <c r="O73" s="40">
        <f t="shared" ca="1" si="98"/>
        <v>0</v>
      </c>
      <c r="P73" s="42"/>
      <c r="Q73" s="31">
        <f t="shared" ref="Q73:Z73" ca="1" si="106">_xlfn.CHISQ.INV(RAND(),2)*$AL$4 *F73</f>
        <v>12474.334776298001</v>
      </c>
      <c r="R73" s="31">
        <f t="shared" ca="1" si="106"/>
        <v>10964.408682470772</v>
      </c>
      <c r="S73" s="31">
        <f t="shared" ca="1" si="106"/>
        <v>24285.887858530856</v>
      </c>
      <c r="T73" s="31">
        <f t="shared" ca="1" si="106"/>
        <v>57603.906634206549</v>
      </c>
      <c r="U73" s="31">
        <f t="shared" ca="1" si="106"/>
        <v>0</v>
      </c>
      <c r="V73" s="31">
        <f t="shared" ca="1" si="106"/>
        <v>0</v>
      </c>
      <c r="W73" s="31">
        <f t="shared" ca="1" si="106"/>
        <v>0</v>
      </c>
      <c r="X73" s="31">
        <f t="shared" ca="1" si="106"/>
        <v>0</v>
      </c>
      <c r="Y73" s="31">
        <f t="shared" ca="1" si="106"/>
        <v>0</v>
      </c>
      <c r="Z73" s="31">
        <f t="shared" ca="1" si="106"/>
        <v>0</v>
      </c>
      <c r="AA73" s="44">
        <f t="shared" ca="1" si="12"/>
        <v>105328.53795150618</v>
      </c>
      <c r="AB73" s="165"/>
      <c r="AC73" s="166" t="s">
        <v>10</v>
      </c>
      <c r="AD73" s="95"/>
      <c r="AE73" s="95"/>
      <c r="AF73" s="95"/>
      <c r="AG73" s="95"/>
      <c r="AH73" s="95"/>
      <c r="AI73" s="95"/>
      <c r="AJ73" s="95"/>
      <c r="AK73" s="95"/>
      <c r="AL73" s="95"/>
    </row>
    <row r="74" spans="1:38" ht="13.2">
      <c r="A74" s="33">
        <v>73</v>
      </c>
      <c r="B74" s="30">
        <v>40000</v>
      </c>
      <c r="C74" s="46"/>
      <c r="D74" s="35">
        <f t="shared" ca="1" si="0"/>
        <v>0.34437628345360105</v>
      </c>
      <c r="E74" s="38">
        <f t="shared" ca="1" si="88"/>
        <v>3</v>
      </c>
      <c r="F74" s="40">
        <f t="shared" ca="1" si="89"/>
        <v>1</v>
      </c>
      <c r="G74" s="40">
        <f t="shared" ca="1" si="90"/>
        <v>1</v>
      </c>
      <c r="H74" s="40">
        <f t="shared" ca="1" si="91"/>
        <v>1</v>
      </c>
      <c r="I74" s="40">
        <f t="shared" ca="1" si="92"/>
        <v>0</v>
      </c>
      <c r="J74" s="40">
        <f t="shared" ca="1" si="93"/>
        <v>0</v>
      </c>
      <c r="K74" s="40">
        <f t="shared" ca="1" si="94"/>
        <v>0</v>
      </c>
      <c r="L74" s="40">
        <f t="shared" ca="1" si="95"/>
        <v>0</v>
      </c>
      <c r="M74" s="40">
        <f t="shared" ca="1" si="96"/>
        <v>0</v>
      </c>
      <c r="N74" s="40">
        <f t="shared" ca="1" si="97"/>
        <v>0</v>
      </c>
      <c r="O74" s="40">
        <f t="shared" ca="1" si="98"/>
        <v>0</v>
      </c>
      <c r="P74" s="42"/>
      <c r="Q74" s="31">
        <f t="shared" ref="Q74:Z74" ca="1" si="107">_xlfn.CHISQ.INV(RAND(),2)*$AL$4 *F74</f>
        <v>44309.154898472894</v>
      </c>
      <c r="R74" s="31">
        <f t="shared" ca="1" si="107"/>
        <v>12441.845362157192</v>
      </c>
      <c r="S74" s="31">
        <f t="shared" ca="1" si="107"/>
        <v>44776.546279244685</v>
      </c>
      <c r="T74" s="31">
        <f t="shared" ca="1" si="107"/>
        <v>0</v>
      </c>
      <c r="U74" s="31">
        <f t="shared" ca="1" si="107"/>
        <v>0</v>
      </c>
      <c r="V74" s="31">
        <f t="shared" ca="1" si="107"/>
        <v>0</v>
      </c>
      <c r="W74" s="31">
        <f t="shared" ca="1" si="107"/>
        <v>0</v>
      </c>
      <c r="X74" s="31">
        <f t="shared" ca="1" si="107"/>
        <v>0</v>
      </c>
      <c r="Y74" s="31">
        <f t="shared" ca="1" si="107"/>
        <v>0</v>
      </c>
      <c r="Z74" s="31">
        <f t="shared" ca="1" si="107"/>
        <v>0</v>
      </c>
      <c r="AA74" s="44">
        <f t="shared" ca="1" si="12"/>
        <v>101527.54653987478</v>
      </c>
      <c r="AB74" s="165"/>
      <c r="AC74" s="166" t="s">
        <v>10</v>
      </c>
      <c r="AD74" s="95"/>
      <c r="AE74" s="95"/>
      <c r="AF74" s="95"/>
      <c r="AG74" s="95"/>
      <c r="AH74" s="95"/>
      <c r="AI74" s="95"/>
      <c r="AJ74" s="95"/>
      <c r="AK74" s="95"/>
      <c r="AL74" s="95"/>
    </row>
    <row r="75" spans="1:38" ht="13.2">
      <c r="A75" s="33">
        <v>74</v>
      </c>
      <c r="B75" s="30">
        <v>40000</v>
      </c>
      <c r="C75" s="46"/>
      <c r="D75" s="35">
        <f t="shared" ca="1" si="0"/>
        <v>0.37597170475655561</v>
      </c>
      <c r="E75" s="38">
        <f t="shared" ca="1" si="88"/>
        <v>3</v>
      </c>
      <c r="F75" s="40">
        <f t="shared" ca="1" si="89"/>
        <v>1</v>
      </c>
      <c r="G75" s="40">
        <f t="shared" ca="1" si="90"/>
        <v>1</v>
      </c>
      <c r="H75" s="40">
        <f t="shared" ca="1" si="91"/>
        <v>1</v>
      </c>
      <c r="I75" s="40">
        <f t="shared" ca="1" si="92"/>
        <v>0</v>
      </c>
      <c r="J75" s="40">
        <f t="shared" ca="1" si="93"/>
        <v>0</v>
      </c>
      <c r="K75" s="40">
        <f t="shared" ca="1" si="94"/>
        <v>0</v>
      </c>
      <c r="L75" s="40">
        <f t="shared" ca="1" si="95"/>
        <v>0</v>
      </c>
      <c r="M75" s="40">
        <f t="shared" ca="1" si="96"/>
        <v>0</v>
      </c>
      <c r="N75" s="40">
        <f t="shared" ca="1" si="97"/>
        <v>0</v>
      </c>
      <c r="O75" s="40">
        <f t="shared" ca="1" si="98"/>
        <v>0</v>
      </c>
      <c r="P75" s="42"/>
      <c r="Q75" s="31">
        <f t="shared" ref="Q75:Z75" ca="1" si="108">_xlfn.CHISQ.INV(RAND(),2)*$AL$4 *F75</f>
        <v>56064.17345994983</v>
      </c>
      <c r="R75" s="31">
        <f t="shared" ca="1" si="108"/>
        <v>16545.238299234952</v>
      </c>
      <c r="S75" s="31">
        <f t="shared" ca="1" si="108"/>
        <v>9814.5669384909179</v>
      </c>
      <c r="T75" s="31">
        <f t="shared" ca="1" si="108"/>
        <v>0</v>
      </c>
      <c r="U75" s="31">
        <f t="shared" ca="1" si="108"/>
        <v>0</v>
      </c>
      <c r="V75" s="31">
        <f t="shared" ca="1" si="108"/>
        <v>0</v>
      </c>
      <c r="W75" s="31">
        <f t="shared" ca="1" si="108"/>
        <v>0</v>
      </c>
      <c r="X75" s="31">
        <f t="shared" ca="1" si="108"/>
        <v>0</v>
      </c>
      <c r="Y75" s="31">
        <f t="shared" ca="1" si="108"/>
        <v>0</v>
      </c>
      <c r="Z75" s="31">
        <f t="shared" ca="1" si="108"/>
        <v>0</v>
      </c>
      <c r="AA75" s="44">
        <f t="shared" ca="1" si="12"/>
        <v>82423.978697675702</v>
      </c>
      <c r="AB75" s="165"/>
      <c r="AC75" s="166" t="s">
        <v>10</v>
      </c>
      <c r="AD75" s="95"/>
      <c r="AE75" s="95"/>
      <c r="AF75" s="95"/>
      <c r="AG75" s="95"/>
      <c r="AH75" s="95"/>
      <c r="AI75" s="95"/>
      <c r="AJ75" s="95"/>
      <c r="AK75" s="95"/>
      <c r="AL75" s="95"/>
    </row>
    <row r="76" spans="1:38" ht="13.2">
      <c r="A76" s="33">
        <v>75</v>
      </c>
      <c r="B76" s="30">
        <v>40000</v>
      </c>
      <c r="C76" s="46"/>
      <c r="D76" s="35">
        <f t="shared" ca="1" si="0"/>
        <v>0.58286150911708523</v>
      </c>
      <c r="E76" s="38">
        <f t="shared" ca="1" si="88"/>
        <v>5</v>
      </c>
      <c r="F76" s="40">
        <f t="shared" ca="1" si="89"/>
        <v>1</v>
      </c>
      <c r="G76" s="40">
        <f t="shared" ca="1" si="90"/>
        <v>1</v>
      </c>
      <c r="H76" s="40">
        <f t="shared" ca="1" si="91"/>
        <v>1</v>
      </c>
      <c r="I76" s="40">
        <f t="shared" ca="1" si="92"/>
        <v>1</v>
      </c>
      <c r="J76" s="40">
        <f t="shared" ca="1" si="93"/>
        <v>1</v>
      </c>
      <c r="K76" s="40">
        <f t="shared" ca="1" si="94"/>
        <v>0</v>
      </c>
      <c r="L76" s="40">
        <f t="shared" ca="1" si="95"/>
        <v>0</v>
      </c>
      <c r="M76" s="40">
        <f t="shared" ca="1" si="96"/>
        <v>0</v>
      </c>
      <c r="N76" s="40">
        <f t="shared" ca="1" si="97"/>
        <v>0</v>
      </c>
      <c r="O76" s="40">
        <f t="shared" ca="1" si="98"/>
        <v>0</v>
      </c>
      <c r="P76" s="42"/>
      <c r="Q76" s="31">
        <f t="shared" ref="Q76:Z76" ca="1" si="109">_xlfn.CHISQ.INV(RAND(),2)*$AL$4 *F76</f>
        <v>48348.247387512361</v>
      </c>
      <c r="R76" s="31">
        <f t="shared" ca="1" si="109"/>
        <v>632.38613237330367</v>
      </c>
      <c r="S76" s="31">
        <f t="shared" ca="1" si="109"/>
        <v>5839.9468731469788</v>
      </c>
      <c r="T76" s="31">
        <f t="shared" ca="1" si="109"/>
        <v>7315.6410671764552</v>
      </c>
      <c r="U76" s="31">
        <f t="shared" ca="1" si="109"/>
        <v>25325.941855611629</v>
      </c>
      <c r="V76" s="31">
        <f t="shared" ca="1" si="109"/>
        <v>0</v>
      </c>
      <c r="W76" s="31">
        <f t="shared" ca="1" si="109"/>
        <v>0</v>
      </c>
      <c r="X76" s="31">
        <f t="shared" ca="1" si="109"/>
        <v>0</v>
      </c>
      <c r="Y76" s="31">
        <f t="shared" ca="1" si="109"/>
        <v>0</v>
      </c>
      <c r="Z76" s="31">
        <f t="shared" ca="1" si="109"/>
        <v>0</v>
      </c>
      <c r="AA76" s="44">
        <f t="shared" ca="1" si="12"/>
        <v>87462.163315820741</v>
      </c>
      <c r="AB76" s="165"/>
      <c r="AC76" s="166" t="s">
        <v>10</v>
      </c>
      <c r="AD76" s="95"/>
      <c r="AE76" s="95"/>
      <c r="AF76" s="95"/>
      <c r="AG76" s="95"/>
      <c r="AH76" s="95"/>
      <c r="AI76" s="95"/>
      <c r="AJ76" s="95"/>
      <c r="AK76" s="95"/>
      <c r="AL76" s="95"/>
    </row>
    <row r="77" spans="1:38" ht="13.2">
      <c r="A77" s="33">
        <v>76</v>
      </c>
      <c r="B77" s="30">
        <v>40000</v>
      </c>
      <c r="C77" s="46"/>
      <c r="D77" s="35">
        <f t="shared" ca="1" si="0"/>
        <v>0.30385327390971251</v>
      </c>
      <c r="E77" s="38">
        <f t="shared" ca="1" si="88"/>
        <v>3</v>
      </c>
      <c r="F77" s="40">
        <f t="shared" ca="1" si="89"/>
        <v>1</v>
      </c>
      <c r="G77" s="40">
        <f t="shared" ca="1" si="90"/>
        <v>1</v>
      </c>
      <c r="H77" s="40">
        <f t="shared" ca="1" si="91"/>
        <v>1</v>
      </c>
      <c r="I77" s="40">
        <f t="shared" ca="1" si="92"/>
        <v>0</v>
      </c>
      <c r="J77" s="40">
        <f t="shared" ca="1" si="93"/>
        <v>0</v>
      </c>
      <c r="K77" s="40">
        <f t="shared" ca="1" si="94"/>
        <v>0</v>
      </c>
      <c r="L77" s="40">
        <f t="shared" ca="1" si="95"/>
        <v>0</v>
      </c>
      <c r="M77" s="40">
        <f t="shared" ca="1" si="96"/>
        <v>0</v>
      </c>
      <c r="N77" s="40">
        <f t="shared" ca="1" si="97"/>
        <v>0</v>
      </c>
      <c r="O77" s="40">
        <f t="shared" ca="1" si="98"/>
        <v>0</v>
      </c>
      <c r="P77" s="42"/>
      <c r="Q77" s="31">
        <f t="shared" ref="Q77:Z77" ca="1" si="110">_xlfn.CHISQ.INV(RAND(),2)*$AL$4 *F77</f>
        <v>16342.585800145542</v>
      </c>
      <c r="R77" s="31">
        <f t="shared" ca="1" si="110"/>
        <v>1456.6580330535494</v>
      </c>
      <c r="S77" s="31">
        <f t="shared" ca="1" si="110"/>
        <v>8795.4446139296779</v>
      </c>
      <c r="T77" s="31">
        <f t="shared" ca="1" si="110"/>
        <v>0</v>
      </c>
      <c r="U77" s="31">
        <f t="shared" ca="1" si="110"/>
        <v>0</v>
      </c>
      <c r="V77" s="31">
        <f t="shared" ca="1" si="110"/>
        <v>0</v>
      </c>
      <c r="W77" s="31">
        <f t="shared" ca="1" si="110"/>
        <v>0</v>
      </c>
      <c r="X77" s="31">
        <f t="shared" ca="1" si="110"/>
        <v>0</v>
      </c>
      <c r="Y77" s="31">
        <f t="shared" ca="1" si="110"/>
        <v>0</v>
      </c>
      <c r="Z77" s="31">
        <f t="shared" ca="1" si="110"/>
        <v>0</v>
      </c>
      <c r="AA77" s="44">
        <f t="shared" ca="1" si="12"/>
        <v>26594.68844712877</v>
      </c>
      <c r="AB77" s="165"/>
      <c r="AC77" s="166" t="s">
        <v>10</v>
      </c>
      <c r="AD77" s="95"/>
      <c r="AE77" s="95"/>
      <c r="AF77" s="95"/>
      <c r="AG77" s="95"/>
      <c r="AH77" s="95"/>
      <c r="AI77" s="95"/>
      <c r="AJ77" s="95"/>
      <c r="AK77" s="95"/>
      <c r="AL77" s="95"/>
    </row>
    <row r="78" spans="1:38" ht="13.2">
      <c r="A78" s="33">
        <v>77</v>
      </c>
      <c r="B78" s="30">
        <v>40000</v>
      </c>
      <c r="C78" s="46"/>
      <c r="D78" s="35">
        <f t="shared" ca="1" si="0"/>
        <v>0.34918084284851247</v>
      </c>
      <c r="E78" s="38">
        <f t="shared" ca="1" si="88"/>
        <v>3</v>
      </c>
      <c r="F78" s="40">
        <f t="shared" ca="1" si="89"/>
        <v>1</v>
      </c>
      <c r="G78" s="40">
        <f t="shared" ca="1" si="90"/>
        <v>1</v>
      </c>
      <c r="H78" s="40">
        <f t="shared" ca="1" si="91"/>
        <v>1</v>
      </c>
      <c r="I78" s="40">
        <f t="shared" ca="1" si="92"/>
        <v>0</v>
      </c>
      <c r="J78" s="40">
        <f t="shared" ca="1" si="93"/>
        <v>0</v>
      </c>
      <c r="K78" s="40">
        <f t="shared" ca="1" si="94"/>
        <v>0</v>
      </c>
      <c r="L78" s="40">
        <f t="shared" ca="1" si="95"/>
        <v>0</v>
      </c>
      <c r="M78" s="40">
        <f t="shared" ca="1" si="96"/>
        <v>0</v>
      </c>
      <c r="N78" s="40">
        <f t="shared" ca="1" si="97"/>
        <v>0</v>
      </c>
      <c r="O78" s="40">
        <f t="shared" ca="1" si="98"/>
        <v>0</v>
      </c>
      <c r="P78" s="42"/>
      <c r="Q78" s="31">
        <f t="shared" ref="Q78:Z78" ca="1" si="111">_xlfn.CHISQ.INV(RAND(),2)*$AL$4 *F78</f>
        <v>8105.8315188891274</v>
      </c>
      <c r="R78" s="31">
        <f t="shared" ca="1" si="111"/>
        <v>64624.292515057299</v>
      </c>
      <c r="S78" s="31">
        <f t="shared" ca="1" si="111"/>
        <v>25312.442170861792</v>
      </c>
      <c r="T78" s="31">
        <f t="shared" ca="1" si="111"/>
        <v>0</v>
      </c>
      <c r="U78" s="31">
        <f t="shared" ca="1" si="111"/>
        <v>0</v>
      </c>
      <c r="V78" s="31">
        <f t="shared" ca="1" si="111"/>
        <v>0</v>
      </c>
      <c r="W78" s="31">
        <f t="shared" ca="1" si="111"/>
        <v>0</v>
      </c>
      <c r="X78" s="31">
        <f t="shared" ca="1" si="111"/>
        <v>0</v>
      </c>
      <c r="Y78" s="31">
        <f t="shared" ca="1" si="111"/>
        <v>0</v>
      </c>
      <c r="Z78" s="31">
        <f t="shared" ca="1" si="111"/>
        <v>0</v>
      </c>
      <c r="AA78" s="44">
        <f t="shared" ca="1" si="12"/>
        <v>98042.566204808216</v>
      </c>
      <c r="AB78" s="165"/>
      <c r="AC78" s="95"/>
      <c r="AD78" s="95"/>
      <c r="AE78" s="95"/>
      <c r="AF78" s="95"/>
      <c r="AG78" s="95"/>
      <c r="AH78" s="95"/>
      <c r="AI78" s="95"/>
      <c r="AJ78" s="95"/>
      <c r="AK78" s="95"/>
      <c r="AL78" s="95"/>
    </row>
    <row r="79" spans="1:38" ht="13.2">
      <c r="A79" s="33">
        <v>78</v>
      </c>
      <c r="B79" s="30">
        <v>40000</v>
      </c>
      <c r="C79" s="46"/>
      <c r="D79" s="35">
        <f t="shared" ca="1" si="0"/>
        <v>0.95160890968826239</v>
      </c>
      <c r="E79" s="38">
        <f t="shared" ca="1" si="88"/>
        <v>9</v>
      </c>
      <c r="F79" s="40">
        <f t="shared" ca="1" si="89"/>
        <v>1</v>
      </c>
      <c r="G79" s="40">
        <f t="shared" ca="1" si="90"/>
        <v>1</v>
      </c>
      <c r="H79" s="40">
        <f t="shared" ca="1" si="91"/>
        <v>1</v>
      </c>
      <c r="I79" s="40">
        <f t="shared" ca="1" si="92"/>
        <v>1</v>
      </c>
      <c r="J79" s="40">
        <f t="shared" ca="1" si="93"/>
        <v>1</v>
      </c>
      <c r="K79" s="40">
        <f t="shared" ca="1" si="94"/>
        <v>1</v>
      </c>
      <c r="L79" s="40">
        <f t="shared" ca="1" si="95"/>
        <v>1</v>
      </c>
      <c r="M79" s="40">
        <f t="shared" ca="1" si="96"/>
        <v>1</v>
      </c>
      <c r="N79" s="40">
        <f t="shared" ca="1" si="97"/>
        <v>1</v>
      </c>
      <c r="O79" s="40">
        <f t="shared" ca="1" si="98"/>
        <v>0</v>
      </c>
      <c r="P79" s="42"/>
      <c r="Q79" s="31">
        <f t="shared" ref="Q79:Z79" ca="1" si="112">_xlfn.CHISQ.INV(RAND(),2)*$AL$4 *F79</f>
        <v>5358.0544893674978</v>
      </c>
      <c r="R79" s="31">
        <f t="shared" ca="1" si="112"/>
        <v>6727.7643584319412</v>
      </c>
      <c r="S79" s="31">
        <f t="shared" ca="1" si="112"/>
        <v>18391.992113740598</v>
      </c>
      <c r="T79" s="31">
        <f t="shared" ca="1" si="112"/>
        <v>27575.990461301226</v>
      </c>
      <c r="U79" s="31">
        <f t="shared" ca="1" si="112"/>
        <v>10482.61442525685</v>
      </c>
      <c r="V79" s="31">
        <f t="shared" ca="1" si="112"/>
        <v>409.37812781061342</v>
      </c>
      <c r="W79" s="31">
        <f t="shared" ca="1" si="112"/>
        <v>33581.102401592085</v>
      </c>
      <c r="X79" s="31">
        <f t="shared" ca="1" si="112"/>
        <v>15062.183105802867</v>
      </c>
      <c r="Y79" s="31">
        <f t="shared" ca="1" si="112"/>
        <v>3318.2520450724855</v>
      </c>
      <c r="Z79" s="31">
        <f t="shared" ca="1" si="112"/>
        <v>0</v>
      </c>
      <c r="AA79" s="44">
        <f t="shared" ca="1" si="12"/>
        <v>120907.33152837616</v>
      </c>
      <c r="AB79" s="165"/>
      <c r="AC79" s="95"/>
      <c r="AD79" s="95"/>
      <c r="AE79" s="95"/>
      <c r="AF79" s="95"/>
      <c r="AG79" s="95"/>
      <c r="AH79" s="95"/>
      <c r="AI79" s="95"/>
      <c r="AJ79" s="95"/>
      <c r="AK79" s="95"/>
      <c r="AL79" s="95"/>
    </row>
    <row r="80" spans="1:38" ht="13.2">
      <c r="A80" s="33">
        <v>79</v>
      </c>
      <c r="B80" s="30">
        <v>40000</v>
      </c>
      <c r="C80" s="46"/>
      <c r="D80" s="35">
        <f t="shared" ca="1" si="0"/>
        <v>8.7403049127633303E-2</v>
      </c>
      <c r="E80" s="38">
        <f t="shared" ca="1" si="88"/>
        <v>1</v>
      </c>
      <c r="F80" s="40">
        <f t="shared" ca="1" si="89"/>
        <v>1</v>
      </c>
      <c r="G80" s="40">
        <f t="shared" ca="1" si="90"/>
        <v>0</v>
      </c>
      <c r="H80" s="40">
        <f t="shared" ca="1" si="91"/>
        <v>0</v>
      </c>
      <c r="I80" s="40">
        <f t="shared" ca="1" si="92"/>
        <v>0</v>
      </c>
      <c r="J80" s="40">
        <f t="shared" ca="1" si="93"/>
        <v>0</v>
      </c>
      <c r="K80" s="40">
        <f t="shared" ca="1" si="94"/>
        <v>0</v>
      </c>
      <c r="L80" s="40">
        <f t="shared" ca="1" si="95"/>
        <v>0</v>
      </c>
      <c r="M80" s="40">
        <f t="shared" ca="1" si="96"/>
        <v>0</v>
      </c>
      <c r="N80" s="40">
        <f t="shared" ca="1" si="97"/>
        <v>0</v>
      </c>
      <c r="O80" s="40">
        <f t="shared" ca="1" si="98"/>
        <v>0</v>
      </c>
      <c r="P80" s="42"/>
      <c r="Q80" s="31">
        <f t="shared" ref="Q80:Z80" ca="1" si="113">_xlfn.CHISQ.INV(RAND(),2)*$AL$4 *F80</f>
        <v>8462.0916613033751</v>
      </c>
      <c r="R80" s="31">
        <f t="shared" ca="1" si="113"/>
        <v>0</v>
      </c>
      <c r="S80" s="31">
        <f t="shared" ca="1" si="113"/>
        <v>0</v>
      </c>
      <c r="T80" s="31">
        <f t="shared" ca="1" si="113"/>
        <v>0</v>
      </c>
      <c r="U80" s="31">
        <f t="shared" ca="1" si="113"/>
        <v>0</v>
      </c>
      <c r="V80" s="31">
        <f t="shared" ca="1" si="113"/>
        <v>0</v>
      </c>
      <c r="W80" s="31">
        <f t="shared" ca="1" si="113"/>
        <v>0</v>
      </c>
      <c r="X80" s="31">
        <f t="shared" ca="1" si="113"/>
        <v>0</v>
      </c>
      <c r="Y80" s="31">
        <f t="shared" ca="1" si="113"/>
        <v>0</v>
      </c>
      <c r="Z80" s="31">
        <f t="shared" ca="1" si="113"/>
        <v>0</v>
      </c>
      <c r="AA80" s="44">
        <f t="shared" ca="1" si="12"/>
        <v>8462.0916613033751</v>
      </c>
      <c r="AB80" s="165"/>
      <c r="AC80" s="95"/>
      <c r="AD80" s="95"/>
      <c r="AE80" s="95"/>
      <c r="AF80" s="95"/>
      <c r="AG80" s="95"/>
      <c r="AH80" s="95"/>
      <c r="AI80" s="95"/>
      <c r="AJ80" s="95"/>
      <c r="AK80" s="95"/>
      <c r="AL80" s="95"/>
    </row>
    <row r="81" spans="1:38" ht="13.2">
      <c r="A81" s="33">
        <v>80</v>
      </c>
      <c r="B81" s="30">
        <v>40000</v>
      </c>
      <c r="C81" s="46"/>
      <c r="D81" s="35">
        <f t="shared" ca="1" si="0"/>
        <v>0.93352495154916582</v>
      </c>
      <c r="E81" s="38">
        <f t="shared" ca="1" si="88"/>
        <v>9</v>
      </c>
      <c r="F81" s="40">
        <f t="shared" ca="1" si="89"/>
        <v>1</v>
      </c>
      <c r="G81" s="40">
        <f t="shared" ca="1" si="90"/>
        <v>1</v>
      </c>
      <c r="H81" s="40">
        <f t="shared" ca="1" si="91"/>
        <v>1</v>
      </c>
      <c r="I81" s="40">
        <f t="shared" ca="1" si="92"/>
        <v>1</v>
      </c>
      <c r="J81" s="40">
        <f t="shared" ca="1" si="93"/>
        <v>1</v>
      </c>
      <c r="K81" s="40">
        <f t="shared" ca="1" si="94"/>
        <v>1</v>
      </c>
      <c r="L81" s="40">
        <f t="shared" ca="1" si="95"/>
        <v>1</v>
      </c>
      <c r="M81" s="40">
        <f t="shared" ca="1" si="96"/>
        <v>1</v>
      </c>
      <c r="N81" s="40">
        <f t="shared" ca="1" si="97"/>
        <v>1</v>
      </c>
      <c r="O81" s="40">
        <f t="shared" ca="1" si="98"/>
        <v>0</v>
      </c>
      <c r="P81" s="42"/>
      <c r="Q81" s="31">
        <f t="shared" ref="Q81:Z81" ca="1" si="114">_xlfn.CHISQ.INV(RAND(),2)*$AL$4 *F81</f>
        <v>3206.614558563685</v>
      </c>
      <c r="R81" s="31">
        <f t="shared" ca="1" si="114"/>
        <v>4026.4258675250917</v>
      </c>
      <c r="S81" s="31">
        <f t="shared" ca="1" si="114"/>
        <v>48441.973117538459</v>
      </c>
      <c r="T81" s="31">
        <f t="shared" ca="1" si="114"/>
        <v>10777.412441559953</v>
      </c>
      <c r="U81" s="31">
        <f t="shared" ca="1" si="114"/>
        <v>27608.637247530998</v>
      </c>
      <c r="V81" s="31">
        <f t="shared" ca="1" si="114"/>
        <v>40465.853958496307</v>
      </c>
      <c r="W81" s="31">
        <f t="shared" ca="1" si="114"/>
        <v>10434.309948992135</v>
      </c>
      <c r="X81" s="31">
        <f t="shared" ca="1" si="114"/>
        <v>4717.7158345107</v>
      </c>
      <c r="Y81" s="31">
        <f t="shared" ca="1" si="114"/>
        <v>1543.1628507192477</v>
      </c>
      <c r="Z81" s="31">
        <f t="shared" ca="1" si="114"/>
        <v>0</v>
      </c>
      <c r="AA81" s="44">
        <f t="shared" ca="1" si="12"/>
        <v>151222.10582543653</v>
      </c>
      <c r="AB81" s="165"/>
      <c r="AC81" s="95"/>
      <c r="AD81" s="95"/>
      <c r="AE81" s="95"/>
      <c r="AF81" s="95"/>
      <c r="AG81" s="95"/>
      <c r="AH81" s="95"/>
      <c r="AI81" s="95"/>
      <c r="AJ81" s="95"/>
      <c r="AK81" s="95"/>
      <c r="AL81" s="95"/>
    </row>
    <row r="82" spans="1:38" ht="13.2">
      <c r="A82" s="33">
        <v>81</v>
      </c>
      <c r="B82" s="30">
        <v>40000</v>
      </c>
      <c r="C82" s="46"/>
      <c r="D82" s="35">
        <f t="shared" ca="1" si="0"/>
        <v>0.58803329197816434</v>
      </c>
      <c r="E82" s="38">
        <f t="shared" ca="1" si="88"/>
        <v>5</v>
      </c>
      <c r="F82" s="40">
        <f t="shared" ca="1" si="89"/>
        <v>1</v>
      </c>
      <c r="G82" s="40">
        <f t="shared" ca="1" si="90"/>
        <v>1</v>
      </c>
      <c r="H82" s="40">
        <f t="shared" ca="1" si="91"/>
        <v>1</v>
      </c>
      <c r="I82" s="40">
        <f t="shared" ca="1" si="92"/>
        <v>1</v>
      </c>
      <c r="J82" s="40">
        <f t="shared" ca="1" si="93"/>
        <v>1</v>
      </c>
      <c r="K82" s="40">
        <f t="shared" ca="1" si="94"/>
        <v>0</v>
      </c>
      <c r="L82" s="40">
        <f t="shared" ca="1" si="95"/>
        <v>0</v>
      </c>
      <c r="M82" s="40">
        <f t="shared" ca="1" si="96"/>
        <v>0</v>
      </c>
      <c r="N82" s="40">
        <f t="shared" ca="1" si="97"/>
        <v>0</v>
      </c>
      <c r="O82" s="40">
        <f t="shared" ca="1" si="98"/>
        <v>0</v>
      </c>
      <c r="P82" s="42"/>
      <c r="Q82" s="31">
        <f t="shared" ref="Q82:Z82" ca="1" si="115">_xlfn.CHISQ.INV(RAND(),2)*$AL$4 *F82</f>
        <v>44775.521684667539</v>
      </c>
      <c r="R82" s="31">
        <f t="shared" ca="1" si="115"/>
        <v>46604.424624271494</v>
      </c>
      <c r="S82" s="31">
        <f t="shared" ca="1" si="115"/>
        <v>771.94189028620349</v>
      </c>
      <c r="T82" s="31">
        <f t="shared" ca="1" si="115"/>
        <v>21232.570378079294</v>
      </c>
      <c r="U82" s="31">
        <f t="shared" ca="1" si="115"/>
        <v>25057.336578251263</v>
      </c>
      <c r="V82" s="31">
        <f t="shared" ca="1" si="115"/>
        <v>0</v>
      </c>
      <c r="W82" s="31">
        <f t="shared" ca="1" si="115"/>
        <v>0</v>
      </c>
      <c r="X82" s="31">
        <f t="shared" ca="1" si="115"/>
        <v>0</v>
      </c>
      <c r="Y82" s="31">
        <f t="shared" ca="1" si="115"/>
        <v>0</v>
      </c>
      <c r="Z82" s="31">
        <f t="shared" ca="1" si="115"/>
        <v>0</v>
      </c>
      <c r="AA82" s="44">
        <f t="shared" ca="1" si="12"/>
        <v>138441.7951555558</v>
      </c>
      <c r="AB82" s="165"/>
      <c r="AC82" s="95"/>
      <c r="AD82" s="95"/>
      <c r="AE82" s="95"/>
      <c r="AF82" s="95"/>
      <c r="AG82" s="95"/>
      <c r="AH82" s="95"/>
      <c r="AI82" s="95"/>
      <c r="AJ82" s="95"/>
      <c r="AK82" s="95"/>
      <c r="AL82" s="95"/>
    </row>
    <row r="83" spans="1:38" ht="13.2">
      <c r="A83" s="33">
        <v>82</v>
      </c>
      <c r="B83" s="30">
        <v>40000</v>
      </c>
      <c r="C83" s="46"/>
      <c r="D83" s="35">
        <f t="shared" ca="1" si="0"/>
        <v>0.38235010672008296</v>
      </c>
      <c r="E83" s="38">
        <f t="shared" ca="1" si="88"/>
        <v>3</v>
      </c>
      <c r="F83" s="40">
        <f t="shared" ca="1" si="89"/>
        <v>1</v>
      </c>
      <c r="G83" s="40">
        <f t="shared" ca="1" si="90"/>
        <v>1</v>
      </c>
      <c r="H83" s="40">
        <f t="shared" ca="1" si="91"/>
        <v>1</v>
      </c>
      <c r="I83" s="40">
        <f t="shared" ca="1" si="92"/>
        <v>0</v>
      </c>
      <c r="J83" s="40">
        <f t="shared" ca="1" si="93"/>
        <v>0</v>
      </c>
      <c r="K83" s="40">
        <f t="shared" ca="1" si="94"/>
        <v>0</v>
      </c>
      <c r="L83" s="40">
        <f t="shared" ca="1" si="95"/>
        <v>0</v>
      </c>
      <c r="M83" s="40">
        <f t="shared" ca="1" si="96"/>
        <v>0</v>
      </c>
      <c r="N83" s="40">
        <f t="shared" ca="1" si="97"/>
        <v>0</v>
      </c>
      <c r="O83" s="40">
        <f t="shared" ca="1" si="98"/>
        <v>0</v>
      </c>
      <c r="P83" s="42"/>
      <c r="Q83" s="31">
        <f t="shared" ref="Q83:Z83" ca="1" si="116">_xlfn.CHISQ.INV(RAND(),2)*$AL$4 *F83</f>
        <v>9549.8102467023127</v>
      </c>
      <c r="R83" s="31">
        <f t="shared" ca="1" si="116"/>
        <v>8194.1795026446489</v>
      </c>
      <c r="S83" s="31">
        <f t="shared" ca="1" si="116"/>
        <v>19030.891001744167</v>
      </c>
      <c r="T83" s="31">
        <f t="shared" ca="1" si="116"/>
        <v>0</v>
      </c>
      <c r="U83" s="31">
        <f t="shared" ca="1" si="116"/>
        <v>0</v>
      </c>
      <c r="V83" s="31">
        <f t="shared" ca="1" si="116"/>
        <v>0</v>
      </c>
      <c r="W83" s="31">
        <f t="shared" ca="1" si="116"/>
        <v>0</v>
      </c>
      <c r="X83" s="31">
        <f t="shared" ca="1" si="116"/>
        <v>0</v>
      </c>
      <c r="Y83" s="31">
        <f t="shared" ca="1" si="116"/>
        <v>0</v>
      </c>
      <c r="Z83" s="31">
        <f t="shared" ca="1" si="116"/>
        <v>0</v>
      </c>
      <c r="AA83" s="44">
        <f t="shared" ca="1" si="12"/>
        <v>36774.880751091128</v>
      </c>
      <c r="AB83" s="165"/>
      <c r="AC83" s="95"/>
      <c r="AD83" s="95"/>
      <c r="AE83" s="95"/>
      <c r="AF83" s="95"/>
      <c r="AG83" s="95"/>
      <c r="AH83" s="95"/>
      <c r="AI83" s="95"/>
      <c r="AJ83" s="95"/>
      <c r="AK83" s="95"/>
      <c r="AL83" s="95"/>
    </row>
    <row r="84" spans="1:38" ht="13.2">
      <c r="A84" s="33">
        <v>83</v>
      </c>
      <c r="B84" s="30">
        <v>40000</v>
      </c>
      <c r="C84" s="46"/>
      <c r="D84" s="35">
        <f t="shared" ca="1" si="0"/>
        <v>0.81893522985218248</v>
      </c>
      <c r="E84" s="38">
        <f t="shared" ca="1" si="88"/>
        <v>7</v>
      </c>
      <c r="F84" s="40">
        <f t="shared" ca="1" si="89"/>
        <v>1</v>
      </c>
      <c r="G84" s="40">
        <f t="shared" ca="1" si="90"/>
        <v>1</v>
      </c>
      <c r="H84" s="40">
        <f t="shared" ca="1" si="91"/>
        <v>1</v>
      </c>
      <c r="I84" s="40">
        <f t="shared" ca="1" si="92"/>
        <v>1</v>
      </c>
      <c r="J84" s="40">
        <f t="shared" ca="1" si="93"/>
        <v>1</v>
      </c>
      <c r="K84" s="40">
        <f t="shared" ca="1" si="94"/>
        <v>1</v>
      </c>
      <c r="L84" s="40">
        <f t="shared" ca="1" si="95"/>
        <v>1</v>
      </c>
      <c r="M84" s="40">
        <f t="shared" ca="1" si="96"/>
        <v>0</v>
      </c>
      <c r="N84" s="40">
        <f t="shared" ca="1" si="97"/>
        <v>0</v>
      </c>
      <c r="O84" s="40">
        <f t="shared" ca="1" si="98"/>
        <v>0</v>
      </c>
      <c r="P84" s="42"/>
      <c r="Q84" s="31">
        <f t="shared" ref="Q84:Z84" ca="1" si="117">_xlfn.CHISQ.INV(RAND(),2)*$AL$4 *F84</f>
        <v>42688.92168341799</v>
      </c>
      <c r="R84" s="31">
        <f t="shared" ca="1" si="117"/>
        <v>3950.0327830733386</v>
      </c>
      <c r="S84" s="31">
        <f t="shared" ca="1" si="117"/>
        <v>20009.012220429679</v>
      </c>
      <c r="T84" s="31">
        <f t="shared" ca="1" si="117"/>
        <v>16322.343913389346</v>
      </c>
      <c r="U84" s="31">
        <f t="shared" ca="1" si="117"/>
        <v>2882.2608109155253</v>
      </c>
      <c r="V84" s="31">
        <f t="shared" ca="1" si="117"/>
        <v>2852.6168044237347</v>
      </c>
      <c r="W84" s="31">
        <f t="shared" ca="1" si="117"/>
        <v>26583.219743313675</v>
      </c>
      <c r="X84" s="31">
        <f t="shared" ca="1" si="117"/>
        <v>0</v>
      </c>
      <c r="Y84" s="31">
        <f t="shared" ca="1" si="117"/>
        <v>0</v>
      </c>
      <c r="Z84" s="31">
        <f t="shared" ca="1" si="117"/>
        <v>0</v>
      </c>
      <c r="AA84" s="44">
        <f t="shared" ca="1" si="12"/>
        <v>115288.40795896327</v>
      </c>
      <c r="AB84" s="165"/>
      <c r="AC84" s="95"/>
      <c r="AD84" s="95"/>
      <c r="AE84" s="95"/>
      <c r="AF84" s="95"/>
      <c r="AG84" s="95"/>
      <c r="AH84" s="95"/>
      <c r="AI84" s="95"/>
      <c r="AJ84" s="95"/>
      <c r="AK84" s="95"/>
      <c r="AL84" s="95"/>
    </row>
    <row r="85" spans="1:38" ht="13.2">
      <c r="A85" s="33">
        <v>84</v>
      </c>
      <c r="B85" s="30">
        <v>40000</v>
      </c>
      <c r="C85" s="46"/>
      <c r="D85" s="35">
        <f t="shared" ca="1" si="0"/>
        <v>0.88669979847344393</v>
      </c>
      <c r="E85" s="38">
        <f t="shared" ca="1" si="88"/>
        <v>8</v>
      </c>
      <c r="F85" s="40">
        <f t="shared" ca="1" si="89"/>
        <v>1</v>
      </c>
      <c r="G85" s="40">
        <f t="shared" ca="1" si="90"/>
        <v>1</v>
      </c>
      <c r="H85" s="40">
        <f t="shared" ca="1" si="91"/>
        <v>1</v>
      </c>
      <c r="I85" s="40">
        <f t="shared" ca="1" si="92"/>
        <v>1</v>
      </c>
      <c r="J85" s="40">
        <f t="shared" ca="1" si="93"/>
        <v>1</v>
      </c>
      <c r="K85" s="40">
        <f t="shared" ca="1" si="94"/>
        <v>1</v>
      </c>
      <c r="L85" s="40">
        <f t="shared" ca="1" si="95"/>
        <v>1</v>
      </c>
      <c r="M85" s="40">
        <f t="shared" ca="1" si="96"/>
        <v>1</v>
      </c>
      <c r="N85" s="40">
        <f t="shared" ca="1" si="97"/>
        <v>0</v>
      </c>
      <c r="O85" s="40">
        <f t="shared" ca="1" si="98"/>
        <v>0</v>
      </c>
      <c r="P85" s="42"/>
      <c r="Q85" s="31">
        <f t="shared" ref="Q85:Z85" ca="1" si="118">_xlfn.CHISQ.INV(RAND(),2)*$AL$4 *F85</f>
        <v>8001.6730004226174</v>
      </c>
      <c r="R85" s="31">
        <f t="shared" ca="1" si="118"/>
        <v>3630.7029940722414</v>
      </c>
      <c r="S85" s="31">
        <f t="shared" ca="1" si="118"/>
        <v>2321.9239701262127</v>
      </c>
      <c r="T85" s="31">
        <f t="shared" ca="1" si="118"/>
        <v>21833.016382419853</v>
      </c>
      <c r="U85" s="31">
        <f t="shared" ca="1" si="118"/>
        <v>21087.06313142346</v>
      </c>
      <c r="V85" s="31">
        <f t="shared" ca="1" si="118"/>
        <v>5442.6500842538408</v>
      </c>
      <c r="W85" s="31">
        <f t="shared" ca="1" si="118"/>
        <v>10749.81316460054</v>
      </c>
      <c r="X85" s="31">
        <f t="shared" ca="1" si="118"/>
        <v>10908.943184703132</v>
      </c>
      <c r="Y85" s="31">
        <f t="shared" ca="1" si="118"/>
        <v>0</v>
      </c>
      <c r="Z85" s="31">
        <f t="shared" ca="1" si="118"/>
        <v>0</v>
      </c>
      <c r="AA85" s="44">
        <f t="shared" ca="1" si="12"/>
        <v>83975.785912021893</v>
      </c>
      <c r="AB85" s="165"/>
      <c r="AC85" s="95"/>
      <c r="AD85" s="95"/>
      <c r="AE85" s="95"/>
      <c r="AF85" s="95"/>
      <c r="AG85" s="95"/>
      <c r="AH85" s="95"/>
      <c r="AI85" s="95"/>
      <c r="AJ85" s="95"/>
      <c r="AK85" s="95"/>
      <c r="AL85" s="95"/>
    </row>
    <row r="86" spans="1:38" ht="13.2">
      <c r="A86" s="33">
        <v>85</v>
      </c>
      <c r="B86" s="30">
        <v>40000</v>
      </c>
      <c r="C86" s="46"/>
      <c r="D86" s="35">
        <f t="shared" ca="1" si="0"/>
        <v>8.3207787419243284E-2</v>
      </c>
      <c r="E86" s="38">
        <f t="shared" ca="1" si="88"/>
        <v>1</v>
      </c>
      <c r="F86" s="40">
        <f t="shared" ca="1" si="89"/>
        <v>1</v>
      </c>
      <c r="G86" s="40">
        <f t="shared" ca="1" si="90"/>
        <v>0</v>
      </c>
      <c r="H86" s="40">
        <f t="shared" ca="1" si="91"/>
        <v>0</v>
      </c>
      <c r="I86" s="40">
        <f t="shared" ca="1" si="92"/>
        <v>0</v>
      </c>
      <c r="J86" s="40">
        <f t="shared" ca="1" si="93"/>
        <v>0</v>
      </c>
      <c r="K86" s="40">
        <f t="shared" ca="1" si="94"/>
        <v>0</v>
      </c>
      <c r="L86" s="40">
        <f t="shared" ca="1" si="95"/>
        <v>0</v>
      </c>
      <c r="M86" s="40">
        <f t="shared" ca="1" si="96"/>
        <v>0</v>
      </c>
      <c r="N86" s="40">
        <f t="shared" ca="1" si="97"/>
        <v>0</v>
      </c>
      <c r="O86" s="40">
        <f t="shared" ca="1" si="98"/>
        <v>0</v>
      </c>
      <c r="P86" s="42"/>
      <c r="Q86" s="31">
        <f t="shared" ref="Q86:Z86" ca="1" si="119">_xlfn.CHISQ.INV(RAND(),2)*$AL$4 *F86</f>
        <v>88956.419934465535</v>
      </c>
      <c r="R86" s="31">
        <f t="shared" ca="1" si="119"/>
        <v>0</v>
      </c>
      <c r="S86" s="31">
        <f t="shared" ca="1" si="119"/>
        <v>0</v>
      </c>
      <c r="T86" s="31">
        <f t="shared" ca="1" si="119"/>
        <v>0</v>
      </c>
      <c r="U86" s="31">
        <f t="shared" ca="1" si="119"/>
        <v>0</v>
      </c>
      <c r="V86" s="31">
        <f t="shared" ca="1" si="119"/>
        <v>0</v>
      </c>
      <c r="W86" s="31">
        <f t="shared" ca="1" si="119"/>
        <v>0</v>
      </c>
      <c r="X86" s="31">
        <f t="shared" ca="1" si="119"/>
        <v>0</v>
      </c>
      <c r="Y86" s="31">
        <f t="shared" ca="1" si="119"/>
        <v>0</v>
      </c>
      <c r="Z86" s="31">
        <f t="shared" ca="1" si="119"/>
        <v>0</v>
      </c>
      <c r="AA86" s="44">
        <f t="shared" ca="1" si="12"/>
        <v>88956.419934465535</v>
      </c>
      <c r="AB86" s="165"/>
      <c r="AC86" s="95"/>
      <c r="AD86" s="95"/>
      <c r="AE86" s="95"/>
      <c r="AF86" s="95"/>
      <c r="AG86" s="95"/>
      <c r="AH86" s="95"/>
      <c r="AI86" s="95"/>
      <c r="AJ86" s="95"/>
      <c r="AK86" s="95"/>
      <c r="AL86" s="95"/>
    </row>
    <row r="87" spans="1:38" ht="13.2">
      <c r="A87" s="33">
        <v>86</v>
      </c>
      <c r="B87" s="30">
        <v>40000</v>
      </c>
      <c r="C87" s="46"/>
      <c r="D87" s="35">
        <f t="shared" ca="1" si="0"/>
        <v>2.4719363298135399E-2</v>
      </c>
      <c r="E87" s="38">
        <f t="shared" ca="1" si="88"/>
        <v>0</v>
      </c>
      <c r="F87" s="40">
        <f t="shared" ca="1" si="89"/>
        <v>0</v>
      </c>
      <c r="G87" s="40">
        <f t="shared" ca="1" si="90"/>
        <v>0</v>
      </c>
      <c r="H87" s="40">
        <f t="shared" ca="1" si="91"/>
        <v>0</v>
      </c>
      <c r="I87" s="40">
        <f t="shared" ca="1" si="92"/>
        <v>0</v>
      </c>
      <c r="J87" s="40">
        <f t="shared" ca="1" si="93"/>
        <v>0</v>
      </c>
      <c r="K87" s="40">
        <f t="shared" ca="1" si="94"/>
        <v>0</v>
      </c>
      <c r="L87" s="40">
        <f t="shared" ca="1" si="95"/>
        <v>0</v>
      </c>
      <c r="M87" s="40">
        <f t="shared" ca="1" si="96"/>
        <v>0</v>
      </c>
      <c r="N87" s="40">
        <f t="shared" ca="1" si="97"/>
        <v>0</v>
      </c>
      <c r="O87" s="40">
        <f t="shared" ca="1" si="98"/>
        <v>0</v>
      </c>
      <c r="P87" s="42"/>
      <c r="Q87" s="31">
        <f t="shared" ref="Q87:Z87" ca="1" si="120">_xlfn.CHISQ.INV(RAND(),2)*$AL$4 *F87</f>
        <v>0</v>
      </c>
      <c r="R87" s="31">
        <f t="shared" ca="1" si="120"/>
        <v>0</v>
      </c>
      <c r="S87" s="31">
        <f t="shared" ca="1" si="120"/>
        <v>0</v>
      </c>
      <c r="T87" s="31">
        <f t="shared" ca="1" si="120"/>
        <v>0</v>
      </c>
      <c r="U87" s="31">
        <f t="shared" ca="1" si="120"/>
        <v>0</v>
      </c>
      <c r="V87" s="31">
        <f t="shared" ca="1" si="120"/>
        <v>0</v>
      </c>
      <c r="W87" s="31">
        <f t="shared" ca="1" si="120"/>
        <v>0</v>
      </c>
      <c r="X87" s="31">
        <f t="shared" ca="1" si="120"/>
        <v>0</v>
      </c>
      <c r="Y87" s="31">
        <f t="shared" ca="1" si="120"/>
        <v>0</v>
      </c>
      <c r="Z87" s="31">
        <f t="shared" ca="1" si="120"/>
        <v>0</v>
      </c>
      <c r="AA87" s="44">
        <f t="shared" ca="1" si="12"/>
        <v>0</v>
      </c>
      <c r="AB87" s="165"/>
      <c r="AC87" s="95"/>
      <c r="AD87" s="95"/>
      <c r="AE87" s="95"/>
      <c r="AF87" s="95"/>
      <c r="AG87" s="95"/>
      <c r="AH87" s="95"/>
      <c r="AI87" s="95"/>
      <c r="AJ87" s="95"/>
      <c r="AK87" s="95"/>
      <c r="AL87" s="95"/>
    </row>
    <row r="88" spans="1:38" ht="13.2">
      <c r="A88" s="33">
        <v>87</v>
      </c>
      <c r="B88" s="30">
        <v>40000</v>
      </c>
      <c r="C88" s="46"/>
      <c r="D88" s="35">
        <f t="shared" ca="1" si="0"/>
        <v>0.26816216113931368</v>
      </c>
      <c r="E88" s="38">
        <f t="shared" ca="1" si="88"/>
        <v>2</v>
      </c>
      <c r="F88" s="40">
        <f t="shared" ca="1" si="89"/>
        <v>1</v>
      </c>
      <c r="G88" s="40">
        <f t="shared" ca="1" si="90"/>
        <v>1</v>
      </c>
      <c r="H88" s="40">
        <f t="shared" ca="1" si="91"/>
        <v>0</v>
      </c>
      <c r="I88" s="40">
        <f t="shared" ca="1" si="92"/>
        <v>0</v>
      </c>
      <c r="J88" s="40">
        <f t="shared" ca="1" si="93"/>
        <v>0</v>
      </c>
      <c r="K88" s="40">
        <f t="shared" ca="1" si="94"/>
        <v>0</v>
      </c>
      <c r="L88" s="40">
        <f t="shared" ca="1" si="95"/>
        <v>0</v>
      </c>
      <c r="M88" s="40">
        <f t="shared" ca="1" si="96"/>
        <v>0</v>
      </c>
      <c r="N88" s="40">
        <f t="shared" ca="1" si="97"/>
        <v>0</v>
      </c>
      <c r="O88" s="40">
        <f t="shared" ca="1" si="98"/>
        <v>0</v>
      </c>
      <c r="P88" s="42"/>
      <c r="Q88" s="31">
        <f t="shared" ref="Q88:Z88" ca="1" si="121">_xlfn.CHISQ.INV(RAND(),2)*$AL$4 *F88</f>
        <v>46207.669864125761</v>
      </c>
      <c r="R88" s="31">
        <f t="shared" ca="1" si="121"/>
        <v>30275.689184155468</v>
      </c>
      <c r="S88" s="31">
        <f t="shared" ca="1" si="121"/>
        <v>0</v>
      </c>
      <c r="T88" s="31">
        <f t="shared" ca="1" si="121"/>
        <v>0</v>
      </c>
      <c r="U88" s="31">
        <f t="shared" ca="1" si="121"/>
        <v>0</v>
      </c>
      <c r="V88" s="31">
        <f t="shared" ca="1" si="121"/>
        <v>0</v>
      </c>
      <c r="W88" s="31">
        <f t="shared" ca="1" si="121"/>
        <v>0</v>
      </c>
      <c r="X88" s="31">
        <f t="shared" ca="1" si="121"/>
        <v>0</v>
      </c>
      <c r="Y88" s="31">
        <f t="shared" ca="1" si="121"/>
        <v>0</v>
      </c>
      <c r="Z88" s="31">
        <f t="shared" ca="1" si="121"/>
        <v>0</v>
      </c>
      <c r="AA88" s="44">
        <f t="shared" ca="1" si="12"/>
        <v>76483.359048281229</v>
      </c>
      <c r="AB88" s="165"/>
      <c r="AC88" s="95"/>
      <c r="AD88" s="95"/>
      <c r="AE88" s="95"/>
      <c r="AF88" s="95"/>
      <c r="AG88" s="95"/>
      <c r="AH88" s="95"/>
      <c r="AI88" s="95"/>
      <c r="AJ88" s="95"/>
      <c r="AK88" s="95"/>
      <c r="AL88" s="95"/>
    </row>
    <row r="89" spans="1:38" ht="13.2">
      <c r="A89" s="33">
        <v>88</v>
      </c>
      <c r="B89" s="30">
        <v>40000</v>
      </c>
      <c r="C89" s="46"/>
      <c r="D89" s="35">
        <f t="shared" ca="1" si="0"/>
        <v>0.64357613210997366</v>
      </c>
      <c r="E89" s="38">
        <f t="shared" ca="1" si="88"/>
        <v>5</v>
      </c>
      <c r="F89" s="40">
        <f t="shared" ca="1" si="89"/>
        <v>1</v>
      </c>
      <c r="G89" s="40">
        <f t="shared" ca="1" si="90"/>
        <v>1</v>
      </c>
      <c r="H89" s="40">
        <f t="shared" ca="1" si="91"/>
        <v>1</v>
      </c>
      <c r="I89" s="40">
        <f t="shared" ca="1" si="92"/>
        <v>1</v>
      </c>
      <c r="J89" s="40">
        <f t="shared" ca="1" si="93"/>
        <v>1</v>
      </c>
      <c r="K89" s="40">
        <f t="shared" ca="1" si="94"/>
        <v>0</v>
      </c>
      <c r="L89" s="40">
        <f t="shared" ca="1" si="95"/>
        <v>0</v>
      </c>
      <c r="M89" s="40">
        <f t="shared" ca="1" si="96"/>
        <v>0</v>
      </c>
      <c r="N89" s="40">
        <f t="shared" ca="1" si="97"/>
        <v>0</v>
      </c>
      <c r="O89" s="40">
        <f t="shared" ca="1" si="98"/>
        <v>0</v>
      </c>
      <c r="P89" s="42"/>
      <c r="Q89" s="31">
        <f t="shared" ref="Q89:Z89" ca="1" si="122">_xlfn.CHISQ.INV(RAND(),2)*$AL$4 *F89</f>
        <v>817.42320627046104</v>
      </c>
      <c r="R89" s="31">
        <f t="shared" ca="1" si="122"/>
        <v>106306.68941226912</v>
      </c>
      <c r="S89" s="31">
        <f t="shared" ca="1" si="122"/>
        <v>82840.352365232291</v>
      </c>
      <c r="T89" s="31">
        <f t="shared" ca="1" si="122"/>
        <v>13827.03058567243</v>
      </c>
      <c r="U89" s="31">
        <f t="shared" ca="1" si="122"/>
        <v>21948.413135660499</v>
      </c>
      <c r="V89" s="31">
        <f t="shared" ca="1" si="122"/>
        <v>0</v>
      </c>
      <c r="W89" s="31">
        <f t="shared" ca="1" si="122"/>
        <v>0</v>
      </c>
      <c r="X89" s="31">
        <f t="shared" ca="1" si="122"/>
        <v>0</v>
      </c>
      <c r="Y89" s="31">
        <f t="shared" ca="1" si="122"/>
        <v>0</v>
      </c>
      <c r="Z89" s="31">
        <f t="shared" ca="1" si="122"/>
        <v>0</v>
      </c>
      <c r="AA89" s="44">
        <f t="shared" ca="1" si="12"/>
        <v>225739.90870510475</v>
      </c>
      <c r="AB89" s="165"/>
      <c r="AC89" s="95"/>
      <c r="AD89" s="95"/>
      <c r="AE89" s="95"/>
      <c r="AF89" s="95"/>
      <c r="AG89" s="95"/>
      <c r="AH89" s="95"/>
      <c r="AI89" s="95"/>
      <c r="AJ89" s="95"/>
      <c r="AK89" s="95"/>
      <c r="AL89" s="95"/>
    </row>
    <row r="90" spans="1:38" ht="13.2">
      <c r="A90" s="33">
        <v>89</v>
      </c>
      <c r="B90" s="30">
        <v>40000</v>
      </c>
      <c r="C90" s="46"/>
      <c r="D90" s="35">
        <f t="shared" ca="1" si="0"/>
        <v>0.4736505686706487</v>
      </c>
      <c r="E90" s="38">
        <f t="shared" ca="1" si="88"/>
        <v>4</v>
      </c>
      <c r="F90" s="40">
        <f t="shared" ca="1" si="89"/>
        <v>1</v>
      </c>
      <c r="G90" s="40">
        <f t="shared" ca="1" si="90"/>
        <v>1</v>
      </c>
      <c r="H90" s="40">
        <f t="shared" ca="1" si="91"/>
        <v>1</v>
      </c>
      <c r="I90" s="40">
        <f t="shared" ca="1" si="92"/>
        <v>1</v>
      </c>
      <c r="J90" s="40">
        <f t="shared" ca="1" si="93"/>
        <v>0</v>
      </c>
      <c r="K90" s="40">
        <f t="shared" ca="1" si="94"/>
        <v>0</v>
      </c>
      <c r="L90" s="40">
        <f t="shared" ca="1" si="95"/>
        <v>0</v>
      </c>
      <c r="M90" s="40">
        <f t="shared" ca="1" si="96"/>
        <v>0</v>
      </c>
      <c r="N90" s="40">
        <f t="shared" ca="1" si="97"/>
        <v>0</v>
      </c>
      <c r="O90" s="40">
        <f t="shared" ca="1" si="98"/>
        <v>0</v>
      </c>
      <c r="P90" s="42"/>
      <c r="Q90" s="31">
        <f t="shared" ref="Q90:Z90" ca="1" si="123">_xlfn.CHISQ.INV(RAND(),2)*$AL$4 *F90</f>
        <v>9941.5857384878873</v>
      </c>
      <c r="R90" s="31">
        <f t="shared" ca="1" si="123"/>
        <v>9326.3578586028798</v>
      </c>
      <c r="S90" s="31">
        <f t="shared" ca="1" si="123"/>
        <v>6710.0453961470221</v>
      </c>
      <c r="T90" s="31">
        <f t="shared" ca="1" si="123"/>
        <v>29087.028774889637</v>
      </c>
      <c r="U90" s="31">
        <f t="shared" ca="1" si="123"/>
        <v>0</v>
      </c>
      <c r="V90" s="31">
        <f t="shared" ca="1" si="123"/>
        <v>0</v>
      </c>
      <c r="W90" s="31">
        <f t="shared" ca="1" si="123"/>
        <v>0</v>
      </c>
      <c r="X90" s="31">
        <f t="shared" ca="1" si="123"/>
        <v>0</v>
      </c>
      <c r="Y90" s="31">
        <f t="shared" ca="1" si="123"/>
        <v>0</v>
      </c>
      <c r="Z90" s="31">
        <f t="shared" ca="1" si="123"/>
        <v>0</v>
      </c>
      <c r="AA90" s="44">
        <f t="shared" ca="1" si="12"/>
        <v>55065.017768127422</v>
      </c>
      <c r="AB90" s="165"/>
      <c r="AC90" s="95"/>
      <c r="AD90" s="95"/>
      <c r="AE90" s="95"/>
      <c r="AF90" s="95"/>
      <c r="AG90" s="95"/>
      <c r="AH90" s="95"/>
      <c r="AI90" s="95"/>
      <c r="AJ90" s="95"/>
      <c r="AK90" s="95"/>
      <c r="AL90" s="95"/>
    </row>
    <row r="91" spans="1:38" ht="13.2">
      <c r="A91" s="33">
        <v>90</v>
      </c>
      <c r="B91" s="30">
        <v>40000</v>
      </c>
      <c r="C91" s="46"/>
      <c r="D91" s="35">
        <f t="shared" ca="1" si="0"/>
        <v>0.68684428156160171</v>
      </c>
      <c r="E91" s="38">
        <f t="shared" ca="1" si="88"/>
        <v>5</v>
      </c>
      <c r="F91" s="40">
        <f t="shared" ca="1" si="89"/>
        <v>1</v>
      </c>
      <c r="G91" s="40">
        <f t="shared" ca="1" si="90"/>
        <v>1</v>
      </c>
      <c r="H91" s="40">
        <f t="shared" ca="1" si="91"/>
        <v>1</v>
      </c>
      <c r="I91" s="40">
        <f t="shared" ca="1" si="92"/>
        <v>1</v>
      </c>
      <c r="J91" s="40">
        <f t="shared" ca="1" si="93"/>
        <v>1</v>
      </c>
      <c r="K91" s="40">
        <f t="shared" ca="1" si="94"/>
        <v>0</v>
      </c>
      <c r="L91" s="40">
        <f t="shared" ca="1" si="95"/>
        <v>0</v>
      </c>
      <c r="M91" s="40">
        <f t="shared" ca="1" si="96"/>
        <v>0</v>
      </c>
      <c r="N91" s="40">
        <f t="shared" ca="1" si="97"/>
        <v>0</v>
      </c>
      <c r="O91" s="40">
        <f t="shared" ca="1" si="98"/>
        <v>0</v>
      </c>
      <c r="P91" s="42"/>
      <c r="Q91" s="31">
        <f t="shared" ref="Q91:Z91" ca="1" si="124">_xlfn.CHISQ.INV(RAND(),2)*$AL$4 *F91</f>
        <v>15630.231507900808</v>
      </c>
      <c r="R91" s="31">
        <f t="shared" ca="1" si="124"/>
        <v>4769.2354706983642</v>
      </c>
      <c r="S91" s="31">
        <f t="shared" ca="1" si="124"/>
        <v>18622.762655336781</v>
      </c>
      <c r="T91" s="31">
        <f t="shared" ca="1" si="124"/>
        <v>17484.782202168975</v>
      </c>
      <c r="U91" s="31">
        <f t="shared" ca="1" si="124"/>
        <v>5839.688989380631</v>
      </c>
      <c r="V91" s="31">
        <f t="shared" ca="1" si="124"/>
        <v>0</v>
      </c>
      <c r="W91" s="31">
        <f t="shared" ca="1" si="124"/>
        <v>0</v>
      </c>
      <c r="X91" s="31">
        <f t="shared" ca="1" si="124"/>
        <v>0</v>
      </c>
      <c r="Y91" s="31">
        <f t="shared" ca="1" si="124"/>
        <v>0</v>
      </c>
      <c r="Z91" s="31">
        <f t="shared" ca="1" si="124"/>
        <v>0</v>
      </c>
      <c r="AA91" s="44">
        <f t="shared" ca="1" si="12"/>
        <v>62346.700825485554</v>
      </c>
      <c r="AB91" s="165"/>
      <c r="AC91" s="95"/>
      <c r="AD91" s="95"/>
      <c r="AE91" s="95"/>
      <c r="AF91" s="95"/>
      <c r="AG91" s="95"/>
      <c r="AH91" s="95"/>
      <c r="AI91" s="95"/>
      <c r="AJ91" s="95"/>
      <c r="AK91" s="95"/>
      <c r="AL91" s="95"/>
    </row>
    <row r="92" spans="1:38" ht="13.2">
      <c r="A92" s="33">
        <v>91</v>
      </c>
      <c r="B92" s="30">
        <v>40000</v>
      </c>
      <c r="C92" s="46"/>
      <c r="D92" s="35">
        <f t="shared" ca="1" si="0"/>
        <v>0.43606642021784525</v>
      </c>
      <c r="E92" s="38">
        <f t="shared" ca="1" si="88"/>
        <v>4</v>
      </c>
      <c r="F92" s="40">
        <f t="shared" ca="1" si="89"/>
        <v>1</v>
      </c>
      <c r="G92" s="40">
        <f t="shared" ca="1" si="90"/>
        <v>1</v>
      </c>
      <c r="H92" s="40">
        <f t="shared" ca="1" si="91"/>
        <v>1</v>
      </c>
      <c r="I92" s="40">
        <f t="shared" ca="1" si="92"/>
        <v>1</v>
      </c>
      <c r="J92" s="40">
        <f t="shared" ca="1" si="93"/>
        <v>0</v>
      </c>
      <c r="K92" s="40">
        <f t="shared" ca="1" si="94"/>
        <v>0</v>
      </c>
      <c r="L92" s="40">
        <f t="shared" ca="1" si="95"/>
        <v>0</v>
      </c>
      <c r="M92" s="40">
        <f t="shared" ca="1" si="96"/>
        <v>0</v>
      </c>
      <c r="N92" s="40">
        <f t="shared" ca="1" si="97"/>
        <v>0</v>
      </c>
      <c r="O92" s="40">
        <f t="shared" ca="1" si="98"/>
        <v>0</v>
      </c>
      <c r="P92" s="42"/>
      <c r="Q92" s="31">
        <f t="shared" ref="Q92:Z92" ca="1" si="125">_xlfn.CHISQ.INV(RAND(),2)*$AL$4 *F92</f>
        <v>3485.7710897956081</v>
      </c>
      <c r="R92" s="31">
        <f t="shared" ca="1" si="125"/>
        <v>411.58792922120318</v>
      </c>
      <c r="S92" s="31">
        <f t="shared" ca="1" si="125"/>
        <v>7025.8153290913515</v>
      </c>
      <c r="T92" s="31">
        <f t="shared" ca="1" si="125"/>
        <v>22361.976866020294</v>
      </c>
      <c r="U92" s="31">
        <f t="shared" ca="1" si="125"/>
        <v>0</v>
      </c>
      <c r="V92" s="31">
        <f t="shared" ca="1" si="125"/>
        <v>0</v>
      </c>
      <c r="W92" s="31">
        <f t="shared" ca="1" si="125"/>
        <v>0</v>
      </c>
      <c r="X92" s="31">
        <f t="shared" ca="1" si="125"/>
        <v>0</v>
      </c>
      <c r="Y92" s="31">
        <f t="shared" ca="1" si="125"/>
        <v>0</v>
      </c>
      <c r="Z92" s="31">
        <f t="shared" ca="1" si="125"/>
        <v>0</v>
      </c>
      <c r="AA92" s="44">
        <f t="shared" ca="1" si="12"/>
        <v>33285.151214128455</v>
      </c>
      <c r="AB92" s="165"/>
      <c r="AC92" s="95"/>
      <c r="AD92" s="95"/>
      <c r="AE92" s="95"/>
      <c r="AF92" s="95"/>
      <c r="AG92" s="95"/>
      <c r="AH92" s="95"/>
      <c r="AI92" s="95"/>
      <c r="AJ92" s="95"/>
      <c r="AK92" s="95"/>
      <c r="AL92" s="95"/>
    </row>
    <row r="93" spans="1:38" ht="13.2">
      <c r="A93" s="33">
        <v>92</v>
      </c>
      <c r="B93" s="30">
        <v>40000</v>
      </c>
      <c r="C93" s="46"/>
      <c r="D93" s="35">
        <f t="shared" ca="1" si="0"/>
        <v>0.44579953096021707</v>
      </c>
      <c r="E93" s="38">
        <f t="shared" ca="1" si="88"/>
        <v>4</v>
      </c>
      <c r="F93" s="40">
        <f t="shared" ca="1" si="89"/>
        <v>1</v>
      </c>
      <c r="G93" s="40">
        <f t="shared" ca="1" si="90"/>
        <v>1</v>
      </c>
      <c r="H93" s="40">
        <f t="shared" ca="1" si="91"/>
        <v>1</v>
      </c>
      <c r="I93" s="40">
        <f t="shared" ca="1" si="92"/>
        <v>1</v>
      </c>
      <c r="J93" s="40">
        <f t="shared" ca="1" si="93"/>
        <v>0</v>
      </c>
      <c r="K93" s="40">
        <f t="shared" ca="1" si="94"/>
        <v>0</v>
      </c>
      <c r="L93" s="40">
        <f t="shared" ca="1" si="95"/>
        <v>0</v>
      </c>
      <c r="M93" s="40">
        <f t="shared" ca="1" si="96"/>
        <v>0</v>
      </c>
      <c r="N93" s="40">
        <f t="shared" ca="1" si="97"/>
        <v>0</v>
      </c>
      <c r="O93" s="40">
        <f t="shared" ca="1" si="98"/>
        <v>0</v>
      </c>
      <c r="P93" s="42"/>
      <c r="Q93" s="31">
        <f t="shared" ref="Q93:Z93" ca="1" si="126">_xlfn.CHISQ.INV(RAND(),2)*$AL$4 *F93</f>
        <v>23160.170968902337</v>
      </c>
      <c r="R93" s="31">
        <f t="shared" ca="1" si="126"/>
        <v>18716.180154443806</v>
      </c>
      <c r="S93" s="31">
        <f t="shared" ca="1" si="126"/>
        <v>3596.2683022364322</v>
      </c>
      <c r="T93" s="31">
        <f t="shared" ca="1" si="126"/>
        <v>2557.7675219872121</v>
      </c>
      <c r="U93" s="31">
        <f t="shared" ca="1" si="126"/>
        <v>0</v>
      </c>
      <c r="V93" s="31">
        <f t="shared" ca="1" si="126"/>
        <v>0</v>
      </c>
      <c r="W93" s="31">
        <f t="shared" ca="1" si="126"/>
        <v>0</v>
      </c>
      <c r="X93" s="31">
        <f t="shared" ca="1" si="126"/>
        <v>0</v>
      </c>
      <c r="Y93" s="31">
        <f t="shared" ca="1" si="126"/>
        <v>0</v>
      </c>
      <c r="Z93" s="31">
        <f t="shared" ca="1" si="126"/>
        <v>0</v>
      </c>
      <c r="AA93" s="44">
        <f t="shared" ca="1" si="12"/>
        <v>48030.386947569787</v>
      </c>
      <c r="AB93" s="165"/>
      <c r="AC93" s="95"/>
      <c r="AD93" s="95"/>
      <c r="AE93" s="95"/>
      <c r="AF93" s="95"/>
      <c r="AG93" s="95"/>
      <c r="AH93" s="95"/>
      <c r="AI93" s="95"/>
      <c r="AJ93" s="95"/>
      <c r="AK93" s="95"/>
      <c r="AL93" s="95"/>
    </row>
    <row r="94" spans="1:38" ht="13.2">
      <c r="A94" s="33">
        <v>93</v>
      </c>
      <c r="B94" s="30">
        <v>40000</v>
      </c>
      <c r="C94" s="46"/>
      <c r="D94" s="35">
        <f t="shared" ca="1" si="0"/>
        <v>0.35266931736360319</v>
      </c>
      <c r="E94" s="38">
        <f t="shared" ca="1" si="88"/>
        <v>3</v>
      </c>
      <c r="F94" s="40">
        <f t="shared" ca="1" si="89"/>
        <v>1</v>
      </c>
      <c r="G94" s="40">
        <f t="shared" ca="1" si="90"/>
        <v>1</v>
      </c>
      <c r="H94" s="40">
        <f t="shared" ca="1" si="91"/>
        <v>1</v>
      </c>
      <c r="I94" s="40">
        <f t="shared" ca="1" si="92"/>
        <v>0</v>
      </c>
      <c r="J94" s="40">
        <f t="shared" ca="1" si="93"/>
        <v>0</v>
      </c>
      <c r="K94" s="40">
        <f t="shared" ca="1" si="94"/>
        <v>0</v>
      </c>
      <c r="L94" s="40">
        <f t="shared" ca="1" si="95"/>
        <v>0</v>
      </c>
      <c r="M94" s="40">
        <f t="shared" ca="1" si="96"/>
        <v>0</v>
      </c>
      <c r="N94" s="40">
        <f t="shared" ca="1" si="97"/>
        <v>0</v>
      </c>
      <c r="O94" s="40">
        <f t="shared" ca="1" si="98"/>
        <v>0</v>
      </c>
      <c r="P94" s="42"/>
      <c r="Q94" s="31">
        <f t="shared" ref="Q94:Z94" ca="1" si="127">_xlfn.CHISQ.INV(RAND(),2)*$AL$4 *F94</f>
        <v>8423.1669357512928</v>
      </c>
      <c r="R94" s="31">
        <f t="shared" ca="1" si="127"/>
        <v>14206.025168277374</v>
      </c>
      <c r="S94" s="31">
        <f t="shared" ca="1" si="127"/>
        <v>48831.024359360119</v>
      </c>
      <c r="T94" s="31">
        <f t="shared" ca="1" si="127"/>
        <v>0</v>
      </c>
      <c r="U94" s="31">
        <f t="shared" ca="1" si="127"/>
        <v>0</v>
      </c>
      <c r="V94" s="31">
        <f t="shared" ca="1" si="127"/>
        <v>0</v>
      </c>
      <c r="W94" s="31">
        <f t="shared" ca="1" si="127"/>
        <v>0</v>
      </c>
      <c r="X94" s="31">
        <f t="shared" ca="1" si="127"/>
        <v>0</v>
      </c>
      <c r="Y94" s="31">
        <f t="shared" ca="1" si="127"/>
        <v>0</v>
      </c>
      <c r="Z94" s="31">
        <f t="shared" ca="1" si="127"/>
        <v>0</v>
      </c>
      <c r="AA94" s="44">
        <f t="shared" ca="1" si="12"/>
        <v>71460.216463388788</v>
      </c>
      <c r="AB94" s="165"/>
      <c r="AC94" s="95"/>
      <c r="AD94" s="95"/>
      <c r="AE94" s="95"/>
      <c r="AF94" s="95"/>
      <c r="AG94" s="95"/>
      <c r="AH94" s="95"/>
      <c r="AI94" s="95"/>
      <c r="AJ94" s="95"/>
      <c r="AK94" s="95"/>
      <c r="AL94" s="95"/>
    </row>
    <row r="95" spans="1:38" ht="13.2">
      <c r="A95" s="33">
        <v>94</v>
      </c>
      <c r="B95" s="30">
        <v>40000</v>
      </c>
      <c r="C95" s="46"/>
      <c r="D95" s="35">
        <f t="shared" ca="1" si="0"/>
        <v>6.0821757551033584E-2</v>
      </c>
      <c r="E95" s="38">
        <f t="shared" ca="1" si="88"/>
        <v>0</v>
      </c>
      <c r="F95" s="40">
        <f t="shared" ca="1" si="89"/>
        <v>0</v>
      </c>
      <c r="G95" s="40">
        <f t="shared" ca="1" si="90"/>
        <v>0</v>
      </c>
      <c r="H95" s="40">
        <f t="shared" ca="1" si="91"/>
        <v>0</v>
      </c>
      <c r="I95" s="40">
        <f t="shared" ca="1" si="92"/>
        <v>0</v>
      </c>
      <c r="J95" s="40">
        <f t="shared" ca="1" si="93"/>
        <v>0</v>
      </c>
      <c r="K95" s="40">
        <f t="shared" ca="1" si="94"/>
        <v>0</v>
      </c>
      <c r="L95" s="40">
        <f t="shared" ca="1" si="95"/>
        <v>0</v>
      </c>
      <c r="M95" s="40">
        <f t="shared" ca="1" si="96"/>
        <v>0</v>
      </c>
      <c r="N95" s="40">
        <f t="shared" ca="1" si="97"/>
        <v>0</v>
      </c>
      <c r="O95" s="40">
        <f t="shared" ca="1" si="98"/>
        <v>0</v>
      </c>
      <c r="P95" s="42"/>
      <c r="Q95" s="31">
        <f t="shared" ref="Q95:Z95" ca="1" si="128">_xlfn.CHISQ.INV(RAND(),2)*$AL$4 *F95</f>
        <v>0</v>
      </c>
      <c r="R95" s="31">
        <f t="shared" ca="1" si="128"/>
        <v>0</v>
      </c>
      <c r="S95" s="31">
        <f t="shared" ca="1" si="128"/>
        <v>0</v>
      </c>
      <c r="T95" s="31">
        <f t="shared" ca="1" si="128"/>
        <v>0</v>
      </c>
      <c r="U95" s="31">
        <f t="shared" ca="1" si="128"/>
        <v>0</v>
      </c>
      <c r="V95" s="31">
        <f t="shared" ca="1" si="128"/>
        <v>0</v>
      </c>
      <c r="W95" s="31">
        <f t="shared" ca="1" si="128"/>
        <v>0</v>
      </c>
      <c r="X95" s="31">
        <f t="shared" ca="1" si="128"/>
        <v>0</v>
      </c>
      <c r="Y95" s="31">
        <f t="shared" ca="1" si="128"/>
        <v>0</v>
      </c>
      <c r="Z95" s="31">
        <f t="shared" ca="1" si="128"/>
        <v>0</v>
      </c>
      <c r="AA95" s="44">
        <f t="shared" ca="1" si="12"/>
        <v>0</v>
      </c>
      <c r="AB95" s="165"/>
      <c r="AC95" s="95"/>
      <c r="AD95" s="95"/>
      <c r="AE95" s="95"/>
      <c r="AF95" s="95"/>
      <c r="AG95" s="95"/>
      <c r="AH95" s="95"/>
      <c r="AI95" s="95"/>
      <c r="AJ95" s="95"/>
      <c r="AK95" s="95"/>
      <c r="AL95" s="95"/>
    </row>
    <row r="96" spans="1:38" ht="13.2">
      <c r="A96" s="33">
        <v>95</v>
      </c>
      <c r="B96" s="30">
        <v>40000</v>
      </c>
      <c r="C96" s="46"/>
      <c r="D96" s="35">
        <f t="shared" ca="1" si="0"/>
        <v>0.4616108499561784</v>
      </c>
      <c r="E96" s="38">
        <f t="shared" ca="1" si="88"/>
        <v>4</v>
      </c>
      <c r="F96" s="40">
        <f t="shared" ca="1" si="89"/>
        <v>1</v>
      </c>
      <c r="G96" s="40">
        <f t="shared" ca="1" si="90"/>
        <v>1</v>
      </c>
      <c r="H96" s="40">
        <f t="shared" ca="1" si="91"/>
        <v>1</v>
      </c>
      <c r="I96" s="40">
        <f t="shared" ca="1" si="92"/>
        <v>1</v>
      </c>
      <c r="J96" s="40">
        <f t="shared" ca="1" si="93"/>
        <v>0</v>
      </c>
      <c r="K96" s="40">
        <f t="shared" ca="1" si="94"/>
        <v>0</v>
      </c>
      <c r="L96" s="40">
        <f t="shared" ca="1" si="95"/>
        <v>0</v>
      </c>
      <c r="M96" s="40">
        <f t="shared" ca="1" si="96"/>
        <v>0</v>
      </c>
      <c r="N96" s="40">
        <f t="shared" ca="1" si="97"/>
        <v>0</v>
      </c>
      <c r="O96" s="40">
        <f t="shared" ca="1" si="98"/>
        <v>0</v>
      </c>
      <c r="P96" s="42"/>
      <c r="Q96" s="31">
        <f t="shared" ref="Q96:Z96" ca="1" si="129">_xlfn.CHISQ.INV(RAND(),2)*$AL$4 *F96</f>
        <v>14241.415002295849</v>
      </c>
      <c r="R96" s="31">
        <f t="shared" ca="1" si="129"/>
        <v>20749.065007529327</v>
      </c>
      <c r="S96" s="31">
        <f t="shared" ca="1" si="129"/>
        <v>17039.911785336575</v>
      </c>
      <c r="T96" s="31">
        <f t="shared" ca="1" si="129"/>
        <v>53784.471967169047</v>
      </c>
      <c r="U96" s="31">
        <f t="shared" ca="1" si="129"/>
        <v>0</v>
      </c>
      <c r="V96" s="31">
        <f t="shared" ca="1" si="129"/>
        <v>0</v>
      </c>
      <c r="W96" s="31">
        <f t="shared" ca="1" si="129"/>
        <v>0</v>
      </c>
      <c r="X96" s="31">
        <f t="shared" ca="1" si="129"/>
        <v>0</v>
      </c>
      <c r="Y96" s="31">
        <f t="shared" ca="1" si="129"/>
        <v>0</v>
      </c>
      <c r="Z96" s="31">
        <f t="shared" ca="1" si="129"/>
        <v>0</v>
      </c>
      <c r="AA96" s="44">
        <f t="shared" ca="1" si="12"/>
        <v>105814.86376233079</v>
      </c>
      <c r="AB96" s="165"/>
      <c r="AC96" s="95"/>
      <c r="AD96" s="95"/>
      <c r="AE96" s="95"/>
      <c r="AF96" s="95"/>
      <c r="AG96" s="95"/>
      <c r="AH96" s="95"/>
      <c r="AI96" s="95"/>
      <c r="AJ96" s="95"/>
      <c r="AK96" s="95"/>
      <c r="AL96" s="95"/>
    </row>
    <row r="97" spans="1:38" ht="13.2">
      <c r="A97" s="33">
        <v>96</v>
      </c>
      <c r="B97" s="30">
        <v>40000</v>
      </c>
      <c r="C97" s="46"/>
      <c r="D97" s="35">
        <f t="shared" ca="1" si="0"/>
        <v>0.16791031591123751</v>
      </c>
      <c r="E97" s="38">
        <f t="shared" ca="1" si="88"/>
        <v>1</v>
      </c>
      <c r="F97" s="40">
        <f t="shared" ca="1" si="89"/>
        <v>1</v>
      </c>
      <c r="G97" s="40">
        <f t="shared" ca="1" si="90"/>
        <v>0</v>
      </c>
      <c r="H97" s="40">
        <f t="shared" ca="1" si="91"/>
        <v>0</v>
      </c>
      <c r="I97" s="40">
        <f t="shared" ca="1" si="92"/>
        <v>0</v>
      </c>
      <c r="J97" s="40">
        <f t="shared" ca="1" si="93"/>
        <v>0</v>
      </c>
      <c r="K97" s="40">
        <f t="shared" ca="1" si="94"/>
        <v>0</v>
      </c>
      <c r="L97" s="40">
        <f t="shared" ca="1" si="95"/>
        <v>0</v>
      </c>
      <c r="M97" s="40">
        <f t="shared" ca="1" si="96"/>
        <v>0</v>
      </c>
      <c r="N97" s="40">
        <f t="shared" ca="1" si="97"/>
        <v>0</v>
      </c>
      <c r="O97" s="40">
        <f t="shared" ca="1" si="98"/>
        <v>0</v>
      </c>
      <c r="P97" s="42"/>
      <c r="Q97" s="31">
        <f t="shared" ref="Q97:Z97" ca="1" si="130">_xlfn.CHISQ.INV(RAND(),2)*$AL$4 *F97</f>
        <v>1306.3261486811773</v>
      </c>
      <c r="R97" s="31">
        <f t="shared" ca="1" si="130"/>
        <v>0</v>
      </c>
      <c r="S97" s="31">
        <f t="shared" ca="1" si="130"/>
        <v>0</v>
      </c>
      <c r="T97" s="31">
        <f t="shared" ca="1" si="130"/>
        <v>0</v>
      </c>
      <c r="U97" s="31">
        <f t="shared" ca="1" si="130"/>
        <v>0</v>
      </c>
      <c r="V97" s="31">
        <f t="shared" ca="1" si="130"/>
        <v>0</v>
      </c>
      <c r="W97" s="31">
        <f t="shared" ca="1" si="130"/>
        <v>0</v>
      </c>
      <c r="X97" s="31">
        <f t="shared" ca="1" si="130"/>
        <v>0</v>
      </c>
      <c r="Y97" s="31">
        <f t="shared" ca="1" si="130"/>
        <v>0</v>
      </c>
      <c r="Z97" s="31">
        <f t="shared" ca="1" si="130"/>
        <v>0</v>
      </c>
      <c r="AA97" s="44">
        <f t="shared" ca="1" si="12"/>
        <v>1306.3261486811773</v>
      </c>
      <c r="AB97" s="165"/>
      <c r="AC97" s="95"/>
      <c r="AD97" s="95"/>
      <c r="AE97" s="95"/>
      <c r="AF97" s="95"/>
      <c r="AG97" s="95"/>
      <c r="AH97" s="95"/>
      <c r="AI97" s="95"/>
      <c r="AJ97" s="95"/>
      <c r="AK97" s="95"/>
      <c r="AL97" s="95"/>
    </row>
    <row r="98" spans="1:38" ht="13.2">
      <c r="A98" s="33">
        <v>97</v>
      </c>
      <c r="B98" s="30">
        <v>40000</v>
      </c>
      <c r="C98" s="46"/>
      <c r="D98" s="35">
        <f t="shared" ca="1" si="0"/>
        <v>0.58412968724095771</v>
      </c>
      <c r="E98" s="38">
        <f t="shared" ref="E98:E129" ca="1" si="131">VLOOKUP(D98,$AH$2:$AI$13, 2, TRUE)</f>
        <v>5</v>
      </c>
      <c r="F98" s="40">
        <f t="shared" ref="F98:F129" ca="1" si="132">IF(E98&gt;=1,1,0)</f>
        <v>1</v>
      </c>
      <c r="G98" s="40">
        <f t="shared" ref="G98:G129" ca="1" si="133">IF(E98&gt;=2,1,0)</f>
        <v>1</v>
      </c>
      <c r="H98" s="40">
        <f t="shared" ref="H98:H129" ca="1" si="134">IF(E98&gt;=3,1,0)</f>
        <v>1</v>
      </c>
      <c r="I98" s="40">
        <f t="shared" ref="I98:I129" ca="1" si="135">IF(E98&gt;=4,1,0)</f>
        <v>1</v>
      </c>
      <c r="J98" s="40">
        <f t="shared" ref="J98:J129" ca="1" si="136">IF(E98&gt;=5,1,0)</f>
        <v>1</v>
      </c>
      <c r="K98" s="40">
        <f t="shared" ref="K98:K129" ca="1" si="137">IF(E98&gt;=6,1,0)</f>
        <v>0</v>
      </c>
      <c r="L98" s="40">
        <f t="shared" ref="L98:L129" ca="1" si="138">IF(E98&gt;=7,1,0)</f>
        <v>0</v>
      </c>
      <c r="M98" s="40">
        <f t="shared" ref="M98:M129" ca="1" si="139">IF(E98&gt;=8,1,0)</f>
        <v>0</v>
      </c>
      <c r="N98" s="40">
        <f t="shared" ref="N98:N129" ca="1" si="140">IF(E98&gt;=9,1,0)</f>
        <v>0</v>
      </c>
      <c r="O98" s="40">
        <f t="shared" ref="O98:O129" ca="1" si="141">IF(E98&gt;=10,1,0)</f>
        <v>0</v>
      </c>
      <c r="P98" s="42"/>
      <c r="Q98" s="31">
        <f t="shared" ref="Q98:Z98" ca="1" si="142">_xlfn.CHISQ.INV(RAND(),2)*$AL$4 *F98</f>
        <v>49613.551684288163</v>
      </c>
      <c r="R98" s="31">
        <f t="shared" ca="1" si="142"/>
        <v>38633.804825695421</v>
      </c>
      <c r="S98" s="31">
        <f t="shared" ca="1" si="142"/>
        <v>13877.608475102643</v>
      </c>
      <c r="T98" s="31">
        <f t="shared" ca="1" si="142"/>
        <v>68374.90597598668</v>
      </c>
      <c r="U98" s="31">
        <f t="shared" ca="1" si="142"/>
        <v>6490.1353882204194</v>
      </c>
      <c r="V98" s="31">
        <f t="shared" ca="1" si="142"/>
        <v>0</v>
      </c>
      <c r="W98" s="31">
        <f t="shared" ca="1" si="142"/>
        <v>0</v>
      </c>
      <c r="X98" s="31">
        <f t="shared" ca="1" si="142"/>
        <v>0</v>
      </c>
      <c r="Y98" s="31">
        <f t="shared" ca="1" si="142"/>
        <v>0</v>
      </c>
      <c r="Z98" s="31">
        <f t="shared" ca="1" si="142"/>
        <v>0</v>
      </c>
      <c r="AA98" s="44">
        <f t="shared" ca="1" si="12"/>
        <v>176990.00634929334</v>
      </c>
      <c r="AB98" s="165"/>
      <c r="AC98" s="95"/>
      <c r="AD98" s="95"/>
      <c r="AE98" s="95"/>
      <c r="AF98" s="95"/>
      <c r="AG98" s="95"/>
      <c r="AH98" s="95"/>
      <c r="AI98" s="95"/>
      <c r="AJ98" s="95"/>
      <c r="AK98" s="95"/>
      <c r="AL98" s="95"/>
    </row>
    <row r="99" spans="1:38" ht="13.2">
      <c r="A99" s="33">
        <v>98</v>
      </c>
      <c r="B99" s="30">
        <v>40000</v>
      </c>
      <c r="C99" s="46"/>
      <c r="D99" s="35">
        <f t="shared" ca="1" si="0"/>
        <v>0.47464118746667405</v>
      </c>
      <c r="E99" s="38">
        <f t="shared" ca="1" si="131"/>
        <v>4</v>
      </c>
      <c r="F99" s="40">
        <f t="shared" ca="1" si="132"/>
        <v>1</v>
      </c>
      <c r="G99" s="40">
        <f t="shared" ca="1" si="133"/>
        <v>1</v>
      </c>
      <c r="H99" s="40">
        <f t="shared" ca="1" si="134"/>
        <v>1</v>
      </c>
      <c r="I99" s="40">
        <f t="shared" ca="1" si="135"/>
        <v>1</v>
      </c>
      <c r="J99" s="40">
        <f t="shared" ca="1" si="136"/>
        <v>0</v>
      </c>
      <c r="K99" s="40">
        <f t="shared" ca="1" si="137"/>
        <v>0</v>
      </c>
      <c r="L99" s="40">
        <f t="shared" ca="1" si="138"/>
        <v>0</v>
      </c>
      <c r="M99" s="40">
        <f t="shared" ca="1" si="139"/>
        <v>0</v>
      </c>
      <c r="N99" s="40">
        <f t="shared" ca="1" si="140"/>
        <v>0</v>
      </c>
      <c r="O99" s="40">
        <f t="shared" ca="1" si="141"/>
        <v>0</v>
      </c>
      <c r="P99" s="42"/>
      <c r="Q99" s="31">
        <f t="shared" ref="Q99:Z99" ca="1" si="143">_xlfn.CHISQ.INV(RAND(),2)*$AL$4 *F99</f>
        <v>6011.1483226435366</v>
      </c>
      <c r="R99" s="31">
        <f t="shared" ca="1" si="143"/>
        <v>13868.921468156081</v>
      </c>
      <c r="S99" s="31">
        <f t="shared" ca="1" si="143"/>
        <v>24641.255303576276</v>
      </c>
      <c r="T99" s="31">
        <f t="shared" ca="1" si="143"/>
        <v>15304.221911455374</v>
      </c>
      <c r="U99" s="31">
        <f t="shared" ca="1" si="143"/>
        <v>0</v>
      </c>
      <c r="V99" s="31">
        <f t="shared" ca="1" si="143"/>
        <v>0</v>
      </c>
      <c r="W99" s="31">
        <f t="shared" ca="1" si="143"/>
        <v>0</v>
      </c>
      <c r="X99" s="31">
        <f t="shared" ca="1" si="143"/>
        <v>0</v>
      </c>
      <c r="Y99" s="31">
        <f t="shared" ca="1" si="143"/>
        <v>0</v>
      </c>
      <c r="Z99" s="31">
        <f t="shared" ca="1" si="143"/>
        <v>0</v>
      </c>
      <c r="AA99" s="44">
        <f t="shared" ca="1" si="12"/>
        <v>59825.547005831264</v>
      </c>
      <c r="AB99" s="165"/>
      <c r="AC99" s="95"/>
      <c r="AD99" s="95"/>
      <c r="AE99" s="95"/>
      <c r="AF99" s="95"/>
      <c r="AG99" s="95"/>
      <c r="AH99" s="95"/>
      <c r="AI99" s="95"/>
      <c r="AJ99" s="95"/>
      <c r="AK99" s="95"/>
      <c r="AL99" s="95"/>
    </row>
    <row r="100" spans="1:38" ht="13.2">
      <c r="A100" s="33">
        <v>99</v>
      </c>
      <c r="B100" s="30">
        <v>40000</v>
      </c>
      <c r="C100" s="46"/>
      <c r="D100" s="35">
        <f t="shared" ca="1" si="0"/>
        <v>0.92518214443433588</v>
      </c>
      <c r="E100" s="38">
        <f t="shared" ca="1" si="131"/>
        <v>9</v>
      </c>
      <c r="F100" s="40">
        <f t="shared" ca="1" si="132"/>
        <v>1</v>
      </c>
      <c r="G100" s="40">
        <f t="shared" ca="1" si="133"/>
        <v>1</v>
      </c>
      <c r="H100" s="40">
        <f t="shared" ca="1" si="134"/>
        <v>1</v>
      </c>
      <c r="I100" s="40">
        <f t="shared" ca="1" si="135"/>
        <v>1</v>
      </c>
      <c r="J100" s="40">
        <f t="shared" ca="1" si="136"/>
        <v>1</v>
      </c>
      <c r="K100" s="40">
        <f t="shared" ca="1" si="137"/>
        <v>1</v>
      </c>
      <c r="L100" s="40">
        <f t="shared" ca="1" si="138"/>
        <v>1</v>
      </c>
      <c r="M100" s="40">
        <f t="shared" ca="1" si="139"/>
        <v>1</v>
      </c>
      <c r="N100" s="40">
        <f t="shared" ca="1" si="140"/>
        <v>1</v>
      </c>
      <c r="O100" s="40">
        <f t="shared" ca="1" si="141"/>
        <v>0</v>
      </c>
      <c r="P100" s="42"/>
      <c r="Q100" s="31">
        <f t="shared" ref="Q100:Z100" ca="1" si="144">_xlfn.CHISQ.INV(RAND(),2)*$AL$4 *F100</f>
        <v>28727.118467183762</v>
      </c>
      <c r="R100" s="31">
        <f t="shared" ca="1" si="144"/>
        <v>58007.64213971336</v>
      </c>
      <c r="S100" s="31">
        <f t="shared" ca="1" si="144"/>
        <v>16913.844423075174</v>
      </c>
      <c r="T100" s="31">
        <f t="shared" ca="1" si="144"/>
        <v>75305.19099121097</v>
      </c>
      <c r="U100" s="31">
        <f t="shared" ca="1" si="144"/>
        <v>24313.898104830045</v>
      </c>
      <c r="V100" s="31">
        <f t="shared" ca="1" si="144"/>
        <v>35533.19962343551</v>
      </c>
      <c r="W100" s="31">
        <f t="shared" ca="1" si="144"/>
        <v>4087.8452165089211</v>
      </c>
      <c r="X100" s="31">
        <f t="shared" ca="1" si="144"/>
        <v>53356.059052262419</v>
      </c>
      <c r="Y100" s="31">
        <f t="shared" ca="1" si="144"/>
        <v>2769.2150774214174</v>
      </c>
      <c r="Z100" s="31">
        <f t="shared" ca="1" si="144"/>
        <v>0</v>
      </c>
      <c r="AA100" s="44">
        <f t="shared" ca="1" si="12"/>
        <v>299014.01309564151</v>
      </c>
      <c r="AB100" s="16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</row>
    <row r="101" spans="1:38" ht="13.2">
      <c r="A101" s="33">
        <v>100</v>
      </c>
      <c r="B101" s="30">
        <v>40000</v>
      </c>
      <c r="C101" s="46"/>
      <c r="D101" s="35">
        <f t="shared" ca="1" si="0"/>
        <v>0.10653334076268406</v>
      </c>
      <c r="E101" s="38">
        <f t="shared" ca="1" si="131"/>
        <v>1</v>
      </c>
      <c r="F101" s="40">
        <f t="shared" ca="1" si="132"/>
        <v>1</v>
      </c>
      <c r="G101" s="40">
        <f t="shared" ca="1" si="133"/>
        <v>0</v>
      </c>
      <c r="H101" s="40">
        <f t="shared" ca="1" si="134"/>
        <v>0</v>
      </c>
      <c r="I101" s="40">
        <f t="shared" ca="1" si="135"/>
        <v>0</v>
      </c>
      <c r="J101" s="40">
        <f t="shared" ca="1" si="136"/>
        <v>0</v>
      </c>
      <c r="K101" s="40">
        <f t="shared" ca="1" si="137"/>
        <v>0</v>
      </c>
      <c r="L101" s="40">
        <f t="shared" ca="1" si="138"/>
        <v>0</v>
      </c>
      <c r="M101" s="40">
        <f t="shared" ca="1" si="139"/>
        <v>0</v>
      </c>
      <c r="N101" s="40">
        <f t="shared" ca="1" si="140"/>
        <v>0</v>
      </c>
      <c r="O101" s="40">
        <f t="shared" ca="1" si="141"/>
        <v>0</v>
      </c>
      <c r="P101" s="42"/>
      <c r="Q101" s="31">
        <f t="shared" ref="Q101:Z101" ca="1" si="145">_xlfn.CHISQ.INV(RAND(),2)*$AL$4 *F101</f>
        <v>25079.836031031235</v>
      </c>
      <c r="R101" s="31">
        <f t="shared" ca="1" si="145"/>
        <v>0</v>
      </c>
      <c r="S101" s="31">
        <f t="shared" ca="1" si="145"/>
        <v>0</v>
      </c>
      <c r="T101" s="31">
        <f t="shared" ca="1" si="145"/>
        <v>0</v>
      </c>
      <c r="U101" s="31">
        <f t="shared" ca="1" si="145"/>
        <v>0</v>
      </c>
      <c r="V101" s="31">
        <f t="shared" ca="1" si="145"/>
        <v>0</v>
      </c>
      <c r="W101" s="31">
        <f t="shared" ca="1" si="145"/>
        <v>0</v>
      </c>
      <c r="X101" s="31">
        <f t="shared" ca="1" si="145"/>
        <v>0</v>
      </c>
      <c r="Y101" s="31">
        <f t="shared" ca="1" si="145"/>
        <v>0</v>
      </c>
      <c r="Z101" s="31">
        <f t="shared" ca="1" si="145"/>
        <v>0</v>
      </c>
      <c r="AA101" s="44">
        <f t="shared" ca="1" si="12"/>
        <v>25079.836031031235</v>
      </c>
      <c r="AB101" s="16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</row>
    <row r="102" spans="1:38" ht="13.2">
      <c r="A102" s="33">
        <v>101</v>
      </c>
      <c r="B102" s="30">
        <v>40000</v>
      </c>
      <c r="C102" s="46"/>
      <c r="D102" s="35">
        <f t="shared" ca="1" si="0"/>
        <v>0.70522766739341713</v>
      </c>
      <c r="E102" s="38">
        <f t="shared" ca="1" si="131"/>
        <v>6</v>
      </c>
      <c r="F102" s="40">
        <f t="shared" ca="1" si="132"/>
        <v>1</v>
      </c>
      <c r="G102" s="40">
        <f t="shared" ca="1" si="133"/>
        <v>1</v>
      </c>
      <c r="H102" s="40">
        <f t="shared" ca="1" si="134"/>
        <v>1</v>
      </c>
      <c r="I102" s="40">
        <f t="shared" ca="1" si="135"/>
        <v>1</v>
      </c>
      <c r="J102" s="40">
        <f t="shared" ca="1" si="136"/>
        <v>1</v>
      </c>
      <c r="K102" s="40">
        <f t="shared" ca="1" si="137"/>
        <v>1</v>
      </c>
      <c r="L102" s="40">
        <f t="shared" ca="1" si="138"/>
        <v>0</v>
      </c>
      <c r="M102" s="40">
        <f t="shared" ca="1" si="139"/>
        <v>0</v>
      </c>
      <c r="N102" s="40">
        <f t="shared" ca="1" si="140"/>
        <v>0</v>
      </c>
      <c r="O102" s="40">
        <f t="shared" ca="1" si="141"/>
        <v>0</v>
      </c>
      <c r="P102" s="42"/>
      <c r="Q102" s="31">
        <f t="shared" ref="Q102:Z102" ca="1" si="146">_xlfn.CHISQ.INV(RAND(),2)*$AL$4 *F102</f>
        <v>7849.5397467978</v>
      </c>
      <c r="R102" s="31">
        <f t="shared" ca="1" si="146"/>
        <v>54883.545238350351</v>
      </c>
      <c r="S102" s="31">
        <f t="shared" ca="1" si="146"/>
        <v>7363.7387646539783</v>
      </c>
      <c r="T102" s="31">
        <f t="shared" ca="1" si="146"/>
        <v>8455.3757835247507</v>
      </c>
      <c r="U102" s="31">
        <f t="shared" ca="1" si="146"/>
        <v>49032.453655072619</v>
      </c>
      <c r="V102" s="31">
        <f t="shared" ca="1" si="146"/>
        <v>2879.2896974664482</v>
      </c>
      <c r="W102" s="31">
        <f t="shared" ca="1" si="146"/>
        <v>0</v>
      </c>
      <c r="X102" s="31">
        <f t="shared" ca="1" si="146"/>
        <v>0</v>
      </c>
      <c r="Y102" s="31">
        <f t="shared" ca="1" si="146"/>
        <v>0</v>
      </c>
      <c r="Z102" s="31">
        <f t="shared" ca="1" si="146"/>
        <v>0</v>
      </c>
      <c r="AA102" s="44">
        <f t="shared" ca="1" si="12"/>
        <v>130463.94288586594</v>
      </c>
      <c r="AB102" s="165"/>
      <c r="AC102" s="95"/>
      <c r="AD102" s="95"/>
      <c r="AE102" s="95"/>
      <c r="AF102" s="95"/>
      <c r="AG102" s="95"/>
      <c r="AH102" s="95"/>
      <c r="AI102" s="95"/>
      <c r="AJ102" s="95"/>
      <c r="AK102" s="95"/>
      <c r="AL102" s="95"/>
    </row>
    <row r="103" spans="1:38" ht="13.2">
      <c r="A103" s="33">
        <v>102</v>
      </c>
      <c r="B103" s="30">
        <v>40000</v>
      </c>
      <c r="C103" s="46"/>
      <c r="D103" s="35">
        <f t="shared" ca="1" si="0"/>
        <v>0.45037223975596885</v>
      </c>
      <c r="E103" s="38">
        <f t="shared" ca="1" si="131"/>
        <v>4</v>
      </c>
      <c r="F103" s="40">
        <f t="shared" ca="1" si="132"/>
        <v>1</v>
      </c>
      <c r="G103" s="40">
        <f t="shared" ca="1" si="133"/>
        <v>1</v>
      </c>
      <c r="H103" s="40">
        <f t="shared" ca="1" si="134"/>
        <v>1</v>
      </c>
      <c r="I103" s="40">
        <f t="shared" ca="1" si="135"/>
        <v>1</v>
      </c>
      <c r="J103" s="40">
        <f t="shared" ca="1" si="136"/>
        <v>0</v>
      </c>
      <c r="K103" s="40">
        <f t="shared" ca="1" si="137"/>
        <v>0</v>
      </c>
      <c r="L103" s="40">
        <f t="shared" ca="1" si="138"/>
        <v>0</v>
      </c>
      <c r="M103" s="40">
        <f t="shared" ca="1" si="139"/>
        <v>0</v>
      </c>
      <c r="N103" s="40">
        <f t="shared" ca="1" si="140"/>
        <v>0</v>
      </c>
      <c r="O103" s="40">
        <f t="shared" ca="1" si="141"/>
        <v>0</v>
      </c>
      <c r="P103" s="42"/>
      <c r="Q103" s="31">
        <f t="shared" ref="Q103:Z103" ca="1" si="147">_xlfn.CHISQ.INV(RAND(),2)*$AL$4 *F103</f>
        <v>48023.938241562093</v>
      </c>
      <c r="R103" s="31">
        <f t="shared" ca="1" si="147"/>
        <v>9055.4218429740868</v>
      </c>
      <c r="S103" s="31">
        <f t="shared" ca="1" si="147"/>
        <v>8779.0206068006755</v>
      </c>
      <c r="T103" s="31">
        <f t="shared" ca="1" si="147"/>
        <v>2241.6897509139162</v>
      </c>
      <c r="U103" s="31">
        <f t="shared" ca="1" si="147"/>
        <v>0</v>
      </c>
      <c r="V103" s="31">
        <f t="shared" ca="1" si="147"/>
        <v>0</v>
      </c>
      <c r="W103" s="31">
        <f t="shared" ca="1" si="147"/>
        <v>0</v>
      </c>
      <c r="X103" s="31">
        <f t="shared" ca="1" si="147"/>
        <v>0</v>
      </c>
      <c r="Y103" s="31">
        <f t="shared" ca="1" si="147"/>
        <v>0</v>
      </c>
      <c r="Z103" s="31">
        <f t="shared" ca="1" si="147"/>
        <v>0</v>
      </c>
      <c r="AA103" s="44">
        <f t="shared" ca="1" si="12"/>
        <v>68100.070442250784</v>
      </c>
      <c r="AB103" s="16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</row>
    <row r="104" spans="1:38" ht="13.2">
      <c r="A104" s="33">
        <v>103</v>
      </c>
      <c r="B104" s="30">
        <v>40000</v>
      </c>
      <c r="C104" s="46"/>
      <c r="D104" s="35">
        <f t="shared" ca="1" si="0"/>
        <v>0.75204888244710766</v>
      </c>
      <c r="E104" s="38">
        <f t="shared" ca="1" si="131"/>
        <v>6</v>
      </c>
      <c r="F104" s="40">
        <f t="shared" ca="1" si="132"/>
        <v>1</v>
      </c>
      <c r="G104" s="40">
        <f t="shared" ca="1" si="133"/>
        <v>1</v>
      </c>
      <c r="H104" s="40">
        <f t="shared" ca="1" si="134"/>
        <v>1</v>
      </c>
      <c r="I104" s="40">
        <f t="shared" ca="1" si="135"/>
        <v>1</v>
      </c>
      <c r="J104" s="40">
        <f t="shared" ca="1" si="136"/>
        <v>1</v>
      </c>
      <c r="K104" s="40">
        <f t="shared" ca="1" si="137"/>
        <v>1</v>
      </c>
      <c r="L104" s="40">
        <f t="shared" ca="1" si="138"/>
        <v>0</v>
      </c>
      <c r="M104" s="40">
        <f t="shared" ca="1" si="139"/>
        <v>0</v>
      </c>
      <c r="N104" s="40">
        <f t="shared" ca="1" si="140"/>
        <v>0</v>
      </c>
      <c r="O104" s="40">
        <f t="shared" ca="1" si="141"/>
        <v>0</v>
      </c>
      <c r="P104" s="42"/>
      <c r="Q104" s="31">
        <f t="shared" ref="Q104:Z104" ca="1" si="148">_xlfn.CHISQ.INV(RAND(),2)*$AL$4 *F104</f>
        <v>21116.263132642063</v>
      </c>
      <c r="R104" s="31">
        <f t="shared" ca="1" si="148"/>
        <v>91337.593182859957</v>
      </c>
      <c r="S104" s="31">
        <f t="shared" ca="1" si="148"/>
        <v>6190.1836490908299</v>
      </c>
      <c r="T104" s="31">
        <f t="shared" ca="1" si="148"/>
        <v>11826.662029287032</v>
      </c>
      <c r="U104" s="31">
        <f t="shared" ca="1" si="148"/>
        <v>8169.3839329659368</v>
      </c>
      <c r="V104" s="31">
        <f t="shared" ca="1" si="148"/>
        <v>29858.835901925453</v>
      </c>
      <c r="W104" s="31">
        <f t="shared" ca="1" si="148"/>
        <v>0</v>
      </c>
      <c r="X104" s="31">
        <f t="shared" ca="1" si="148"/>
        <v>0</v>
      </c>
      <c r="Y104" s="31">
        <f t="shared" ca="1" si="148"/>
        <v>0</v>
      </c>
      <c r="Z104" s="31">
        <f t="shared" ca="1" si="148"/>
        <v>0</v>
      </c>
      <c r="AA104" s="44">
        <f t="shared" ca="1" si="12"/>
        <v>168498.92182877127</v>
      </c>
      <c r="AB104" s="165"/>
      <c r="AC104" s="95"/>
      <c r="AD104" s="95"/>
      <c r="AE104" s="95"/>
      <c r="AF104" s="95"/>
      <c r="AG104" s="95"/>
      <c r="AH104" s="95"/>
      <c r="AI104" s="95"/>
      <c r="AJ104" s="95"/>
      <c r="AK104" s="95"/>
      <c r="AL104" s="95"/>
    </row>
    <row r="105" spans="1:38" ht="13.2">
      <c r="A105" s="33">
        <v>104</v>
      </c>
      <c r="B105" s="30">
        <v>40000</v>
      </c>
      <c r="C105" s="46"/>
      <c r="D105" s="35">
        <f t="shared" ca="1" si="0"/>
        <v>0.94783788556757353</v>
      </c>
      <c r="E105" s="38">
        <f t="shared" ca="1" si="131"/>
        <v>9</v>
      </c>
      <c r="F105" s="40">
        <f t="shared" ca="1" si="132"/>
        <v>1</v>
      </c>
      <c r="G105" s="40">
        <f t="shared" ca="1" si="133"/>
        <v>1</v>
      </c>
      <c r="H105" s="40">
        <f t="shared" ca="1" si="134"/>
        <v>1</v>
      </c>
      <c r="I105" s="40">
        <f t="shared" ca="1" si="135"/>
        <v>1</v>
      </c>
      <c r="J105" s="40">
        <f t="shared" ca="1" si="136"/>
        <v>1</v>
      </c>
      <c r="K105" s="40">
        <f t="shared" ca="1" si="137"/>
        <v>1</v>
      </c>
      <c r="L105" s="40">
        <f t="shared" ca="1" si="138"/>
        <v>1</v>
      </c>
      <c r="M105" s="40">
        <f t="shared" ca="1" si="139"/>
        <v>1</v>
      </c>
      <c r="N105" s="40">
        <f t="shared" ca="1" si="140"/>
        <v>1</v>
      </c>
      <c r="O105" s="40">
        <f t="shared" ca="1" si="141"/>
        <v>0</v>
      </c>
      <c r="P105" s="42"/>
      <c r="Q105" s="31">
        <f t="shared" ref="Q105:Z105" ca="1" si="149">_xlfn.CHISQ.INV(RAND(),2)*$AL$4 *F105</f>
        <v>45321.96700528379</v>
      </c>
      <c r="R105" s="31">
        <f t="shared" ca="1" si="149"/>
        <v>67448.428251071571</v>
      </c>
      <c r="S105" s="31">
        <f t="shared" ca="1" si="149"/>
        <v>16448.584129835504</v>
      </c>
      <c r="T105" s="31">
        <f t="shared" ca="1" si="149"/>
        <v>31110.000530868103</v>
      </c>
      <c r="U105" s="31">
        <f t="shared" ca="1" si="149"/>
        <v>58398.013005438203</v>
      </c>
      <c r="V105" s="31">
        <f t="shared" ca="1" si="149"/>
        <v>4375.1319679488197</v>
      </c>
      <c r="W105" s="31">
        <f t="shared" ca="1" si="149"/>
        <v>24921.525101772531</v>
      </c>
      <c r="X105" s="31">
        <f t="shared" ca="1" si="149"/>
        <v>17011.93970871174</v>
      </c>
      <c r="Y105" s="31">
        <f t="shared" ca="1" si="149"/>
        <v>5855.148728071109</v>
      </c>
      <c r="Z105" s="31">
        <f t="shared" ca="1" si="149"/>
        <v>0</v>
      </c>
      <c r="AA105" s="44">
        <f t="shared" ca="1" si="12"/>
        <v>270890.73842900142</v>
      </c>
      <c r="AB105" s="16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</row>
    <row r="106" spans="1:38" ht="13.2">
      <c r="A106" s="33">
        <v>105</v>
      </c>
      <c r="B106" s="30">
        <v>40000</v>
      </c>
      <c r="C106" s="46"/>
      <c r="D106" s="35">
        <f t="shared" ca="1" si="0"/>
        <v>0.3500239155000352</v>
      </c>
      <c r="E106" s="38">
        <f t="shared" ca="1" si="131"/>
        <v>3</v>
      </c>
      <c r="F106" s="40">
        <f t="shared" ca="1" si="132"/>
        <v>1</v>
      </c>
      <c r="G106" s="40">
        <f t="shared" ca="1" si="133"/>
        <v>1</v>
      </c>
      <c r="H106" s="40">
        <f t="shared" ca="1" si="134"/>
        <v>1</v>
      </c>
      <c r="I106" s="40">
        <f t="shared" ca="1" si="135"/>
        <v>0</v>
      </c>
      <c r="J106" s="40">
        <f t="shared" ca="1" si="136"/>
        <v>0</v>
      </c>
      <c r="K106" s="40">
        <f t="shared" ca="1" si="137"/>
        <v>0</v>
      </c>
      <c r="L106" s="40">
        <f t="shared" ca="1" si="138"/>
        <v>0</v>
      </c>
      <c r="M106" s="40">
        <f t="shared" ca="1" si="139"/>
        <v>0</v>
      </c>
      <c r="N106" s="40">
        <f t="shared" ca="1" si="140"/>
        <v>0</v>
      </c>
      <c r="O106" s="40">
        <f t="shared" ca="1" si="141"/>
        <v>0</v>
      </c>
      <c r="P106" s="42"/>
      <c r="Q106" s="31">
        <f t="shared" ref="Q106:Z106" ca="1" si="150">_xlfn.CHISQ.INV(RAND(),2)*$AL$4 *F106</f>
        <v>4157.9343620735244</v>
      </c>
      <c r="R106" s="31">
        <f t="shared" ca="1" si="150"/>
        <v>11603.546366665256</v>
      </c>
      <c r="S106" s="31">
        <f t="shared" ca="1" si="150"/>
        <v>5736.9288466645594</v>
      </c>
      <c r="T106" s="31">
        <f t="shared" ca="1" si="150"/>
        <v>0</v>
      </c>
      <c r="U106" s="31">
        <f t="shared" ca="1" si="150"/>
        <v>0</v>
      </c>
      <c r="V106" s="31">
        <f t="shared" ca="1" si="150"/>
        <v>0</v>
      </c>
      <c r="W106" s="31">
        <f t="shared" ca="1" si="150"/>
        <v>0</v>
      </c>
      <c r="X106" s="31">
        <f t="shared" ca="1" si="150"/>
        <v>0</v>
      </c>
      <c r="Y106" s="31">
        <f t="shared" ca="1" si="150"/>
        <v>0</v>
      </c>
      <c r="Z106" s="31">
        <f t="shared" ca="1" si="150"/>
        <v>0</v>
      </c>
      <c r="AA106" s="44">
        <f t="shared" ca="1" si="12"/>
        <v>21498.409575403341</v>
      </c>
      <c r="AB106" s="16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</row>
    <row r="107" spans="1:38" ht="13.2">
      <c r="A107" s="33">
        <v>106</v>
      </c>
      <c r="B107" s="30">
        <v>40000</v>
      </c>
      <c r="C107" s="46"/>
      <c r="D107" s="35">
        <f t="shared" ca="1" si="0"/>
        <v>7.9439791409218974E-2</v>
      </c>
      <c r="E107" s="38">
        <f t="shared" ca="1" si="131"/>
        <v>1</v>
      </c>
      <c r="F107" s="40">
        <f t="shared" ca="1" si="132"/>
        <v>1</v>
      </c>
      <c r="G107" s="40">
        <f t="shared" ca="1" si="133"/>
        <v>0</v>
      </c>
      <c r="H107" s="40">
        <f t="shared" ca="1" si="134"/>
        <v>0</v>
      </c>
      <c r="I107" s="40">
        <f t="shared" ca="1" si="135"/>
        <v>0</v>
      </c>
      <c r="J107" s="40">
        <f t="shared" ca="1" si="136"/>
        <v>0</v>
      </c>
      <c r="K107" s="40">
        <f t="shared" ca="1" si="137"/>
        <v>0</v>
      </c>
      <c r="L107" s="40">
        <f t="shared" ca="1" si="138"/>
        <v>0</v>
      </c>
      <c r="M107" s="40">
        <f t="shared" ca="1" si="139"/>
        <v>0</v>
      </c>
      <c r="N107" s="40">
        <f t="shared" ca="1" si="140"/>
        <v>0</v>
      </c>
      <c r="O107" s="40">
        <f t="shared" ca="1" si="141"/>
        <v>0</v>
      </c>
      <c r="P107" s="42"/>
      <c r="Q107" s="31">
        <f t="shared" ref="Q107:Z107" ca="1" si="151">_xlfn.CHISQ.INV(RAND(),2)*$AL$4 *F107</f>
        <v>33560.24242756905</v>
      </c>
      <c r="R107" s="31">
        <f t="shared" ca="1" si="151"/>
        <v>0</v>
      </c>
      <c r="S107" s="31">
        <f t="shared" ca="1" si="151"/>
        <v>0</v>
      </c>
      <c r="T107" s="31">
        <f t="shared" ca="1" si="151"/>
        <v>0</v>
      </c>
      <c r="U107" s="31">
        <f t="shared" ca="1" si="151"/>
        <v>0</v>
      </c>
      <c r="V107" s="31">
        <f t="shared" ca="1" si="151"/>
        <v>0</v>
      </c>
      <c r="W107" s="31">
        <f t="shared" ca="1" si="151"/>
        <v>0</v>
      </c>
      <c r="X107" s="31">
        <f t="shared" ca="1" si="151"/>
        <v>0</v>
      </c>
      <c r="Y107" s="31">
        <f t="shared" ca="1" si="151"/>
        <v>0</v>
      </c>
      <c r="Z107" s="31">
        <f t="shared" ca="1" si="151"/>
        <v>0</v>
      </c>
      <c r="AA107" s="44">
        <f t="shared" ca="1" si="12"/>
        <v>33560.24242756905</v>
      </c>
      <c r="AB107" s="165"/>
      <c r="AC107" s="95"/>
      <c r="AD107" s="95"/>
      <c r="AE107" s="95"/>
      <c r="AF107" s="95"/>
      <c r="AG107" s="95"/>
      <c r="AH107" s="95"/>
      <c r="AI107" s="95"/>
      <c r="AJ107" s="95"/>
      <c r="AK107" s="95"/>
      <c r="AL107" s="95"/>
    </row>
    <row r="108" spans="1:38" ht="13.2">
      <c r="A108" s="33">
        <v>107</v>
      </c>
      <c r="B108" s="30">
        <v>40000</v>
      </c>
      <c r="C108" s="46"/>
      <c r="D108" s="35">
        <f t="shared" ca="1" si="0"/>
        <v>0.72516601359675326</v>
      </c>
      <c r="E108" s="38">
        <f t="shared" ca="1" si="131"/>
        <v>6</v>
      </c>
      <c r="F108" s="40">
        <f t="shared" ca="1" si="132"/>
        <v>1</v>
      </c>
      <c r="G108" s="40">
        <f t="shared" ca="1" si="133"/>
        <v>1</v>
      </c>
      <c r="H108" s="40">
        <f t="shared" ca="1" si="134"/>
        <v>1</v>
      </c>
      <c r="I108" s="40">
        <f t="shared" ca="1" si="135"/>
        <v>1</v>
      </c>
      <c r="J108" s="40">
        <f t="shared" ca="1" si="136"/>
        <v>1</v>
      </c>
      <c r="K108" s="40">
        <f t="shared" ca="1" si="137"/>
        <v>1</v>
      </c>
      <c r="L108" s="40">
        <f t="shared" ca="1" si="138"/>
        <v>0</v>
      </c>
      <c r="M108" s="40">
        <f t="shared" ca="1" si="139"/>
        <v>0</v>
      </c>
      <c r="N108" s="40">
        <f t="shared" ca="1" si="140"/>
        <v>0</v>
      </c>
      <c r="O108" s="40">
        <f t="shared" ca="1" si="141"/>
        <v>0</v>
      </c>
      <c r="P108" s="42"/>
      <c r="Q108" s="31">
        <f t="shared" ref="Q108:Z108" ca="1" si="152">_xlfn.CHISQ.INV(RAND(),2)*$AL$4 *F108</f>
        <v>50765.453485442777</v>
      </c>
      <c r="R108" s="31">
        <f t="shared" ca="1" si="152"/>
        <v>14479.393282408839</v>
      </c>
      <c r="S108" s="31">
        <f t="shared" ca="1" si="152"/>
        <v>20272.621923465755</v>
      </c>
      <c r="T108" s="31">
        <f t="shared" ca="1" si="152"/>
        <v>9357.2923470586975</v>
      </c>
      <c r="U108" s="31">
        <f t="shared" ca="1" si="152"/>
        <v>54990.87813022489</v>
      </c>
      <c r="V108" s="31">
        <f t="shared" ca="1" si="152"/>
        <v>10048.039044628509</v>
      </c>
      <c r="W108" s="31">
        <f t="shared" ca="1" si="152"/>
        <v>0</v>
      </c>
      <c r="X108" s="31">
        <f t="shared" ca="1" si="152"/>
        <v>0</v>
      </c>
      <c r="Y108" s="31">
        <f t="shared" ca="1" si="152"/>
        <v>0</v>
      </c>
      <c r="Z108" s="31">
        <f t="shared" ca="1" si="152"/>
        <v>0</v>
      </c>
      <c r="AA108" s="44">
        <f t="shared" ca="1" si="12"/>
        <v>159913.67821322946</v>
      </c>
      <c r="AB108" s="165"/>
      <c r="AC108" s="95"/>
      <c r="AD108" s="95"/>
      <c r="AE108" s="95"/>
      <c r="AF108" s="95"/>
      <c r="AG108" s="95"/>
      <c r="AH108" s="95"/>
      <c r="AI108" s="95"/>
      <c r="AJ108" s="95"/>
      <c r="AK108" s="95"/>
      <c r="AL108" s="95"/>
    </row>
    <row r="109" spans="1:38" ht="13.2">
      <c r="A109" s="33">
        <v>108</v>
      </c>
      <c r="B109" s="30">
        <v>40000</v>
      </c>
      <c r="C109" s="46"/>
      <c r="D109" s="35">
        <f t="shared" ca="1" si="0"/>
        <v>0.58293972240354741</v>
      </c>
      <c r="E109" s="38">
        <f t="shared" ca="1" si="131"/>
        <v>5</v>
      </c>
      <c r="F109" s="40">
        <f t="shared" ca="1" si="132"/>
        <v>1</v>
      </c>
      <c r="G109" s="40">
        <f t="shared" ca="1" si="133"/>
        <v>1</v>
      </c>
      <c r="H109" s="40">
        <f t="shared" ca="1" si="134"/>
        <v>1</v>
      </c>
      <c r="I109" s="40">
        <f t="shared" ca="1" si="135"/>
        <v>1</v>
      </c>
      <c r="J109" s="40">
        <f t="shared" ca="1" si="136"/>
        <v>1</v>
      </c>
      <c r="K109" s="40">
        <f t="shared" ca="1" si="137"/>
        <v>0</v>
      </c>
      <c r="L109" s="40">
        <f t="shared" ca="1" si="138"/>
        <v>0</v>
      </c>
      <c r="M109" s="40">
        <f t="shared" ca="1" si="139"/>
        <v>0</v>
      </c>
      <c r="N109" s="40">
        <f t="shared" ca="1" si="140"/>
        <v>0</v>
      </c>
      <c r="O109" s="40">
        <f t="shared" ca="1" si="141"/>
        <v>0</v>
      </c>
      <c r="P109" s="42"/>
      <c r="Q109" s="31">
        <f t="shared" ref="Q109:Z109" ca="1" si="153">_xlfn.CHISQ.INV(RAND(),2)*$AL$4 *F109</f>
        <v>14489.858297524612</v>
      </c>
      <c r="R109" s="31">
        <f t="shared" ca="1" si="153"/>
        <v>2930.3236523281089</v>
      </c>
      <c r="S109" s="31">
        <f t="shared" ca="1" si="153"/>
        <v>13243.531887672654</v>
      </c>
      <c r="T109" s="31">
        <f t="shared" ca="1" si="153"/>
        <v>74793.245527377876</v>
      </c>
      <c r="U109" s="31">
        <f t="shared" ca="1" si="153"/>
        <v>30361.175945721123</v>
      </c>
      <c r="V109" s="31">
        <f t="shared" ca="1" si="153"/>
        <v>0</v>
      </c>
      <c r="W109" s="31">
        <f t="shared" ca="1" si="153"/>
        <v>0</v>
      </c>
      <c r="X109" s="31">
        <f t="shared" ca="1" si="153"/>
        <v>0</v>
      </c>
      <c r="Y109" s="31">
        <f t="shared" ca="1" si="153"/>
        <v>0</v>
      </c>
      <c r="Z109" s="31">
        <f t="shared" ca="1" si="153"/>
        <v>0</v>
      </c>
      <c r="AA109" s="44">
        <f t="shared" ca="1" si="12"/>
        <v>135818.13531062438</v>
      </c>
      <c r="AB109" s="165"/>
      <c r="AC109" s="95"/>
      <c r="AD109" s="95"/>
      <c r="AE109" s="95"/>
      <c r="AF109" s="95"/>
      <c r="AG109" s="95"/>
      <c r="AH109" s="95"/>
      <c r="AI109" s="95"/>
      <c r="AJ109" s="95"/>
      <c r="AK109" s="95"/>
      <c r="AL109" s="95"/>
    </row>
    <row r="110" spans="1:38" ht="13.2">
      <c r="A110" s="33">
        <v>109</v>
      </c>
      <c r="B110" s="30">
        <v>40000</v>
      </c>
      <c r="C110" s="46"/>
      <c r="D110" s="35">
        <f t="shared" ca="1" si="0"/>
        <v>0.27046078035753229</v>
      </c>
      <c r="E110" s="38">
        <f t="shared" ca="1" si="131"/>
        <v>3</v>
      </c>
      <c r="F110" s="40">
        <f t="shared" ca="1" si="132"/>
        <v>1</v>
      </c>
      <c r="G110" s="40">
        <f t="shared" ca="1" si="133"/>
        <v>1</v>
      </c>
      <c r="H110" s="40">
        <f t="shared" ca="1" si="134"/>
        <v>1</v>
      </c>
      <c r="I110" s="40">
        <f t="shared" ca="1" si="135"/>
        <v>0</v>
      </c>
      <c r="J110" s="40">
        <f t="shared" ca="1" si="136"/>
        <v>0</v>
      </c>
      <c r="K110" s="40">
        <f t="shared" ca="1" si="137"/>
        <v>0</v>
      </c>
      <c r="L110" s="40">
        <f t="shared" ca="1" si="138"/>
        <v>0</v>
      </c>
      <c r="M110" s="40">
        <f t="shared" ca="1" si="139"/>
        <v>0</v>
      </c>
      <c r="N110" s="40">
        <f t="shared" ca="1" si="140"/>
        <v>0</v>
      </c>
      <c r="O110" s="40">
        <f t="shared" ca="1" si="141"/>
        <v>0</v>
      </c>
      <c r="P110" s="42"/>
      <c r="Q110" s="31">
        <f t="shared" ref="Q110:Z110" ca="1" si="154">_xlfn.CHISQ.INV(RAND(),2)*$AL$4 *F110</f>
        <v>14638.631681234145</v>
      </c>
      <c r="R110" s="31">
        <f t="shared" ca="1" si="154"/>
        <v>1507.6022409383561</v>
      </c>
      <c r="S110" s="31">
        <f t="shared" ca="1" si="154"/>
        <v>2495.819872133949</v>
      </c>
      <c r="T110" s="31">
        <f t="shared" ca="1" si="154"/>
        <v>0</v>
      </c>
      <c r="U110" s="31">
        <f t="shared" ca="1" si="154"/>
        <v>0</v>
      </c>
      <c r="V110" s="31">
        <f t="shared" ca="1" si="154"/>
        <v>0</v>
      </c>
      <c r="W110" s="31">
        <f t="shared" ca="1" si="154"/>
        <v>0</v>
      </c>
      <c r="X110" s="31">
        <f t="shared" ca="1" si="154"/>
        <v>0</v>
      </c>
      <c r="Y110" s="31">
        <f t="shared" ca="1" si="154"/>
        <v>0</v>
      </c>
      <c r="Z110" s="31">
        <f t="shared" ca="1" si="154"/>
        <v>0</v>
      </c>
      <c r="AA110" s="44">
        <f t="shared" ca="1" si="12"/>
        <v>18642.053794306452</v>
      </c>
      <c r="AB110" s="16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</row>
    <row r="111" spans="1:38" ht="13.2">
      <c r="A111" s="33">
        <v>110</v>
      </c>
      <c r="B111" s="30">
        <v>40000</v>
      </c>
      <c r="C111" s="46"/>
      <c r="D111" s="35">
        <f t="shared" ca="1" si="0"/>
        <v>0.68465511404254464</v>
      </c>
      <c r="E111" s="38">
        <f t="shared" ca="1" si="131"/>
        <v>5</v>
      </c>
      <c r="F111" s="40">
        <f t="shared" ca="1" si="132"/>
        <v>1</v>
      </c>
      <c r="G111" s="40">
        <f t="shared" ca="1" si="133"/>
        <v>1</v>
      </c>
      <c r="H111" s="40">
        <f t="shared" ca="1" si="134"/>
        <v>1</v>
      </c>
      <c r="I111" s="40">
        <f t="shared" ca="1" si="135"/>
        <v>1</v>
      </c>
      <c r="J111" s="40">
        <f t="shared" ca="1" si="136"/>
        <v>1</v>
      </c>
      <c r="K111" s="40">
        <f t="shared" ca="1" si="137"/>
        <v>0</v>
      </c>
      <c r="L111" s="40">
        <f t="shared" ca="1" si="138"/>
        <v>0</v>
      </c>
      <c r="M111" s="40">
        <f t="shared" ca="1" si="139"/>
        <v>0</v>
      </c>
      <c r="N111" s="40">
        <f t="shared" ca="1" si="140"/>
        <v>0</v>
      </c>
      <c r="O111" s="40">
        <f t="shared" ca="1" si="141"/>
        <v>0</v>
      </c>
      <c r="P111" s="42"/>
      <c r="Q111" s="31">
        <f t="shared" ref="Q111:Z111" ca="1" si="155">_xlfn.CHISQ.INV(RAND(),2)*$AL$4 *F111</f>
        <v>34373.369970034924</v>
      </c>
      <c r="R111" s="31">
        <f t="shared" ca="1" si="155"/>
        <v>65688.204108047401</v>
      </c>
      <c r="S111" s="31">
        <f t="shared" ca="1" si="155"/>
        <v>44254.675496134383</v>
      </c>
      <c r="T111" s="31">
        <f t="shared" ca="1" si="155"/>
        <v>23442.466238096946</v>
      </c>
      <c r="U111" s="31">
        <f t="shared" ca="1" si="155"/>
        <v>29050.87861888939</v>
      </c>
      <c r="V111" s="31">
        <f t="shared" ca="1" si="155"/>
        <v>0</v>
      </c>
      <c r="W111" s="31">
        <f t="shared" ca="1" si="155"/>
        <v>0</v>
      </c>
      <c r="X111" s="31">
        <f t="shared" ca="1" si="155"/>
        <v>0</v>
      </c>
      <c r="Y111" s="31">
        <f t="shared" ca="1" si="155"/>
        <v>0</v>
      </c>
      <c r="Z111" s="31">
        <f t="shared" ca="1" si="155"/>
        <v>0</v>
      </c>
      <c r="AA111" s="44">
        <f t="shared" ca="1" si="12"/>
        <v>196809.59443120306</v>
      </c>
      <c r="AB111" s="16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</row>
    <row r="112" spans="1:38" ht="13.2">
      <c r="A112" s="33">
        <v>111</v>
      </c>
      <c r="B112" s="30">
        <v>40000</v>
      </c>
      <c r="C112" s="46"/>
      <c r="D112" s="35">
        <f t="shared" ca="1" si="0"/>
        <v>0.59412810481968126</v>
      </c>
      <c r="E112" s="38">
        <f t="shared" ca="1" si="131"/>
        <v>5</v>
      </c>
      <c r="F112" s="40">
        <f t="shared" ca="1" si="132"/>
        <v>1</v>
      </c>
      <c r="G112" s="40">
        <f t="shared" ca="1" si="133"/>
        <v>1</v>
      </c>
      <c r="H112" s="40">
        <f t="shared" ca="1" si="134"/>
        <v>1</v>
      </c>
      <c r="I112" s="40">
        <f t="shared" ca="1" si="135"/>
        <v>1</v>
      </c>
      <c r="J112" s="40">
        <f t="shared" ca="1" si="136"/>
        <v>1</v>
      </c>
      <c r="K112" s="40">
        <f t="shared" ca="1" si="137"/>
        <v>0</v>
      </c>
      <c r="L112" s="40">
        <f t="shared" ca="1" si="138"/>
        <v>0</v>
      </c>
      <c r="M112" s="40">
        <f t="shared" ca="1" si="139"/>
        <v>0</v>
      </c>
      <c r="N112" s="40">
        <f t="shared" ca="1" si="140"/>
        <v>0</v>
      </c>
      <c r="O112" s="40">
        <f t="shared" ca="1" si="141"/>
        <v>0</v>
      </c>
      <c r="P112" s="42"/>
      <c r="Q112" s="31">
        <f t="shared" ref="Q112:Z112" ca="1" si="156">_xlfn.CHISQ.INV(RAND(),2)*$AL$4 *F112</f>
        <v>2532.6387471480389</v>
      </c>
      <c r="R112" s="31">
        <f t="shared" ca="1" si="156"/>
        <v>5069.8259682458392</v>
      </c>
      <c r="S112" s="31">
        <f t="shared" ca="1" si="156"/>
        <v>44086.98873953391</v>
      </c>
      <c r="T112" s="31">
        <f t="shared" ca="1" si="156"/>
        <v>30766.086110482374</v>
      </c>
      <c r="U112" s="31">
        <f t="shared" ca="1" si="156"/>
        <v>37192.381118549478</v>
      </c>
      <c r="V112" s="31">
        <f t="shared" ca="1" si="156"/>
        <v>0</v>
      </c>
      <c r="W112" s="31">
        <f t="shared" ca="1" si="156"/>
        <v>0</v>
      </c>
      <c r="X112" s="31">
        <f t="shared" ca="1" si="156"/>
        <v>0</v>
      </c>
      <c r="Y112" s="31">
        <f t="shared" ca="1" si="156"/>
        <v>0</v>
      </c>
      <c r="Z112" s="31">
        <f t="shared" ca="1" si="156"/>
        <v>0</v>
      </c>
      <c r="AA112" s="44">
        <f t="shared" ca="1" si="12"/>
        <v>119647.92068395964</v>
      </c>
      <c r="AB112" s="165"/>
      <c r="AC112" s="95"/>
      <c r="AD112" s="95"/>
      <c r="AE112" s="95"/>
      <c r="AF112" s="95"/>
      <c r="AG112" s="95"/>
      <c r="AH112" s="95"/>
      <c r="AI112" s="95"/>
      <c r="AJ112" s="95"/>
      <c r="AK112" s="95"/>
      <c r="AL112" s="95"/>
    </row>
    <row r="113" spans="1:38" ht="13.2">
      <c r="A113" s="33">
        <v>112</v>
      </c>
      <c r="B113" s="30">
        <v>40000</v>
      </c>
      <c r="C113" s="46"/>
      <c r="D113" s="35">
        <f t="shared" ca="1" si="0"/>
        <v>0.95422110544234318</v>
      </c>
      <c r="E113" s="38">
        <f t="shared" ca="1" si="131"/>
        <v>9</v>
      </c>
      <c r="F113" s="40">
        <f t="shared" ca="1" si="132"/>
        <v>1</v>
      </c>
      <c r="G113" s="40">
        <f t="shared" ca="1" si="133"/>
        <v>1</v>
      </c>
      <c r="H113" s="40">
        <f t="shared" ca="1" si="134"/>
        <v>1</v>
      </c>
      <c r="I113" s="40">
        <f t="shared" ca="1" si="135"/>
        <v>1</v>
      </c>
      <c r="J113" s="40">
        <f t="shared" ca="1" si="136"/>
        <v>1</v>
      </c>
      <c r="K113" s="40">
        <f t="shared" ca="1" si="137"/>
        <v>1</v>
      </c>
      <c r="L113" s="40">
        <f t="shared" ca="1" si="138"/>
        <v>1</v>
      </c>
      <c r="M113" s="40">
        <f t="shared" ca="1" si="139"/>
        <v>1</v>
      </c>
      <c r="N113" s="40">
        <f t="shared" ca="1" si="140"/>
        <v>1</v>
      </c>
      <c r="O113" s="40">
        <f t="shared" ca="1" si="141"/>
        <v>0</v>
      </c>
      <c r="P113" s="42"/>
      <c r="Q113" s="31">
        <f t="shared" ref="Q113:Z113" ca="1" si="157">_xlfn.CHISQ.INV(RAND(),2)*$AL$4 *F113</f>
        <v>496.92442194200805</v>
      </c>
      <c r="R113" s="31">
        <f t="shared" ca="1" si="157"/>
        <v>1875.6236659833826</v>
      </c>
      <c r="S113" s="31">
        <f t="shared" ca="1" si="157"/>
        <v>2447.7747012253085</v>
      </c>
      <c r="T113" s="31">
        <f t="shared" ca="1" si="157"/>
        <v>3251.6116937872798</v>
      </c>
      <c r="U113" s="31">
        <f t="shared" ca="1" si="157"/>
        <v>1832.1108387262598</v>
      </c>
      <c r="V113" s="31">
        <f t="shared" ca="1" si="157"/>
        <v>8201.6794963370667</v>
      </c>
      <c r="W113" s="31">
        <f t="shared" ca="1" si="157"/>
        <v>26303.278599139598</v>
      </c>
      <c r="X113" s="31">
        <f t="shared" ca="1" si="157"/>
        <v>1899.1372395286785</v>
      </c>
      <c r="Y113" s="31">
        <f t="shared" ca="1" si="157"/>
        <v>4430.621372962406</v>
      </c>
      <c r="Z113" s="31">
        <f t="shared" ca="1" si="157"/>
        <v>0</v>
      </c>
      <c r="AA113" s="44">
        <f t="shared" ca="1" si="12"/>
        <v>50738.762029631995</v>
      </c>
      <c r="AB113" s="165"/>
      <c r="AC113" s="95"/>
      <c r="AD113" s="95"/>
      <c r="AE113" s="95"/>
      <c r="AF113" s="95"/>
      <c r="AG113" s="95"/>
      <c r="AH113" s="95"/>
      <c r="AI113" s="95"/>
      <c r="AJ113" s="95"/>
      <c r="AK113" s="95"/>
      <c r="AL113" s="95"/>
    </row>
    <row r="114" spans="1:38" ht="13.2">
      <c r="A114" s="33">
        <v>113</v>
      </c>
      <c r="B114" s="30">
        <v>40000</v>
      </c>
      <c r="C114" s="46"/>
      <c r="D114" s="35">
        <f t="shared" ca="1" si="0"/>
        <v>0.300128460411344</v>
      </c>
      <c r="E114" s="38">
        <f t="shared" ca="1" si="131"/>
        <v>3</v>
      </c>
      <c r="F114" s="40">
        <f t="shared" ca="1" si="132"/>
        <v>1</v>
      </c>
      <c r="G114" s="40">
        <f t="shared" ca="1" si="133"/>
        <v>1</v>
      </c>
      <c r="H114" s="40">
        <f t="shared" ca="1" si="134"/>
        <v>1</v>
      </c>
      <c r="I114" s="40">
        <f t="shared" ca="1" si="135"/>
        <v>0</v>
      </c>
      <c r="J114" s="40">
        <f t="shared" ca="1" si="136"/>
        <v>0</v>
      </c>
      <c r="K114" s="40">
        <f t="shared" ca="1" si="137"/>
        <v>0</v>
      </c>
      <c r="L114" s="40">
        <f t="shared" ca="1" si="138"/>
        <v>0</v>
      </c>
      <c r="M114" s="40">
        <f t="shared" ca="1" si="139"/>
        <v>0</v>
      </c>
      <c r="N114" s="40">
        <f t="shared" ca="1" si="140"/>
        <v>0</v>
      </c>
      <c r="O114" s="40">
        <f t="shared" ca="1" si="141"/>
        <v>0</v>
      </c>
      <c r="P114" s="42"/>
      <c r="Q114" s="31">
        <f t="shared" ref="Q114:Z114" ca="1" si="158">_xlfn.CHISQ.INV(RAND(),2)*$AL$4 *F114</f>
        <v>50034.024603122059</v>
      </c>
      <c r="R114" s="31">
        <f t="shared" ca="1" si="158"/>
        <v>23559.463217674376</v>
      </c>
      <c r="S114" s="31">
        <f t="shared" ca="1" si="158"/>
        <v>99485.545834480203</v>
      </c>
      <c r="T114" s="31">
        <f t="shared" ca="1" si="158"/>
        <v>0</v>
      </c>
      <c r="U114" s="31">
        <f t="shared" ca="1" si="158"/>
        <v>0</v>
      </c>
      <c r="V114" s="31">
        <f t="shared" ca="1" si="158"/>
        <v>0</v>
      </c>
      <c r="W114" s="31">
        <f t="shared" ca="1" si="158"/>
        <v>0</v>
      </c>
      <c r="X114" s="31">
        <f t="shared" ca="1" si="158"/>
        <v>0</v>
      </c>
      <c r="Y114" s="31">
        <f t="shared" ca="1" si="158"/>
        <v>0</v>
      </c>
      <c r="Z114" s="31">
        <f t="shared" ca="1" si="158"/>
        <v>0</v>
      </c>
      <c r="AA114" s="44">
        <f t="shared" ca="1" si="12"/>
        <v>173079.03365527664</v>
      </c>
      <c r="AB114" s="165"/>
      <c r="AC114" s="95"/>
      <c r="AD114" s="95"/>
      <c r="AE114" s="95"/>
      <c r="AF114" s="95"/>
      <c r="AG114" s="95"/>
      <c r="AH114" s="95"/>
      <c r="AI114" s="95"/>
      <c r="AJ114" s="95"/>
      <c r="AK114" s="95"/>
      <c r="AL114" s="95"/>
    </row>
    <row r="115" spans="1:38" ht="13.2">
      <c r="A115" s="33">
        <v>114</v>
      </c>
      <c r="B115" s="30">
        <v>40000</v>
      </c>
      <c r="C115" s="46"/>
      <c r="D115" s="35">
        <f t="shared" ca="1" si="0"/>
        <v>0.70835740905168942</v>
      </c>
      <c r="E115" s="38">
        <f t="shared" ca="1" si="131"/>
        <v>6</v>
      </c>
      <c r="F115" s="40">
        <f t="shared" ca="1" si="132"/>
        <v>1</v>
      </c>
      <c r="G115" s="40">
        <f t="shared" ca="1" si="133"/>
        <v>1</v>
      </c>
      <c r="H115" s="40">
        <f t="shared" ca="1" si="134"/>
        <v>1</v>
      </c>
      <c r="I115" s="40">
        <f t="shared" ca="1" si="135"/>
        <v>1</v>
      </c>
      <c r="J115" s="40">
        <f t="shared" ca="1" si="136"/>
        <v>1</v>
      </c>
      <c r="K115" s="40">
        <f t="shared" ca="1" si="137"/>
        <v>1</v>
      </c>
      <c r="L115" s="40">
        <f t="shared" ca="1" si="138"/>
        <v>0</v>
      </c>
      <c r="M115" s="40">
        <f t="shared" ca="1" si="139"/>
        <v>0</v>
      </c>
      <c r="N115" s="40">
        <f t="shared" ca="1" si="140"/>
        <v>0</v>
      </c>
      <c r="O115" s="40">
        <f t="shared" ca="1" si="141"/>
        <v>0</v>
      </c>
      <c r="P115" s="42"/>
      <c r="Q115" s="31">
        <f t="shared" ref="Q115:Z115" ca="1" si="159">_xlfn.CHISQ.INV(RAND(),2)*$AL$4 *F115</f>
        <v>2985.5789681409547</v>
      </c>
      <c r="R115" s="31">
        <f t="shared" ca="1" si="159"/>
        <v>6566.3772659801725</v>
      </c>
      <c r="S115" s="31">
        <f t="shared" ca="1" si="159"/>
        <v>4329.0387544087744</v>
      </c>
      <c r="T115" s="31">
        <f t="shared" ca="1" si="159"/>
        <v>3962.9059886365371</v>
      </c>
      <c r="U115" s="31">
        <f t="shared" ca="1" si="159"/>
        <v>30232.448891833257</v>
      </c>
      <c r="V115" s="31">
        <f t="shared" ca="1" si="159"/>
        <v>2125.9010757752867</v>
      </c>
      <c r="W115" s="31">
        <f t="shared" ca="1" si="159"/>
        <v>0</v>
      </c>
      <c r="X115" s="31">
        <f t="shared" ca="1" si="159"/>
        <v>0</v>
      </c>
      <c r="Y115" s="31">
        <f t="shared" ca="1" si="159"/>
        <v>0</v>
      </c>
      <c r="Z115" s="31">
        <f t="shared" ca="1" si="159"/>
        <v>0</v>
      </c>
      <c r="AA115" s="44">
        <f t="shared" ca="1" si="12"/>
        <v>50202.250944774976</v>
      </c>
      <c r="AB115" s="16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</row>
    <row r="116" spans="1:38" ht="13.2">
      <c r="A116" s="33">
        <v>115</v>
      </c>
      <c r="B116" s="30">
        <v>40000</v>
      </c>
      <c r="C116" s="46"/>
      <c r="D116" s="35">
        <f t="shared" ca="1" si="0"/>
        <v>0.97169305802390293</v>
      </c>
      <c r="E116" s="38">
        <f t="shared" ca="1" si="131"/>
        <v>10</v>
      </c>
      <c r="F116" s="40">
        <f t="shared" ca="1" si="132"/>
        <v>1</v>
      </c>
      <c r="G116" s="40">
        <f t="shared" ca="1" si="133"/>
        <v>1</v>
      </c>
      <c r="H116" s="40">
        <f t="shared" ca="1" si="134"/>
        <v>1</v>
      </c>
      <c r="I116" s="40">
        <f t="shared" ca="1" si="135"/>
        <v>1</v>
      </c>
      <c r="J116" s="40">
        <f t="shared" ca="1" si="136"/>
        <v>1</v>
      </c>
      <c r="K116" s="40">
        <f t="shared" ca="1" si="137"/>
        <v>1</v>
      </c>
      <c r="L116" s="40">
        <f t="shared" ca="1" si="138"/>
        <v>1</v>
      </c>
      <c r="M116" s="40">
        <f t="shared" ca="1" si="139"/>
        <v>1</v>
      </c>
      <c r="N116" s="40">
        <f t="shared" ca="1" si="140"/>
        <v>1</v>
      </c>
      <c r="O116" s="40">
        <f t="shared" ca="1" si="141"/>
        <v>1</v>
      </c>
      <c r="P116" s="42"/>
      <c r="Q116" s="31">
        <f t="shared" ref="Q116:Z116" ca="1" si="160">_xlfn.CHISQ.INV(RAND(),2)*$AL$4 *F116</f>
        <v>27110.615002875395</v>
      </c>
      <c r="R116" s="31">
        <f t="shared" ca="1" si="160"/>
        <v>7519.4438326026539</v>
      </c>
      <c r="S116" s="31">
        <f t="shared" ca="1" si="160"/>
        <v>25402.73554377781</v>
      </c>
      <c r="T116" s="31">
        <f t="shared" ca="1" si="160"/>
        <v>7934.2476892758496</v>
      </c>
      <c r="U116" s="31">
        <f t="shared" ca="1" si="160"/>
        <v>8725.3009669265502</v>
      </c>
      <c r="V116" s="31">
        <f t="shared" ca="1" si="160"/>
        <v>3456.8269823861647</v>
      </c>
      <c r="W116" s="31">
        <f t="shared" ca="1" si="160"/>
        <v>7203.065505214001</v>
      </c>
      <c r="X116" s="31">
        <f t="shared" ca="1" si="160"/>
        <v>13578.223940873317</v>
      </c>
      <c r="Y116" s="31">
        <f t="shared" ca="1" si="160"/>
        <v>3179.5453285408921</v>
      </c>
      <c r="Z116" s="31">
        <f t="shared" ca="1" si="160"/>
        <v>34452.255430229721</v>
      </c>
      <c r="AA116" s="44">
        <f t="shared" ca="1" si="12"/>
        <v>138562.26022270235</v>
      </c>
      <c r="AB116" s="165"/>
      <c r="AC116" s="95"/>
      <c r="AD116" s="95"/>
      <c r="AE116" s="95"/>
      <c r="AF116" s="95"/>
      <c r="AG116" s="95"/>
      <c r="AH116" s="95"/>
      <c r="AI116" s="95"/>
      <c r="AJ116" s="95"/>
      <c r="AK116" s="95"/>
      <c r="AL116" s="95"/>
    </row>
    <row r="117" spans="1:38" ht="13.2">
      <c r="A117" s="33">
        <v>116</v>
      </c>
      <c r="B117" s="30">
        <v>40000</v>
      </c>
      <c r="C117" s="46"/>
      <c r="D117" s="35">
        <f t="shared" ca="1" si="0"/>
        <v>0.36860675999019243</v>
      </c>
      <c r="E117" s="38">
        <f t="shared" ca="1" si="131"/>
        <v>3</v>
      </c>
      <c r="F117" s="40">
        <f t="shared" ca="1" si="132"/>
        <v>1</v>
      </c>
      <c r="G117" s="40">
        <f t="shared" ca="1" si="133"/>
        <v>1</v>
      </c>
      <c r="H117" s="40">
        <f t="shared" ca="1" si="134"/>
        <v>1</v>
      </c>
      <c r="I117" s="40">
        <f t="shared" ca="1" si="135"/>
        <v>0</v>
      </c>
      <c r="J117" s="40">
        <f t="shared" ca="1" si="136"/>
        <v>0</v>
      </c>
      <c r="K117" s="40">
        <f t="shared" ca="1" si="137"/>
        <v>0</v>
      </c>
      <c r="L117" s="40">
        <f t="shared" ca="1" si="138"/>
        <v>0</v>
      </c>
      <c r="M117" s="40">
        <f t="shared" ca="1" si="139"/>
        <v>0</v>
      </c>
      <c r="N117" s="40">
        <f t="shared" ca="1" si="140"/>
        <v>0</v>
      </c>
      <c r="O117" s="40">
        <f t="shared" ca="1" si="141"/>
        <v>0</v>
      </c>
      <c r="P117" s="42"/>
      <c r="Q117" s="31">
        <f t="shared" ref="Q117:Z117" ca="1" si="161">_xlfn.CHISQ.INV(RAND(),2)*$AL$4 *F117</f>
        <v>39406.952763009227</v>
      </c>
      <c r="R117" s="31">
        <f t="shared" ca="1" si="161"/>
        <v>29589.719204972549</v>
      </c>
      <c r="S117" s="31">
        <f t="shared" ca="1" si="161"/>
        <v>11791.995604641317</v>
      </c>
      <c r="T117" s="31">
        <f t="shared" ca="1" si="161"/>
        <v>0</v>
      </c>
      <c r="U117" s="31">
        <f t="shared" ca="1" si="161"/>
        <v>0</v>
      </c>
      <c r="V117" s="31">
        <f t="shared" ca="1" si="161"/>
        <v>0</v>
      </c>
      <c r="W117" s="31">
        <f t="shared" ca="1" si="161"/>
        <v>0</v>
      </c>
      <c r="X117" s="31">
        <f t="shared" ca="1" si="161"/>
        <v>0</v>
      </c>
      <c r="Y117" s="31">
        <f t="shared" ca="1" si="161"/>
        <v>0</v>
      </c>
      <c r="Z117" s="31">
        <f t="shared" ca="1" si="161"/>
        <v>0</v>
      </c>
      <c r="AA117" s="44">
        <f t="shared" ca="1" si="12"/>
        <v>80788.66757262309</v>
      </c>
      <c r="AB117" s="165"/>
      <c r="AC117" s="95"/>
      <c r="AD117" s="95"/>
      <c r="AE117" s="95"/>
      <c r="AF117" s="95"/>
      <c r="AG117" s="95"/>
      <c r="AH117" s="95"/>
      <c r="AI117" s="95"/>
      <c r="AJ117" s="95"/>
      <c r="AK117" s="95"/>
      <c r="AL117" s="95"/>
    </row>
    <row r="118" spans="1:38" ht="13.2">
      <c r="A118" s="33">
        <v>117</v>
      </c>
      <c r="B118" s="30">
        <v>40000</v>
      </c>
      <c r="C118" s="46"/>
      <c r="D118" s="35">
        <f t="shared" ca="1" si="0"/>
        <v>0.39833719467566175</v>
      </c>
      <c r="E118" s="38">
        <f t="shared" ca="1" si="131"/>
        <v>4</v>
      </c>
      <c r="F118" s="40">
        <f t="shared" ca="1" si="132"/>
        <v>1</v>
      </c>
      <c r="G118" s="40">
        <f t="shared" ca="1" si="133"/>
        <v>1</v>
      </c>
      <c r="H118" s="40">
        <f t="shared" ca="1" si="134"/>
        <v>1</v>
      </c>
      <c r="I118" s="40">
        <f t="shared" ca="1" si="135"/>
        <v>1</v>
      </c>
      <c r="J118" s="40">
        <f t="shared" ca="1" si="136"/>
        <v>0</v>
      </c>
      <c r="K118" s="40">
        <f t="shared" ca="1" si="137"/>
        <v>0</v>
      </c>
      <c r="L118" s="40">
        <f t="shared" ca="1" si="138"/>
        <v>0</v>
      </c>
      <c r="M118" s="40">
        <f t="shared" ca="1" si="139"/>
        <v>0</v>
      </c>
      <c r="N118" s="40">
        <f t="shared" ca="1" si="140"/>
        <v>0</v>
      </c>
      <c r="O118" s="40">
        <f t="shared" ca="1" si="141"/>
        <v>0</v>
      </c>
      <c r="P118" s="42"/>
      <c r="Q118" s="31">
        <f t="shared" ref="Q118:Z118" ca="1" si="162">_xlfn.CHISQ.INV(RAND(),2)*$AL$4 *F118</f>
        <v>35154.235714343726</v>
      </c>
      <c r="R118" s="31">
        <f t="shared" ca="1" si="162"/>
        <v>55865.38675690419</v>
      </c>
      <c r="S118" s="31">
        <f t="shared" ca="1" si="162"/>
        <v>21139.417959950562</v>
      </c>
      <c r="T118" s="31">
        <f t="shared" ca="1" si="162"/>
        <v>11529.875097906261</v>
      </c>
      <c r="U118" s="31">
        <f t="shared" ca="1" si="162"/>
        <v>0</v>
      </c>
      <c r="V118" s="31">
        <f t="shared" ca="1" si="162"/>
        <v>0</v>
      </c>
      <c r="W118" s="31">
        <f t="shared" ca="1" si="162"/>
        <v>0</v>
      </c>
      <c r="X118" s="31">
        <f t="shared" ca="1" si="162"/>
        <v>0</v>
      </c>
      <c r="Y118" s="31">
        <f t="shared" ca="1" si="162"/>
        <v>0</v>
      </c>
      <c r="Z118" s="31">
        <f t="shared" ca="1" si="162"/>
        <v>0</v>
      </c>
      <c r="AA118" s="44">
        <f t="shared" ca="1" si="12"/>
        <v>123688.91552910474</v>
      </c>
      <c r="AB118" s="165"/>
      <c r="AC118" s="95"/>
      <c r="AD118" s="95"/>
      <c r="AE118" s="95"/>
      <c r="AF118" s="95"/>
      <c r="AG118" s="95"/>
      <c r="AH118" s="95"/>
      <c r="AI118" s="95"/>
      <c r="AJ118" s="95"/>
      <c r="AK118" s="95"/>
      <c r="AL118" s="95"/>
    </row>
    <row r="119" spans="1:38" ht="13.2">
      <c r="A119" s="33">
        <v>118</v>
      </c>
      <c r="B119" s="30">
        <v>40000</v>
      </c>
      <c r="C119" s="46"/>
      <c r="D119" s="35">
        <f t="shared" ca="1" si="0"/>
        <v>0.23153953390439019</v>
      </c>
      <c r="E119" s="38">
        <f t="shared" ca="1" si="131"/>
        <v>2</v>
      </c>
      <c r="F119" s="40">
        <f t="shared" ca="1" si="132"/>
        <v>1</v>
      </c>
      <c r="G119" s="40">
        <f t="shared" ca="1" si="133"/>
        <v>1</v>
      </c>
      <c r="H119" s="40">
        <f t="shared" ca="1" si="134"/>
        <v>0</v>
      </c>
      <c r="I119" s="40">
        <f t="shared" ca="1" si="135"/>
        <v>0</v>
      </c>
      <c r="J119" s="40">
        <f t="shared" ca="1" si="136"/>
        <v>0</v>
      </c>
      <c r="K119" s="40">
        <f t="shared" ca="1" si="137"/>
        <v>0</v>
      </c>
      <c r="L119" s="40">
        <f t="shared" ca="1" si="138"/>
        <v>0</v>
      </c>
      <c r="M119" s="40">
        <f t="shared" ca="1" si="139"/>
        <v>0</v>
      </c>
      <c r="N119" s="40">
        <f t="shared" ca="1" si="140"/>
        <v>0</v>
      </c>
      <c r="O119" s="40">
        <f t="shared" ca="1" si="141"/>
        <v>0</v>
      </c>
      <c r="P119" s="42"/>
      <c r="Q119" s="31">
        <f t="shared" ref="Q119:Z119" ca="1" si="163">_xlfn.CHISQ.INV(RAND(),2)*$AL$4 *F119</f>
        <v>11936.779990015495</v>
      </c>
      <c r="R119" s="31">
        <f t="shared" ca="1" si="163"/>
        <v>7430.3109229992715</v>
      </c>
      <c r="S119" s="31">
        <f t="shared" ca="1" si="163"/>
        <v>0</v>
      </c>
      <c r="T119" s="31">
        <f t="shared" ca="1" si="163"/>
        <v>0</v>
      </c>
      <c r="U119" s="31">
        <f t="shared" ca="1" si="163"/>
        <v>0</v>
      </c>
      <c r="V119" s="31">
        <f t="shared" ca="1" si="163"/>
        <v>0</v>
      </c>
      <c r="W119" s="31">
        <f t="shared" ca="1" si="163"/>
        <v>0</v>
      </c>
      <c r="X119" s="31">
        <f t="shared" ca="1" si="163"/>
        <v>0</v>
      </c>
      <c r="Y119" s="31">
        <f t="shared" ca="1" si="163"/>
        <v>0</v>
      </c>
      <c r="Z119" s="31">
        <f t="shared" ca="1" si="163"/>
        <v>0</v>
      </c>
      <c r="AA119" s="44">
        <f t="shared" ca="1" si="12"/>
        <v>19367.090913014767</v>
      </c>
      <c r="AB119" s="165"/>
      <c r="AC119" s="95"/>
      <c r="AD119" s="95"/>
      <c r="AE119" s="95"/>
      <c r="AF119" s="95"/>
      <c r="AG119" s="95"/>
      <c r="AH119" s="95"/>
      <c r="AI119" s="95"/>
      <c r="AJ119" s="95"/>
      <c r="AK119" s="95"/>
      <c r="AL119" s="95"/>
    </row>
    <row r="120" spans="1:38" ht="13.2">
      <c r="A120" s="33">
        <v>119</v>
      </c>
      <c r="B120" s="30">
        <v>40000</v>
      </c>
      <c r="C120" s="46"/>
      <c r="D120" s="35">
        <f t="shared" ca="1" si="0"/>
        <v>0.72325188488838055</v>
      </c>
      <c r="E120" s="38">
        <f t="shared" ca="1" si="131"/>
        <v>6</v>
      </c>
      <c r="F120" s="40">
        <f t="shared" ca="1" si="132"/>
        <v>1</v>
      </c>
      <c r="G120" s="40">
        <f t="shared" ca="1" si="133"/>
        <v>1</v>
      </c>
      <c r="H120" s="40">
        <f t="shared" ca="1" si="134"/>
        <v>1</v>
      </c>
      <c r="I120" s="40">
        <f t="shared" ca="1" si="135"/>
        <v>1</v>
      </c>
      <c r="J120" s="40">
        <f t="shared" ca="1" si="136"/>
        <v>1</v>
      </c>
      <c r="K120" s="40">
        <f t="shared" ca="1" si="137"/>
        <v>1</v>
      </c>
      <c r="L120" s="40">
        <f t="shared" ca="1" si="138"/>
        <v>0</v>
      </c>
      <c r="M120" s="40">
        <f t="shared" ca="1" si="139"/>
        <v>0</v>
      </c>
      <c r="N120" s="40">
        <f t="shared" ca="1" si="140"/>
        <v>0</v>
      </c>
      <c r="O120" s="40">
        <f t="shared" ca="1" si="141"/>
        <v>0</v>
      </c>
      <c r="P120" s="42"/>
      <c r="Q120" s="31">
        <f t="shared" ref="Q120:Z120" ca="1" si="164">_xlfn.CHISQ.INV(RAND(),2)*$AL$4 *F120</f>
        <v>3921.6588748200206</v>
      </c>
      <c r="R120" s="31">
        <f t="shared" ca="1" si="164"/>
        <v>33022.975004065564</v>
      </c>
      <c r="S120" s="31">
        <f t="shared" ca="1" si="164"/>
        <v>21525.238464681992</v>
      </c>
      <c r="T120" s="31">
        <f t="shared" ca="1" si="164"/>
        <v>18243.839498401518</v>
      </c>
      <c r="U120" s="31">
        <f t="shared" ca="1" si="164"/>
        <v>18455.803965406736</v>
      </c>
      <c r="V120" s="31">
        <f t="shared" ca="1" si="164"/>
        <v>3372.1048776866878</v>
      </c>
      <c r="W120" s="31">
        <f t="shared" ca="1" si="164"/>
        <v>0</v>
      </c>
      <c r="X120" s="31">
        <f t="shared" ca="1" si="164"/>
        <v>0</v>
      </c>
      <c r="Y120" s="31">
        <f t="shared" ca="1" si="164"/>
        <v>0</v>
      </c>
      <c r="Z120" s="31">
        <f t="shared" ca="1" si="164"/>
        <v>0</v>
      </c>
      <c r="AA120" s="44">
        <f t="shared" ca="1" si="12"/>
        <v>98541.620685062517</v>
      </c>
      <c r="AB120" s="165"/>
      <c r="AC120" s="95"/>
      <c r="AD120" s="95"/>
      <c r="AE120" s="95"/>
      <c r="AF120" s="95"/>
      <c r="AG120" s="95"/>
      <c r="AH120" s="95"/>
      <c r="AI120" s="95"/>
      <c r="AJ120" s="95"/>
      <c r="AK120" s="95"/>
      <c r="AL120" s="95"/>
    </row>
    <row r="121" spans="1:38" ht="13.2">
      <c r="A121" s="33">
        <v>120</v>
      </c>
      <c r="B121" s="30">
        <v>40000</v>
      </c>
      <c r="C121" s="46"/>
      <c r="D121" s="35">
        <f t="shared" ca="1" si="0"/>
        <v>0.20305100540343435</v>
      </c>
      <c r="E121" s="38">
        <f t="shared" ca="1" si="131"/>
        <v>2</v>
      </c>
      <c r="F121" s="40">
        <f t="shared" ca="1" si="132"/>
        <v>1</v>
      </c>
      <c r="G121" s="40">
        <f t="shared" ca="1" si="133"/>
        <v>1</v>
      </c>
      <c r="H121" s="40">
        <f t="shared" ca="1" si="134"/>
        <v>0</v>
      </c>
      <c r="I121" s="40">
        <f t="shared" ca="1" si="135"/>
        <v>0</v>
      </c>
      <c r="J121" s="40">
        <f t="shared" ca="1" si="136"/>
        <v>0</v>
      </c>
      <c r="K121" s="40">
        <f t="shared" ca="1" si="137"/>
        <v>0</v>
      </c>
      <c r="L121" s="40">
        <f t="shared" ca="1" si="138"/>
        <v>0</v>
      </c>
      <c r="M121" s="40">
        <f t="shared" ca="1" si="139"/>
        <v>0</v>
      </c>
      <c r="N121" s="40">
        <f t="shared" ca="1" si="140"/>
        <v>0</v>
      </c>
      <c r="O121" s="40">
        <f t="shared" ca="1" si="141"/>
        <v>0</v>
      </c>
      <c r="P121" s="42"/>
      <c r="Q121" s="31">
        <f t="shared" ref="Q121:Z121" ca="1" si="165">_xlfn.CHISQ.INV(RAND(),2)*$AL$4 *F121</f>
        <v>6262.2796659839642</v>
      </c>
      <c r="R121" s="31">
        <f t="shared" ca="1" si="165"/>
        <v>11605.754792419368</v>
      </c>
      <c r="S121" s="31">
        <f t="shared" ca="1" si="165"/>
        <v>0</v>
      </c>
      <c r="T121" s="31">
        <f t="shared" ca="1" si="165"/>
        <v>0</v>
      </c>
      <c r="U121" s="31">
        <f t="shared" ca="1" si="165"/>
        <v>0</v>
      </c>
      <c r="V121" s="31">
        <f t="shared" ca="1" si="165"/>
        <v>0</v>
      </c>
      <c r="W121" s="31">
        <f t="shared" ca="1" si="165"/>
        <v>0</v>
      </c>
      <c r="X121" s="31">
        <f t="shared" ca="1" si="165"/>
        <v>0</v>
      </c>
      <c r="Y121" s="31">
        <f t="shared" ca="1" si="165"/>
        <v>0</v>
      </c>
      <c r="Z121" s="31">
        <f t="shared" ca="1" si="165"/>
        <v>0</v>
      </c>
      <c r="AA121" s="44">
        <f t="shared" ca="1" si="12"/>
        <v>17868.03445840333</v>
      </c>
      <c r="AB121" s="165"/>
      <c r="AC121" s="95"/>
      <c r="AD121" s="95"/>
      <c r="AE121" s="95"/>
      <c r="AF121" s="95"/>
      <c r="AG121" s="95"/>
      <c r="AH121" s="95"/>
      <c r="AI121" s="95"/>
      <c r="AJ121" s="95"/>
      <c r="AK121" s="95"/>
      <c r="AL121" s="95"/>
    </row>
    <row r="122" spans="1:38" ht="13.2">
      <c r="A122" s="33">
        <v>121</v>
      </c>
      <c r="B122" s="30">
        <v>40000</v>
      </c>
      <c r="C122" s="46"/>
      <c r="D122" s="35">
        <f t="shared" ca="1" si="0"/>
        <v>0.3672544490594456</v>
      </c>
      <c r="E122" s="38">
        <f t="shared" ca="1" si="131"/>
        <v>3</v>
      </c>
      <c r="F122" s="40">
        <f t="shared" ca="1" si="132"/>
        <v>1</v>
      </c>
      <c r="G122" s="40">
        <f t="shared" ca="1" si="133"/>
        <v>1</v>
      </c>
      <c r="H122" s="40">
        <f t="shared" ca="1" si="134"/>
        <v>1</v>
      </c>
      <c r="I122" s="40">
        <f t="shared" ca="1" si="135"/>
        <v>0</v>
      </c>
      <c r="J122" s="40">
        <f t="shared" ca="1" si="136"/>
        <v>0</v>
      </c>
      <c r="K122" s="40">
        <f t="shared" ca="1" si="137"/>
        <v>0</v>
      </c>
      <c r="L122" s="40">
        <f t="shared" ca="1" si="138"/>
        <v>0</v>
      </c>
      <c r="M122" s="40">
        <f t="shared" ca="1" si="139"/>
        <v>0</v>
      </c>
      <c r="N122" s="40">
        <f t="shared" ca="1" si="140"/>
        <v>0</v>
      </c>
      <c r="O122" s="40">
        <f t="shared" ca="1" si="141"/>
        <v>0</v>
      </c>
      <c r="P122" s="42"/>
      <c r="Q122" s="31">
        <f t="shared" ref="Q122:Z122" ca="1" si="166">_xlfn.CHISQ.INV(RAND(),2)*$AL$4 *F122</f>
        <v>32093.392259726294</v>
      </c>
      <c r="R122" s="31">
        <f t="shared" ca="1" si="166"/>
        <v>9957.9222245781184</v>
      </c>
      <c r="S122" s="31">
        <f t="shared" ca="1" si="166"/>
        <v>367.14620541208797</v>
      </c>
      <c r="T122" s="31">
        <f t="shared" ca="1" si="166"/>
        <v>0</v>
      </c>
      <c r="U122" s="31">
        <f t="shared" ca="1" si="166"/>
        <v>0</v>
      </c>
      <c r="V122" s="31">
        <f t="shared" ca="1" si="166"/>
        <v>0</v>
      </c>
      <c r="W122" s="31">
        <f t="shared" ca="1" si="166"/>
        <v>0</v>
      </c>
      <c r="X122" s="31">
        <f t="shared" ca="1" si="166"/>
        <v>0</v>
      </c>
      <c r="Y122" s="31">
        <f t="shared" ca="1" si="166"/>
        <v>0</v>
      </c>
      <c r="Z122" s="31">
        <f t="shared" ca="1" si="166"/>
        <v>0</v>
      </c>
      <c r="AA122" s="44">
        <f t="shared" ca="1" si="12"/>
        <v>42418.460689716499</v>
      </c>
      <c r="AB122" s="165"/>
      <c r="AC122" s="95"/>
      <c r="AD122" s="95"/>
      <c r="AE122" s="95"/>
      <c r="AF122" s="95"/>
      <c r="AG122" s="95"/>
      <c r="AH122" s="95"/>
      <c r="AI122" s="95"/>
      <c r="AJ122" s="95"/>
      <c r="AK122" s="95"/>
      <c r="AL122" s="95"/>
    </row>
    <row r="123" spans="1:38" ht="13.2">
      <c r="A123" s="33">
        <v>122</v>
      </c>
      <c r="B123" s="30">
        <v>40000</v>
      </c>
      <c r="C123" s="46"/>
      <c r="D123" s="35">
        <f t="shared" ca="1" si="0"/>
        <v>0.28477634253831696</v>
      </c>
      <c r="E123" s="38">
        <f t="shared" ca="1" si="131"/>
        <v>3</v>
      </c>
      <c r="F123" s="40">
        <f t="shared" ca="1" si="132"/>
        <v>1</v>
      </c>
      <c r="G123" s="40">
        <f t="shared" ca="1" si="133"/>
        <v>1</v>
      </c>
      <c r="H123" s="40">
        <f t="shared" ca="1" si="134"/>
        <v>1</v>
      </c>
      <c r="I123" s="40">
        <f t="shared" ca="1" si="135"/>
        <v>0</v>
      </c>
      <c r="J123" s="40">
        <f t="shared" ca="1" si="136"/>
        <v>0</v>
      </c>
      <c r="K123" s="40">
        <f t="shared" ca="1" si="137"/>
        <v>0</v>
      </c>
      <c r="L123" s="40">
        <f t="shared" ca="1" si="138"/>
        <v>0</v>
      </c>
      <c r="M123" s="40">
        <f t="shared" ca="1" si="139"/>
        <v>0</v>
      </c>
      <c r="N123" s="40">
        <f t="shared" ca="1" si="140"/>
        <v>0</v>
      </c>
      <c r="O123" s="40">
        <f t="shared" ca="1" si="141"/>
        <v>0</v>
      </c>
      <c r="P123" s="42"/>
      <c r="Q123" s="31">
        <f t="shared" ref="Q123:Z123" ca="1" si="167">_xlfn.CHISQ.INV(RAND(),2)*$AL$4 *F123</f>
        <v>24975.955882388058</v>
      </c>
      <c r="R123" s="31">
        <f t="shared" ca="1" si="167"/>
        <v>20253.675046247623</v>
      </c>
      <c r="S123" s="31">
        <f t="shared" ca="1" si="167"/>
        <v>67337.146332825767</v>
      </c>
      <c r="T123" s="31">
        <f t="shared" ca="1" si="167"/>
        <v>0</v>
      </c>
      <c r="U123" s="31">
        <f t="shared" ca="1" si="167"/>
        <v>0</v>
      </c>
      <c r="V123" s="31">
        <f t="shared" ca="1" si="167"/>
        <v>0</v>
      </c>
      <c r="W123" s="31">
        <f t="shared" ca="1" si="167"/>
        <v>0</v>
      </c>
      <c r="X123" s="31">
        <f t="shared" ca="1" si="167"/>
        <v>0</v>
      </c>
      <c r="Y123" s="31">
        <f t="shared" ca="1" si="167"/>
        <v>0</v>
      </c>
      <c r="Z123" s="31">
        <f t="shared" ca="1" si="167"/>
        <v>0</v>
      </c>
      <c r="AA123" s="44">
        <f t="shared" ca="1" si="12"/>
        <v>112566.77726146145</v>
      </c>
      <c r="AB123" s="165"/>
      <c r="AC123" s="95"/>
      <c r="AD123" s="95"/>
      <c r="AE123" s="95"/>
      <c r="AF123" s="95"/>
      <c r="AG123" s="95"/>
      <c r="AH123" s="95"/>
      <c r="AI123" s="95"/>
      <c r="AJ123" s="95"/>
      <c r="AK123" s="95"/>
      <c r="AL123" s="95"/>
    </row>
    <row r="124" spans="1:38" ht="13.2">
      <c r="A124" s="33">
        <v>123</v>
      </c>
      <c r="B124" s="30">
        <v>40000</v>
      </c>
      <c r="C124" s="46"/>
      <c r="D124" s="35">
        <f t="shared" ca="1" si="0"/>
        <v>0.90856119390999746</v>
      </c>
      <c r="E124" s="38">
        <f t="shared" ca="1" si="131"/>
        <v>8</v>
      </c>
      <c r="F124" s="40">
        <f t="shared" ca="1" si="132"/>
        <v>1</v>
      </c>
      <c r="G124" s="40">
        <f t="shared" ca="1" si="133"/>
        <v>1</v>
      </c>
      <c r="H124" s="40">
        <f t="shared" ca="1" si="134"/>
        <v>1</v>
      </c>
      <c r="I124" s="40">
        <f t="shared" ca="1" si="135"/>
        <v>1</v>
      </c>
      <c r="J124" s="40">
        <f t="shared" ca="1" si="136"/>
        <v>1</v>
      </c>
      <c r="K124" s="40">
        <f t="shared" ca="1" si="137"/>
        <v>1</v>
      </c>
      <c r="L124" s="40">
        <f t="shared" ca="1" si="138"/>
        <v>1</v>
      </c>
      <c r="M124" s="40">
        <f t="shared" ca="1" si="139"/>
        <v>1</v>
      </c>
      <c r="N124" s="40">
        <f t="shared" ca="1" si="140"/>
        <v>0</v>
      </c>
      <c r="O124" s="40">
        <f t="shared" ca="1" si="141"/>
        <v>0</v>
      </c>
      <c r="P124" s="42"/>
      <c r="Q124" s="31">
        <f t="shared" ref="Q124:Z124" ca="1" si="168">_xlfn.CHISQ.INV(RAND(),2)*$AL$4 *F124</f>
        <v>1594.262312142466</v>
      </c>
      <c r="R124" s="31">
        <f t="shared" ca="1" si="168"/>
        <v>61998.798822524674</v>
      </c>
      <c r="S124" s="31">
        <f t="shared" ca="1" si="168"/>
        <v>26002.324594457714</v>
      </c>
      <c r="T124" s="31">
        <f t="shared" ca="1" si="168"/>
        <v>16902.163231279414</v>
      </c>
      <c r="U124" s="31">
        <f t="shared" ca="1" si="168"/>
        <v>74301.517179354239</v>
      </c>
      <c r="V124" s="31">
        <f t="shared" ca="1" si="168"/>
        <v>7012.2742087212864</v>
      </c>
      <c r="W124" s="31">
        <f t="shared" ca="1" si="168"/>
        <v>8548.8830285739641</v>
      </c>
      <c r="X124" s="31">
        <f t="shared" ca="1" si="168"/>
        <v>31685.241199185104</v>
      </c>
      <c r="Y124" s="31">
        <f t="shared" ca="1" si="168"/>
        <v>0</v>
      </c>
      <c r="Z124" s="31">
        <f t="shared" ca="1" si="168"/>
        <v>0</v>
      </c>
      <c r="AA124" s="44">
        <f t="shared" ca="1" si="12"/>
        <v>228045.46457623888</v>
      </c>
      <c r="AB124" s="165"/>
      <c r="AC124" s="95"/>
      <c r="AD124" s="95"/>
      <c r="AE124" s="95"/>
      <c r="AF124" s="95"/>
      <c r="AG124" s="95"/>
      <c r="AH124" s="95"/>
      <c r="AI124" s="95"/>
      <c r="AJ124" s="95"/>
      <c r="AK124" s="95"/>
      <c r="AL124" s="95"/>
    </row>
    <row r="125" spans="1:38" ht="13.2">
      <c r="A125" s="33">
        <v>124</v>
      </c>
      <c r="B125" s="30">
        <v>40000</v>
      </c>
      <c r="C125" s="46"/>
      <c r="D125" s="35">
        <f t="shared" ca="1" si="0"/>
        <v>0.91065615326724814</v>
      </c>
      <c r="E125" s="38">
        <f t="shared" ca="1" si="131"/>
        <v>8</v>
      </c>
      <c r="F125" s="40">
        <f t="shared" ca="1" si="132"/>
        <v>1</v>
      </c>
      <c r="G125" s="40">
        <f t="shared" ca="1" si="133"/>
        <v>1</v>
      </c>
      <c r="H125" s="40">
        <f t="shared" ca="1" si="134"/>
        <v>1</v>
      </c>
      <c r="I125" s="40">
        <f t="shared" ca="1" si="135"/>
        <v>1</v>
      </c>
      <c r="J125" s="40">
        <f t="shared" ca="1" si="136"/>
        <v>1</v>
      </c>
      <c r="K125" s="40">
        <f t="shared" ca="1" si="137"/>
        <v>1</v>
      </c>
      <c r="L125" s="40">
        <f t="shared" ca="1" si="138"/>
        <v>1</v>
      </c>
      <c r="M125" s="40">
        <f t="shared" ca="1" si="139"/>
        <v>1</v>
      </c>
      <c r="N125" s="40">
        <f t="shared" ca="1" si="140"/>
        <v>0</v>
      </c>
      <c r="O125" s="40">
        <f t="shared" ca="1" si="141"/>
        <v>0</v>
      </c>
      <c r="P125" s="42"/>
      <c r="Q125" s="31">
        <f t="shared" ref="Q125:Z125" ca="1" si="169">_xlfn.CHISQ.INV(RAND(),2)*$AL$4 *F125</f>
        <v>4137.9762791084277</v>
      </c>
      <c r="R125" s="31">
        <f t="shared" ca="1" si="169"/>
        <v>5313.1767165682568</v>
      </c>
      <c r="S125" s="31">
        <f t="shared" ca="1" si="169"/>
        <v>19270.545525326448</v>
      </c>
      <c r="T125" s="31">
        <f t="shared" ca="1" si="169"/>
        <v>2123.2064300506954</v>
      </c>
      <c r="U125" s="31">
        <f t="shared" ca="1" si="169"/>
        <v>26547.864768696123</v>
      </c>
      <c r="V125" s="31">
        <f t="shared" ca="1" si="169"/>
        <v>24180.485855188679</v>
      </c>
      <c r="W125" s="31">
        <f t="shared" ca="1" si="169"/>
        <v>2571.9405256588843</v>
      </c>
      <c r="X125" s="31">
        <f t="shared" ca="1" si="169"/>
        <v>48142.671435864264</v>
      </c>
      <c r="Y125" s="31">
        <f t="shared" ca="1" si="169"/>
        <v>0</v>
      </c>
      <c r="Z125" s="31">
        <f t="shared" ca="1" si="169"/>
        <v>0</v>
      </c>
      <c r="AA125" s="44">
        <f t="shared" ca="1" si="12"/>
        <v>132287.8675364618</v>
      </c>
      <c r="AB125" s="165"/>
      <c r="AC125" s="95"/>
      <c r="AD125" s="95"/>
      <c r="AE125" s="95"/>
      <c r="AF125" s="95"/>
      <c r="AG125" s="95"/>
      <c r="AH125" s="95"/>
      <c r="AI125" s="95"/>
      <c r="AJ125" s="95"/>
      <c r="AK125" s="95"/>
      <c r="AL125" s="95"/>
    </row>
    <row r="126" spans="1:38" ht="13.2">
      <c r="A126" s="33">
        <v>125</v>
      </c>
      <c r="B126" s="30">
        <v>40000</v>
      </c>
      <c r="C126" s="46"/>
      <c r="D126" s="35">
        <f t="shared" ca="1" si="0"/>
        <v>0.89440117314231826</v>
      </c>
      <c r="E126" s="38">
        <f t="shared" ca="1" si="131"/>
        <v>8</v>
      </c>
      <c r="F126" s="40">
        <f t="shared" ca="1" si="132"/>
        <v>1</v>
      </c>
      <c r="G126" s="40">
        <f t="shared" ca="1" si="133"/>
        <v>1</v>
      </c>
      <c r="H126" s="40">
        <f t="shared" ca="1" si="134"/>
        <v>1</v>
      </c>
      <c r="I126" s="40">
        <f t="shared" ca="1" si="135"/>
        <v>1</v>
      </c>
      <c r="J126" s="40">
        <f t="shared" ca="1" si="136"/>
        <v>1</v>
      </c>
      <c r="K126" s="40">
        <f t="shared" ca="1" si="137"/>
        <v>1</v>
      </c>
      <c r="L126" s="40">
        <f t="shared" ca="1" si="138"/>
        <v>1</v>
      </c>
      <c r="M126" s="40">
        <f t="shared" ca="1" si="139"/>
        <v>1</v>
      </c>
      <c r="N126" s="40">
        <f t="shared" ca="1" si="140"/>
        <v>0</v>
      </c>
      <c r="O126" s="40">
        <f t="shared" ca="1" si="141"/>
        <v>0</v>
      </c>
      <c r="P126" s="42"/>
      <c r="Q126" s="31">
        <f t="shared" ref="Q126:Z126" ca="1" si="170">_xlfn.CHISQ.INV(RAND(),2)*$AL$4 *F126</f>
        <v>4869.3474132618412</v>
      </c>
      <c r="R126" s="31">
        <f t="shared" ca="1" si="170"/>
        <v>41705.864830499617</v>
      </c>
      <c r="S126" s="31">
        <f t="shared" ca="1" si="170"/>
        <v>10441.059139959532</v>
      </c>
      <c r="T126" s="31">
        <f t="shared" ca="1" si="170"/>
        <v>14362.892913438553</v>
      </c>
      <c r="U126" s="31">
        <f t="shared" ca="1" si="170"/>
        <v>230.07348811684932</v>
      </c>
      <c r="V126" s="31">
        <f t="shared" ca="1" si="170"/>
        <v>7058.6042694381804</v>
      </c>
      <c r="W126" s="31">
        <f t="shared" ca="1" si="170"/>
        <v>7386.7308473103885</v>
      </c>
      <c r="X126" s="31">
        <f t="shared" ca="1" si="170"/>
        <v>60307.082515440437</v>
      </c>
      <c r="Y126" s="31">
        <f t="shared" ca="1" si="170"/>
        <v>0</v>
      </c>
      <c r="Z126" s="31">
        <f t="shared" ca="1" si="170"/>
        <v>0</v>
      </c>
      <c r="AA126" s="44">
        <f t="shared" ca="1" si="12"/>
        <v>146361.6554174654</v>
      </c>
      <c r="AB126" s="16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</row>
    <row r="127" spans="1:38" ht="13.2">
      <c r="A127" s="33">
        <v>126</v>
      </c>
      <c r="B127" s="30">
        <v>40000</v>
      </c>
      <c r="C127" s="46"/>
      <c r="D127" s="35">
        <f t="shared" ca="1" si="0"/>
        <v>0.48855791920993619</v>
      </c>
      <c r="E127" s="38">
        <f t="shared" ca="1" si="131"/>
        <v>4</v>
      </c>
      <c r="F127" s="40">
        <f t="shared" ca="1" si="132"/>
        <v>1</v>
      </c>
      <c r="G127" s="40">
        <f t="shared" ca="1" si="133"/>
        <v>1</v>
      </c>
      <c r="H127" s="40">
        <f t="shared" ca="1" si="134"/>
        <v>1</v>
      </c>
      <c r="I127" s="40">
        <f t="shared" ca="1" si="135"/>
        <v>1</v>
      </c>
      <c r="J127" s="40">
        <f t="shared" ca="1" si="136"/>
        <v>0</v>
      </c>
      <c r="K127" s="40">
        <f t="shared" ca="1" si="137"/>
        <v>0</v>
      </c>
      <c r="L127" s="40">
        <f t="shared" ca="1" si="138"/>
        <v>0</v>
      </c>
      <c r="M127" s="40">
        <f t="shared" ca="1" si="139"/>
        <v>0</v>
      </c>
      <c r="N127" s="40">
        <f t="shared" ca="1" si="140"/>
        <v>0</v>
      </c>
      <c r="O127" s="40">
        <f t="shared" ca="1" si="141"/>
        <v>0</v>
      </c>
      <c r="P127" s="42"/>
      <c r="Q127" s="31">
        <f t="shared" ref="Q127:Z127" ca="1" si="171">_xlfn.CHISQ.INV(RAND(),2)*$AL$4 *F127</f>
        <v>4251.3044945404072</v>
      </c>
      <c r="R127" s="31">
        <f t="shared" ca="1" si="171"/>
        <v>3535.5698902644763</v>
      </c>
      <c r="S127" s="31">
        <f t="shared" ca="1" si="171"/>
        <v>19260.572107080752</v>
      </c>
      <c r="T127" s="31">
        <f t="shared" ca="1" si="171"/>
        <v>12849.458130034905</v>
      </c>
      <c r="U127" s="31">
        <f t="shared" ca="1" si="171"/>
        <v>0</v>
      </c>
      <c r="V127" s="31">
        <f t="shared" ca="1" si="171"/>
        <v>0</v>
      </c>
      <c r="W127" s="31">
        <f t="shared" ca="1" si="171"/>
        <v>0</v>
      </c>
      <c r="X127" s="31">
        <f t="shared" ca="1" si="171"/>
        <v>0</v>
      </c>
      <c r="Y127" s="31">
        <f t="shared" ca="1" si="171"/>
        <v>0</v>
      </c>
      <c r="Z127" s="31">
        <f t="shared" ca="1" si="171"/>
        <v>0</v>
      </c>
      <c r="AA127" s="44">
        <f t="shared" ca="1" si="12"/>
        <v>39896.904621920541</v>
      </c>
      <c r="AB127" s="16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</row>
    <row r="128" spans="1:38" ht="13.2">
      <c r="A128" s="33">
        <v>127</v>
      </c>
      <c r="B128" s="30">
        <v>40000</v>
      </c>
      <c r="C128" s="46"/>
      <c r="D128" s="35">
        <f t="shared" ca="1" si="0"/>
        <v>0.25818299500402908</v>
      </c>
      <c r="E128" s="38">
        <f t="shared" ca="1" si="131"/>
        <v>2</v>
      </c>
      <c r="F128" s="40">
        <f t="shared" ca="1" si="132"/>
        <v>1</v>
      </c>
      <c r="G128" s="40">
        <f t="shared" ca="1" si="133"/>
        <v>1</v>
      </c>
      <c r="H128" s="40">
        <f t="shared" ca="1" si="134"/>
        <v>0</v>
      </c>
      <c r="I128" s="40">
        <f t="shared" ca="1" si="135"/>
        <v>0</v>
      </c>
      <c r="J128" s="40">
        <f t="shared" ca="1" si="136"/>
        <v>0</v>
      </c>
      <c r="K128" s="40">
        <f t="shared" ca="1" si="137"/>
        <v>0</v>
      </c>
      <c r="L128" s="40">
        <f t="shared" ca="1" si="138"/>
        <v>0</v>
      </c>
      <c r="M128" s="40">
        <f t="shared" ca="1" si="139"/>
        <v>0</v>
      </c>
      <c r="N128" s="40">
        <f t="shared" ca="1" si="140"/>
        <v>0</v>
      </c>
      <c r="O128" s="40">
        <f t="shared" ca="1" si="141"/>
        <v>0</v>
      </c>
      <c r="P128" s="42"/>
      <c r="Q128" s="31">
        <f t="shared" ref="Q128:Z128" ca="1" si="172">_xlfn.CHISQ.INV(RAND(),2)*$AL$4 *F128</f>
        <v>1352.2043526341877</v>
      </c>
      <c r="R128" s="31">
        <f t="shared" ca="1" si="172"/>
        <v>6138.3585113171766</v>
      </c>
      <c r="S128" s="31">
        <f t="shared" ca="1" si="172"/>
        <v>0</v>
      </c>
      <c r="T128" s="31">
        <f t="shared" ca="1" si="172"/>
        <v>0</v>
      </c>
      <c r="U128" s="31">
        <f t="shared" ca="1" si="172"/>
        <v>0</v>
      </c>
      <c r="V128" s="31">
        <f t="shared" ca="1" si="172"/>
        <v>0</v>
      </c>
      <c r="W128" s="31">
        <f t="shared" ca="1" si="172"/>
        <v>0</v>
      </c>
      <c r="X128" s="31">
        <f t="shared" ca="1" si="172"/>
        <v>0</v>
      </c>
      <c r="Y128" s="31">
        <f t="shared" ca="1" si="172"/>
        <v>0</v>
      </c>
      <c r="Z128" s="31">
        <f t="shared" ca="1" si="172"/>
        <v>0</v>
      </c>
      <c r="AA128" s="44">
        <f t="shared" ca="1" si="12"/>
        <v>7490.5628639513643</v>
      </c>
      <c r="AB128" s="16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</row>
    <row r="129" spans="1:38" ht="13.2">
      <c r="A129" s="33">
        <v>128</v>
      </c>
      <c r="B129" s="30">
        <v>40000</v>
      </c>
      <c r="C129" s="46"/>
      <c r="D129" s="35">
        <f t="shared" ca="1" si="0"/>
        <v>0.45270992010236477</v>
      </c>
      <c r="E129" s="38">
        <f t="shared" ca="1" si="131"/>
        <v>4</v>
      </c>
      <c r="F129" s="40">
        <f t="shared" ca="1" si="132"/>
        <v>1</v>
      </c>
      <c r="G129" s="40">
        <f t="shared" ca="1" si="133"/>
        <v>1</v>
      </c>
      <c r="H129" s="40">
        <f t="shared" ca="1" si="134"/>
        <v>1</v>
      </c>
      <c r="I129" s="40">
        <f t="shared" ca="1" si="135"/>
        <v>1</v>
      </c>
      <c r="J129" s="40">
        <f t="shared" ca="1" si="136"/>
        <v>0</v>
      </c>
      <c r="K129" s="40">
        <f t="shared" ca="1" si="137"/>
        <v>0</v>
      </c>
      <c r="L129" s="40">
        <f t="shared" ca="1" si="138"/>
        <v>0</v>
      </c>
      <c r="M129" s="40">
        <f t="shared" ca="1" si="139"/>
        <v>0</v>
      </c>
      <c r="N129" s="40">
        <f t="shared" ca="1" si="140"/>
        <v>0</v>
      </c>
      <c r="O129" s="40">
        <f t="shared" ca="1" si="141"/>
        <v>0</v>
      </c>
      <c r="P129" s="42"/>
      <c r="Q129" s="31">
        <f t="shared" ref="Q129:Z129" ca="1" si="173">_xlfn.CHISQ.INV(RAND(),2)*$AL$4 *F129</f>
        <v>31659.986435163333</v>
      </c>
      <c r="R129" s="31">
        <f t="shared" ca="1" si="173"/>
        <v>25056.778298133402</v>
      </c>
      <c r="S129" s="31">
        <f t="shared" ca="1" si="173"/>
        <v>785.3770820214545</v>
      </c>
      <c r="T129" s="31">
        <f t="shared" ca="1" si="173"/>
        <v>3842.8093174939554</v>
      </c>
      <c r="U129" s="31">
        <f t="shared" ca="1" si="173"/>
        <v>0</v>
      </c>
      <c r="V129" s="31">
        <f t="shared" ca="1" si="173"/>
        <v>0</v>
      </c>
      <c r="W129" s="31">
        <f t="shared" ca="1" si="173"/>
        <v>0</v>
      </c>
      <c r="X129" s="31">
        <f t="shared" ca="1" si="173"/>
        <v>0</v>
      </c>
      <c r="Y129" s="31">
        <f t="shared" ca="1" si="173"/>
        <v>0</v>
      </c>
      <c r="Z129" s="31">
        <f t="shared" ca="1" si="173"/>
        <v>0</v>
      </c>
      <c r="AA129" s="44">
        <f t="shared" ca="1" si="12"/>
        <v>61344.951132812144</v>
      </c>
      <c r="AB129" s="16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</row>
    <row r="130" spans="1:38" ht="13.2">
      <c r="A130" s="33">
        <v>129</v>
      </c>
      <c r="B130" s="30">
        <v>40000</v>
      </c>
      <c r="C130" s="46"/>
      <c r="D130" s="35">
        <f t="shared" ca="1" si="0"/>
        <v>0.5574127645688377</v>
      </c>
      <c r="E130" s="38">
        <f t="shared" ref="E130:E141" ca="1" si="174">VLOOKUP(D130,$AH$2:$AI$13, 2, TRUE)</f>
        <v>5</v>
      </c>
      <c r="F130" s="40">
        <f t="shared" ref="F130:F141" ca="1" si="175">IF(E130&gt;=1,1,0)</f>
        <v>1</v>
      </c>
      <c r="G130" s="40">
        <f t="shared" ref="G130:G141" ca="1" si="176">IF(E130&gt;=2,1,0)</f>
        <v>1</v>
      </c>
      <c r="H130" s="40">
        <f t="shared" ref="H130:H141" ca="1" si="177">IF(E130&gt;=3,1,0)</f>
        <v>1</v>
      </c>
      <c r="I130" s="40">
        <f t="shared" ref="I130:I141" ca="1" si="178">IF(E130&gt;=4,1,0)</f>
        <v>1</v>
      </c>
      <c r="J130" s="40">
        <f t="shared" ref="J130:J141" ca="1" si="179">IF(E130&gt;=5,1,0)</f>
        <v>1</v>
      </c>
      <c r="K130" s="40">
        <f t="shared" ref="K130:K141" ca="1" si="180">IF(E130&gt;=6,1,0)</f>
        <v>0</v>
      </c>
      <c r="L130" s="40">
        <f t="shared" ref="L130:L141" ca="1" si="181">IF(E130&gt;=7,1,0)</f>
        <v>0</v>
      </c>
      <c r="M130" s="40">
        <f t="shared" ref="M130:M141" ca="1" si="182">IF(E130&gt;=8,1,0)</f>
        <v>0</v>
      </c>
      <c r="N130" s="40">
        <f t="shared" ref="N130:N141" ca="1" si="183">IF(E130&gt;=9,1,0)</f>
        <v>0</v>
      </c>
      <c r="O130" s="40">
        <f t="shared" ref="O130:O141" ca="1" si="184">IF(E130&gt;=10,1,0)</f>
        <v>0</v>
      </c>
      <c r="P130" s="42"/>
      <c r="Q130" s="31">
        <f t="shared" ref="Q130:Z130" ca="1" si="185">_xlfn.CHISQ.INV(RAND(),2)*$AL$4 *F130</f>
        <v>5530.4805206054207</v>
      </c>
      <c r="R130" s="31">
        <f t="shared" ca="1" si="185"/>
        <v>25927.269917262882</v>
      </c>
      <c r="S130" s="31">
        <f t="shared" ca="1" si="185"/>
        <v>39931.503987923381</v>
      </c>
      <c r="T130" s="31">
        <f t="shared" ca="1" si="185"/>
        <v>5070.0236481808934</v>
      </c>
      <c r="U130" s="31">
        <f t="shared" ca="1" si="185"/>
        <v>22959.461240129491</v>
      </c>
      <c r="V130" s="31">
        <f t="shared" ca="1" si="185"/>
        <v>0</v>
      </c>
      <c r="W130" s="31">
        <f t="shared" ca="1" si="185"/>
        <v>0</v>
      </c>
      <c r="X130" s="31">
        <f t="shared" ca="1" si="185"/>
        <v>0</v>
      </c>
      <c r="Y130" s="31">
        <f t="shared" ca="1" si="185"/>
        <v>0</v>
      </c>
      <c r="Z130" s="31">
        <f t="shared" ca="1" si="185"/>
        <v>0</v>
      </c>
      <c r="AA130" s="44">
        <f t="shared" ca="1" si="12"/>
        <v>99418.739314102058</v>
      </c>
      <c r="AB130" s="16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</row>
    <row r="131" spans="1:38" ht="13.2">
      <c r="A131" s="33">
        <v>130</v>
      </c>
      <c r="B131" s="30">
        <v>40000</v>
      </c>
      <c r="C131" s="46"/>
      <c r="D131" s="35">
        <f t="shared" ca="1" si="0"/>
        <v>0.88266468124247766</v>
      </c>
      <c r="E131" s="38">
        <f t="shared" ca="1" si="174"/>
        <v>8</v>
      </c>
      <c r="F131" s="40">
        <f t="shared" ca="1" si="175"/>
        <v>1</v>
      </c>
      <c r="G131" s="40">
        <f t="shared" ca="1" si="176"/>
        <v>1</v>
      </c>
      <c r="H131" s="40">
        <f t="shared" ca="1" si="177"/>
        <v>1</v>
      </c>
      <c r="I131" s="40">
        <f t="shared" ca="1" si="178"/>
        <v>1</v>
      </c>
      <c r="J131" s="40">
        <f t="shared" ca="1" si="179"/>
        <v>1</v>
      </c>
      <c r="K131" s="40">
        <f t="shared" ca="1" si="180"/>
        <v>1</v>
      </c>
      <c r="L131" s="40">
        <f t="shared" ca="1" si="181"/>
        <v>1</v>
      </c>
      <c r="M131" s="40">
        <f t="shared" ca="1" si="182"/>
        <v>1</v>
      </c>
      <c r="N131" s="40">
        <f t="shared" ca="1" si="183"/>
        <v>0</v>
      </c>
      <c r="O131" s="40">
        <f t="shared" ca="1" si="184"/>
        <v>0</v>
      </c>
      <c r="P131" s="42"/>
      <c r="Q131" s="31">
        <f t="shared" ref="Q131:Z131" ca="1" si="186">_xlfn.CHISQ.INV(RAND(),2)*$AL$4 *F131</f>
        <v>12995.690102281538</v>
      </c>
      <c r="R131" s="31">
        <f t="shared" ca="1" si="186"/>
        <v>6459.6511271233985</v>
      </c>
      <c r="S131" s="31">
        <f t="shared" ca="1" si="186"/>
        <v>13482.876953328761</v>
      </c>
      <c r="T131" s="31">
        <f t="shared" ca="1" si="186"/>
        <v>695.48245330156226</v>
      </c>
      <c r="U131" s="31">
        <f t="shared" ca="1" si="186"/>
        <v>7760.5059002985872</v>
      </c>
      <c r="V131" s="31">
        <f t="shared" ca="1" si="186"/>
        <v>5807.5300639948682</v>
      </c>
      <c r="W131" s="31">
        <f t="shared" ca="1" si="186"/>
        <v>20433.733886428279</v>
      </c>
      <c r="X131" s="31">
        <f t="shared" ca="1" si="186"/>
        <v>9580.2650001261427</v>
      </c>
      <c r="Y131" s="31">
        <f t="shared" ca="1" si="186"/>
        <v>0</v>
      </c>
      <c r="Z131" s="31">
        <f t="shared" ca="1" si="186"/>
        <v>0</v>
      </c>
      <c r="AA131" s="44">
        <f t="shared" ca="1" si="12"/>
        <v>77215.735486883146</v>
      </c>
      <c r="AB131" s="16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</row>
    <row r="132" spans="1:38" ht="13.2">
      <c r="A132" s="33">
        <v>131</v>
      </c>
      <c r="B132" s="30">
        <v>40000</v>
      </c>
      <c r="C132" s="46"/>
      <c r="D132" s="35">
        <f t="shared" ca="1" si="0"/>
        <v>3.7653787645112402E-2</v>
      </c>
      <c r="E132" s="38">
        <f t="shared" ca="1" si="174"/>
        <v>0</v>
      </c>
      <c r="F132" s="40">
        <f t="shared" ca="1" si="175"/>
        <v>0</v>
      </c>
      <c r="G132" s="40">
        <f t="shared" ca="1" si="176"/>
        <v>0</v>
      </c>
      <c r="H132" s="40">
        <f t="shared" ca="1" si="177"/>
        <v>0</v>
      </c>
      <c r="I132" s="40">
        <f t="shared" ca="1" si="178"/>
        <v>0</v>
      </c>
      <c r="J132" s="40">
        <f t="shared" ca="1" si="179"/>
        <v>0</v>
      </c>
      <c r="K132" s="40">
        <f t="shared" ca="1" si="180"/>
        <v>0</v>
      </c>
      <c r="L132" s="40">
        <f t="shared" ca="1" si="181"/>
        <v>0</v>
      </c>
      <c r="M132" s="40">
        <f t="shared" ca="1" si="182"/>
        <v>0</v>
      </c>
      <c r="N132" s="40">
        <f t="shared" ca="1" si="183"/>
        <v>0</v>
      </c>
      <c r="O132" s="40">
        <f t="shared" ca="1" si="184"/>
        <v>0</v>
      </c>
      <c r="P132" s="42"/>
      <c r="Q132" s="31">
        <f t="shared" ref="Q132:Z132" ca="1" si="187">_xlfn.CHISQ.INV(RAND(),2)*$AL$4 *F132</f>
        <v>0</v>
      </c>
      <c r="R132" s="31">
        <f t="shared" ca="1" si="187"/>
        <v>0</v>
      </c>
      <c r="S132" s="31">
        <f t="shared" ca="1" si="187"/>
        <v>0</v>
      </c>
      <c r="T132" s="31">
        <f t="shared" ca="1" si="187"/>
        <v>0</v>
      </c>
      <c r="U132" s="31">
        <f t="shared" ca="1" si="187"/>
        <v>0</v>
      </c>
      <c r="V132" s="31">
        <f t="shared" ca="1" si="187"/>
        <v>0</v>
      </c>
      <c r="W132" s="31">
        <f t="shared" ca="1" si="187"/>
        <v>0</v>
      </c>
      <c r="X132" s="31">
        <f t="shared" ca="1" si="187"/>
        <v>0</v>
      </c>
      <c r="Y132" s="31">
        <f t="shared" ca="1" si="187"/>
        <v>0</v>
      </c>
      <c r="Z132" s="31">
        <f t="shared" ca="1" si="187"/>
        <v>0</v>
      </c>
      <c r="AA132" s="44">
        <f t="shared" ca="1" si="12"/>
        <v>0</v>
      </c>
      <c r="AB132" s="16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</row>
    <row r="133" spans="1:38" ht="13.2">
      <c r="A133" s="33">
        <v>132</v>
      </c>
      <c r="B133" s="30">
        <v>40000</v>
      </c>
      <c r="C133" s="46"/>
      <c r="D133" s="35">
        <f t="shared" ca="1" si="0"/>
        <v>0.17883746319220206</v>
      </c>
      <c r="E133" s="38">
        <f t="shared" ca="1" si="174"/>
        <v>2</v>
      </c>
      <c r="F133" s="40">
        <f t="shared" ca="1" si="175"/>
        <v>1</v>
      </c>
      <c r="G133" s="40">
        <f t="shared" ca="1" si="176"/>
        <v>1</v>
      </c>
      <c r="H133" s="40">
        <f t="shared" ca="1" si="177"/>
        <v>0</v>
      </c>
      <c r="I133" s="40">
        <f t="shared" ca="1" si="178"/>
        <v>0</v>
      </c>
      <c r="J133" s="40">
        <f t="shared" ca="1" si="179"/>
        <v>0</v>
      </c>
      <c r="K133" s="40">
        <f t="shared" ca="1" si="180"/>
        <v>0</v>
      </c>
      <c r="L133" s="40">
        <f t="shared" ca="1" si="181"/>
        <v>0</v>
      </c>
      <c r="M133" s="40">
        <f t="shared" ca="1" si="182"/>
        <v>0</v>
      </c>
      <c r="N133" s="40">
        <f t="shared" ca="1" si="183"/>
        <v>0</v>
      </c>
      <c r="O133" s="40">
        <f t="shared" ca="1" si="184"/>
        <v>0</v>
      </c>
      <c r="P133" s="42"/>
      <c r="Q133" s="31">
        <f t="shared" ref="Q133:Z133" ca="1" si="188">_xlfn.CHISQ.INV(RAND(),2)*$AL$4 *F133</f>
        <v>9134.4168749633009</v>
      </c>
      <c r="R133" s="31">
        <f t="shared" ca="1" si="188"/>
        <v>21156.552406604234</v>
      </c>
      <c r="S133" s="31">
        <f t="shared" ca="1" si="188"/>
        <v>0</v>
      </c>
      <c r="T133" s="31">
        <f t="shared" ca="1" si="188"/>
        <v>0</v>
      </c>
      <c r="U133" s="31">
        <f t="shared" ca="1" si="188"/>
        <v>0</v>
      </c>
      <c r="V133" s="31">
        <f t="shared" ca="1" si="188"/>
        <v>0</v>
      </c>
      <c r="W133" s="31">
        <f t="shared" ca="1" si="188"/>
        <v>0</v>
      </c>
      <c r="X133" s="31">
        <f t="shared" ca="1" si="188"/>
        <v>0</v>
      </c>
      <c r="Y133" s="31">
        <f t="shared" ca="1" si="188"/>
        <v>0</v>
      </c>
      <c r="Z133" s="31">
        <f t="shared" ca="1" si="188"/>
        <v>0</v>
      </c>
      <c r="AA133" s="44">
        <f t="shared" ca="1" si="12"/>
        <v>30290.969281567537</v>
      </c>
      <c r="AB133" s="16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</row>
    <row r="134" spans="1:38" ht="13.2">
      <c r="A134" s="33">
        <v>133</v>
      </c>
      <c r="B134" s="30">
        <v>40000</v>
      </c>
      <c r="C134" s="46"/>
      <c r="D134" s="35">
        <f t="shared" ca="1" si="0"/>
        <v>0.91020489070954036</v>
      </c>
      <c r="E134" s="38">
        <f t="shared" ca="1" si="174"/>
        <v>8</v>
      </c>
      <c r="F134" s="40">
        <f t="shared" ca="1" si="175"/>
        <v>1</v>
      </c>
      <c r="G134" s="40">
        <f t="shared" ca="1" si="176"/>
        <v>1</v>
      </c>
      <c r="H134" s="40">
        <f t="shared" ca="1" si="177"/>
        <v>1</v>
      </c>
      <c r="I134" s="40">
        <f t="shared" ca="1" si="178"/>
        <v>1</v>
      </c>
      <c r="J134" s="40">
        <f t="shared" ca="1" si="179"/>
        <v>1</v>
      </c>
      <c r="K134" s="40">
        <f t="shared" ca="1" si="180"/>
        <v>1</v>
      </c>
      <c r="L134" s="40">
        <f t="shared" ca="1" si="181"/>
        <v>1</v>
      </c>
      <c r="M134" s="40">
        <f t="shared" ca="1" si="182"/>
        <v>1</v>
      </c>
      <c r="N134" s="40">
        <f t="shared" ca="1" si="183"/>
        <v>0</v>
      </c>
      <c r="O134" s="40">
        <f t="shared" ca="1" si="184"/>
        <v>0</v>
      </c>
      <c r="P134" s="42"/>
      <c r="Q134" s="31">
        <f t="shared" ref="Q134:Z134" ca="1" si="189">_xlfn.CHISQ.INV(RAND(),2)*$AL$4 *F134</f>
        <v>1605.1229688018529</v>
      </c>
      <c r="R134" s="31">
        <f t="shared" ca="1" si="189"/>
        <v>2820.3857819804184</v>
      </c>
      <c r="S134" s="31">
        <f t="shared" ca="1" si="189"/>
        <v>21570.659093130795</v>
      </c>
      <c r="T134" s="31">
        <f t="shared" ca="1" si="189"/>
        <v>1648.8579870442234</v>
      </c>
      <c r="U134" s="31">
        <f t="shared" ca="1" si="189"/>
        <v>3179.9086568491348</v>
      </c>
      <c r="V134" s="31">
        <f t="shared" ca="1" si="189"/>
        <v>37177.324183221979</v>
      </c>
      <c r="W134" s="31">
        <f t="shared" ca="1" si="189"/>
        <v>11406.849366314396</v>
      </c>
      <c r="X134" s="31">
        <f t="shared" ca="1" si="189"/>
        <v>10106.600566617348</v>
      </c>
      <c r="Y134" s="31">
        <f t="shared" ca="1" si="189"/>
        <v>0</v>
      </c>
      <c r="Z134" s="31">
        <f t="shared" ca="1" si="189"/>
        <v>0</v>
      </c>
      <c r="AA134" s="44">
        <f t="shared" ca="1" si="12"/>
        <v>89515.708603960127</v>
      </c>
      <c r="AB134" s="16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</row>
    <row r="135" spans="1:38" ht="13.2">
      <c r="A135" s="33">
        <v>134</v>
      </c>
      <c r="B135" s="30">
        <v>40000</v>
      </c>
      <c r="C135" s="46"/>
      <c r="D135" s="35">
        <f t="shared" ca="1" si="0"/>
        <v>0.13625964017548031</v>
      </c>
      <c r="E135" s="38">
        <f t="shared" ca="1" si="174"/>
        <v>1</v>
      </c>
      <c r="F135" s="40">
        <f t="shared" ca="1" si="175"/>
        <v>1</v>
      </c>
      <c r="G135" s="40">
        <f t="shared" ca="1" si="176"/>
        <v>0</v>
      </c>
      <c r="H135" s="40">
        <f t="shared" ca="1" si="177"/>
        <v>0</v>
      </c>
      <c r="I135" s="40">
        <f t="shared" ca="1" si="178"/>
        <v>0</v>
      </c>
      <c r="J135" s="40">
        <f t="shared" ca="1" si="179"/>
        <v>0</v>
      </c>
      <c r="K135" s="40">
        <f t="shared" ca="1" si="180"/>
        <v>0</v>
      </c>
      <c r="L135" s="40">
        <f t="shared" ca="1" si="181"/>
        <v>0</v>
      </c>
      <c r="M135" s="40">
        <f t="shared" ca="1" si="182"/>
        <v>0</v>
      </c>
      <c r="N135" s="40">
        <f t="shared" ca="1" si="183"/>
        <v>0</v>
      </c>
      <c r="O135" s="40">
        <f t="shared" ca="1" si="184"/>
        <v>0</v>
      </c>
      <c r="P135" s="42"/>
      <c r="Q135" s="31">
        <f t="shared" ref="Q135:Z135" ca="1" si="190">_xlfn.CHISQ.INV(RAND(),2)*$AL$4 *F135</f>
        <v>5578.5096348304087</v>
      </c>
      <c r="R135" s="31">
        <f t="shared" ca="1" si="190"/>
        <v>0</v>
      </c>
      <c r="S135" s="31">
        <f t="shared" ca="1" si="190"/>
        <v>0</v>
      </c>
      <c r="T135" s="31">
        <f t="shared" ca="1" si="190"/>
        <v>0</v>
      </c>
      <c r="U135" s="31">
        <f t="shared" ca="1" si="190"/>
        <v>0</v>
      </c>
      <c r="V135" s="31">
        <f t="shared" ca="1" si="190"/>
        <v>0</v>
      </c>
      <c r="W135" s="31">
        <f t="shared" ca="1" si="190"/>
        <v>0</v>
      </c>
      <c r="X135" s="31">
        <f t="shared" ca="1" si="190"/>
        <v>0</v>
      </c>
      <c r="Y135" s="31">
        <f t="shared" ca="1" si="190"/>
        <v>0</v>
      </c>
      <c r="Z135" s="31">
        <f t="shared" ca="1" si="190"/>
        <v>0</v>
      </c>
      <c r="AA135" s="44">
        <f t="shared" ca="1" si="12"/>
        <v>5578.5096348304087</v>
      </c>
      <c r="AB135" s="16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</row>
    <row r="136" spans="1:38" ht="13.2">
      <c r="A136" s="33">
        <v>135</v>
      </c>
      <c r="B136" s="30">
        <v>40000</v>
      </c>
      <c r="C136" s="46"/>
      <c r="D136" s="35">
        <f t="shared" ca="1" si="0"/>
        <v>0.81448091161149017</v>
      </c>
      <c r="E136" s="38">
        <f t="shared" ca="1" si="174"/>
        <v>7</v>
      </c>
      <c r="F136" s="40">
        <f t="shared" ca="1" si="175"/>
        <v>1</v>
      </c>
      <c r="G136" s="40">
        <f t="shared" ca="1" si="176"/>
        <v>1</v>
      </c>
      <c r="H136" s="40">
        <f t="shared" ca="1" si="177"/>
        <v>1</v>
      </c>
      <c r="I136" s="40">
        <f t="shared" ca="1" si="178"/>
        <v>1</v>
      </c>
      <c r="J136" s="40">
        <f t="shared" ca="1" si="179"/>
        <v>1</v>
      </c>
      <c r="K136" s="40">
        <f t="shared" ca="1" si="180"/>
        <v>1</v>
      </c>
      <c r="L136" s="40">
        <f t="shared" ca="1" si="181"/>
        <v>1</v>
      </c>
      <c r="M136" s="40">
        <f t="shared" ca="1" si="182"/>
        <v>0</v>
      </c>
      <c r="N136" s="40">
        <f t="shared" ca="1" si="183"/>
        <v>0</v>
      </c>
      <c r="O136" s="40">
        <f t="shared" ca="1" si="184"/>
        <v>0</v>
      </c>
      <c r="P136" s="42"/>
      <c r="Q136" s="31">
        <f t="shared" ref="Q136:Z136" ca="1" si="191">_xlfn.CHISQ.INV(RAND(),2)*$AL$4 *F136</f>
        <v>3162.2345898639965</v>
      </c>
      <c r="R136" s="31">
        <f t="shared" ca="1" si="191"/>
        <v>17940.667575196469</v>
      </c>
      <c r="S136" s="31">
        <f t="shared" ca="1" si="191"/>
        <v>2607.102414550805</v>
      </c>
      <c r="T136" s="31">
        <f t="shared" ca="1" si="191"/>
        <v>6517.0674428433222</v>
      </c>
      <c r="U136" s="31">
        <f t="shared" ca="1" si="191"/>
        <v>298.40413818419438</v>
      </c>
      <c r="V136" s="31">
        <f t="shared" ca="1" si="191"/>
        <v>24365.146719248143</v>
      </c>
      <c r="W136" s="31">
        <f t="shared" ca="1" si="191"/>
        <v>14191.332264197301</v>
      </c>
      <c r="X136" s="31">
        <f t="shared" ca="1" si="191"/>
        <v>0</v>
      </c>
      <c r="Y136" s="31">
        <f t="shared" ca="1" si="191"/>
        <v>0</v>
      </c>
      <c r="Z136" s="31">
        <f t="shared" ca="1" si="191"/>
        <v>0</v>
      </c>
      <c r="AA136" s="44">
        <f t="shared" ca="1" si="12"/>
        <v>69081.955144084233</v>
      </c>
      <c r="AB136" s="16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</row>
    <row r="137" spans="1:38" ht="13.2">
      <c r="A137" s="33">
        <v>136</v>
      </c>
      <c r="B137" s="30">
        <v>40000</v>
      </c>
      <c r="C137" s="46"/>
      <c r="D137" s="35">
        <f t="shared" ca="1" si="0"/>
        <v>1.2640908688576258E-2</v>
      </c>
      <c r="E137" s="38">
        <f t="shared" ca="1" si="174"/>
        <v>0</v>
      </c>
      <c r="F137" s="40">
        <f t="shared" ca="1" si="175"/>
        <v>0</v>
      </c>
      <c r="G137" s="40">
        <f t="shared" ca="1" si="176"/>
        <v>0</v>
      </c>
      <c r="H137" s="40">
        <f t="shared" ca="1" si="177"/>
        <v>0</v>
      </c>
      <c r="I137" s="40">
        <f t="shared" ca="1" si="178"/>
        <v>0</v>
      </c>
      <c r="J137" s="40">
        <f t="shared" ca="1" si="179"/>
        <v>0</v>
      </c>
      <c r="K137" s="40">
        <f t="shared" ca="1" si="180"/>
        <v>0</v>
      </c>
      <c r="L137" s="40">
        <f t="shared" ca="1" si="181"/>
        <v>0</v>
      </c>
      <c r="M137" s="40">
        <f t="shared" ca="1" si="182"/>
        <v>0</v>
      </c>
      <c r="N137" s="40">
        <f t="shared" ca="1" si="183"/>
        <v>0</v>
      </c>
      <c r="O137" s="40">
        <f t="shared" ca="1" si="184"/>
        <v>0</v>
      </c>
      <c r="P137" s="42"/>
      <c r="Q137" s="31">
        <f t="shared" ref="Q137:Z137" ca="1" si="192">_xlfn.CHISQ.INV(RAND(),2)*$AL$4 *F137</f>
        <v>0</v>
      </c>
      <c r="R137" s="31">
        <f t="shared" ca="1" si="192"/>
        <v>0</v>
      </c>
      <c r="S137" s="31">
        <f t="shared" ca="1" si="192"/>
        <v>0</v>
      </c>
      <c r="T137" s="31">
        <f t="shared" ca="1" si="192"/>
        <v>0</v>
      </c>
      <c r="U137" s="31">
        <f t="shared" ca="1" si="192"/>
        <v>0</v>
      </c>
      <c r="V137" s="31">
        <f t="shared" ca="1" si="192"/>
        <v>0</v>
      </c>
      <c r="W137" s="31">
        <f t="shared" ca="1" si="192"/>
        <v>0</v>
      </c>
      <c r="X137" s="31">
        <f t="shared" ca="1" si="192"/>
        <v>0</v>
      </c>
      <c r="Y137" s="31">
        <f t="shared" ca="1" si="192"/>
        <v>0</v>
      </c>
      <c r="Z137" s="31">
        <f t="shared" ca="1" si="192"/>
        <v>0</v>
      </c>
      <c r="AA137" s="44">
        <f t="shared" ca="1" si="12"/>
        <v>0</v>
      </c>
      <c r="AB137" s="16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</row>
    <row r="138" spans="1:38" ht="13.2">
      <c r="A138" s="33">
        <v>137</v>
      </c>
      <c r="B138" s="30">
        <v>40000</v>
      </c>
      <c r="C138" s="46"/>
      <c r="D138" s="35">
        <f t="shared" ca="1" si="0"/>
        <v>0.34305522830698076</v>
      </c>
      <c r="E138" s="38">
        <f t="shared" ca="1" si="174"/>
        <v>3</v>
      </c>
      <c r="F138" s="40">
        <f t="shared" ca="1" si="175"/>
        <v>1</v>
      </c>
      <c r="G138" s="40">
        <f t="shared" ca="1" si="176"/>
        <v>1</v>
      </c>
      <c r="H138" s="40">
        <f t="shared" ca="1" si="177"/>
        <v>1</v>
      </c>
      <c r="I138" s="40">
        <f t="shared" ca="1" si="178"/>
        <v>0</v>
      </c>
      <c r="J138" s="40">
        <f t="shared" ca="1" si="179"/>
        <v>0</v>
      </c>
      <c r="K138" s="40">
        <f t="shared" ca="1" si="180"/>
        <v>0</v>
      </c>
      <c r="L138" s="40">
        <f t="shared" ca="1" si="181"/>
        <v>0</v>
      </c>
      <c r="M138" s="40">
        <f t="shared" ca="1" si="182"/>
        <v>0</v>
      </c>
      <c r="N138" s="40">
        <f t="shared" ca="1" si="183"/>
        <v>0</v>
      </c>
      <c r="O138" s="40">
        <f t="shared" ca="1" si="184"/>
        <v>0</v>
      </c>
      <c r="P138" s="42"/>
      <c r="Q138" s="31">
        <f t="shared" ref="Q138:Z138" ca="1" si="193">_xlfn.CHISQ.INV(RAND(),2)*$AL$4 *F138</f>
        <v>4464.2605752796244</v>
      </c>
      <c r="R138" s="31">
        <f t="shared" ca="1" si="193"/>
        <v>9793.1903263892455</v>
      </c>
      <c r="S138" s="31">
        <f t="shared" ca="1" si="193"/>
        <v>4687.299880259462</v>
      </c>
      <c r="T138" s="31">
        <f t="shared" ca="1" si="193"/>
        <v>0</v>
      </c>
      <c r="U138" s="31">
        <f t="shared" ca="1" si="193"/>
        <v>0</v>
      </c>
      <c r="V138" s="31">
        <f t="shared" ca="1" si="193"/>
        <v>0</v>
      </c>
      <c r="W138" s="31">
        <f t="shared" ca="1" si="193"/>
        <v>0</v>
      </c>
      <c r="X138" s="31">
        <f t="shared" ca="1" si="193"/>
        <v>0</v>
      </c>
      <c r="Y138" s="31">
        <f t="shared" ca="1" si="193"/>
        <v>0</v>
      </c>
      <c r="Z138" s="31">
        <f t="shared" ca="1" si="193"/>
        <v>0</v>
      </c>
      <c r="AA138" s="44">
        <f t="shared" ca="1" si="12"/>
        <v>18944.750781928331</v>
      </c>
      <c r="AB138" s="16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</row>
    <row r="139" spans="1:38" ht="13.2">
      <c r="A139" s="33">
        <v>138</v>
      </c>
      <c r="B139" s="30">
        <v>40000</v>
      </c>
      <c r="C139" s="46"/>
      <c r="D139" s="35">
        <f t="shared" ca="1" si="0"/>
        <v>0.75124555524744374</v>
      </c>
      <c r="E139" s="38">
        <f t="shared" ca="1" si="174"/>
        <v>6</v>
      </c>
      <c r="F139" s="40">
        <f t="shared" ca="1" si="175"/>
        <v>1</v>
      </c>
      <c r="G139" s="40">
        <f t="shared" ca="1" si="176"/>
        <v>1</v>
      </c>
      <c r="H139" s="40">
        <f t="shared" ca="1" si="177"/>
        <v>1</v>
      </c>
      <c r="I139" s="40">
        <f t="shared" ca="1" si="178"/>
        <v>1</v>
      </c>
      <c r="J139" s="40">
        <f t="shared" ca="1" si="179"/>
        <v>1</v>
      </c>
      <c r="K139" s="40">
        <f t="shared" ca="1" si="180"/>
        <v>1</v>
      </c>
      <c r="L139" s="40">
        <f t="shared" ca="1" si="181"/>
        <v>0</v>
      </c>
      <c r="M139" s="40">
        <f t="shared" ca="1" si="182"/>
        <v>0</v>
      </c>
      <c r="N139" s="40">
        <f t="shared" ca="1" si="183"/>
        <v>0</v>
      </c>
      <c r="O139" s="40">
        <f t="shared" ca="1" si="184"/>
        <v>0</v>
      </c>
      <c r="P139" s="42"/>
      <c r="Q139" s="31">
        <f t="shared" ref="Q139:Z139" ca="1" si="194">_xlfn.CHISQ.INV(RAND(),2)*$AL$4 *F139</f>
        <v>56682.781797546253</v>
      </c>
      <c r="R139" s="31">
        <f t="shared" ca="1" si="194"/>
        <v>14865.979374339511</v>
      </c>
      <c r="S139" s="31">
        <f t="shared" ca="1" si="194"/>
        <v>6637.5983293574036</v>
      </c>
      <c r="T139" s="31">
        <f t="shared" ca="1" si="194"/>
        <v>14615.656818536942</v>
      </c>
      <c r="U139" s="31">
        <f t="shared" ca="1" si="194"/>
        <v>7212.7646964662899</v>
      </c>
      <c r="V139" s="31">
        <f t="shared" ca="1" si="194"/>
        <v>18410.071070304679</v>
      </c>
      <c r="W139" s="31">
        <f t="shared" ca="1" si="194"/>
        <v>0</v>
      </c>
      <c r="X139" s="31">
        <f t="shared" ca="1" si="194"/>
        <v>0</v>
      </c>
      <c r="Y139" s="31">
        <f t="shared" ca="1" si="194"/>
        <v>0</v>
      </c>
      <c r="Z139" s="31">
        <f t="shared" ca="1" si="194"/>
        <v>0</v>
      </c>
      <c r="AA139" s="44">
        <f t="shared" ca="1" si="12"/>
        <v>118424.85208655108</v>
      </c>
      <c r="AB139" s="16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</row>
    <row r="140" spans="1:38" ht="13.2">
      <c r="A140" s="33">
        <v>139</v>
      </c>
      <c r="B140" s="30">
        <v>40000</v>
      </c>
      <c r="C140" s="46"/>
      <c r="D140" s="35">
        <f t="shared" ca="1" si="0"/>
        <v>0.73306717218025719</v>
      </c>
      <c r="E140" s="38">
        <f t="shared" ca="1" si="174"/>
        <v>6</v>
      </c>
      <c r="F140" s="40">
        <f t="shared" ca="1" si="175"/>
        <v>1</v>
      </c>
      <c r="G140" s="40">
        <f t="shared" ca="1" si="176"/>
        <v>1</v>
      </c>
      <c r="H140" s="40">
        <f t="shared" ca="1" si="177"/>
        <v>1</v>
      </c>
      <c r="I140" s="40">
        <f t="shared" ca="1" si="178"/>
        <v>1</v>
      </c>
      <c r="J140" s="40">
        <f t="shared" ca="1" si="179"/>
        <v>1</v>
      </c>
      <c r="K140" s="40">
        <f t="shared" ca="1" si="180"/>
        <v>1</v>
      </c>
      <c r="L140" s="40">
        <f t="shared" ca="1" si="181"/>
        <v>0</v>
      </c>
      <c r="M140" s="40">
        <f t="shared" ca="1" si="182"/>
        <v>0</v>
      </c>
      <c r="N140" s="40">
        <f t="shared" ca="1" si="183"/>
        <v>0</v>
      </c>
      <c r="O140" s="40">
        <f t="shared" ca="1" si="184"/>
        <v>0</v>
      </c>
      <c r="P140" s="42"/>
      <c r="Q140" s="31">
        <f t="shared" ref="Q140:Z140" ca="1" si="195">_xlfn.CHISQ.INV(RAND(),2)*$AL$4 *F140</f>
        <v>19210.927030138642</v>
      </c>
      <c r="R140" s="31">
        <f t="shared" ca="1" si="195"/>
        <v>20668.681292709662</v>
      </c>
      <c r="S140" s="31">
        <f t="shared" ca="1" si="195"/>
        <v>5874.4377385793932</v>
      </c>
      <c r="T140" s="31">
        <f t="shared" ca="1" si="195"/>
        <v>25941.819572948465</v>
      </c>
      <c r="U140" s="31">
        <f t="shared" ca="1" si="195"/>
        <v>90666.194663592352</v>
      </c>
      <c r="V140" s="31">
        <f t="shared" ca="1" si="195"/>
        <v>8220.9252268155051</v>
      </c>
      <c r="W140" s="31">
        <f t="shared" ca="1" si="195"/>
        <v>0</v>
      </c>
      <c r="X140" s="31">
        <f t="shared" ca="1" si="195"/>
        <v>0</v>
      </c>
      <c r="Y140" s="31">
        <f t="shared" ca="1" si="195"/>
        <v>0</v>
      </c>
      <c r="Z140" s="31">
        <f t="shared" ca="1" si="195"/>
        <v>0</v>
      </c>
      <c r="AA140" s="44">
        <f t="shared" ca="1" si="12"/>
        <v>170582.98552478402</v>
      </c>
      <c r="AB140" s="165"/>
      <c r="AC140" s="95"/>
      <c r="AD140" s="95"/>
      <c r="AE140" s="95"/>
      <c r="AF140" s="95"/>
      <c r="AG140" s="95"/>
      <c r="AH140" s="95"/>
      <c r="AI140" s="95"/>
      <c r="AJ140" s="95"/>
      <c r="AK140" s="95"/>
      <c r="AL140" s="95"/>
    </row>
    <row r="141" spans="1:38" ht="13.2">
      <c r="A141" s="33">
        <v>140</v>
      </c>
      <c r="B141" s="30">
        <v>40000</v>
      </c>
      <c r="C141" s="46"/>
      <c r="D141" s="35">
        <f t="shared" ca="1" si="0"/>
        <v>0.55407315548313907</v>
      </c>
      <c r="E141" s="38">
        <f t="shared" ca="1" si="174"/>
        <v>5</v>
      </c>
      <c r="F141" s="40">
        <f t="shared" ca="1" si="175"/>
        <v>1</v>
      </c>
      <c r="G141" s="40">
        <f t="shared" ca="1" si="176"/>
        <v>1</v>
      </c>
      <c r="H141" s="40">
        <f t="shared" ca="1" si="177"/>
        <v>1</v>
      </c>
      <c r="I141" s="40">
        <f t="shared" ca="1" si="178"/>
        <v>1</v>
      </c>
      <c r="J141" s="40">
        <f t="shared" ca="1" si="179"/>
        <v>1</v>
      </c>
      <c r="K141" s="40">
        <f t="shared" ca="1" si="180"/>
        <v>0</v>
      </c>
      <c r="L141" s="40">
        <f t="shared" ca="1" si="181"/>
        <v>0</v>
      </c>
      <c r="M141" s="40">
        <f t="shared" ca="1" si="182"/>
        <v>0</v>
      </c>
      <c r="N141" s="40">
        <f t="shared" ca="1" si="183"/>
        <v>0</v>
      </c>
      <c r="O141" s="40">
        <f t="shared" ca="1" si="184"/>
        <v>0</v>
      </c>
      <c r="P141" s="42"/>
      <c r="Q141" s="31">
        <f t="shared" ref="Q141:Z141" ca="1" si="196">_xlfn.CHISQ.INV(RAND(),2)*$AL$4 *F141</f>
        <v>58936.042969416012</v>
      </c>
      <c r="R141" s="31">
        <f t="shared" ca="1" si="196"/>
        <v>6450.6125275882068</v>
      </c>
      <c r="S141" s="31">
        <f t="shared" ca="1" si="196"/>
        <v>14578.185447120346</v>
      </c>
      <c r="T141" s="31">
        <f t="shared" ca="1" si="196"/>
        <v>818.73966867388083</v>
      </c>
      <c r="U141" s="31">
        <f t="shared" ca="1" si="196"/>
        <v>11730.297738871435</v>
      </c>
      <c r="V141" s="31">
        <f t="shared" ca="1" si="196"/>
        <v>0</v>
      </c>
      <c r="W141" s="31">
        <f t="shared" ca="1" si="196"/>
        <v>0</v>
      </c>
      <c r="X141" s="31">
        <f t="shared" ca="1" si="196"/>
        <v>0</v>
      </c>
      <c r="Y141" s="31">
        <f t="shared" ca="1" si="196"/>
        <v>0</v>
      </c>
      <c r="Z141" s="31">
        <f t="shared" ca="1" si="196"/>
        <v>0</v>
      </c>
      <c r="AA141" s="44">
        <f t="shared" ca="1" si="12"/>
        <v>92513.878351669875</v>
      </c>
      <c r="AB141" s="165"/>
      <c r="AC141" s="95"/>
      <c r="AD141" s="95"/>
      <c r="AE141" s="95"/>
      <c r="AF141" s="95"/>
      <c r="AG141" s="95"/>
      <c r="AH141" s="95"/>
      <c r="AI141" s="95"/>
      <c r="AJ141" s="95"/>
      <c r="AK141" s="95"/>
      <c r="AL141" s="95"/>
    </row>
  </sheetData>
  <phoneticPr fontId="13" type="noConversion"/>
  <conditionalFormatting sqref="F2:P14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Z14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6">
    <tabColor rgb="FFCC0000"/>
    <outlinePr summaryBelow="0" summaryRight="0"/>
  </sheetPr>
  <dimension ref="A2:T219"/>
  <sheetViews>
    <sheetView zoomScale="70" zoomScaleNormal="70" workbookViewId="0">
      <selection activeCell="E12" sqref="E12"/>
    </sheetView>
  </sheetViews>
  <sheetFormatPr defaultColWidth="12.6640625" defaultRowHeight="15.75" customHeight="1"/>
  <cols>
    <col min="1" max="4" width="12.6640625" style="36"/>
    <col min="5" max="5" width="18.6640625" style="36" bestFit="1" customWidth="1"/>
    <col min="6" max="6" width="12.77734375" style="36" bestFit="1" customWidth="1"/>
    <col min="7" max="16" width="13.6640625" style="36" bestFit="1" customWidth="1"/>
    <col min="17" max="17" width="12.6640625" style="36"/>
    <col min="18" max="18" width="15.6640625" style="36" customWidth="1"/>
    <col min="19" max="19" width="35.109375" style="36" customWidth="1"/>
    <col min="20" max="20" width="26.6640625" style="36" customWidth="1"/>
    <col min="21" max="16384" width="12.6640625" style="36"/>
  </cols>
  <sheetData>
    <row r="2" spans="1:20" customFormat="1" ht="15.75" customHeight="1">
      <c r="A2" s="36"/>
      <c r="B2" s="7" t="s">
        <v>61</v>
      </c>
      <c r="C2" s="7" t="s">
        <v>62</v>
      </c>
      <c r="D2" s="7" t="s">
        <v>63</v>
      </c>
      <c r="E2" s="7" t="s">
        <v>64</v>
      </c>
      <c r="F2" s="7" t="s">
        <v>65</v>
      </c>
      <c r="G2" s="7" t="s">
        <v>66</v>
      </c>
      <c r="H2" s="7" t="s">
        <v>67</v>
      </c>
      <c r="I2" s="7" t="s">
        <v>68</v>
      </c>
      <c r="J2" s="7" t="s">
        <v>69</v>
      </c>
      <c r="K2" s="7" t="s">
        <v>70</v>
      </c>
      <c r="L2" s="7" t="s">
        <v>71</v>
      </c>
      <c r="M2" s="7" t="s">
        <v>72</v>
      </c>
      <c r="N2" s="7" t="s">
        <v>73</v>
      </c>
      <c r="O2" s="7" t="s">
        <v>74</v>
      </c>
      <c r="P2" s="8" t="s">
        <v>75</v>
      </c>
      <c r="Q2" s="8" t="s">
        <v>76</v>
      </c>
      <c r="R2" s="8" t="s">
        <v>77</v>
      </c>
      <c r="S2" s="8" t="s">
        <v>78</v>
      </c>
      <c r="T2" s="8" t="s">
        <v>79</v>
      </c>
    </row>
    <row r="3" spans="1:20" ht="15.75" customHeight="1">
      <c r="B3" s="9" t="s">
        <v>80</v>
      </c>
      <c r="C3" s="7">
        <v>357.5</v>
      </c>
      <c r="D3" s="7">
        <v>354.3</v>
      </c>
      <c r="E3" s="7">
        <v>348.3</v>
      </c>
      <c r="F3" s="49">
        <v>346</v>
      </c>
      <c r="G3" s="7">
        <v>340.9</v>
      </c>
      <c r="H3" s="7">
        <v>340.1</v>
      </c>
      <c r="I3" s="7">
        <v>337.9</v>
      </c>
      <c r="J3" s="7">
        <v>332.7</v>
      </c>
      <c r="K3" s="7">
        <v>334.3</v>
      </c>
      <c r="L3" s="7">
        <v>334.4</v>
      </c>
      <c r="M3" s="7">
        <v>330.5</v>
      </c>
      <c r="N3" s="7">
        <v>330.2</v>
      </c>
      <c r="O3" s="7">
        <v>340.6</v>
      </c>
      <c r="P3" s="8">
        <f>STDEV(C3:N3)</f>
        <v>9.1457350550390313</v>
      </c>
      <c r="Q3" s="8">
        <f ca="1">NORMINV(RAND(),O3,P3)*C12</f>
        <v>2477841.3332102587</v>
      </c>
      <c r="R3" s="10">
        <f t="shared" ref="R3:R6" ca="1" si="0">Q3*12</f>
        <v>29734095.998523105</v>
      </c>
      <c r="S3" s="8"/>
    </row>
    <row r="4" spans="1:20" ht="15.75" customHeight="1">
      <c r="B4" s="9" t="s">
        <v>81</v>
      </c>
      <c r="C4" s="7">
        <v>132</v>
      </c>
      <c r="D4" s="7">
        <v>130.69999999999999</v>
      </c>
      <c r="E4" s="7">
        <v>129.19999999999999</v>
      </c>
      <c r="F4" s="49">
        <v>130</v>
      </c>
      <c r="G4" s="7">
        <v>129.19999999999999</v>
      </c>
      <c r="H4" s="7">
        <v>129</v>
      </c>
      <c r="I4" s="7">
        <v>130.5</v>
      </c>
      <c r="J4" s="7">
        <v>128.9</v>
      </c>
      <c r="K4" s="7">
        <v>128</v>
      </c>
      <c r="L4" s="7">
        <v>128.69999999999999</v>
      </c>
      <c r="M4" s="7">
        <v>129.19999999999999</v>
      </c>
      <c r="N4" s="7">
        <v>130.5</v>
      </c>
      <c r="O4" s="7">
        <v>129.6</v>
      </c>
      <c r="P4" s="8">
        <f t="shared" ref="P4" si="1">STDEV(C4:N4)</f>
        <v>1.1040901917484611</v>
      </c>
      <c r="Q4" s="8">
        <f ca="1">NORMINV(RAND(),O4,P4)*C13</f>
        <v>764380.36274544057</v>
      </c>
      <c r="R4" s="10">
        <f t="shared" ca="1" si="0"/>
        <v>9172564.3529452868</v>
      </c>
      <c r="S4" s="8"/>
    </row>
    <row r="5" spans="1:20" ht="15.75" customHeight="1">
      <c r="B5" s="9" t="s">
        <v>82</v>
      </c>
      <c r="C5" s="7">
        <v>53.6</v>
      </c>
      <c r="D5" s="7">
        <v>54.6</v>
      </c>
      <c r="E5" s="7">
        <v>54.6</v>
      </c>
      <c r="F5" s="7">
        <v>54.6</v>
      </c>
      <c r="G5" s="7">
        <v>55</v>
      </c>
      <c r="H5" s="7">
        <v>55.6</v>
      </c>
      <c r="I5" s="7">
        <v>54.8</v>
      </c>
      <c r="J5" s="7">
        <v>53</v>
      </c>
      <c r="K5" s="7">
        <v>53</v>
      </c>
      <c r="L5" s="7">
        <v>54</v>
      </c>
      <c r="M5" s="7">
        <v>55</v>
      </c>
      <c r="N5" s="7">
        <v>56</v>
      </c>
      <c r="O5" s="7">
        <v>54.5</v>
      </c>
      <c r="P5" s="8">
        <f>STDEV(C5:N5)</f>
        <v>0.93598109279012998</v>
      </c>
      <c r="Q5" s="8">
        <f ca="1">NORMINV(RAND(),O5,P5)*C10</f>
        <v>391780.22965931869</v>
      </c>
      <c r="R5" s="10">
        <f t="shared" ca="1" si="0"/>
        <v>4701362.7559118243</v>
      </c>
      <c r="S5" s="8"/>
    </row>
    <row r="6" spans="1:20" ht="15.75" customHeight="1">
      <c r="B6" s="9" t="s">
        <v>83</v>
      </c>
      <c r="C6" s="9">
        <v>543.1</v>
      </c>
      <c r="D6" s="9">
        <v>539.5</v>
      </c>
      <c r="E6" s="9">
        <v>532.1</v>
      </c>
      <c r="F6" s="9">
        <v>530.6</v>
      </c>
      <c r="G6" s="9">
        <v>525.1</v>
      </c>
      <c r="H6" s="9">
        <v>524.70000000000005</v>
      </c>
      <c r="I6" s="9">
        <v>523.20000000000005</v>
      </c>
      <c r="J6" s="9">
        <v>514.6</v>
      </c>
      <c r="K6" s="9">
        <v>515.29999999999995</v>
      </c>
      <c r="L6" s="9">
        <v>517</v>
      </c>
      <c r="M6" s="9">
        <v>514.70000000000005</v>
      </c>
      <c r="N6" s="9">
        <v>516.70000000000005</v>
      </c>
      <c r="O6" s="9">
        <v>524.70000000000005</v>
      </c>
      <c r="P6" s="194">
        <f>STDEV(C6:N6)</f>
        <v>9.831473886853324</v>
      </c>
      <c r="Q6" s="194">
        <f ca="1">SUM(Q3:Q5)</f>
        <v>3634001.9256150182</v>
      </c>
      <c r="R6" s="195">
        <f t="shared" ca="1" si="0"/>
        <v>43608023.107380219</v>
      </c>
      <c r="S6" s="195">
        <f ca="1">R6+108200</f>
        <v>43716223.107380219</v>
      </c>
      <c r="T6" s="192">
        <f ca="1">S6+238220</f>
        <v>43954443.107380219</v>
      </c>
    </row>
    <row r="7" spans="1:20" ht="15.75" customHeight="1">
      <c r="S7" s="36" t="s">
        <v>10</v>
      </c>
    </row>
    <row r="8" spans="1:20" ht="15.75" customHeight="1">
      <c r="B8" s="11" t="s">
        <v>84</v>
      </c>
      <c r="C8" s="11" t="s">
        <v>85</v>
      </c>
      <c r="E8" s="51" t="s">
        <v>110</v>
      </c>
      <c r="J8" s="73" t="s">
        <v>10</v>
      </c>
      <c r="S8" s="36" t="s">
        <v>10</v>
      </c>
    </row>
    <row r="9" spans="1:20" ht="15.75" customHeight="1">
      <c r="B9" s="12" t="s">
        <v>86</v>
      </c>
      <c r="C9" s="11">
        <f>6732.22*(E9)</f>
        <v>6732.22</v>
      </c>
      <c r="E9" s="52">
        <v>1</v>
      </c>
      <c r="S9" s="36" t="s">
        <v>10</v>
      </c>
    </row>
    <row r="10" spans="1:20" ht="15.75" customHeight="1">
      <c r="B10" s="11" t="s">
        <v>87</v>
      </c>
      <c r="C10" s="11">
        <f>7146.95*(E9)</f>
        <v>7146.95</v>
      </c>
      <c r="S10" s="193" t="s">
        <v>135</v>
      </c>
      <c r="T10" s="36">
        <f ca="1">Podsumowanie!J9</f>
        <v>4141962.804915458</v>
      </c>
    </row>
    <row r="11" spans="1:20" ht="15.75" customHeight="1">
      <c r="B11" s="11" t="s">
        <v>88</v>
      </c>
      <c r="C11" s="11">
        <f>6684.17*(E9)</f>
        <v>6684.17</v>
      </c>
      <c r="P11" s="73" t="s">
        <v>10</v>
      </c>
      <c r="S11" s="73" t="s">
        <v>10</v>
      </c>
    </row>
    <row r="12" spans="1:20" ht="15.75" customHeight="1">
      <c r="B12" s="11" t="s">
        <v>89</v>
      </c>
      <c r="C12" s="11">
        <f>7000.08*(E9)</f>
        <v>7000.08</v>
      </c>
      <c r="K12" s="73" t="s">
        <v>10</v>
      </c>
      <c r="O12" s="36" t="s">
        <v>10</v>
      </c>
      <c r="P12" s="73" t="s">
        <v>10</v>
      </c>
      <c r="S12" s="73" t="s">
        <v>10</v>
      </c>
    </row>
    <row r="13" spans="1:20" ht="15.75" customHeight="1">
      <c r="B13" s="11" t="s">
        <v>90</v>
      </c>
      <c r="C13" s="11">
        <f>5854.27*(E9)</f>
        <v>5854.27</v>
      </c>
      <c r="O13" s="36" t="s">
        <v>10</v>
      </c>
      <c r="P13" s="73" t="s">
        <v>10</v>
      </c>
      <c r="Q13" s="73" t="s">
        <v>10</v>
      </c>
      <c r="S13" s="73" t="s">
        <v>10</v>
      </c>
    </row>
    <row r="14" spans="1:20" ht="15.75" customHeight="1">
      <c r="B14"/>
      <c r="C14"/>
      <c r="D14"/>
      <c r="J14" s="73" t="s">
        <v>10</v>
      </c>
      <c r="K14" s="73" t="s">
        <v>10</v>
      </c>
      <c r="P14" s="73" t="s">
        <v>10</v>
      </c>
      <c r="Q14" s="73" t="s">
        <v>10</v>
      </c>
      <c r="S14" s="73" t="s">
        <v>10</v>
      </c>
    </row>
    <row r="15" spans="1:20" ht="15.75" customHeight="1">
      <c r="I15" s="73" t="s">
        <v>10</v>
      </c>
      <c r="J15" s="73" t="s">
        <v>10</v>
      </c>
      <c r="K15" s="73" t="s">
        <v>10</v>
      </c>
      <c r="P15" s="73" t="s">
        <v>10</v>
      </c>
      <c r="S15" s="73" t="s">
        <v>10</v>
      </c>
      <c r="T15" s="73" t="s">
        <v>10</v>
      </c>
    </row>
    <row r="16" spans="1:20" ht="15.75" customHeight="1">
      <c r="F16" s="73" t="s">
        <v>122</v>
      </c>
      <c r="G16" s="97">
        <f>AVERAGE(G20:G219)</f>
        <v>10744079.094485126</v>
      </c>
      <c r="H16" s="97">
        <f t="shared" ref="H16:P16" si="2">AVERAGE(H20:H219)</f>
        <v>9323123.8386258204</v>
      </c>
      <c r="I16" s="97">
        <f t="shared" si="2"/>
        <v>8026648.3172270451</v>
      </c>
      <c r="J16" s="97">
        <f t="shared" si="2"/>
        <v>6662692.4327739561</v>
      </c>
      <c r="K16" s="97">
        <f t="shared" si="2"/>
        <v>5745724.6941205012</v>
      </c>
      <c r="L16" s="97">
        <f t="shared" si="2"/>
        <v>4682206.7355326125</v>
      </c>
      <c r="M16" s="97">
        <f t="shared" si="2"/>
        <v>3604561.2087513311</v>
      </c>
      <c r="N16" s="97">
        <f t="shared" si="2"/>
        <v>2508253.8355627758</v>
      </c>
      <c r="O16" s="97">
        <f t="shared" si="2"/>
        <v>1956837.3148279279</v>
      </c>
      <c r="P16" s="97">
        <f t="shared" si="2"/>
        <v>752069.73855491891</v>
      </c>
      <c r="S16" s="73" t="s">
        <v>10</v>
      </c>
      <c r="T16" s="73" t="s">
        <v>10</v>
      </c>
    </row>
    <row r="17" spans="6:20" ht="15.75" customHeight="1">
      <c r="K17" s="73" t="s">
        <v>10</v>
      </c>
      <c r="O17" s="73" t="s">
        <v>10</v>
      </c>
      <c r="S17" s="73" t="s">
        <v>10</v>
      </c>
      <c r="T17" s="73" t="s">
        <v>10</v>
      </c>
    </row>
    <row r="18" spans="6:20" ht="15.75" customHeight="1">
      <c r="K18" s="73" t="s">
        <v>10</v>
      </c>
      <c r="S18" s="73" t="s">
        <v>10</v>
      </c>
      <c r="T18" s="73" t="s">
        <v>10</v>
      </c>
    </row>
    <row r="19" spans="6:20" ht="15.75" customHeight="1">
      <c r="F19" s="196">
        <f ca="1">T10</f>
        <v>4141962.804915458</v>
      </c>
      <c r="G19" s="197">
        <v>37000000</v>
      </c>
      <c r="H19" s="197">
        <v>38000000</v>
      </c>
      <c r="I19" s="197">
        <v>39000000</v>
      </c>
      <c r="J19" s="197">
        <v>40000000</v>
      </c>
      <c r="K19" s="197">
        <v>41000000</v>
      </c>
      <c r="L19" s="197">
        <v>42000000</v>
      </c>
      <c r="M19" s="197">
        <v>43000000</v>
      </c>
      <c r="N19" s="197">
        <v>44000000</v>
      </c>
      <c r="O19" s="197">
        <v>45000000</v>
      </c>
      <c r="P19" s="197">
        <v>46000000</v>
      </c>
      <c r="S19" s="73" t="s">
        <v>10</v>
      </c>
      <c r="T19" s="73" t="s">
        <v>10</v>
      </c>
    </row>
    <row r="20" spans="6:20" ht="15.75" customHeight="1">
      <c r="F20" s="36">
        <v>1</v>
      </c>
      <c r="G20" s="114">
        <f t="dataTable" ref="G20:P219" dt2D="1" dtr="1" r1="T6" r2="Q28" ca="1"/>
        <v>16110560.072379991</v>
      </c>
      <c r="H20" s="114">
        <v>3427238.1157330722</v>
      </c>
      <c r="I20" s="114">
        <v>4500285.8966170102</v>
      </c>
      <c r="J20" s="114">
        <v>3180954.9119626731</v>
      </c>
      <c r="K20" s="114">
        <v>17049326.665991306</v>
      </c>
      <c r="L20" s="114">
        <v>8978959.3559438586</v>
      </c>
      <c r="M20" s="114">
        <v>-4528960.4349935949</v>
      </c>
      <c r="N20" s="114">
        <v>-883782.36156451702</v>
      </c>
      <c r="O20" s="114">
        <v>-2552871.8225498796</v>
      </c>
      <c r="P20" s="114">
        <v>1120432.9046392441</v>
      </c>
      <c r="S20" s="73" t="s">
        <v>10</v>
      </c>
    </row>
    <row r="21" spans="6:20" ht="15.75" customHeight="1">
      <c r="F21" s="36">
        <v>2</v>
      </c>
      <c r="G21" s="114">
        <v>16952731.893177837</v>
      </c>
      <c r="H21" s="114">
        <v>6639947.6055816412</v>
      </c>
      <c r="I21" s="114">
        <v>7308762.1195776463</v>
      </c>
      <c r="J21" s="114">
        <v>7906727.6139031947</v>
      </c>
      <c r="K21" s="114">
        <v>8110105.715095371</v>
      </c>
      <c r="L21" s="114">
        <v>12018878.175022319</v>
      </c>
      <c r="M21" s="114">
        <v>649569.81898495555</v>
      </c>
      <c r="N21" s="114">
        <v>-1988691.9923287779</v>
      </c>
      <c r="O21" s="114">
        <v>6333728.4191745818</v>
      </c>
      <c r="P21" s="114">
        <v>-7824912.1524046957</v>
      </c>
      <c r="S21" s="73" t="s">
        <v>10</v>
      </c>
    </row>
    <row r="22" spans="6:20" ht="15.75" customHeight="1">
      <c r="F22" s="36">
        <v>3</v>
      </c>
      <c r="G22" s="114">
        <v>18992738.578414023</v>
      </c>
      <c r="H22" s="114">
        <v>6220587.5518613607</v>
      </c>
      <c r="I22" s="114">
        <v>5919418.3538630903</v>
      </c>
      <c r="J22" s="114">
        <v>-1122652.0919449031</v>
      </c>
      <c r="K22" s="114">
        <v>-2298875.6143205166</v>
      </c>
      <c r="L22" s="114">
        <v>9313690.7184500545</v>
      </c>
      <c r="M22" s="114">
        <v>-4354885.1314775646</v>
      </c>
      <c r="N22" s="114">
        <v>3345267.5479515344</v>
      </c>
      <c r="O22" s="114">
        <v>6607407.3354137242</v>
      </c>
      <c r="P22" s="114">
        <v>2923192.6879232228</v>
      </c>
      <c r="S22" s="73" t="s">
        <v>10</v>
      </c>
    </row>
    <row r="23" spans="6:20" ht="15.75" customHeight="1">
      <c r="F23" s="36">
        <v>4</v>
      </c>
      <c r="G23" s="114">
        <v>10989838.868088335</v>
      </c>
      <c r="H23" s="114">
        <v>2490807.0955408514</v>
      </c>
      <c r="I23" s="114">
        <v>18463155.834986627</v>
      </c>
      <c r="J23" s="114">
        <v>-57679.826407819986</v>
      </c>
      <c r="K23" s="114">
        <v>-181230.8562066108</v>
      </c>
      <c r="L23" s="114">
        <v>4986863.3591211736</v>
      </c>
      <c r="M23" s="114">
        <v>10799144.576810554</v>
      </c>
      <c r="N23" s="114">
        <v>-3924839.5691139549</v>
      </c>
      <c r="O23" s="114">
        <v>-1746418.1522957832</v>
      </c>
      <c r="P23" s="114">
        <v>-3181600.5643821359</v>
      </c>
      <c r="S23" s="73" t="s">
        <v>10</v>
      </c>
    </row>
    <row r="24" spans="6:20" ht="15.75" customHeight="1">
      <c r="F24" s="36">
        <v>5</v>
      </c>
      <c r="G24" s="114">
        <v>2231769.0471915752</v>
      </c>
      <c r="H24" s="114">
        <v>5796419.9527557641</v>
      </c>
      <c r="I24" s="114">
        <v>7192015.44344908</v>
      </c>
      <c r="J24" s="114">
        <v>8596788.8033738881</v>
      </c>
      <c r="K24" s="114">
        <v>13496731.857206017</v>
      </c>
      <c r="L24" s="114">
        <v>10258270.635437161</v>
      </c>
      <c r="M24" s="114">
        <v>-2250236.406086728</v>
      </c>
      <c r="N24" s="114">
        <v>-4067524.769312501</v>
      </c>
      <c r="O24" s="114">
        <v>-10327896.157815039</v>
      </c>
      <c r="P24" s="114">
        <v>1614902.1937184483</v>
      </c>
      <c r="S24" s="73" t="s">
        <v>10</v>
      </c>
    </row>
    <row r="25" spans="6:20" ht="15.75" customHeight="1">
      <c r="F25" s="36">
        <v>6</v>
      </c>
      <c r="G25" s="114">
        <v>18223020.207686454</v>
      </c>
      <c r="H25" s="114">
        <v>10006342.712722138</v>
      </c>
      <c r="I25" s="114">
        <v>13090744.129494607</v>
      </c>
      <c r="J25" s="114">
        <v>14638206.378506795</v>
      </c>
      <c r="K25" s="114">
        <v>5977957.3957941681</v>
      </c>
      <c r="L25" s="114">
        <v>-10017090.587430239</v>
      </c>
      <c r="M25" s="114">
        <v>3341846.6129613817</v>
      </c>
      <c r="N25" s="114">
        <v>-6119457.6315748245</v>
      </c>
      <c r="O25" s="114">
        <v>4205724.6358080208</v>
      </c>
      <c r="P25" s="114">
        <v>6318029.8466077149</v>
      </c>
      <c r="S25" s="73" t="s">
        <v>10</v>
      </c>
    </row>
    <row r="26" spans="6:20" ht="15.75" customHeight="1">
      <c r="F26" s="36">
        <v>7</v>
      </c>
      <c r="G26" s="114">
        <v>11948400.065528154</v>
      </c>
      <c r="H26" s="114">
        <v>2119513.5879341364</v>
      </c>
      <c r="I26" s="114">
        <v>-610394.21282279491</v>
      </c>
      <c r="J26" s="114">
        <v>5665468.9333764613</v>
      </c>
      <c r="K26" s="114">
        <v>8849745.5923371911</v>
      </c>
      <c r="L26" s="114">
        <v>5546447.4944209158</v>
      </c>
      <c r="M26" s="114">
        <v>6461460.9434250295</v>
      </c>
      <c r="N26" s="114">
        <v>-4391630.7470132411</v>
      </c>
      <c r="O26" s="114">
        <v>-496485.17349661887</v>
      </c>
      <c r="P26" s="114">
        <v>-8183285.7762845308</v>
      </c>
      <c r="S26" s="73" t="s">
        <v>10</v>
      </c>
    </row>
    <row r="27" spans="6:20" ht="15.75" customHeight="1">
      <c r="F27" s="36">
        <v>8</v>
      </c>
      <c r="G27" s="114">
        <v>4368302.6125314087</v>
      </c>
      <c r="H27" s="114">
        <v>12264483.554468766</v>
      </c>
      <c r="I27" s="114">
        <v>15509262.583349556</v>
      </c>
      <c r="J27" s="114">
        <v>3215261.66394642</v>
      </c>
      <c r="K27" s="114">
        <v>8753226.2441980243</v>
      </c>
      <c r="L27" s="114">
        <v>4616613.9981937259</v>
      </c>
      <c r="M27" s="114">
        <v>5928809.1934300959</v>
      </c>
      <c r="N27" s="114">
        <v>8718158.0167534202</v>
      </c>
      <c r="O27" s="114">
        <v>-1731253.0876684487</v>
      </c>
      <c r="P27" s="114">
        <v>9029745.4535110444</v>
      </c>
      <c r="S27" s="73" t="s">
        <v>10</v>
      </c>
    </row>
    <row r="28" spans="6:20" ht="15.75" customHeight="1">
      <c r="F28" s="36">
        <v>9</v>
      </c>
      <c r="G28" s="114">
        <v>4316252.3675148189</v>
      </c>
      <c r="H28" s="114">
        <v>3764526.1552581936</v>
      </c>
      <c r="I28" s="114">
        <v>7219980.691806376</v>
      </c>
      <c r="J28" s="114">
        <v>14085533.980680376</v>
      </c>
      <c r="K28" s="114">
        <v>9180735.2507509589</v>
      </c>
      <c r="L28" s="114">
        <v>14106599.99527061</v>
      </c>
      <c r="M28" s="114">
        <v>-4272749.5607507527</v>
      </c>
      <c r="N28" s="114">
        <v>8362673.475599736</v>
      </c>
      <c r="O28" s="114">
        <v>-1454819.9324517548</v>
      </c>
      <c r="P28" s="114">
        <v>-861310.01071487367</v>
      </c>
      <c r="S28" s="73" t="s">
        <v>10</v>
      </c>
    </row>
    <row r="29" spans="6:20" ht="15.75" customHeight="1">
      <c r="F29" s="36">
        <v>10</v>
      </c>
      <c r="G29" s="114">
        <v>2814352.2962346673</v>
      </c>
      <c r="H29" s="114">
        <v>6056616.3300927281</v>
      </c>
      <c r="I29" s="114">
        <v>10328418.180018991</v>
      </c>
      <c r="J29" s="114">
        <v>12033925.300232649</v>
      </c>
      <c r="K29" s="114">
        <v>5313393.8795765638</v>
      </c>
      <c r="L29" s="114">
        <v>2553116.1618718058</v>
      </c>
      <c r="M29" s="114">
        <v>6474174.0541936159</v>
      </c>
      <c r="N29" s="114">
        <v>9153578.2679585665</v>
      </c>
      <c r="O29" s="114">
        <v>3265424.887260586</v>
      </c>
      <c r="P29" s="114">
        <v>-3875057.1317461282</v>
      </c>
      <c r="S29" s="73" t="s">
        <v>10</v>
      </c>
    </row>
    <row r="30" spans="6:20" ht="15.75" customHeight="1">
      <c r="F30" s="36">
        <v>11</v>
      </c>
      <c r="G30" s="114">
        <v>7735245.5845258981</v>
      </c>
      <c r="H30" s="114">
        <v>3037944.3608160764</v>
      </c>
      <c r="I30" s="114">
        <v>12968029.398174405</v>
      </c>
      <c r="J30" s="114">
        <v>17474717.646634996</v>
      </c>
      <c r="K30" s="114">
        <v>10285577.89243488</v>
      </c>
      <c r="L30" s="114">
        <v>9964117.3950157464</v>
      </c>
      <c r="M30" s="114">
        <v>5107839.943208456</v>
      </c>
      <c r="N30" s="114">
        <v>-7249175.5042820573</v>
      </c>
      <c r="O30" s="114">
        <v>7471156.7530848682</v>
      </c>
      <c r="P30" s="114">
        <v>8392657.6998719573</v>
      </c>
      <c r="S30" s="73" t="s">
        <v>10</v>
      </c>
    </row>
    <row r="31" spans="6:20" ht="15.75" customHeight="1">
      <c r="F31" s="36">
        <v>12</v>
      </c>
      <c r="G31" s="114">
        <v>22565001.258125916</v>
      </c>
      <c r="H31" s="114">
        <v>10521418.735028595</v>
      </c>
      <c r="I31" s="114">
        <v>4959343.5038055778</v>
      </c>
      <c r="J31" s="114">
        <v>7474415.8915012032</v>
      </c>
      <c r="K31" s="114">
        <v>6760136.7864307463</v>
      </c>
      <c r="L31" s="114">
        <v>11670639.765191272</v>
      </c>
      <c r="M31" s="114">
        <v>5282255.4359810799</v>
      </c>
      <c r="N31" s="114">
        <v>2105041.0032868683</v>
      </c>
      <c r="O31" s="114">
        <v>-3124923.0497368425</v>
      </c>
      <c r="P31" s="114">
        <v>2594552.0268998444</v>
      </c>
      <c r="S31" s="73" t="s">
        <v>10</v>
      </c>
    </row>
    <row r="32" spans="6:20" ht="15.75" customHeight="1">
      <c r="F32" s="36">
        <v>13</v>
      </c>
      <c r="G32" s="114">
        <v>10549218.7851585</v>
      </c>
      <c r="H32" s="114">
        <v>11935946.758856237</v>
      </c>
      <c r="I32" s="114">
        <v>9024604.9369710386</v>
      </c>
      <c r="J32" s="114">
        <v>11106388.739270538</v>
      </c>
      <c r="K32" s="114">
        <v>-2353085.5071760863</v>
      </c>
      <c r="L32" s="114">
        <v>-978656.22664815187</v>
      </c>
      <c r="M32" s="114">
        <v>9743901.2532216012</v>
      </c>
      <c r="N32" s="114">
        <v>4088374.7422630191</v>
      </c>
      <c r="O32" s="114">
        <v>3839355.6457427442</v>
      </c>
      <c r="P32" s="114">
        <v>-8664043.6336897165</v>
      </c>
    </row>
    <row r="33" spans="6:19" ht="15.75" customHeight="1">
      <c r="F33" s="36">
        <v>14</v>
      </c>
      <c r="G33" s="114">
        <v>14257054.385616571</v>
      </c>
      <c r="H33" s="114">
        <v>7342055.4159978479</v>
      </c>
      <c r="I33" s="114">
        <v>10670264.555459484</v>
      </c>
      <c r="J33" s="114">
        <v>10968520.692512244</v>
      </c>
      <c r="K33" s="114">
        <v>9397868.7411853671</v>
      </c>
      <c r="L33" s="114">
        <v>-4466288.1521269232</v>
      </c>
      <c r="M33" s="114">
        <v>-6066306.7824856043</v>
      </c>
      <c r="N33" s="114">
        <v>8049095.5964881778</v>
      </c>
      <c r="O33" s="114">
        <v>1975939.4602283239</v>
      </c>
      <c r="P33" s="114">
        <v>5367242.0553976744</v>
      </c>
      <c r="R33" s="73" t="s">
        <v>10</v>
      </c>
      <c r="S33" s="73" t="s">
        <v>10</v>
      </c>
    </row>
    <row r="34" spans="6:19" ht="15.75" customHeight="1">
      <c r="F34" s="36">
        <v>15</v>
      </c>
      <c r="G34" s="114">
        <v>-4726075.7800265849</v>
      </c>
      <c r="H34" s="114">
        <v>3123875.8527647853</v>
      </c>
      <c r="I34" s="114">
        <v>4958604.8698817194</v>
      </c>
      <c r="J34" s="114">
        <v>4353454.8117618561</v>
      </c>
      <c r="K34" s="114">
        <v>5498134.8883109987</v>
      </c>
      <c r="L34" s="114">
        <v>-1873303.8411915451</v>
      </c>
      <c r="M34" s="114">
        <v>-3548092.4708909839</v>
      </c>
      <c r="N34" s="114">
        <v>493231.75465422869</v>
      </c>
      <c r="O34" s="114">
        <v>7575369.9763904065</v>
      </c>
      <c r="P34" s="114">
        <v>10988744.286145464</v>
      </c>
      <c r="R34" s="73" t="s">
        <v>10</v>
      </c>
      <c r="S34" s="73" t="s">
        <v>10</v>
      </c>
    </row>
    <row r="35" spans="6:19" ht="15.75" customHeight="1">
      <c r="F35" s="36">
        <v>16</v>
      </c>
      <c r="G35" s="114">
        <v>17669887.582802996</v>
      </c>
      <c r="H35" s="114">
        <v>2242011.8376061171</v>
      </c>
      <c r="I35" s="114">
        <v>5430028.3512555361</v>
      </c>
      <c r="J35" s="114">
        <v>-741355.52626408637</v>
      </c>
      <c r="K35" s="114">
        <v>10923692.262637869</v>
      </c>
      <c r="L35" s="114">
        <v>22346108.843974441</v>
      </c>
      <c r="M35" s="114">
        <v>11834202.113394544</v>
      </c>
      <c r="N35" s="114">
        <v>6563885.9648642242</v>
      </c>
      <c r="O35" s="114">
        <v>95947.984674617648</v>
      </c>
      <c r="P35" s="114">
        <v>-2099366.7494790256</v>
      </c>
      <c r="S35" s="73" t="s">
        <v>10</v>
      </c>
    </row>
    <row r="36" spans="6:19" ht="15.75" customHeight="1">
      <c r="F36" s="36">
        <v>17</v>
      </c>
      <c r="G36" s="114">
        <v>9926429.9229043275</v>
      </c>
      <c r="H36" s="114">
        <v>17539337.424415499</v>
      </c>
      <c r="I36" s="114">
        <v>15828385.461208403</v>
      </c>
      <c r="J36" s="114">
        <v>7400598.3725122213</v>
      </c>
      <c r="K36" s="114">
        <v>1120657.6721182466</v>
      </c>
      <c r="L36" s="114">
        <v>5791037.1814412475</v>
      </c>
      <c r="M36" s="114">
        <v>9843485.0776761621</v>
      </c>
      <c r="N36" s="114">
        <v>6904694.9984929264</v>
      </c>
      <c r="O36" s="114">
        <v>6469739.7274800688</v>
      </c>
      <c r="P36" s="114">
        <v>2792785.7095518112</v>
      </c>
      <c r="R36" s="73" t="s">
        <v>10</v>
      </c>
    </row>
    <row r="37" spans="6:19" ht="15.75" customHeight="1">
      <c r="F37" s="36">
        <v>18</v>
      </c>
      <c r="G37" s="114">
        <v>12696020.777714565</v>
      </c>
      <c r="H37" s="114">
        <v>6161936.9852792919</v>
      </c>
      <c r="I37" s="114">
        <v>-5241132.7091911435</v>
      </c>
      <c r="J37" s="114">
        <v>5215350.2840055078</v>
      </c>
      <c r="K37" s="114">
        <v>5251241.1078522503</v>
      </c>
      <c r="L37" s="114">
        <v>281882.43971924484</v>
      </c>
      <c r="M37" s="114">
        <v>7057270.1154346019</v>
      </c>
      <c r="N37" s="114">
        <v>581140.26931457222</v>
      </c>
      <c r="O37" s="114">
        <v>3676057.812952742</v>
      </c>
      <c r="P37" s="114">
        <v>-1247995.5383217931</v>
      </c>
      <c r="R37" s="73" t="s">
        <v>10</v>
      </c>
      <c r="S37" s="73" t="s">
        <v>10</v>
      </c>
    </row>
    <row r="38" spans="6:19" ht="15.75" customHeight="1">
      <c r="F38" s="36">
        <v>19</v>
      </c>
      <c r="G38" s="114">
        <v>17035936.026358694</v>
      </c>
      <c r="H38" s="114">
        <v>10501613.288145155</v>
      </c>
      <c r="I38" s="114">
        <v>7555289.7322857529</v>
      </c>
      <c r="J38" s="114">
        <v>8775118.2927070558</v>
      </c>
      <c r="K38" s="114">
        <v>1499736.0404420793</v>
      </c>
      <c r="L38" s="114">
        <v>-845514.85442280769</v>
      </c>
      <c r="M38" s="114">
        <v>-3571537.8258515745</v>
      </c>
      <c r="N38" s="114">
        <v>12527694.835189626</v>
      </c>
      <c r="O38" s="114">
        <v>-4471597.048147127</v>
      </c>
      <c r="P38" s="114">
        <v>-4937802.1364507228</v>
      </c>
      <c r="R38" s="73" t="s">
        <v>10</v>
      </c>
      <c r="S38" s="73" t="s">
        <v>10</v>
      </c>
    </row>
    <row r="39" spans="6:19" ht="15.75" customHeight="1">
      <c r="F39" s="36">
        <v>20</v>
      </c>
      <c r="G39" s="114">
        <v>22996596.767894328</v>
      </c>
      <c r="H39" s="114">
        <v>8515537.7484176755</v>
      </c>
      <c r="I39" s="114">
        <v>7828438.1113882959</v>
      </c>
      <c r="J39" s="114">
        <v>12684107.501262739</v>
      </c>
      <c r="K39" s="114">
        <v>4697858.9400511235</v>
      </c>
      <c r="L39" s="114">
        <v>6351242.7641436458</v>
      </c>
      <c r="M39" s="114">
        <v>-855455.58664047718</v>
      </c>
      <c r="N39" s="114">
        <v>-2824178.336190924</v>
      </c>
      <c r="O39" s="114">
        <v>-8701045.3069729805</v>
      </c>
      <c r="P39" s="114">
        <v>2338044.3161154389</v>
      </c>
      <c r="S39" s="73" t="s">
        <v>10</v>
      </c>
    </row>
    <row r="40" spans="6:19" ht="15.75" customHeight="1">
      <c r="F40" s="36">
        <v>21</v>
      </c>
      <c r="G40" s="114">
        <v>28062916.346641913</v>
      </c>
      <c r="H40" s="114">
        <v>11836641.429206669</v>
      </c>
      <c r="I40" s="114">
        <v>6531535.821852982</v>
      </c>
      <c r="J40" s="114">
        <v>5766445.2048379034</v>
      </c>
      <c r="K40" s="114">
        <v>14297769.530496597</v>
      </c>
      <c r="L40" s="114">
        <v>7331732.3754673302</v>
      </c>
      <c r="M40" s="114">
        <v>5283740.48881796</v>
      </c>
      <c r="N40" s="114">
        <v>3287186.0522500277</v>
      </c>
      <c r="O40" s="114">
        <v>5742254.0353525579</v>
      </c>
      <c r="P40" s="114">
        <v>-8859766.171506539</v>
      </c>
      <c r="R40" s="73" t="s">
        <v>10</v>
      </c>
    </row>
    <row r="41" spans="6:19" ht="15.75" customHeight="1">
      <c r="F41" s="36">
        <v>22</v>
      </c>
      <c r="G41" s="114">
        <v>13805343.035290375</v>
      </c>
      <c r="H41" s="114">
        <v>12829768.17926164</v>
      </c>
      <c r="I41" s="114">
        <v>7995355.3575586826</v>
      </c>
      <c r="J41" s="114">
        <v>6601291.7375972569</v>
      </c>
      <c r="K41" s="114">
        <v>7818533.5137173533</v>
      </c>
      <c r="L41" s="114">
        <v>267182.66527953744</v>
      </c>
      <c r="M41" s="114">
        <v>4657522.4021947086</v>
      </c>
      <c r="N41" s="114">
        <v>3894309.0648776442</v>
      </c>
      <c r="O41" s="114">
        <v>10223800.286304101</v>
      </c>
      <c r="P41" s="114">
        <v>-2910086.032565102</v>
      </c>
      <c r="R41" s="73" t="s">
        <v>10</v>
      </c>
      <c r="S41" s="73" t="s">
        <v>10</v>
      </c>
    </row>
    <row r="42" spans="6:19" ht="15.75" customHeight="1">
      <c r="F42" s="36">
        <v>23</v>
      </c>
      <c r="G42" s="114">
        <v>15659776.086696327</v>
      </c>
      <c r="H42" s="114">
        <v>16480205.998692676</v>
      </c>
      <c r="I42" s="114">
        <v>3605710.654252708</v>
      </c>
      <c r="J42" s="114">
        <v>6371847.4521163702</v>
      </c>
      <c r="K42" s="114">
        <v>-359827.57947722077</v>
      </c>
      <c r="L42" s="114">
        <v>-1546284.4947030544</v>
      </c>
      <c r="M42" s="114">
        <v>745540.22826462984</v>
      </c>
      <c r="N42" s="114">
        <v>2360132.0388504863</v>
      </c>
      <c r="O42" s="114">
        <v>-2710781.0403184891</v>
      </c>
      <c r="P42" s="114">
        <v>-5002849.0850117654</v>
      </c>
      <c r="R42" s="73" t="s">
        <v>10</v>
      </c>
      <c r="S42" s="73" t="s">
        <v>10</v>
      </c>
    </row>
    <row r="43" spans="6:19" ht="15.75" customHeight="1">
      <c r="F43" s="36">
        <v>24</v>
      </c>
      <c r="G43" s="114">
        <v>4018779.2763419151</v>
      </c>
      <c r="H43" s="114">
        <v>17188864.88075608</v>
      </c>
      <c r="I43" s="114">
        <v>7685276.6583540142</v>
      </c>
      <c r="J43" s="114">
        <v>1126128.7985304296</v>
      </c>
      <c r="K43" s="114">
        <v>6490759.1924951375</v>
      </c>
      <c r="L43" s="114">
        <v>8384068.2619943023</v>
      </c>
      <c r="M43" s="114">
        <v>1479840.4508645386</v>
      </c>
      <c r="N43" s="114">
        <v>975131.43122833967</v>
      </c>
      <c r="O43" s="114">
        <v>-4225402.3697084785</v>
      </c>
      <c r="P43" s="114">
        <v>5488397.191857487</v>
      </c>
      <c r="R43" s="73" t="s">
        <v>10</v>
      </c>
      <c r="S43" s="73" t="s">
        <v>10</v>
      </c>
    </row>
    <row r="44" spans="6:19" ht="15.75" customHeight="1">
      <c r="F44" s="36">
        <v>25</v>
      </c>
      <c r="G44" s="114">
        <v>8686448.7699244022</v>
      </c>
      <c r="H44" s="114">
        <v>16918358.343436688</v>
      </c>
      <c r="I44" s="114">
        <v>-1540496.4812442511</v>
      </c>
      <c r="J44" s="114">
        <v>9329919.068296358</v>
      </c>
      <c r="K44" s="114">
        <v>10430516.499357536</v>
      </c>
      <c r="L44" s="114">
        <v>11806162.541463912</v>
      </c>
      <c r="M44" s="114">
        <v>-5120307.8153291047</v>
      </c>
      <c r="N44" s="114">
        <v>4365814.2995969355</v>
      </c>
      <c r="O44" s="114">
        <v>2644053.6915098876</v>
      </c>
      <c r="P44" s="114">
        <v>4204313.4871364236</v>
      </c>
    </row>
    <row r="45" spans="6:19" ht="15.75" customHeight="1">
      <c r="F45" s="36">
        <v>26</v>
      </c>
      <c r="G45" s="114">
        <v>12697606.12621057</v>
      </c>
      <c r="H45" s="114">
        <v>9221970.5641771257</v>
      </c>
      <c r="I45" s="114">
        <v>8901828.7620434463</v>
      </c>
      <c r="J45" s="114">
        <v>10487765.772326529</v>
      </c>
      <c r="K45" s="114">
        <v>8195019.9392933249</v>
      </c>
      <c r="L45" s="114">
        <v>2356668.1365685463</v>
      </c>
      <c r="M45" s="114">
        <v>4431756.1356761307</v>
      </c>
      <c r="N45" s="114">
        <v>-2330928.043230772</v>
      </c>
      <c r="O45" s="114">
        <v>1696406.3495175242</v>
      </c>
      <c r="P45" s="114">
        <v>4606681.6577629447</v>
      </c>
      <c r="R45" s="73" t="s">
        <v>10</v>
      </c>
      <c r="S45" s="73" t="s">
        <v>10</v>
      </c>
    </row>
    <row r="46" spans="6:19" ht="15.75" customHeight="1">
      <c r="F46" s="36">
        <v>27</v>
      </c>
      <c r="G46" s="114">
        <v>12702498.06712988</v>
      </c>
      <c r="H46" s="114">
        <v>5206178.1416163146</v>
      </c>
      <c r="I46" s="114">
        <v>2673017.3753955811</v>
      </c>
      <c r="J46" s="114">
        <v>10601737.310826421</v>
      </c>
      <c r="K46" s="114">
        <v>4460566.4205364883</v>
      </c>
      <c r="L46" s="114">
        <v>8229072.0321803689</v>
      </c>
      <c r="M46" s="114">
        <v>10079543.955083475</v>
      </c>
      <c r="N46" s="114">
        <v>5891560.2580810487</v>
      </c>
      <c r="O46" s="114">
        <v>-6457923.8641722947</v>
      </c>
      <c r="P46" s="114">
        <v>4874833.4938765466</v>
      </c>
      <c r="R46" s="73" t="s">
        <v>10</v>
      </c>
    </row>
    <row r="47" spans="6:19" ht="15.75" customHeight="1">
      <c r="F47" s="36">
        <v>28</v>
      </c>
      <c r="G47" s="114">
        <v>16699756.298276484</v>
      </c>
      <c r="H47" s="114">
        <v>7525445.8795339167</v>
      </c>
      <c r="I47" s="114">
        <v>17093786.235882819</v>
      </c>
      <c r="J47" s="114">
        <v>9372436.159865737</v>
      </c>
      <c r="K47" s="114">
        <v>9785031.2397002429</v>
      </c>
      <c r="L47" s="114">
        <v>4949293.7036966234</v>
      </c>
      <c r="M47" s="114">
        <v>4536532.8084949553</v>
      </c>
      <c r="N47" s="114">
        <v>3463207.8899150044</v>
      </c>
      <c r="O47" s="114">
        <v>2691104.4596820474</v>
      </c>
      <c r="P47" s="114">
        <v>-480225.04207885265</v>
      </c>
      <c r="R47" s="73" t="s">
        <v>10</v>
      </c>
      <c r="S47" s="73" t="s">
        <v>10</v>
      </c>
    </row>
    <row r="48" spans="6:19" ht="15.75" customHeight="1">
      <c r="F48" s="36">
        <v>29</v>
      </c>
      <c r="G48" s="114">
        <v>19715252.905750453</v>
      </c>
      <c r="H48" s="114">
        <v>10414885.215721518</v>
      </c>
      <c r="I48" s="114">
        <v>5338170.4078061432</v>
      </c>
      <c r="J48" s="114">
        <v>3566401.1837493777</v>
      </c>
      <c r="K48" s="114">
        <v>4726911.3541156948</v>
      </c>
      <c r="L48" s="114">
        <v>-2547903.478357777</v>
      </c>
      <c r="M48" s="114">
        <v>905773.72968704998</v>
      </c>
      <c r="N48" s="114">
        <v>-248999.45389579237</v>
      </c>
      <c r="O48" s="114">
        <v>7692094.2686747015</v>
      </c>
      <c r="P48" s="114">
        <v>-6441644.4783216715</v>
      </c>
      <c r="S48" s="73" t="s">
        <v>10</v>
      </c>
    </row>
    <row r="49" spans="6:19" ht="15.75" customHeight="1">
      <c r="F49" s="36">
        <v>30</v>
      </c>
      <c r="G49" s="114">
        <v>10537803.01762858</v>
      </c>
      <c r="H49" s="114">
        <v>-2513037.2591293603</v>
      </c>
      <c r="I49" s="114">
        <v>17443241.727148652</v>
      </c>
      <c r="J49" s="114">
        <v>7294663.7875533104</v>
      </c>
      <c r="K49" s="114">
        <v>-820367.91915087402</v>
      </c>
      <c r="L49" s="114">
        <v>179933.73648405075</v>
      </c>
      <c r="M49" s="114">
        <v>10568305.713738173</v>
      </c>
      <c r="N49" s="114">
        <v>-800968.10169520974</v>
      </c>
      <c r="O49" s="114">
        <v>-9756671.2686998546</v>
      </c>
      <c r="P49" s="114">
        <v>5172642.1779976934</v>
      </c>
      <c r="R49" s="73" t="s">
        <v>10</v>
      </c>
      <c r="S49" s="73" t="s">
        <v>10</v>
      </c>
    </row>
    <row r="50" spans="6:19" ht="15.75" customHeight="1">
      <c r="F50" s="36">
        <v>31</v>
      </c>
      <c r="G50" s="114">
        <v>7680662.0071234256</v>
      </c>
      <c r="H50" s="114">
        <v>20023360.234516367</v>
      </c>
      <c r="I50" s="114">
        <v>11495933.122378796</v>
      </c>
      <c r="J50" s="114">
        <v>12078827.463727862</v>
      </c>
      <c r="K50" s="114">
        <v>-8589387.6728389561</v>
      </c>
      <c r="L50" s="114">
        <v>7807403.364104569</v>
      </c>
      <c r="M50" s="114">
        <v>2379340.8696140647</v>
      </c>
      <c r="N50" s="114">
        <v>6680165.0560615957</v>
      </c>
      <c r="O50" s="114">
        <v>-2190764.7723746449</v>
      </c>
      <c r="P50" s="114">
        <v>10812633.96145463</v>
      </c>
      <c r="R50" s="73" t="s">
        <v>10</v>
      </c>
      <c r="S50" s="73" t="s">
        <v>10</v>
      </c>
    </row>
    <row r="51" spans="6:19" ht="15.75" customHeight="1">
      <c r="F51" s="36">
        <v>32</v>
      </c>
      <c r="G51" s="114">
        <v>15639489.649048433</v>
      </c>
      <c r="H51" s="114">
        <v>16428560.978606343</v>
      </c>
      <c r="I51" s="114">
        <v>1577014.5703133792</v>
      </c>
      <c r="J51" s="114">
        <v>15532532.632779598</v>
      </c>
      <c r="K51" s="114">
        <v>6656305.1793921292</v>
      </c>
      <c r="L51" s="114">
        <v>7035946.5178341568</v>
      </c>
      <c r="M51" s="114">
        <v>7005351.198581472</v>
      </c>
      <c r="N51" s="114">
        <v>8379328.1110064387</v>
      </c>
      <c r="O51" s="114">
        <v>-1791958.1117545813</v>
      </c>
      <c r="P51" s="114">
        <v>-2577814.396724835</v>
      </c>
      <c r="R51" s="73" t="s">
        <v>10</v>
      </c>
      <c r="S51" s="73" t="s">
        <v>10</v>
      </c>
    </row>
    <row r="52" spans="6:19" ht="15.75" customHeight="1">
      <c r="F52" s="36">
        <v>33</v>
      </c>
      <c r="G52" s="114">
        <v>802857.67939868569</v>
      </c>
      <c r="H52" s="114">
        <v>-3533953.535998255</v>
      </c>
      <c r="I52" s="114">
        <v>14915774.046293825</v>
      </c>
      <c r="J52" s="114">
        <v>6140031.8443712294</v>
      </c>
      <c r="K52" s="114">
        <v>7360969.4324220717</v>
      </c>
      <c r="L52" s="114">
        <v>19942438.24493897</v>
      </c>
      <c r="M52" s="114">
        <v>-806380.98959709704</v>
      </c>
      <c r="N52" s="114">
        <v>1301121.4140957296</v>
      </c>
      <c r="O52" s="114">
        <v>2300561.8601915836</v>
      </c>
      <c r="P52" s="114">
        <v>744891.01703061163</v>
      </c>
    </row>
    <row r="53" spans="6:19" ht="15.75" customHeight="1">
      <c r="F53" s="36">
        <v>34</v>
      </c>
      <c r="G53" s="114">
        <v>14915257.569504499</v>
      </c>
      <c r="H53" s="114">
        <v>7878774.6692721993</v>
      </c>
      <c r="I53" s="114">
        <v>2789658.8550798595</v>
      </c>
      <c r="J53" s="114">
        <v>6722122.8814234585</v>
      </c>
      <c r="K53" s="114">
        <v>9368001.2658699751</v>
      </c>
      <c r="L53" s="114">
        <v>3724818.9823256731</v>
      </c>
      <c r="M53" s="114">
        <v>-6164341.3524470031</v>
      </c>
      <c r="N53" s="114">
        <v>2225264.7579155117</v>
      </c>
      <c r="O53" s="114">
        <v>8812558.8308939934</v>
      </c>
      <c r="P53" s="114">
        <v>-7906247.9604835063</v>
      </c>
    </row>
    <row r="54" spans="6:19" ht="15.75" customHeight="1">
      <c r="F54" s="36">
        <v>35</v>
      </c>
      <c r="G54" s="114">
        <v>12207771.015814587</v>
      </c>
      <c r="H54" s="114">
        <v>-4432304.6689828783</v>
      </c>
      <c r="I54" s="114">
        <v>4893161.7118415236</v>
      </c>
      <c r="J54" s="114">
        <v>7682923.7728772014</v>
      </c>
      <c r="K54" s="114">
        <v>5806696.2248584181</v>
      </c>
      <c r="L54" s="114">
        <v>-2151373.8631527573</v>
      </c>
      <c r="M54" s="114">
        <v>5842498.9562238306</v>
      </c>
      <c r="N54" s="114">
        <v>10141471.885467321</v>
      </c>
      <c r="O54" s="114">
        <v>-5977620.8699062467</v>
      </c>
      <c r="P54" s="114">
        <v>-3493033.2786328197</v>
      </c>
    </row>
    <row r="55" spans="6:19" ht="15.75" customHeight="1">
      <c r="F55" s="36">
        <v>36</v>
      </c>
      <c r="G55" s="114">
        <v>14036457.29495874</v>
      </c>
      <c r="H55" s="114">
        <v>12541321.60589096</v>
      </c>
      <c r="I55" s="114">
        <v>5708955.0429876149</v>
      </c>
      <c r="J55" s="114">
        <v>11476278.760333031</v>
      </c>
      <c r="K55" s="114">
        <v>-526400.2492300272</v>
      </c>
      <c r="L55" s="114">
        <v>11696912.682032272</v>
      </c>
      <c r="M55" s="114">
        <v>8940509.4722600728</v>
      </c>
      <c r="N55" s="114">
        <v>-7409460.8279255033</v>
      </c>
      <c r="O55" s="114">
        <v>11065943.067863658</v>
      </c>
      <c r="P55" s="114">
        <v>1563681.5596394837</v>
      </c>
    </row>
    <row r="56" spans="6:19" ht="15.75" customHeight="1">
      <c r="F56" s="36">
        <v>37</v>
      </c>
      <c r="G56" s="114">
        <v>2999596.1737581342</v>
      </c>
      <c r="H56" s="114">
        <v>10331623.615571558</v>
      </c>
      <c r="I56" s="114">
        <v>9322630.830406487</v>
      </c>
      <c r="J56" s="114">
        <v>9658522.8974492103</v>
      </c>
      <c r="K56" s="114">
        <v>8075399.9588615596</v>
      </c>
      <c r="L56" s="114">
        <v>3095482.9452391267</v>
      </c>
      <c r="M56" s="114">
        <v>13444639.66778636</v>
      </c>
      <c r="N56" s="114">
        <v>3263982.3358458281</v>
      </c>
      <c r="O56" s="114">
        <v>2067484.2126552612</v>
      </c>
      <c r="P56" s="114">
        <v>3049472.7945422232</v>
      </c>
    </row>
    <row r="57" spans="6:19" ht="15.75" customHeight="1">
      <c r="F57" s="36">
        <v>38</v>
      </c>
      <c r="G57" s="114">
        <v>20224286.39210099</v>
      </c>
      <c r="H57" s="114">
        <v>13454882.515172318</v>
      </c>
      <c r="I57" s="114">
        <v>6357680.1691863388</v>
      </c>
      <c r="J57" s="114">
        <v>4564035.1510636806</v>
      </c>
      <c r="K57" s="114">
        <v>-4315044.081046775</v>
      </c>
      <c r="L57" s="114">
        <v>1772875.9992130846</v>
      </c>
      <c r="M57" s="114">
        <v>-7285960.431478411</v>
      </c>
      <c r="N57" s="114">
        <v>-1047676.2937809378</v>
      </c>
      <c r="O57" s="114">
        <v>8206979.4603518546</v>
      </c>
      <c r="P57" s="114">
        <v>279843.11744062603</v>
      </c>
    </row>
    <row r="58" spans="6:19" ht="15.75" customHeight="1">
      <c r="F58" s="36">
        <v>39</v>
      </c>
      <c r="G58" s="114">
        <v>16500061.063119501</v>
      </c>
      <c r="H58" s="114">
        <v>4593057.8953478336</v>
      </c>
      <c r="I58" s="114">
        <v>6414719.2781813443</v>
      </c>
      <c r="J58" s="114">
        <v>3888970.2568719387</v>
      </c>
      <c r="K58" s="114">
        <v>18523523.576473951</v>
      </c>
      <c r="L58" s="114">
        <v>11561960.195983514</v>
      </c>
      <c r="M58" s="114">
        <v>-3023951.3440610766</v>
      </c>
      <c r="N58" s="114">
        <v>3433076.7686646432</v>
      </c>
      <c r="O58" s="114">
        <v>13601748.865666002</v>
      </c>
      <c r="P58" s="114">
        <v>-591069.29832184315</v>
      </c>
    </row>
    <row r="59" spans="6:19" ht="15.75" customHeight="1">
      <c r="F59" s="36">
        <v>40</v>
      </c>
      <c r="G59" s="114">
        <v>3352602.3723973632</v>
      </c>
      <c r="H59" s="114">
        <v>7142839.4630714655</v>
      </c>
      <c r="I59" s="114">
        <v>13762134.584566459</v>
      </c>
      <c r="J59" s="114">
        <v>1124087.60322842</v>
      </c>
      <c r="K59" s="114">
        <v>650947.68828566372</v>
      </c>
      <c r="L59" s="114">
        <v>4175504.6277248561</v>
      </c>
      <c r="M59" s="114">
        <v>4499848.5349778235</v>
      </c>
      <c r="N59" s="114">
        <v>-725544.8147559315</v>
      </c>
      <c r="O59" s="114">
        <v>1613665.3823839724</v>
      </c>
      <c r="P59" s="114">
        <v>6230925.381943047</v>
      </c>
    </row>
    <row r="60" spans="6:19" ht="15.75" customHeight="1">
      <c r="F60" s="36">
        <v>41</v>
      </c>
      <c r="G60" s="114">
        <v>5312334.8205023706</v>
      </c>
      <c r="H60" s="114">
        <v>14897432.456077665</v>
      </c>
      <c r="I60" s="114">
        <v>4567878.9813141674</v>
      </c>
      <c r="J60" s="114">
        <v>4524898.2487105727</v>
      </c>
      <c r="K60" s="114">
        <v>9274581.8656737208</v>
      </c>
      <c r="L60" s="114">
        <v>3643342.2895060182</v>
      </c>
      <c r="M60" s="114">
        <v>10990504.984477177</v>
      </c>
      <c r="N60" s="114">
        <v>1597780.9820687175</v>
      </c>
      <c r="O60" s="114">
        <v>-8283993.0374077559</v>
      </c>
      <c r="P60" s="114">
        <v>4276764.6716937721</v>
      </c>
    </row>
    <row r="61" spans="6:19" ht="15.75" customHeight="1">
      <c r="F61" s="36">
        <v>42</v>
      </c>
      <c r="G61" s="114">
        <v>10673893.715015426</v>
      </c>
      <c r="H61" s="114">
        <v>24552419.9850263</v>
      </c>
      <c r="I61" s="114">
        <v>4494953.3297690004</v>
      </c>
      <c r="J61" s="114">
        <v>11661194.547414824</v>
      </c>
      <c r="K61" s="114">
        <v>4774361.4993083477</v>
      </c>
      <c r="L61" s="114">
        <v>-4459989.6046529412</v>
      </c>
      <c r="M61" s="114">
        <v>2495297.0983804613</v>
      </c>
      <c r="N61" s="114">
        <v>5978123.6315889806</v>
      </c>
      <c r="O61" s="114">
        <v>7973699.0894361436</v>
      </c>
      <c r="P61" s="114">
        <v>-2638575.1995521933</v>
      </c>
    </row>
    <row r="62" spans="6:19" ht="15.75" customHeight="1">
      <c r="F62" s="36">
        <v>43</v>
      </c>
      <c r="G62" s="114">
        <v>7344187.8011109978</v>
      </c>
      <c r="H62" s="114">
        <v>10529759.520121291</v>
      </c>
      <c r="I62" s="114">
        <v>11072561.076958925</v>
      </c>
      <c r="J62" s="114">
        <v>16091948.557722241</v>
      </c>
      <c r="K62" s="114">
        <v>12736164.385329083</v>
      </c>
      <c r="L62" s="114">
        <v>7937595.7603760958</v>
      </c>
      <c r="M62" s="114">
        <v>7493239.4867978692</v>
      </c>
      <c r="N62" s="114">
        <v>2570379.8546521515</v>
      </c>
      <c r="O62" s="114">
        <v>-10492915.350110307</v>
      </c>
      <c r="P62" s="114">
        <v>280958.48015457392</v>
      </c>
    </row>
    <row r="63" spans="6:19" ht="15.75" customHeight="1">
      <c r="F63" s="36">
        <v>44</v>
      </c>
      <c r="G63" s="114">
        <v>480702.73587782681</v>
      </c>
      <c r="H63" s="114">
        <v>8542708.0242586732</v>
      </c>
      <c r="I63" s="114">
        <v>17207841.1073744</v>
      </c>
      <c r="J63" s="114">
        <v>10728906.817972049</v>
      </c>
      <c r="K63" s="114">
        <v>6137553.2204341143</v>
      </c>
      <c r="L63" s="114">
        <v>2551975.1561392248</v>
      </c>
      <c r="M63" s="114">
        <v>9789501.7832523286</v>
      </c>
      <c r="N63" s="114">
        <v>1720761.7700593323</v>
      </c>
      <c r="O63" s="114">
        <v>-5192110.5581337512</v>
      </c>
      <c r="P63" s="114">
        <v>-734769.98959089816</v>
      </c>
    </row>
    <row r="64" spans="6:19" ht="15.75" customHeight="1">
      <c r="F64" s="36">
        <v>45</v>
      </c>
      <c r="G64" s="114">
        <v>11674851.083657488</v>
      </c>
      <c r="H64" s="114">
        <v>9689468.3115710169</v>
      </c>
      <c r="I64" s="114">
        <v>12800990.10333766</v>
      </c>
      <c r="J64" s="114">
        <v>7947002.6246640682</v>
      </c>
      <c r="K64" s="114">
        <v>9184657.7045815736</v>
      </c>
      <c r="L64" s="114">
        <v>-7542842.9353067875</v>
      </c>
      <c r="M64" s="114">
        <v>-382157.67958858609</v>
      </c>
      <c r="N64" s="114">
        <v>-2708111.1430855989</v>
      </c>
      <c r="O64" s="114">
        <v>2476743.6537940055</v>
      </c>
      <c r="P64" s="114">
        <v>6657166.5522281677</v>
      </c>
    </row>
    <row r="65" spans="6:16" ht="15.75" customHeight="1">
      <c r="F65" s="36">
        <v>46</v>
      </c>
      <c r="G65" s="114">
        <v>21195743.010410666</v>
      </c>
      <c r="H65" s="114">
        <v>15418774.760621831</v>
      </c>
      <c r="I65" s="114">
        <v>13658836.690406784</v>
      </c>
      <c r="J65" s="114">
        <v>12145297.77817525</v>
      </c>
      <c r="K65" s="114">
        <v>25628605.318964288</v>
      </c>
      <c r="L65" s="114">
        <v>9697008.4062627554</v>
      </c>
      <c r="M65" s="114">
        <v>14988711.190387636</v>
      </c>
      <c r="N65" s="114">
        <v>5520385.6880380958</v>
      </c>
      <c r="O65" s="114">
        <v>6855660.5061292201</v>
      </c>
      <c r="P65" s="114">
        <v>-1685759.2817042619</v>
      </c>
    </row>
    <row r="66" spans="6:16" ht="15.75" customHeight="1">
      <c r="F66" s="36">
        <v>47</v>
      </c>
      <c r="G66" s="114">
        <v>13192781.577673495</v>
      </c>
      <c r="H66" s="114">
        <v>5140168.9400379658</v>
      </c>
      <c r="I66" s="114">
        <v>6781535.0569004714</v>
      </c>
      <c r="J66" s="114">
        <v>-1557222.9035446048</v>
      </c>
      <c r="K66" s="114">
        <v>11474509.590772957</v>
      </c>
      <c r="L66" s="114">
        <v>5857411.5563873649</v>
      </c>
      <c r="M66" s="114">
        <v>14692565.913739145</v>
      </c>
      <c r="N66" s="114">
        <v>-3846927.5121478438</v>
      </c>
      <c r="O66" s="114">
        <v>13619971.523409531</v>
      </c>
      <c r="P66" s="114">
        <v>3977422.2253600359</v>
      </c>
    </row>
    <row r="67" spans="6:16" ht="15.75" customHeight="1">
      <c r="F67" s="36">
        <v>48</v>
      </c>
      <c r="G67" s="114">
        <v>11291835.833941549</v>
      </c>
      <c r="H67" s="114">
        <v>12545299.909883574</v>
      </c>
      <c r="I67" s="114">
        <v>9460048.2813031524</v>
      </c>
      <c r="J67" s="114">
        <v>-578135.88527937233</v>
      </c>
      <c r="K67" s="114">
        <v>8011012.9045104384</v>
      </c>
      <c r="L67" s="114">
        <v>2671329.7336170077</v>
      </c>
      <c r="M67" s="114">
        <v>-1359177.1059735864</v>
      </c>
      <c r="N67" s="114">
        <v>-1870087.1837521344</v>
      </c>
      <c r="O67" s="114">
        <v>7182613.7143667191</v>
      </c>
      <c r="P67" s="114">
        <v>-7572051.7463184893</v>
      </c>
    </row>
    <row r="68" spans="6:16" ht="15.75" customHeight="1">
      <c r="F68" s="36">
        <v>49</v>
      </c>
      <c r="G68" s="114">
        <v>15052415.526014149</v>
      </c>
      <c r="H68" s="114">
        <v>1468107.3190533817</v>
      </c>
      <c r="I68" s="114">
        <v>-287209.38554373384</v>
      </c>
      <c r="J68" s="114">
        <v>2050949.1712227911</v>
      </c>
      <c r="K68" s="114">
        <v>4717564.9411899596</v>
      </c>
      <c r="L68" s="114">
        <v>9937152.8419780731</v>
      </c>
      <c r="M68" s="114">
        <v>15212088.37727201</v>
      </c>
      <c r="N68" s="114">
        <v>-9354508.7416699529</v>
      </c>
      <c r="O68" s="114">
        <v>-3177771.3941173255</v>
      </c>
      <c r="P68" s="114">
        <v>12039867.80027172</v>
      </c>
    </row>
    <row r="69" spans="6:16" ht="15.75" customHeight="1">
      <c r="F69" s="36">
        <v>50</v>
      </c>
      <c r="G69" s="114">
        <v>15084721.245571032</v>
      </c>
      <c r="H69" s="114">
        <v>4161654.7501179576</v>
      </c>
      <c r="I69" s="114">
        <v>7050372.0444485098</v>
      </c>
      <c r="J69" s="114">
        <v>7680310.7502179295</v>
      </c>
      <c r="K69" s="114">
        <v>11125770.001629949</v>
      </c>
      <c r="L69" s="114">
        <v>11012856.422101587</v>
      </c>
      <c r="M69" s="114">
        <v>633770.57080978155</v>
      </c>
      <c r="N69" s="114">
        <v>-1143905.163414672</v>
      </c>
      <c r="O69" s="114">
        <v>3194850.6512030661</v>
      </c>
      <c r="P69" s="114">
        <v>-1305670.6576443613</v>
      </c>
    </row>
    <row r="70" spans="6:16" ht="15.75" customHeight="1">
      <c r="F70" s="36">
        <v>51</v>
      </c>
      <c r="G70" s="114">
        <v>10439292.9924431</v>
      </c>
      <c r="H70" s="114">
        <v>7009935.7604742646</v>
      </c>
      <c r="I70" s="114">
        <v>10071526.173064888</v>
      </c>
      <c r="J70" s="114">
        <v>7357304.5604988933</v>
      </c>
      <c r="K70" s="114">
        <v>-1326127.9840503186</v>
      </c>
      <c r="L70" s="114">
        <v>10657211.792500466</v>
      </c>
      <c r="M70" s="114">
        <v>5960964.7495406568</v>
      </c>
      <c r="N70" s="114">
        <v>11064370.298544213</v>
      </c>
      <c r="O70" s="114">
        <v>3316754.6084744632</v>
      </c>
      <c r="P70" s="114">
        <v>-7118191.8025823981</v>
      </c>
    </row>
    <row r="71" spans="6:16" ht="15.75" customHeight="1">
      <c r="F71" s="36">
        <v>52</v>
      </c>
      <c r="G71" s="114">
        <v>8810299.1124045551</v>
      </c>
      <c r="H71" s="114">
        <v>13557652.254692852</v>
      </c>
      <c r="I71" s="114">
        <v>78152.43797211349</v>
      </c>
      <c r="J71" s="114">
        <v>7504978.4059631675</v>
      </c>
      <c r="K71" s="114">
        <v>-198239.19349530339</v>
      </c>
      <c r="L71" s="114">
        <v>5896407.1272039711</v>
      </c>
      <c r="M71" s="114">
        <v>9053670.4924634993</v>
      </c>
      <c r="N71" s="114">
        <v>2864662.2227930278</v>
      </c>
      <c r="O71" s="114">
        <v>8616866.9396879524</v>
      </c>
      <c r="P71" s="114">
        <v>6730203.163769722</v>
      </c>
    </row>
    <row r="72" spans="6:16" ht="15.75" customHeight="1">
      <c r="F72" s="36">
        <v>53</v>
      </c>
      <c r="G72" s="114">
        <v>11865376.863163978</v>
      </c>
      <c r="H72" s="114">
        <v>13562135.537720919</v>
      </c>
      <c r="I72" s="114">
        <v>7564472.8245915174</v>
      </c>
      <c r="J72" s="114">
        <v>2621842.3336296827</v>
      </c>
      <c r="K72" s="114">
        <v>5045036.641300261</v>
      </c>
      <c r="L72" s="114">
        <v>7878465.1597543657</v>
      </c>
      <c r="M72" s="114">
        <v>-521060.75824385881</v>
      </c>
      <c r="N72" s="114">
        <v>-630032.51561890543</v>
      </c>
      <c r="O72" s="114">
        <v>9552099.4068117738</v>
      </c>
      <c r="P72" s="114">
        <v>-6417804.823690787</v>
      </c>
    </row>
    <row r="73" spans="6:16" ht="15.75" customHeight="1">
      <c r="F73" s="36">
        <v>54</v>
      </c>
      <c r="G73" s="114">
        <v>9277604.498952195</v>
      </c>
      <c r="H73" s="114">
        <v>-2979526.7148505449</v>
      </c>
      <c r="I73" s="114">
        <v>15722039.225266576</v>
      </c>
      <c r="J73" s="114">
        <v>-2644177.3436145186</v>
      </c>
      <c r="K73" s="114">
        <v>10851622.901756153</v>
      </c>
      <c r="L73" s="114">
        <v>5462301.4429333061</v>
      </c>
      <c r="M73" s="114">
        <v>4021615.694968313</v>
      </c>
      <c r="N73" s="114">
        <v>4839183.513495177</v>
      </c>
      <c r="O73" s="114">
        <v>-1176044.6697119772</v>
      </c>
      <c r="P73" s="114">
        <v>2293436.1797172278</v>
      </c>
    </row>
    <row r="74" spans="6:16" ht="15.75" customHeight="1">
      <c r="F74" s="36">
        <v>55</v>
      </c>
      <c r="G74" s="114">
        <v>16035183.079352468</v>
      </c>
      <c r="H74" s="114">
        <v>9344405.3741753846</v>
      </c>
      <c r="I74" s="114">
        <v>4141494.9189059436</v>
      </c>
      <c r="J74" s="114">
        <v>8581990.308640033</v>
      </c>
      <c r="K74" s="114">
        <v>8230135.0403563231</v>
      </c>
      <c r="L74" s="114">
        <v>-435457.83044935763</v>
      </c>
      <c r="M74" s="114">
        <v>3746510.8560890108</v>
      </c>
      <c r="N74" s="114">
        <v>10438894.148468018</v>
      </c>
      <c r="O74" s="114">
        <v>2630534.8120803833</v>
      </c>
      <c r="P74" s="114">
        <v>-6012726.7555037886</v>
      </c>
    </row>
    <row r="75" spans="6:16" ht="15.75" customHeight="1">
      <c r="F75" s="36">
        <v>56</v>
      </c>
      <c r="G75" s="114">
        <v>17312887.458400324</v>
      </c>
      <c r="H75" s="114">
        <v>7322472.3821465522</v>
      </c>
      <c r="I75" s="114">
        <v>5470503.8892404884</v>
      </c>
      <c r="J75" s="114">
        <v>7624009.1114042848</v>
      </c>
      <c r="K75" s="114">
        <v>12202933.727237657</v>
      </c>
      <c r="L75" s="114">
        <v>-11377391.159780174</v>
      </c>
      <c r="M75" s="114">
        <v>1911766.1491572857</v>
      </c>
      <c r="N75" s="114">
        <v>6994407.4471179545</v>
      </c>
      <c r="O75" s="114">
        <v>2176879.8570629954</v>
      </c>
      <c r="P75" s="114">
        <v>-3582124.2123098969</v>
      </c>
    </row>
    <row r="76" spans="6:16" ht="15.75" customHeight="1">
      <c r="F76" s="36">
        <v>57</v>
      </c>
      <c r="G76" s="114">
        <v>13202837.521177903</v>
      </c>
      <c r="H76" s="114">
        <v>15367778.429268509</v>
      </c>
      <c r="I76" s="114">
        <v>3994927.2366766036</v>
      </c>
      <c r="J76" s="114">
        <v>-1356366.8141644895</v>
      </c>
      <c r="K76" s="114">
        <v>14826835.882208288</v>
      </c>
      <c r="L76" s="114">
        <v>2819511.0563753843</v>
      </c>
      <c r="M76" s="114">
        <v>3179162.3178742081</v>
      </c>
      <c r="N76" s="114">
        <v>7417554.2218870968</v>
      </c>
      <c r="O76" s="114">
        <v>7474977.0094718635</v>
      </c>
      <c r="P76" s="114">
        <v>1401462.1837877482</v>
      </c>
    </row>
    <row r="77" spans="6:16" ht="15.75" customHeight="1">
      <c r="F77" s="36">
        <v>58</v>
      </c>
      <c r="G77" s="114">
        <v>13292269.661547646</v>
      </c>
      <c r="H77" s="114">
        <v>8202298.5387201607</v>
      </c>
      <c r="I77" s="114">
        <v>10822147.612901598</v>
      </c>
      <c r="J77" s="114">
        <v>2612365.306053564</v>
      </c>
      <c r="K77" s="114">
        <v>8645251.2818737477</v>
      </c>
      <c r="L77" s="114">
        <v>330611.9033934921</v>
      </c>
      <c r="M77" s="114">
        <v>5575039.155688256</v>
      </c>
      <c r="N77" s="114">
        <v>-1815077.7303420901</v>
      </c>
      <c r="O77" s="114">
        <v>-4761762.6601265669</v>
      </c>
      <c r="P77" s="114">
        <v>-12107.609007269144</v>
      </c>
    </row>
    <row r="78" spans="6:16" ht="15.75" customHeight="1">
      <c r="F78" s="36">
        <v>59</v>
      </c>
      <c r="G78" s="114">
        <v>9477715.7167561948</v>
      </c>
      <c r="H78" s="114">
        <v>15037828.415995061</v>
      </c>
      <c r="I78" s="114">
        <v>12459717.166711211</v>
      </c>
      <c r="J78" s="114">
        <v>9548328.0144586563</v>
      </c>
      <c r="K78" s="114">
        <v>2599868.1527986974</v>
      </c>
      <c r="L78" s="114">
        <v>6319895.9752174318</v>
      </c>
      <c r="M78" s="114">
        <v>18941088.84619455</v>
      </c>
      <c r="N78" s="114">
        <v>-7396709.5529835075</v>
      </c>
      <c r="O78" s="114">
        <v>69432.962883904576</v>
      </c>
      <c r="P78" s="114">
        <v>-4036931.7453219593</v>
      </c>
    </row>
    <row r="79" spans="6:16" ht="15.75" customHeight="1">
      <c r="F79" s="36">
        <v>60</v>
      </c>
      <c r="G79" s="114">
        <v>14869867.2779544</v>
      </c>
      <c r="H79" s="114">
        <v>10132715.839755937</v>
      </c>
      <c r="I79" s="114">
        <v>16509802.248613417</v>
      </c>
      <c r="J79" s="114">
        <v>7400543.449913606</v>
      </c>
      <c r="K79" s="114">
        <v>3286858.6174462587</v>
      </c>
      <c r="L79" s="114">
        <v>7118882.3158008456</v>
      </c>
      <c r="M79" s="114">
        <v>736977.53686109185</v>
      </c>
      <c r="N79" s="114">
        <v>5106445.1514891982</v>
      </c>
      <c r="O79" s="114">
        <v>10753466.260583013</v>
      </c>
      <c r="P79" s="114">
        <v>-2012313.4005240798</v>
      </c>
    </row>
    <row r="80" spans="6:16" ht="15.75" customHeight="1">
      <c r="F80" s="36">
        <v>61</v>
      </c>
      <c r="G80" s="114">
        <v>13830686.214618891</v>
      </c>
      <c r="H80" s="114">
        <v>3710710.6069947928</v>
      </c>
      <c r="I80" s="114">
        <v>19199412.263749719</v>
      </c>
      <c r="J80" s="114">
        <v>-437589.88204297423</v>
      </c>
      <c r="K80" s="114">
        <v>5282662.3219082206</v>
      </c>
      <c r="L80" s="114">
        <v>9506401.9601328522</v>
      </c>
      <c r="M80" s="114">
        <v>-15261753.397435784</v>
      </c>
      <c r="N80" s="114">
        <v>4301104.1438570321</v>
      </c>
      <c r="O80" s="114">
        <v>6410610.5712444037</v>
      </c>
      <c r="P80" s="114">
        <v>4739922.1562192738</v>
      </c>
    </row>
    <row r="81" spans="6:16" ht="15.75" customHeight="1">
      <c r="F81" s="36">
        <v>62</v>
      </c>
      <c r="G81" s="114">
        <v>10839946.840984315</v>
      </c>
      <c r="H81" s="114">
        <v>5821003.7809512615</v>
      </c>
      <c r="I81" s="114">
        <v>7010900.4301145971</v>
      </c>
      <c r="J81" s="114">
        <v>8097367.5265212059</v>
      </c>
      <c r="K81" s="114">
        <v>1054191.6608709097</v>
      </c>
      <c r="L81" s="114">
        <v>14983234.123542249</v>
      </c>
      <c r="M81" s="114">
        <v>5654934.4024295807</v>
      </c>
      <c r="N81" s="114">
        <v>3053572.181374386</v>
      </c>
      <c r="O81" s="114">
        <v>4043126.9654323012</v>
      </c>
      <c r="P81" s="114">
        <v>1398221.4663281441</v>
      </c>
    </row>
    <row r="82" spans="6:16" ht="15.75" customHeight="1">
      <c r="F82" s="36">
        <v>63</v>
      </c>
      <c r="G82" s="114">
        <v>6326788.0814830512</v>
      </c>
      <c r="H82" s="114">
        <v>9154178.5618931651</v>
      </c>
      <c r="I82" s="114">
        <v>7191635.4155938029</v>
      </c>
      <c r="J82" s="114">
        <v>9718748.634320572</v>
      </c>
      <c r="K82" s="114">
        <v>5575412.6855616719</v>
      </c>
      <c r="L82" s="114">
        <v>1230829.8116508573</v>
      </c>
      <c r="M82" s="114">
        <v>-2515031.032940343</v>
      </c>
      <c r="N82" s="114">
        <v>-4223919.9318157434</v>
      </c>
      <c r="O82" s="114">
        <v>6276367.8255679011</v>
      </c>
      <c r="P82" s="114">
        <v>-8764895.0908860266</v>
      </c>
    </row>
    <row r="83" spans="6:16" ht="15.75" customHeight="1">
      <c r="F83" s="36">
        <v>64</v>
      </c>
      <c r="G83" s="114">
        <v>17408164.377215683</v>
      </c>
      <c r="H83" s="114">
        <v>2330562.6571260989</v>
      </c>
      <c r="I83" s="114">
        <v>2479440.0995246619</v>
      </c>
      <c r="J83" s="114">
        <v>14064257.786443084</v>
      </c>
      <c r="K83" s="114">
        <v>5342165.9398524761</v>
      </c>
      <c r="L83" s="114">
        <v>6074060.9403072596</v>
      </c>
      <c r="M83" s="114">
        <v>9785818.4835520238</v>
      </c>
      <c r="N83" s="114">
        <v>6512636.0117767006</v>
      </c>
      <c r="O83" s="114">
        <v>-10566627.752067745</v>
      </c>
      <c r="P83" s="114">
        <v>-2503166.2019679844</v>
      </c>
    </row>
    <row r="84" spans="6:16" ht="15.75" customHeight="1">
      <c r="F84" s="36">
        <v>65</v>
      </c>
      <c r="G84" s="114">
        <v>16504883.977796093</v>
      </c>
      <c r="H84" s="114">
        <v>19334737.720255032</v>
      </c>
      <c r="I84" s="114">
        <v>11000472.155127838</v>
      </c>
      <c r="J84" s="114">
        <v>5452258.0437606871</v>
      </c>
      <c r="K84" s="114">
        <v>4621056.7493086904</v>
      </c>
      <c r="L84" s="114">
        <v>654010.07686507702</v>
      </c>
      <c r="M84" s="114">
        <v>4259554.8431464732</v>
      </c>
      <c r="N84" s="114">
        <v>4565237.0519874096</v>
      </c>
      <c r="O84" s="114">
        <v>4646179.2082317472</v>
      </c>
      <c r="P84" s="114">
        <v>-2497914.1336283088</v>
      </c>
    </row>
    <row r="85" spans="6:16" ht="15.75" customHeight="1">
      <c r="F85" s="36">
        <v>66</v>
      </c>
      <c r="G85" s="114">
        <v>10900203.32464765</v>
      </c>
      <c r="H85" s="114">
        <v>11675188.616169512</v>
      </c>
      <c r="I85" s="114">
        <v>354961.3125218451</v>
      </c>
      <c r="J85" s="114">
        <v>5797076.1340398639</v>
      </c>
      <c r="K85" s="114">
        <v>13854629.820489317</v>
      </c>
      <c r="L85" s="114">
        <v>9736426.3810805827</v>
      </c>
      <c r="M85" s="114">
        <v>11611257.015561253</v>
      </c>
      <c r="N85" s="114">
        <v>2398890.7970004082</v>
      </c>
      <c r="O85" s="114">
        <v>13412565.647511736</v>
      </c>
      <c r="P85" s="114">
        <v>8641705.9751279056</v>
      </c>
    </row>
    <row r="86" spans="6:16" ht="15.75" customHeight="1">
      <c r="F86" s="36">
        <v>67</v>
      </c>
      <c r="G86" s="114">
        <v>13255541.150821045</v>
      </c>
      <c r="H86" s="114">
        <v>5680089.8117966205</v>
      </c>
      <c r="I86" s="114">
        <v>5393147.3583743572</v>
      </c>
      <c r="J86" s="114">
        <v>11489075.245321289</v>
      </c>
      <c r="K86" s="114">
        <v>-1136406.1503383964</v>
      </c>
      <c r="L86" s="114">
        <v>-63537.135930880904</v>
      </c>
      <c r="M86" s="114">
        <v>2917749.0826692134</v>
      </c>
      <c r="N86" s="114">
        <v>3762676.2101652622</v>
      </c>
      <c r="O86" s="114">
        <v>4123796.0415740311</v>
      </c>
      <c r="P86" s="114">
        <v>-614975.59433418512</v>
      </c>
    </row>
    <row r="87" spans="6:16" ht="15.75" customHeight="1">
      <c r="F87" s="36">
        <v>68</v>
      </c>
      <c r="G87" s="114">
        <v>5487036.7808667868</v>
      </c>
      <c r="H87" s="114">
        <v>13026855.499783725</v>
      </c>
      <c r="I87" s="114">
        <v>8747826.9862327874</v>
      </c>
      <c r="J87" s="114">
        <v>8307655.3168061674</v>
      </c>
      <c r="K87" s="114">
        <v>1377444.1956948042</v>
      </c>
      <c r="L87" s="114">
        <v>5027374.6186571121</v>
      </c>
      <c r="M87" s="114">
        <v>11652431.724703044</v>
      </c>
      <c r="N87" s="114">
        <v>7077157.9055251926</v>
      </c>
      <c r="O87" s="114">
        <v>-815232.29649507999</v>
      </c>
      <c r="P87" s="114">
        <v>3020940.7922023535</v>
      </c>
    </row>
    <row r="88" spans="6:16" ht="15.75" customHeight="1">
      <c r="F88" s="36">
        <v>69</v>
      </c>
      <c r="G88" s="114">
        <v>3028675.5096542388</v>
      </c>
      <c r="H88" s="114">
        <v>14263516.476952165</v>
      </c>
      <c r="I88" s="114">
        <v>8950547.7766036093</v>
      </c>
      <c r="J88" s="114">
        <v>4300062.7381660938</v>
      </c>
      <c r="K88" s="114">
        <v>-5951885.0854321569</v>
      </c>
      <c r="L88" s="114">
        <v>3143762.9784388244</v>
      </c>
      <c r="M88" s="114">
        <v>118956.73482750356</v>
      </c>
      <c r="N88" s="114">
        <v>3751326.5616828501</v>
      </c>
      <c r="O88" s="114">
        <v>-14978363.913356647</v>
      </c>
      <c r="P88" s="114">
        <v>-3911100.899492234</v>
      </c>
    </row>
    <row r="89" spans="6:16" ht="15.75" customHeight="1">
      <c r="F89" s="36">
        <v>70</v>
      </c>
      <c r="G89" s="114">
        <v>5585624.7789031565</v>
      </c>
      <c r="H89" s="114">
        <v>-915522.76902896166</v>
      </c>
      <c r="I89" s="114">
        <v>24340924.580565989</v>
      </c>
      <c r="J89" s="114">
        <v>2746157.155872941</v>
      </c>
      <c r="K89" s="114">
        <v>4909812.6213122159</v>
      </c>
      <c r="L89" s="114">
        <v>13948421.106068596</v>
      </c>
      <c r="M89" s="114">
        <v>2030535.623901397</v>
      </c>
      <c r="N89" s="114">
        <v>2744572.0805006474</v>
      </c>
      <c r="O89" s="114">
        <v>-2349882.7290683538</v>
      </c>
      <c r="P89" s="114">
        <v>-4885861.6369892806</v>
      </c>
    </row>
    <row r="90" spans="6:16" ht="15.75" customHeight="1">
      <c r="F90" s="36">
        <v>71</v>
      </c>
      <c r="G90" s="114">
        <v>6223713.9753727913</v>
      </c>
      <c r="H90" s="114">
        <v>3527601.2216641903</v>
      </c>
      <c r="I90" s="114">
        <v>11482491.470328122</v>
      </c>
      <c r="J90" s="114">
        <v>14682804.698473752</v>
      </c>
      <c r="K90" s="114">
        <v>5287569.9514984488</v>
      </c>
      <c r="L90" s="114">
        <v>9307580.4490891397</v>
      </c>
      <c r="M90" s="114">
        <v>6733726.951577276</v>
      </c>
      <c r="N90" s="114">
        <v>4686601.1798235476</v>
      </c>
      <c r="O90" s="114">
        <v>-1434273.4054169655</v>
      </c>
      <c r="P90" s="114">
        <v>-8161887.8158674836</v>
      </c>
    </row>
    <row r="91" spans="6:16" ht="15.75" customHeight="1">
      <c r="F91" s="36">
        <v>72</v>
      </c>
      <c r="G91" s="114">
        <v>7370195.1753913164</v>
      </c>
      <c r="H91" s="114">
        <v>9078012.7189174891</v>
      </c>
      <c r="I91" s="114">
        <v>14000292.171080291</v>
      </c>
      <c r="J91" s="114">
        <v>459309.28746768832</v>
      </c>
      <c r="K91" s="114">
        <v>11727598.462340653</v>
      </c>
      <c r="L91" s="114">
        <v>13425689.705568507</v>
      </c>
      <c r="M91" s="114">
        <v>9043308.8412501216</v>
      </c>
      <c r="N91" s="114">
        <v>-1608482.2415534258</v>
      </c>
      <c r="O91" s="114">
        <v>2820784.0737231076</v>
      </c>
      <c r="P91" s="114">
        <v>103549.72972993553</v>
      </c>
    </row>
    <row r="92" spans="6:16" ht="15.75" customHeight="1">
      <c r="F92" s="36">
        <v>73</v>
      </c>
      <c r="G92" s="114">
        <v>5046726.5681559443</v>
      </c>
      <c r="H92" s="114">
        <v>3785896.7081615478</v>
      </c>
      <c r="I92" s="114">
        <v>6134058.0917493403</v>
      </c>
      <c r="J92" s="114">
        <v>2733276.6049512029</v>
      </c>
      <c r="K92" s="114">
        <v>6630477.4688564092</v>
      </c>
      <c r="L92" s="114">
        <v>10102830.545021355</v>
      </c>
      <c r="M92" s="114">
        <v>5730366.1640023589</v>
      </c>
      <c r="N92" s="114">
        <v>5544671.9017162174</v>
      </c>
      <c r="O92" s="114">
        <v>10022094.283499017</v>
      </c>
      <c r="P92" s="114">
        <v>4551389.4829905778</v>
      </c>
    </row>
    <row r="93" spans="6:16" ht="15.75" customHeight="1">
      <c r="F93" s="36">
        <v>74</v>
      </c>
      <c r="G93" s="114">
        <v>15590331.538087353</v>
      </c>
      <c r="H93" s="114">
        <v>14631076.228864014</v>
      </c>
      <c r="I93" s="114">
        <v>10698780.622314736</v>
      </c>
      <c r="J93" s="114">
        <v>12252064.568899676</v>
      </c>
      <c r="K93" s="114">
        <v>1944435.6786107123</v>
      </c>
      <c r="L93" s="114">
        <v>3725500.2861061394</v>
      </c>
      <c r="M93" s="114">
        <v>-405066.68591408432</v>
      </c>
      <c r="N93" s="114">
        <v>-4928889.0794647932</v>
      </c>
      <c r="O93" s="114">
        <v>3967082.2667083889</v>
      </c>
      <c r="P93" s="114">
        <v>7065393.7664676905</v>
      </c>
    </row>
    <row r="94" spans="6:16" ht="15.75" customHeight="1">
      <c r="F94" s="36">
        <v>75</v>
      </c>
      <c r="G94" s="114">
        <v>17437278.915817872</v>
      </c>
      <c r="H94" s="114">
        <v>11203752.647171646</v>
      </c>
      <c r="I94" s="114">
        <v>21865980.630263045</v>
      </c>
      <c r="J94" s="114">
        <v>7404291.1692601293</v>
      </c>
      <c r="K94" s="114">
        <v>-7891.0091691911221</v>
      </c>
      <c r="L94" s="114">
        <v>-1182779.3707854748</v>
      </c>
      <c r="M94" s="114">
        <v>3812956.0823301673</v>
      </c>
      <c r="N94" s="114">
        <v>7335508.9733070582</v>
      </c>
      <c r="O94" s="114">
        <v>-5288049.2302203923</v>
      </c>
      <c r="P94" s="114">
        <v>-3289311.6698777974</v>
      </c>
    </row>
    <row r="95" spans="6:16" ht="15.75" customHeight="1">
      <c r="F95" s="36">
        <v>76</v>
      </c>
      <c r="G95" s="114">
        <v>-4014622.459431082</v>
      </c>
      <c r="H95" s="114">
        <v>7983389.4920403659</v>
      </c>
      <c r="I95" s="114">
        <v>12198572.794153273</v>
      </c>
      <c r="J95" s="114">
        <v>15991297.011433482</v>
      </c>
      <c r="K95" s="114">
        <v>6100280.1830577105</v>
      </c>
      <c r="L95" s="114">
        <v>7570685.3957841992</v>
      </c>
      <c r="M95" s="114">
        <v>1037223.7688131183</v>
      </c>
      <c r="N95" s="114">
        <v>-4108835.2048522532</v>
      </c>
      <c r="O95" s="114">
        <v>3899301.9891576469</v>
      </c>
      <c r="P95" s="114">
        <v>-5766973.7696017921</v>
      </c>
    </row>
    <row r="96" spans="6:16" ht="15.75" customHeight="1">
      <c r="F96" s="36">
        <v>77</v>
      </c>
      <c r="G96" s="114">
        <v>9330759.5611600578</v>
      </c>
      <c r="H96" s="114">
        <v>16310457.129823059</v>
      </c>
      <c r="I96" s="114">
        <v>5336094.7624075711</v>
      </c>
      <c r="J96" s="114">
        <v>9970535.2050627917</v>
      </c>
      <c r="K96" s="114">
        <v>3277463.9604212493</v>
      </c>
      <c r="L96" s="114">
        <v>-10519291.297652096</v>
      </c>
      <c r="M96" s="114">
        <v>9383363.5249838978</v>
      </c>
      <c r="N96" s="114">
        <v>-1342267.8962996304</v>
      </c>
      <c r="O96" s="114">
        <v>316974.96722306311</v>
      </c>
      <c r="P96" s="114">
        <v>-3367579.2600934803</v>
      </c>
    </row>
    <row r="97" spans="6:16" ht="15.75" customHeight="1">
      <c r="F97" s="36">
        <v>78</v>
      </c>
      <c r="G97" s="114">
        <v>76434.531726256013</v>
      </c>
      <c r="H97" s="114">
        <v>8250217.9576871097</v>
      </c>
      <c r="I97" s="114">
        <v>9230924.2329773903</v>
      </c>
      <c r="J97" s="114">
        <v>8390511.2266371548</v>
      </c>
      <c r="K97" s="114">
        <v>15418283.047463313</v>
      </c>
      <c r="L97" s="114">
        <v>10164407.607868433</v>
      </c>
      <c r="M97" s="114">
        <v>4107797.0685677528</v>
      </c>
      <c r="N97" s="114">
        <v>8118536.7495961934</v>
      </c>
      <c r="O97" s="114">
        <v>1748712.0278648138</v>
      </c>
      <c r="P97" s="114">
        <v>-883383.19209383428</v>
      </c>
    </row>
    <row r="98" spans="6:16" ht="15.75" customHeight="1">
      <c r="F98" s="36">
        <v>79</v>
      </c>
      <c r="G98" s="114">
        <v>17597479.577520713</v>
      </c>
      <c r="H98" s="114">
        <v>11376982.622053057</v>
      </c>
      <c r="I98" s="114">
        <v>8017883.7529951632</v>
      </c>
      <c r="J98" s="114">
        <v>7614374.7415941358</v>
      </c>
      <c r="K98" s="114">
        <v>-2139876.8698719442</v>
      </c>
      <c r="L98" s="114">
        <v>6422839.2363429368</v>
      </c>
      <c r="M98" s="114">
        <v>-8138864.2675476074</v>
      </c>
      <c r="N98" s="114">
        <v>5176066.4809169769</v>
      </c>
      <c r="O98" s="114">
        <v>1052494.0771488398</v>
      </c>
      <c r="P98" s="114">
        <v>1382934.2649360448</v>
      </c>
    </row>
    <row r="99" spans="6:16" ht="15.75" customHeight="1">
      <c r="F99" s="36">
        <v>80</v>
      </c>
      <c r="G99" s="114">
        <v>7504527.2013284564</v>
      </c>
      <c r="H99" s="114">
        <v>10805539.888975516</v>
      </c>
      <c r="I99" s="114">
        <v>-928773.28233842552</v>
      </c>
      <c r="J99" s="114">
        <v>8411006.8189680129</v>
      </c>
      <c r="K99" s="114">
        <v>11318541.366453588</v>
      </c>
      <c r="L99" s="114">
        <v>1614039.1239031851</v>
      </c>
      <c r="M99" s="114">
        <v>5978863.7135369182</v>
      </c>
      <c r="N99" s="114">
        <v>-6197136.5539236516</v>
      </c>
      <c r="O99" s="114">
        <v>705429.81536050141</v>
      </c>
      <c r="P99" s="114">
        <v>828877.32539117336</v>
      </c>
    </row>
    <row r="100" spans="6:16" ht="15.75" customHeight="1">
      <c r="F100" s="36">
        <v>81</v>
      </c>
      <c r="G100" s="114">
        <v>11704848.698478371</v>
      </c>
      <c r="H100" s="114">
        <v>11701057.860912859</v>
      </c>
      <c r="I100" s="114">
        <v>14398096.049974442</v>
      </c>
      <c r="J100" s="114">
        <v>3351334.4963828027</v>
      </c>
      <c r="K100" s="114">
        <v>2623300.2829875499</v>
      </c>
      <c r="L100" s="114">
        <v>2663202.2192133814</v>
      </c>
      <c r="M100" s="114">
        <v>-644505.34878534079</v>
      </c>
      <c r="N100" s="114">
        <v>-3869070.6306076497</v>
      </c>
      <c r="O100" s="114">
        <v>-637600.16991311312</v>
      </c>
      <c r="P100" s="114">
        <v>8397087.5418903828</v>
      </c>
    </row>
    <row r="101" spans="6:16" ht="15.75" customHeight="1">
      <c r="F101" s="36">
        <v>82</v>
      </c>
      <c r="G101" s="114">
        <v>15435924.231044456</v>
      </c>
      <c r="H101" s="114">
        <v>14407655.077901334</v>
      </c>
      <c r="I101" s="114">
        <v>6306244.4352985919</v>
      </c>
      <c r="J101" s="114">
        <v>8537622.467381984</v>
      </c>
      <c r="K101" s="114">
        <v>14883526.131893784</v>
      </c>
      <c r="L101" s="114">
        <v>3784381.8085179925</v>
      </c>
      <c r="M101" s="114">
        <v>-9909058.9961959124</v>
      </c>
      <c r="N101" s="114">
        <v>-6206634.8509251177</v>
      </c>
      <c r="O101" s="114">
        <v>4662705.5485746264</v>
      </c>
      <c r="P101" s="114">
        <v>2031992.9984928966</v>
      </c>
    </row>
    <row r="102" spans="6:16" ht="15.75" customHeight="1">
      <c r="F102" s="36">
        <v>83</v>
      </c>
      <c r="G102" s="114">
        <v>14281986.979671672</v>
      </c>
      <c r="H102" s="114">
        <v>15565659.915117502</v>
      </c>
      <c r="I102" s="114">
        <v>11522257.171934515</v>
      </c>
      <c r="J102" s="114">
        <v>13413468.661685377</v>
      </c>
      <c r="K102" s="114">
        <v>3206028.9990017265</v>
      </c>
      <c r="L102" s="114">
        <v>6535925.41079247</v>
      </c>
      <c r="M102" s="114">
        <v>1006640.804082036</v>
      </c>
      <c r="N102" s="114">
        <v>17191070.896491304</v>
      </c>
      <c r="O102" s="114">
        <v>-7633451.6544690877</v>
      </c>
      <c r="P102" s="114">
        <v>61753.513848900795</v>
      </c>
    </row>
    <row r="103" spans="6:16" ht="15.75" customHeight="1">
      <c r="F103" s="36">
        <v>84</v>
      </c>
      <c r="G103" s="114">
        <v>9808145.4367628396</v>
      </c>
      <c r="H103" s="114">
        <v>11853080.973897457</v>
      </c>
      <c r="I103" s="114">
        <v>6586354.2159001082</v>
      </c>
      <c r="J103" s="114">
        <v>4183688.5109675527</v>
      </c>
      <c r="K103" s="114">
        <v>5556334.5707025826</v>
      </c>
      <c r="L103" s="114">
        <v>5547674.164624691</v>
      </c>
      <c r="M103" s="114">
        <v>11512650.070168495</v>
      </c>
      <c r="N103" s="114">
        <v>8960486.1709519923</v>
      </c>
      <c r="O103" s="114">
        <v>6391465.2240413129</v>
      </c>
      <c r="P103" s="114">
        <v>1885684.4037961215</v>
      </c>
    </row>
    <row r="104" spans="6:16" ht="15.75" customHeight="1">
      <c r="F104" s="36">
        <v>85</v>
      </c>
      <c r="G104" s="114">
        <v>22083533.692501217</v>
      </c>
      <c r="H104" s="114">
        <v>-1083972.1780162007</v>
      </c>
      <c r="I104" s="114">
        <v>3004239.3155939877</v>
      </c>
      <c r="J104" s="114">
        <v>3351006.0183062553</v>
      </c>
      <c r="K104" s="114">
        <v>5030811.4038020372</v>
      </c>
      <c r="L104" s="114">
        <v>4574665.3212832808</v>
      </c>
      <c r="M104" s="114">
        <v>10067218.280867994</v>
      </c>
      <c r="N104" s="114">
        <v>7259910.2371222079</v>
      </c>
      <c r="O104" s="114">
        <v>773488.82035167515</v>
      </c>
      <c r="P104" s="114">
        <v>-228305.16472272575</v>
      </c>
    </row>
    <row r="105" spans="6:16" ht="15.75" customHeight="1">
      <c r="F105" s="36">
        <v>86</v>
      </c>
      <c r="G105" s="114">
        <v>6548758.8074714541</v>
      </c>
      <c r="H105" s="114">
        <v>9111643.0571460426</v>
      </c>
      <c r="I105" s="114">
        <v>13047400.386195347</v>
      </c>
      <c r="J105" s="114">
        <v>1128586.0108687729</v>
      </c>
      <c r="K105" s="114">
        <v>11102002.075103372</v>
      </c>
      <c r="L105" s="114">
        <v>-1301218.5231942534</v>
      </c>
      <c r="M105" s="114">
        <v>21428919.173794776</v>
      </c>
      <c r="N105" s="114">
        <v>2834524.4913289845</v>
      </c>
      <c r="O105" s="114">
        <v>13474412.860926777</v>
      </c>
      <c r="P105" s="114">
        <v>-2253873.745823428</v>
      </c>
    </row>
    <row r="106" spans="6:16" ht="15.75" customHeight="1">
      <c r="F106" s="36">
        <v>87</v>
      </c>
      <c r="G106" s="114">
        <v>14545101.987495705</v>
      </c>
      <c r="H106" s="114">
        <v>4704610.7560220361</v>
      </c>
      <c r="I106" s="114">
        <v>11772794.416090742</v>
      </c>
      <c r="J106" s="114">
        <v>10868180.729020968</v>
      </c>
      <c r="K106" s="114">
        <v>6321338.5162532926</v>
      </c>
      <c r="L106" s="114">
        <v>8718051.9949362874</v>
      </c>
      <c r="M106" s="114">
        <v>7427850.6224147677</v>
      </c>
      <c r="N106" s="114">
        <v>-7281765.1060316563</v>
      </c>
      <c r="O106" s="114">
        <v>-4215272.0793719888</v>
      </c>
      <c r="P106" s="114">
        <v>2120039.0929388404</v>
      </c>
    </row>
    <row r="107" spans="6:16" ht="15.75" customHeight="1">
      <c r="F107" s="36">
        <v>88</v>
      </c>
      <c r="G107" s="114">
        <v>15833250.039368927</v>
      </c>
      <c r="H107" s="114">
        <v>11485362.024988011</v>
      </c>
      <c r="I107" s="114">
        <v>5954701.9712255895</v>
      </c>
      <c r="J107" s="114">
        <v>4354681.5582287163</v>
      </c>
      <c r="K107" s="114">
        <v>23053956.024397075</v>
      </c>
      <c r="L107" s="114">
        <v>-807908.86113834381</v>
      </c>
      <c r="M107" s="114">
        <v>2451598.7912889272</v>
      </c>
      <c r="N107" s="114">
        <v>2042616.8719131649</v>
      </c>
      <c r="O107" s="114">
        <v>1048946.3644961119</v>
      </c>
      <c r="P107" s="114">
        <v>-5980700.3817415982</v>
      </c>
    </row>
    <row r="108" spans="6:16" ht="15.75" customHeight="1">
      <c r="F108" s="36">
        <v>89</v>
      </c>
      <c r="G108" s="114">
        <v>15054626.14301841</v>
      </c>
      <c r="H108" s="114">
        <v>9558039.7818660289</v>
      </c>
      <c r="I108" s="114">
        <v>93677.944664135575</v>
      </c>
      <c r="J108" s="114">
        <v>7574570.5913464725</v>
      </c>
      <c r="K108" s="114">
        <v>-477854.57827065885</v>
      </c>
      <c r="L108" s="114">
        <v>4213121.422385484</v>
      </c>
      <c r="M108" s="114">
        <v>-4101061.5368018597</v>
      </c>
      <c r="N108" s="114">
        <v>-3901673.5716702044</v>
      </c>
      <c r="O108" s="114">
        <v>8672689.3187928945</v>
      </c>
      <c r="P108" s="114">
        <v>3712272.5925867409</v>
      </c>
    </row>
    <row r="109" spans="6:16" ht="15.75" customHeight="1">
      <c r="F109" s="36">
        <v>90</v>
      </c>
      <c r="G109" s="114">
        <v>19700607.083147317</v>
      </c>
      <c r="H109" s="114">
        <v>12063293.285959184</v>
      </c>
      <c r="I109" s="114">
        <v>8839074.0555149913</v>
      </c>
      <c r="J109" s="114">
        <v>3183434.7777129561</v>
      </c>
      <c r="K109" s="114">
        <v>6726721.8515525907</v>
      </c>
      <c r="L109" s="114">
        <v>10475352.276928008</v>
      </c>
      <c r="M109" s="114">
        <v>905308.97890043259</v>
      </c>
      <c r="N109" s="114">
        <v>6638755.7027553618</v>
      </c>
      <c r="O109" s="114">
        <v>2472016.0130389184</v>
      </c>
      <c r="P109" s="114">
        <v>1249478.6151729226</v>
      </c>
    </row>
    <row r="110" spans="6:16" ht="15.75" customHeight="1">
      <c r="F110" s="36">
        <v>91</v>
      </c>
      <c r="G110" s="114">
        <v>7881540.1794496179</v>
      </c>
      <c r="H110" s="114">
        <v>12638441.736966714</v>
      </c>
      <c r="I110" s="114">
        <v>9568157.11550574</v>
      </c>
      <c r="J110" s="114">
        <v>13650500.856639996</v>
      </c>
      <c r="K110" s="114">
        <v>-2446570.8610029966</v>
      </c>
      <c r="L110" s="114">
        <v>-7017285.4868509173</v>
      </c>
      <c r="M110" s="114">
        <v>-883996.82922931015</v>
      </c>
      <c r="N110" s="114">
        <v>5464190.3833622187</v>
      </c>
      <c r="O110" s="114">
        <v>-2810440.3935810477</v>
      </c>
      <c r="P110" s="114">
        <v>-347458.61999765038</v>
      </c>
    </row>
    <row r="111" spans="6:16" ht="15.75" customHeight="1">
      <c r="F111" s="36">
        <v>92</v>
      </c>
      <c r="G111" s="114">
        <v>16780584.135427505</v>
      </c>
      <c r="H111" s="114">
        <v>14399004.334363014</v>
      </c>
      <c r="I111" s="114">
        <v>2603005.9809765816</v>
      </c>
      <c r="J111" s="114">
        <v>-952813.53347681463</v>
      </c>
      <c r="K111" s="114">
        <v>8018949.9185700119</v>
      </c>
      <c r="L111" s="114">
        <v>3687698.9345844239</v>
      </c>
      <c r="M111" s="114">
        <v>12925898.147925466</v>
      </c>
      <c r="N111" s="114">
        <v>812887.72988077998</v>
      </c>
      <c r="O111" s="114">
        <v>-1343574.1929344833</v>
      </c>
      <c r="P111" s="114">
        <v>2694174.0633000135</v>
      </c>
    </row>
    <row r="112" spans="6:16" ht="15.75" customHeight="1">
      <c r="F112" s="36">
        <v>93</v>
      </c>
      <c r="G112" s="114">
        <v>11445323.082682699</v>
      </c>
      <c r="H112" s="114">
        <v>13343606.719481111</v>
      </c>
      <c r="I112" s="114">
        <v>4791698.4284176975</v>
      </c>
      <c r="J112" s="114">
        <v>-2437640.5542725027</v>
      </c>
      <c r="K112" s="114">
        <v>7177052.6810848564</v>
      </c>
      <c r="L112" s="114">
        <v>1083709.0451422036</v>
      </c>
      <c r="M112" s="114">
        <v>681190.00130191445</v>
      </c>
      <c r="N112" s="114">
        <v>5508907.6009344757</v>
      </c>
      <c r="O112" s="114">
        <v>8638300.2233218551</v>
      </c>
      <c r="P112" s="114">
        <v>-763701.91202218831</v>
      </c>
    </row>
    <row r="113" spans="6:16" ht="15.75" customHeight="1">
      <c r="F113" s="36">
        <v>94</v>
      </c>
      <c r="G113" s="114">
        <v>8434615.1028783619</v>
      </c>
      <c r="H113" s="114">
        <v>10168306.991233125</v>
      </c>
      <c r="I113" s="114">
        <v>3275712.5671246797</v>
      </c>
      <c r="J113" s="114">
        <v>12494878.066108555</v>
      </c>
      <c r="K113" s="114">
        <v>445810.33543768525</v>
      </c>
      <c r="L113" s="114">
        <v>1279682.3834724426</v>
      </c>
      <c r="M113" s="114">
        <v>5913096.6024513692</v>
      </c>
      <c r="N113" s="114">
        <v>-519341.25291958451</v>
      </c>
      <c r="O113" s="114">
        <v>3661297.3722898066</v>
      </c>
      <c r="P113" s="114">
        <v>4776580.7519154251</v>
      </c>
    </row>
    <row r="114" spans="6:16" ht="15.75" customHeight="1">
      <c r="F114" s="36">
        <v>95</v>
      </c>
      <c r="G114" s="114">
        <v>12553623.014190391</v>
      </c>
      <c r="H114" s="114">
        <v>12978748.444004089</v>
      </c>
      <c r="I114" s="114">
        <v>6462497.0246336758</v>
      </c>
      <c r="J114" s="114">
        <v>878925.57828459144</v>
      </c>
      <c r="K114" s="114">
        <v>8299256.0135974437</v>
      </c>
      <c r="L114" s="114">
        <v>4210591.4436253309</v>
      </c>
      <c r="M114" s="114">
        <v>6367199.9480292648</v>
      </c>
      <c r="N114" s="114">
        <v>856870.83732843399</v>
      </c>
      <c r="O114" s="114">
        <v>-2130729.9661439806</v>
      </c>
      <c r="P114" s="114">
        <v>-6143671.4102028608</v>
      </c>
    </row>
    <row r="115" spans="6:16" ht="15.75" customHeight="1">
      <c r="F115" s="36">
        <v>96</v>
      </c>
      <c r="G115" s="114">
        <v>7055206.6439335793</v>
      </c>
      <c r="H115" s="114">
        <v>11759662.122476801</v>
      </c>
      <c r="I115" s="114">
        <v>7457959.5419264734</v>
      </c>
      <c r="J115" s="114">
        <v>4157159.502085045</v>
      </c>
      <c r="K115" s="114">
        <v>9638854.2137365341</v>
      </c>
      <c r="L115" s="114">
        <v>-988556.57319891453</v>
      </c>
      <c r="M115" s="114">
        <v>7501711.3520312309</v>
      </c>
      <c r="N115" s="114">
        <v>3729161.2752515078</v>
      </c>
      <c r="O115" s="114">
        <v>2554938.9143846184</v>
      </c>
      <c r="P115" s="114">
        <v>-1430402.1663140059</v>
      </c>
    </row>
    <row r="116" spans="6:16" ht="15.75" customHeight="1">
      <c r="F116" s="36">
        <v>97</v>
      </c>
      <c r="G116" s="114">
        <v>13079405.320498064</v>
      </c>
      <c r="H116" s="114">
        <v>5410001.1713092476</v>
      </c>
      <c r="I116" s="114">
        <v>174135.58453474939</v>
      </c>
      <c r="J116" s="114">
        <v>8477931.6126280278</v>
      </c>
      <c r="K116" s="114">
        <v>5884501.5458251387</v>
      </c>
      <c r="L116" s="114">
        <v>-391720.60451282561</v>
      </c>
      <c r="M116" s="114">
        <v>6022456.0757363737</v>
      </c>
      <c r="N116" s="114">
        <v>7324508.2437818497</v>
      </c>
      <c r="O116" s="114">
        <v>-3880645.57950297</v>
      </c>
      <c r="P116" s="114">
        <v>1137869.3725086898</v>
      </c>
    </row>
    <row r="117" spans="6:16" ht="15.75" customHeight="1">
      <c r="F117" s="36">
        <v>98</v>
      </c>
      <c r="G117" s="114">
        <v>14077447.986035869</v>
      </c>
      <c r="H117" s="114">
        <v>12100368.386289299</v>
      </c>
      <c r="I117" s="114">
        <v>-969210.36266164482</v>
      </c>
      <c r="J117" s="114">
        <v>7286881.2658135593</v>
      </c>
      <c r="K117" s="114">
        <v>6692189.4832213074</v>
      </c>
      <c r="L117" s="114">
        <v>-78382.080337926745</v>
      </c>
      <c r="M117" s="114">
        <v>7625494.1610270739</v>
      </c>
      <c r="N117" s="114">
        <v>10072251.341779187</v>
      </c>
      <c r="O117" s="114">
        <v>6293597.8049129546</v>
      </c>
      <c r="P117" s="114">
        <v>-9840568.8764076233</v>
      </c>
    </row>
    <row r="118" spans="6:16" ht="15.75" customHeight="1">
      <c r="F118" s="36">
        <v>99</v>
      </c>
      <c r="G118" s="114">
        <v>14377626.939997926</v>
      </c>
      <c r="H118" s="114">
        <v>2089926.3027969152</v>
      </c>
      <c r="I118" s="114">
        <v>18309078.671123609</v>
      </c>
      <c r="J118" s="114">
        <v>1205123.6365923285</v>
      </c>
      <c r="K118" s="114">
        <v>-1762585.9625272155</v>
      </c>
      <c r="L118" s="114">
        <v>8662827.3177279085</v>
      </c>
      <c r="M118" s="114">
        <v>-4488089.6923275888</v>
      </c>
      <c r="N118" s="114">
        <v>-6102771.0060641319</v>
      </c>
      <c r="O118" s="114">
        <v>1249518.8563233167</v>
      </c>
      <c r="P118" s="114">
        <v>11481802.290947914</v>
      </c>
    </row>
    <row r="119" spans="6:16" ht="15.75" customHeight="1">
      <c r="F119" s="36">
        <v>100</v>
      </c>
      <c r="G119" s="114">
        <v>16947532.722261116</v>
      </c>
      <c r="H119" s="114">
        <v>13586439.505647555</v>
      </c>
      <c r="I119" s="114">
        <v>11682896.532286048</v>
      </c>
      <c r="J119" s="114">
        <v>9985986.2932406515</v>
      </c>
      <c r="K119" s="114">
        <v>11176418.750764668</v>
      </c>
      <c r="L119" s="114">
        <v>8775584.8075329065</v>
      </c>
      <c r="M119" s="114">
        <v>6878012.8450779915</v>
      </c>
      <c r="N119" s="114">
        <v>2610277.7246502042</v>
      </c>
      <c r="O119" s="114">
        <v>685032.12950491905</v>
      </c>
      <c r="P119" s="114">
        <v>1408006.7282194346</v>
      </c>
    </row>
    <row r="120" spans="6:16" ht="15.75" customHeight="1">
      <c r="F120" s="36">
        <v>101</v>
      </c>
      <c r="G120" s="114">
        <v>6337706.106436789</v>
      </c>
      <c r="H120" s="114">
        <v>7250826.9812043905</v>
      </c>
      <c r="I120" s="114">
        <v>19847741.26298368</v>
      </c>
      <c r="J120" s="114">
        <v>8068461.6722459048</v>
      </c>
      <c r="K120" s="114">
        <v>14539393.344250172</v>
      </c>
      <c r="L120" s="114">
        <v>2137473.3507936597</v>
      </c>
      <c r="M120" s="114">
        <v>11533923.973975971</v>
      </c>
      <c r="N120" s="114">
        <v>-6529670.7588910758</v>
      </c>
      <c r="O120" s="114">
        <v>-1906139.0798769742</v>
      </c>
      <c r="P120" s="114">
        <v>-7395864.7616068423</v>
      </c>
    </row>
    <row r="121" spans="6:16" ht="15.75" customHeight="1">
      <c r="F121" s="36">
        <v>102</v>
      </c>
      <c r="G121" s="114">
        <v>13046693.148217425</v>
      </c>
      <c r="H121" s="114">
        <v>3808048.8319094479</v>
      </c>
      <c r="I121" s="114">
        <v>1191877.3942919821</v>
      </c>
      <c r="J121" s="114">
        <v>1296565.7095223665</v>
      </c>
      <c r="K121" s="114">
        <v>8868749.1068550497</v>
      </c>
      <c r="L121" s="114">
        <v>-103437.66592596471</v>
      </c>
      <c r="M121" s="114">
        <v>228902.5770214498</v>
      </c>
      <c r="N121" s="114">
        <v>8624349.2803129107</v>
      </c>
      <c r="O121" s="114">
        <v>1421985.45716618</v>
      </c>
      <c r="P121" s="114">
        <v>8912978.6390613019</v>
      </c>
    </row>
    <row r="122" spans="6:16" ht="15.75" customHeight="1">
      <c r="F122" s="36">
        <v>103</v>
      </c>
      <c r="G122" s="114">
        <v>3477107.8739359826</v>
      </c>
      <c r="H122" s="114">
        <v>-3627676.9164830446</v>
      </c>
      <c r="I122" s="114">
        <v>4088988.3798799962</v>
      </c>
      <c r="J122" s="114">
        <v>10118824.153447866</v>
      </c>
      <c r="K122" s="114">
        <v>11199165.239022508</v>
      </c>
      <c r="L122" s="114">
        <v>9271248.2064423263</v>
      </c>
      <c r="M122" s="114">
        <v>224611.84308217466</v>
      </c>
      <c r="N122" s="114">
        <v>-3160332.8512376994</v>
      </c>
      <c r="O122" s="114">
        <v>-4579071.0550458133</v>
      </c>
      <c r="P122" s="114">
        <v>11097082.171678796</v>
      </c>
    </row>
    <row r="123" spans="6:16" ht="15.75" customHeight="1">
      <c r="F123" s="36">
        <v>104</v>
      </c>
      <c r="G123" s="114">
        <v>13478072.023095518</v>
      </c>
      <c r="H123" s="114">
        <v>12685065.37174432</v>
      </c>
      <c r="I123" s="114">
        <v>11018975.571360454</v>
      </c>
      <c r="J123" s="114">
        <v>8558806.5010939687</v>
      </c>
      <c r="K123" s="114">
        <v>9153421.5852786601</v>
      </c>
      <c r="L123" s="114">
        <v>750626.89278198779</v>
      </c>
      <c r="M123" s="114">
        <v>1871394.2011312544</v>
      </c>
      <c r="N123" s="114">
        <v>-2151725.4431655407</v>
      </c>
      <c r="O123" s="114">
        <v>5811721.6264890134</v>
      </c>
      <c r="P123" s="114">
        <v>3943153.9172605276</v>
      </c>
    </row>
    <row r="124" spans="6:16" ht="15.75" customHeight="1">
      <c r="F124" s="36">
        <v>105</v>
      </c>
      <c r="G124" s="114">
        <v>8338301.75610964</v>
      </c>
      <c r="H124" s="114">
        <v>2304098.8516749293</v>
      </c>
      <c r="I124" s="114">
        <v>4683062.986364007</v>
      </c>
      <c r="J124" s="114">
        <v>-33713.310336828232</v>
      </c>
      <c r="K124" s="114">
        <v>5894419.4242767394</v>
      </c>
      <c r="L124" s="114">
        <v>550666.58476041257</v>
      </c>
      <c r="M124" s="114">
        <v>-2624234.1881809831</v>
      </c>
      <c r="N124" s="114">
        <v>1978491.7501838505</v>
      </c>
      <c r="O124" s="114">
        <v>9771768.148744598</v>
      </c>
      <c r="P124" s="114">
        <v>-4590056.3858851045</v>
      </c>
    </row>
    <row r="125" spans="6:16" ht="15.75" customHeight="1">
      <c r="F125" s="36">
        <v>106</v>
      </c>
      <c r="G125" s="114">
        <v>9287815.0099149048</v>
      </c>
      <c r="H125" s="114">
        <v>9242045.9444296807</v>
      </c>
      <c r="I125" s="114">
        <v>-1476598.5077504218</v>
      </c>
      <c r="J125" s="114">
        <v>14676553.573532268</v>
      </c>
      <c r="K125" s="114">
        <v>-61234.103707060218</v>
      </c>
      <c r="L125" s="114">
        <v>10758899.980189294</v>
      </c>
      <c r="M125" s="114">
        <v>-5114808.9083726108</v>
      </c>
      <c r="N125" s="114">
        <v>10786862.968509093</v>
      </c>
      <c r="O125" s="114">
        <v>-4625989.7993399501</v>
      </c>
      <c r="P125" s="114">
        <v>1045830.7728128433</v>
      </c>
    </row>
    <row r="126" spans="6:16" ht="15.75" customHeight="1">
      <c r="F126" s="36">
        <v>107</v>
      </c>
      <c r="G126" s="114">
        <v>22523481.385956645</v>
      </c>
      <c r="H126" s="114">
        <v>10355305.639014259</v>
      </c>
      <c r="I126" s="114">
        <v>5389207.6685397923</v>
      </c>
      <c r="J126" s="114">
        <v>6592039.3751105815</v>
      </c>
      <c r="K126" s="114">
        <v>10533925.450197935</v>
      </c>
      <c r="L126" s="114">
        <v>5763107.1621515006</v>
      </c>
      <c r="M126" s="114">
        <v>-4155250.1423605531</v>
      </c>
      <c r="N126" s="114">
        <v>-2336845.3398651332</v>
      </c>
      <c r="O126" s="114">
        <v>1252534.7012094557</v>
      </c>
      <c r="P126" s="114">
        <v>-6712079.9203810245</v>
      </c>
    </row>
    <row r="127" spans="6:16" ht="15.75" customHeight="1">
      <c r="F127" s="36">
        <v>108</v>
      </c>
      <c r="G127" s="114">
        <v>14567600.830432445</v>
      </c>
      <c r="H127" s="114">
        <v>7799285.805777967</v>
      </c>
      <c r="I127" s="114">
        <v>-879380.63526710868</v>
      </c>
      <c r="J127" s="114">
        <v>6509991.1969991624</v>
      </c>
      <c r="K127" s="114">
        <v>-83566.587181329727</v>
      </c>
      <c r="L127" s="114">
        <v>-2944165.7428172231</v>
      </c>
      <c r="M127" s="114">
        <v>10496831.393026859</v>
      </c>
      <c r="N127" s="114">
        <v>10846833.234675914</v>
      </c>
      <c r="O127" s="114">
        <v>13792906.223437756</v>
      </c>
      <c r="P127" s="114">
        <v>-3117747.1582147926</v>
      </c>
    </row>
    <row r="128" spans="6:16" ht="15.75" customHeight="1">
      <c r="F128" s="36">
        <v>109</v>
      </c>
      <c r="G128" s="114">
        <v>12574063.656019464</v>
      </c>
      <c r="H128" s="114">
        <v>6899474.0340776891</v>
      </c>
      <c r="I128" s="114">
        <v>13424810.454773381</v>
      </c>
      <c r="J128" s="114">
        <v>10972100.370325595</v>
      </c>
      <c r="K128" s="114">
        <v>-1466815.1186884642</v>
      </c>
      <c r="L128" s="114">
        <v>4092796.1159162074</v>
      </c>
      <c r="M128" s="114">
        <v>662712.55930677056</v>
      </c>
      <c r="N128" s="114">
        <v>7142103.5950812697</v>
      </c>
      <c r="O128" s="114">
        <v>-882960.84498845041</v>
      </c>
      <c r="P128" s="114">
        <v>-2366286.9833658338</v>
      </c>
    </row>
    <row r="129" spans="6:16" ht="15.75" customHeight="1">
      <c r="F129" s="36">
        <v>110</v>
      </c>
      <c r="G129" s="114">
        <v>3694421.2497401536</v>
      </c>
      <c r="H129" s="114">
        <v>6170037.6819477379</v>
      </c>
      <c r="I129" s="114">
        <v>6751901.912848115</v>
      </c>
      <c r="J129" s="114">
        <v>11193608.143455535</v>
      </c>
      <c r="K129" s="114">
        <v>4514974.9607811272</v>
      </c>
      <c r="L129" s="114">
        <v>-4277417.7402058542</v>
      </c>
      <c r="M129" s="114">
        <v>280921.43014219403</v>
      </c>
      <c r="N129" s="114">
        <v>-264480.62422922254</v>
      </c>
      <c r="O129" s="114">
        <v>7098640.2759349942</v>
      </c>
      <c r="P129" s="114">
        <v>2225484.5179916173</v>
      </c>
    </row>
    <row r="130" spans="6:16" ht="15.75" customHeight="1">
      <c r="F130" s="36">
        <v>111</v>
      </c>
      <c r="G130" s="114">
        <v>11819510.35853669</v>
      </c>
      <c r="H130" s="114">
        <v>13861828.335718021</v>
      </c>
      <c r="I130" s="114">
        <v>2275212.7566561401</v>
      </c>
      <c r="J130" s="114">
        <v>8069805.2898680866</v>
      </c>
      <c r="K130" s="114">
        <v>13909397.126618415</v>
      </c>
      <c r="L130" s="114">
        <v>-4993544.8470561653</v>
      </c>
      <c r="M130" s="114">
        <v>12479593.514910564</v>
      </c>
      <c r="N130" s="114">
        <v>-239863.35905583203</v>
      </c>
      <c r="O130" s="114">
        <v>-5407523.8262230456</v>
      </c>
      <c r="P130" s="114">
        <v>5206734.839813903</v>
      </c>
    </row>
    <row r="131" spans="6:16" ht="15.75" customHeight="1">
      <c r="F131" s="36">
        <v>112</v>
      </c>
      <c r="G131" s="114">
        <v>11138361.500293717</v>
      </c>
      <c r="H131" s="114">
        <v>13534449.671136737</v>
      </c>
      <c r="I131" s="114">
        <v>15490662.402206153</v>
      </c>
      <c r="J131" s="114">
        <v>9417585.1429471672</v>
      </c>
      <c r="K131" s="114">
        <v>8742115.6853891164</v>
      </c>
      <c r="L131" s="114">
        <v>-6488966.8816514909</v>
      </c>
      <c r="M131" s="114">
        <v>-2849082.6834875047</v>
      </c>
      <c r="N131" s="114">
        <v>6487830.0382352769</v>
      </c>
      <c r="O131" s="114">
        <v>3839057.7204124928</v>
      </c>
      <c r="P131" s="114">
        <v>4632280.3481320143</v>
      </c>
    </row>
    <row r="132" spans="6:16" ht="15.75" customHeight="1">
      <c r="F132" s="36">
        <v>113</v>
      </c>
      <c r="G132" s="114">
        <v>14373841.566616833</v>
      </c>
      <c r="H132" s="114">
        <v>4580507.4957581162</v>
      </c>
      <c r="I132" s="114">
        <v>10793286.571976468</v>
      </c>
      <c r="J132" s="114">
        <v>4346143.3037443757</v>
      </c>
      <c r="K132" s="114">
        <v>4438097.1331351995</v>
      </c>
      <c r="L132" s="114">
        <v>-5517739.8295379579</v>
      </c>
      <c r="M132" s="114">
        <v>6501750.0672235787</v>
      </c>
      <c r="N132" s="114">
        <v>11098939.771093443</v>
      </c>
      <c r="O132" s="114">
        <v>-9122924.1163569391</v>
      </c>
      <c r="P132" s="114">
        <v>7055536.0452431738</v>
      </c>
    </row>
    <row r="133" spans="6:16" ht="15.75" customHeight="1">
      <c r="F133" s="36">
        <v>114</v>
      </c>
      <c r="G133" s="114">
        <v>10114850.087662965</v>
      </c>
      <c r="H133" s="114">
        <v>12552509.788262025</v>
      </c>
      <c r="I133" s="114">
        <v>484610.13869178295</v>
      </c>
      <c r="J133" s="114">
        <v>14142577.531712115</v>
      </c>
      <c r="K133" s="114">
        <v>7604059.6425538957</v>
      </c>
      <c r="L133" s="114">
        <v>7993480.388233602</v>
      </c>
      <c r="M133" s="114">
        <v>3772233.9087305963</v>
      </c>
      <c r="N133" s="114">
        <v>467141.5949613452</v>
      </c>
      <c r="O133" s="114">
        <v>2592360.9268307537</v>
      </c>
      <c r="P133" s="114">
        <v>-4752835.9883724898</v>
      </c>
    </row>
    <row r="134" spans="6:16" ht="15.75" customHeight="1">
      <c r="F134" s="36">
        <v>115</v>
      </c>
      <c r="G134" s="114">
        <v>15805495.340118021</v>
      </c>
      <c r="H134" s="114">
        <v>15332676.756391108</v>
      </c>
      <c r="I134" s="114">
        <v>14673964.137991592</v>
      </c>
      <c r="J134" s="114">
        <v>9742984.9343406409</v>
      </c>
      <c r="K134" s="114">
        <v>-3669288.2245893627</v>
      </c>
      <c r="L134" s="114">
        <v>5995743.692407161</v>
      </c>
      <c r="M134" s="114">
        <v>1138094.1925438941</v>
      </c>
      <c r="N134" s="114">
        <v>-4754016.5965468436</v>
      </c>
      <c r="O134" s="114">
        <v>1070377.8062273115</v>
      </c>
      <c r="P134" s="114">
        <v>1376269.7258780301</v>
      </c>
    </row>
    <row r="135" spans="6:16" ht="15.75" customHeight="1">
      <c r="F135" s="36">
        <v>116</v>
      </c>
      <c r="G135" s="114">
        <v>12242093.140725523</v>
      </c>
      <c r="H135" s="114">
        <v>16515788.194390669</v>
      </c>
      <c r="I135" s="114">
        <v>15856210.884669662</v>
      </c>
      <c r="J135" s="114">
        <v>11504015.876239166</v>
      </c>
      <c r="K135" s="114">
        <v>6836599.0911884606</v>
      </c>
      <c r="L135" s="114">
        <v>11693824.646188244</v>
      </c>
      <c r="M135" s="114">
        <v>9085451.9412284791</v>
      </c>
      <c r="N135" s="114">
        <v>-10268864.340438098</v>
      </c>
      <c r="O135" s="114">
        <v>-979818.63305011392</v>
      </c>
      <c r="P135" s="114">
        <v>-2527900.4821568429</v>
      </c>
    </row>
    <row r="136" spans="6:16" ht="15.75" customHeight="1">
      <c r="F136" s="36">
        <v>117</v>
      </c>
      <c r="G136" s="114">
        <v>7884657.926615566</v>
      </c>
      <c r="H136" s="114">
        <v>16122481.663927615</v>
      </c>
      <c r="I136" s="114">
        <v>-3278344.9632165134</v>
      </c>
      <c r="J136" s="114">
        <v>4295454.9084799141</v>
      </c>
      <c r="K136" s="114">
        <v>7591046.7664766014</v>
      </c>
      <c r="L136" s="114">
        <v>12661942.919774622</v>
      </c>
      <c r="M136" s="114">
        <v>16408041.095413789</v>
      </c>
      <c r="N136" s="114">
        <v>3507343.4559595585</v>
      </c>
      <c r="O136" s="114">
        <v>3365623.1520372927</v>
      </c>
      <c r="P136" s="114">
        <v>5610948.2987768203</v>
      </c>
    </row>
    <row r="137" spans="6:16" ht="15.75" customHeight="1">
      <c r="F137" s="36">
        <v>118</v>
      </c>
      <c r="G137" s="114">
        <v>11756326.808058679</v>
      </c>
      <c r="H137" s="114">
        <v>15917979.182704493</v>
      </c>
      <c r="I137" s="114">
        <v>2091110.2948880047</v>
      </c>
      <c r="J137" s="114">
        <v>5569031.8616393805</v>
      </c>
      <c r="K137" s="114">
        <v>12962513.875158936</v>
      </c>
      <c r="L137" s="114">
        <v>6230277.4392336309</v>
      </c>
      <c r="M137" s="114">
        <v>3888824.2165433764</v>
      </c>
      <c r="N137" s="114">
        <v>10205269.276359186</v>
      </c>
      <c r="O137" s="114">
        <v>-6594481.0072186589</v>
      </c>
      <c r="P137" s="114">
        <v>5338403.3349415362</v>
      </c>
    </row>
    <row r="138" spans="6:16" ht="15.75" customHeight="1">
      <c r="F138" s="36">
        <v>119</v>
      </c>
      <c r="G138" s="114">
        <v>3727898.8773876131</v>
      </c>
      <c r="H138" s="114">
        <v>14140930.170681149</v>
      </c>
      <c r="I138" s="114">
        <v>-79123.772764399648</v>
      </c>
      <c r="J138" s="114">
        <v>6091112.3408332467</v>
      </c>
      <c r="K138" s="114">
        <v>5257931.377354756</v>
      </c>
      <c r="L138" s="114">
        <v>5117339.3661001027</v>
      </c>
      <c r="M138" s="114">
        <v>-568224.14571291208</v>
      </c>
      <c r="N138" s="114">
        <v>-1933474.2764085382</v>
      </c>
      <c r="O138" s="114">
        <v>4086321.0893204212</v>
      </c>
      <c r="P138" s="114">
        <v>2072266.5230987966</v>
      </c>
    </row>
    <row r="139" spans="6:16" ht="15.75" customHeight="1">
      <c r="F139" s="36">
        <v>120</v>
      </c>
      <c r="G139" s="114">
        <v>14632573.502886236</v>
      </c>
      <c r="H139" s="114">
        <v>13079676.492761701</v>
      </c>
      <c r="I139" s="114">
        <v>18944778.352828383</v>
      </c>
      <c r="J139" s="114">
        <v>613261.47977763414</v>
      </c>
      <c r="K139" s="114">
        <v>3545829.2718489021</v>
      </c>
      <c r="L139" s="114">
        <v>11774961.542602465</v>
      </c>
      <c r="M139" s="114">
        <v>4933882.1647694409</v>
      </c>
      <c r="N139" s="114">
        <v>1183947.4108261466</v>
      </c>
      <c r="O139" s="114">
        <v>8960448.8985818475</v>
      </c>
      <c r="P139" s="114">
        <v>-113986.10872200131</v>
      </c>
    </row>
    <row r="140" spans="6:16" ht="15.75" customHeight="1">
      <c r="F140" s="36">
        <v>121</v>
      </c>
      <c r="G140" s="114">
        <v>8948508.532737419</v>
      </c>
      <c r="H140" s="114">
        <v>9208441.4884278178</v>
      </c>
      <c r="I140" s="114">
        <v>16173516.063246399</v>
      </c>
      <c r="J140" s="114">
        <v>10285455.032324821</v>
      </c>
      <c r="K140" s="114">
        <v>4479369.0092025548</v>
      </c>
      <c r="L140" s="114">
        <v>2515257.9639060199</v>
      </c>
      <c r="M140" s="114">
        <v>4762639.7049217969</v>
      </c>
      <c r="N140" s="114">
        <v>3168414.6091079265</v>
      </c>
      <c r="O140" s="114">
        <v>6092343.47149463</v>
      </c>
      <c r="P140" s="114">
        <v>-2383372.4613659233</v>
      </c>
    </row>
    <row r="141" spans="6:16" ht="15.75" customHeight="1">
      <c r="F141" s="36">
        <v>122</v>
      </c>
      <c r="G141" s="114">
        <v>15954162.69659625</v>
      </c>
      <c r="H141" s="114">
        <v>14398530.794014454</v>
      </c>
      <c r="I141" s="114">
        <v>-7209448.4114305675</v>
      </c>
      <c r="J141" s="114">
        <v>14647277.660886899</v>
      </c>
      <c r="K141" s="114">
        <v>-6466567.1774800718</v>
      </c>
      <c r="L141" s="114">
        <v>2301131.7833822668</v>
      </c>
      <c r="M141" s="114">
        <v>4097286.6343804598</v>
      </c>
      <c r="N141" s="114">
        <v>535210.57075797021</v>
      </c>
      <c r="O141" s="114">
        <v>-318529.08221244812</v>
      </c>
      <c r="P141" s="114">
        <v>5557476.3399029225</v>
      </c>
    </row>
    <row r="142" spans="6:16" ht="15.75" customHeight="1">
      <c r="F142" s="36">
        <v>123</v>
      </c>
      <c r="G142" s="114">
        <v>8799577.087017566</v>
      </c>
      <c r="H142" s="114">
        <v>1302654.0976046324</v>
      </c>
      <c r="I142" s="114">
        <v>7914360.6319766939</v>
      </c>
      <c r="J142" s="114">
        <v>4115235.4285171181</v>
      </c>
      <c r="K142" s="114">
        <v>475501.7601070106</v>
      </c>
      <c r="L142" s="114">
        <v>16622426.693186834</v>
      </c>
      <c r="M142" s="114">
        <v>5356293.2388299853</v>
      </c>
      <c r="N142" s="114">
        <v>8098166.3088848591</v>
      </c>
      <c r="O142" s="114">
        <v>-5672423.4565606564</v>
      </c>
      <c r="P142" s="114">
        <v>150399.92068600655</v>
      </c>
    </row>
    <row r="143" spans="6:16" ht="15.75" customHeight="1">
      <c r="F143" s="36">
        <v>124</v>
      </c>
      <c r="G143" s="114">
        <v>11020044.877077952</v>
      </c>
      <c r="H143" s="114">
        <v>6278760.5620589703</v>
      </c>
      <c r="I143" s="114">
        <v>9428999.0489367545</v>
      </c>
      <c r="J143" s="114">
        <v>8203971.1064661741</v>
      </c>
      <c r="K143" s="114">
        <v>9418934.0947581381</v>
      </c>
      <c r="L143" s="114">
        <v>9950945.1863523722</v>
      </c>
      <c r="M143" s="114">
        <v>3430214.5222872943</v>
      </c>
      <c r="N143" s="114">
        <v>12470130.879145473</v>
      </c>
      <c r="O143" s="114">
        <v>-3865736.3373390734</v>
      </c>
      <c r="P143" s="114">
        <v>6937900.4039107114</v>
      </c>
    </row>
    <row r="144" spans="6:16" ht="15.75" customHeight="1">
      <c r="F144" s="36">
        <v>125</v>
      </c>
      <c r="G144" s="114">
        <v>13157449.774011225</v>
      </c>
      <c r="H144" s="114">
        <v>15505105.937078208</v>
      </c>
      <c r="I144" s="114">
        <v>15510445.021659017</v>
      </c>
      <c r="J144" s="114">
        <v>-1490675.490087688</v>
      </c>
      <c r="K144" s="114">
        <v>3197585.7021245658</v>
      </c>
      <c r="L144" s="114">
        <v>4478006.2238953561</v>
      </c>
      <c r="M144" s="114">
        <v>-6017657.3020427972</v>
      </c>
      <c r="N144" s="114">
        <v>15418644.554659426</v>
      </c>
      <c r="O144" s="114">
        <v>6599270.7523193657</v>
      </c>
      <c r="P144" s="114">
        <v>566928.28999361396</v>
      </c>
    </row>
    <row r="145" spans="6:16" ht="15.75" customHeight="1">
      <c r="F145" s="36">
        <v>126</v>
      </c>
      <c r="G145" s="114">
        <v>9703580.6405312121</v>
      </c>
      <c r="H145" s="114">
        <v>9209308.1633878052</v>
      </c>
      <c r="I145" s="114">
        <v>4873954.5271299183</v>
      </c>
      <c r="J145" s="114">
        <v>10486897.436018616</v>
      </c>
      <c r="K145" s="114">
        <v>8570475.1984878182</v>
      </c>
      <c r="L145" s="114">
        <v>1159531.8145450801</v>
      </c>
      <c r="M145" s="114">
        <v>8061094.634451583</v>
      </c>
      <c r="N145" s="114">
        <v>6040550.0729489028</v>
      </c>
      <c r="O145" s="114">
        <v>9329381.0483075678</v>
      </c>
      <c r="P145" s="114">
        <v>15665850.540558428</v>
      </c>
    </row>
    <row r="146" spans="6:16" ht="15.75" customHeight="1">
      <c r="F146" s="36">
        <v>127</v>
      </c>
      <c r="G146" s="114">
        <v>11132374.889410675</v>
      </c>
      <c r="H146" s="114">
        <v>9449466.4456456602</v>
      </c>
      <c r="I146" s="114">
        <v>14782906.570216864</v>
      </c>
      <c r="J146" s="114">
        <v>5921429.9281300604</v>
      </c>
      <c r="K146" s="114">
        <v>-6675508.5823667347</v>
      </c>
      <c r="L146" s="114">
        <v>-971650.17422959208</v>
      </c>
      <c r="M146" s="114">
        <v>5669334.9464455992</v>
      </c>
      <c r="N146" s="114">
        <v>8916999.5142220557</v>
      </c>
      <c r="O146" s="114">
        <v>2864409.9055129588</v>
      </c>
      <c r="P146" s="114">
        <v>-1156147.3899722099</v>
      </c>
    </row>
    <row r="147" spans="6:16" ht="15.75" customHeight="1">
      <c r="F147" s="36">
        <v>128</v>
      </c>
      <c r="G147" s="114">
        <v>5694562.3485373706</v>
      </c>
      <c r="H147" s="114">
        <v>6205931.5226041675</v>
      </c>
      <c r="I147" s="114">
        <v>2937184.9912873507</v>
      </c>
      <c r="J147" s="114">
        <v>17518356.947650582</v>
      </c>
      <c r="K147" s="114">
        <v>-2324117.6288420707</v>
      </c>
      <c r="L147" s="114">
        <v>2372588.6924756467</v>
      </c>
      <c r="M147" s="114">
        <v>1880346.1287902594</v>
      </c>
      <c r="N147" s="114">
        <v>4143497.4635148942</v>
      </c>
      <c r="O147" s="114">
        <v>13370359.290599063</v>
      </c>
      <c r="P147" s="114">
        <v>-831072.87750899792</v>
      </c>
    </row>
    <row r="148" spans="6:16" ht="15.75" customHeight="1">
      <c r="F148" s="36">
        <v>129</v>
      </c>
      <c r="G148" s="114">
        <v>15918366.617105097</v>
      </c>
      <c r="H148" s="114">
        <v>16283534.524214506</v>
      </c>
      <c r="I148" s="114">
        <v>10650481.379899472</v>
      </c>
      <c r="J148" s="114">
        <v>11334307.947669148</v>
      </c>
      <c r="K148" s="114">
        <v>7333564.6165906489</v>
      </c>
      <c r="L148" s="114">
        <v>13111140.115552932</v>
      </c>
      <c r="M148" s="114">
        <v>5172556.6209704876</v>
      </c>
      <c r="N148" s="114">
        <v>-2904633.2509793043</v>
      </c>
      <c r="O148" s="114">
        <v>3347652.3833322972</v>
      </c>
      <c r="P148" s="114">
        <v>1341012.591756776</v>
      </c>
    </row>
    <row r="149" spans="6:16" ht="15.75" customHeight="1">
      <c r="F149" s="36">
        <v>130</v>
      </c>
      <c r="G149" s="114">
        <v>4829151.2559594214</v>
      </c>
      <c r="H149" s="114">
        <v>4794389.2021164894</v>
      </c>
      <c r="I149" s="114">
        <v>15368549.729066774</v>
      </c>
      <c r="J149" s="114">
        <v>2530464.7967687845</v>
      </c>
      <c r="K149" s="114">
        <v>1140518.8989272416</v>
      </c>
      <c r="L149" s="114">
        <v>-8474255.2641713023</v>
      </c>
      <c r="M149" s="114">
        <v>3846926.1937086135</v>
      </c>
      <c r="N149" s="114">
        <v>-5970126.1435339451</v>
      </c>
      <c r="O149" s="114">
        <v>-417714.49764958024</v>
      </c>
      <c r="P149" s="114">
        <v>1388999.6280559301</v>
      </c>
    </row>
    <row r="150" spans="6:16" ht="15.75" customHeight="1">
      <c r="F150" s="36">
        <v>131</v>
      </c>
      <c r="G150" s="114">
        <v>-161969.40940567851</v>
      </c>
      <c r="H150" s="114">
        <v>2370955.9539071321</v>
      </c>
      <c r="I150" s="114">
        <v>15798930.300383493</v>
      </c>
      <c r="J150" s="114">
        <v>5145248.0526934564</v>
      </c>
      <c r="K150" s="114">
        <v>7363653.4216763377</v>
      </c>
      <c r="L150" s="114">
        <v>12577326.654017627</v>
      </c>
      <c r="M150" s="114">
        <v>6214136.3819332421</v>
      </c>
      <c r="N150" s="114">
        <v>-3785000.6931113899</v>
      </c>
      <c r="O150" s="114">
        <v>6815449.4900249541</v>
      </c>
      <c r="P150" s="114">
        <v>11994012.539404586</v>
      </c>
    </row>
    <row r="151" spans="6:16" ht="15.75" customHeight="1">
      <c r="F151" s="36">
        <v>132</v>
      </c>
      <c r="G151" s="114">
        <v>13267539.280274123</v>
      </c>
      <c r="H151" s="114">
        <v>10501520.217107683</v>
      </c>
      <c r="I151" s="114">
        <v>-5504360.0450643003</v>
      </c>
      <c r="J151" s="114">
        <v>-2154290.390950501</v>
      </c>
      <c r="K151" s="114">
        <v>-265189.86171661317</v>
      </c>
      <c r="L151" s="114">
        <v>6233177.3910630345</v>
      </c>
      <c r="M151" s="114">
        <v>7123.3672645390034</v>
      </c>
      <c r="N151" s="114">
        <v>-6760219.3337166011</v>
      </c>
      <c r="O151" s="114">
        <v>-4957708.3171169907</v>
      </c>
      <c r="P151" s="114">
        <v>3605072.3258992136</v>
      </c>
    </row>
    <row r="152" spans="6:16" ht="15.75" customHeight="1">
      <c r="F152" s="36">
        <v>133</v>
      </c>
      <c r="G152" s="114">
        <v>706482.21034300327</v>
      </c>
      <c r="H152" s="114">
        <v>7076425.3858046085</v>
      </c>
      <c r="I152" s="114">
        <v>18236982.783375233</v>
      </c>
      <c r="J152" s="114">
        <v>10666209.754825696</v>
      </c>
      <c r="K152" s="114">
        <v>9965857.5506339073</v>
      </c>
      <c r="L152" s="114">
        <v>4668063.5865219235</v>
      </c>
      <c r="M152" s="114">
        <v>1360484.6922996193</v>
      </c>
      <c r="N152" s="114">
        <v>-490815.82080006599</v>
      </c>
      <c r="O152" s="114">
        <v>1978994.8330072463</v>
      </c>
      <c r="P152" s="114">
        <v>19133.536625489593</v>
      </c>
    </row>
    <row r="153" spans="6:16" ht="15.75" customHeight="1">
      <c r="F153" s="36">
        <v>134</v>
      </c>
      <c r="G153" s="114">
        <v>4065794.0876222998</v>
      </c>
      <c r="H153" s="114">
        <v>17755748.899846256</v>
      </c>
      <c r="I153" s="114">
        <v>-7075740.5121948123</v>
      </c>
      <c r="J153" s="114">
        <v>11791969.114828214</v>
      </c>
      <c r="K153" s="114">
        <v>9019192.8867878616</v>
      </c>
      <c r="L153" s="114">
        <v>-165922.88063322008</v>
      </c>
      <c r="M153" s="114">
        <v>-1747881.7738423944</v>
      </c>
      <c r="N153" s="114">
        <v>4794759.9234723598</v>
      </c>
      <c r="O153" s="114">
        <v>-1157725.5753734857</v>
      </c>
      <c r="P153" s="114">
        <v>3314875.9435979724</v>
      </c>
    </row>
    <row r="154" spans="6:16" ht="15.75" customHeight="1">
      <c r="F154" s="36">
        <v>135</v>
      </c>
      <c r="G154" s="114">
        <v>-2165937.6518716514</v>
      </c>
      <c r="H154" s="114">
        <v>5330933.5340109915</v>
      </c>
      <c r="I154" s="114">
        <v>9011010.5176043808</v>
      </c>
      <c r="J154" s="114">
        <v>-1962109.9548839927</v>
      </c>
      <c r="K154" s="114">
        <v>10221759.803495616</v>
      </c>
      <c r="L154" s="114">
        <v>-4036089.6481018215</v>
      </c>
      <c r="M154" s="114">
        <v>242791.33552058041</v>
      </c>
      <c r="N154" s="114">
        <v>11034647.026813745</v>
      </c>
      <c r="O154" s="114">
        <v>7134584.8507441431</v>
      </c>
      <c r="P154" s="114">
        <v>11918740.637591392</v>
      </c>
    </row>
    <row r="155" spans="6:16" ht="15.75" customHeight="1">
      <c r="F155" s="36">
        <v>136</v>
      </c>
      <c r="G155" s="114">
        <v>14542588.048124671</v>
      </c>
      <c r="H155" s="114">
        <v>7871530.9673760235</v>
      </c>
      <c r="I155" s="114">
        <v>9761314.9321347922</v>
      </c>
      <c r="J155" s="114">
        <v>1879871.5044716597</v>
      </c>
      <c r="K155" s="114">
        <v>9066905.2161264718</v>
      </c>
      <c r="L155" s="114">
        <v>-4561178.0899684578</v>
      </c>
      <c r="M155" s="114">
        <v>1173578.765708521</v>
      </c>
      <c r="N155" s="114">
        <v>3009240.573325038</v>
      </c>
      <c r="O155" s="114">
        <v>8013908.0757812858</v>
      </c>
      <c r="P155" s="114">
        <v>8559879.7203858644</v>
      </c>
    </row>
    <row r="156" spans="6:16" ht="15.75" customHeight="1">
      <c r="F156" s="36">
        <v>137</v>
      </c>
      <c r="G156" s="114">
        <v>14101550.262689158</v>
      </c>
      <c r="H156" s="114">
        <v>19989296.240176305</v>
      </c>
      <c r="I156" s="114">
        <v>12866219.46551168</v>
      </c>
      <c r="J156" s="114">
        <v>-7410466.8195876181</v>
      </c>
      <c r="K156" s="114">
        <v>7681590.8343663514</v>
      </c>
      <c r="L156" s="114">
        <v>13331045.202546358</v>
      </c>
      <c r="M156" s="114">
        <v>1512926.850612551</v>
      </c>
      <c r="N156" s="114">
        <v>79732.670151799917</v>
      </c>
      <c r="O156" s="114">
        <v>282624.96047188342</v>
      </c>
      <c r="P156" s="114">
        <v>257100.49674126506</v>
      </c>
    </row>
    <row r="157" spans="6:16" ht="15.75" customHeight="1">
      <c r="F157" s="36">
        <v>138</v>
      </c>
      <c r="G157" s="114">
        <v>-2195952.5263663828</v>
      </c>
      <c r="H157" s="114">
        <v>11018707.508428112</v>
      </c>
      <c r="I157" s="114">
        <v>8507048.0560302138</v>
      </c>
      <c r="J157" s="114">
        <v>6466906.9998606741</v>
      </c>
      <c r="K157" s="114">
        <v>-851674.57433879375</v>
      </c>
      <c r="L157" s="114">
        <v>12799902.914734855</v>
      </c>
      <c r="M157" s="114">
        <v>5010188.0725920349</v>
      </c>
      <c r="N157" s="114">
        <v>2669279.5864812732</v>
      </c>
      <c r="O157" s="114">
        <v>-4052811.3692597449</v>
      </c>
      <c r="P157" s="114">
        <v>-2797005.5443874449</v>
      </c>
    </row>
    <row r="158" spans="6:16" ht="15.75" customHeight="1">
      <c r="F158" s="36">
        <v>139</v>
      </c>
      <c r="G158" s="114">
        <v>8983706.5821800828</v>
      </c>
      <c r="H158" s="114">
        <v>13848268.903992593</v>
      </c>
      <c r="I158" s="114">
        <v>11064381.482196152</v>
      </c>
      <c r="J158" s="114">
        <v>11182756.663238034</v>
      </c>
      <c r="K158" s="114">
        <v>5263282.0473873317</v>
      </c>
      <c r="L158" s="114">
        <v>747057.53858618438</v>
      </c>
      <c r="M158" s="114">
        <v>4724678.9203133434</v>
      </c>
      <c r="N158" s="114">
        <v>10851138.582859233</v>
      </c>
      <c r="O158" s="114">
        <v>566218.93840700388</v>
      </c>
      <c r="P158" s="114">
        <v>1563631.842130065</v>
      </c>
    </row>
    <row r="159" spans="6:16" ht="15.75" customHeight="1">
      <c r="F159" s="36">
        <v>140</v>
      </c>
      <c r="G159" s="114">
        <v>4165060.3626406938</v>
      </c>
      <c r="H159" s="114">
        <v>14770028.454190999</v>
      </c>
      <c r="I159" s="114">
        <v>8021204.5631695688</v>
      </c>
      <c r="J159" s="114">
        <v>12449761.705639407</v>
      </c>
      <c r="K159" s="114">
        <v>6907497.6497644782</v>
      </c>
      <c r="L159" s="114">
        <v>3415430.8924305886</v>
      </c>
      <c r="M159" s="114">
        <v>2173614.9958052039</v>
      </c>
      <c r="N159" s="114">
        <v>701860.60296912491</v>
      </c>
      <c r="O159" s="114">
        <v>1939674.1195217222</v>
      </c>
      <c r="P159" s="114">
        <v>4433934.7296895981</v>
      </c>
    </row>
    <row r="160" spans="6:16" ht="15.75" customHeight="1">
      <c r="F160" s="36">
        <v>141</v>
      </c>
      <c r="G160" s="114">
        <v>10140979.641683966</v>
      </c>
      <c r="H160" s="114">
        <v>11065046.499062419</v>
      </c>
      <c r="I160" s="114">
        <v>11307888.986040249</v>
      </c>
      <c r="J160" s="114">
        <v>1319842.8725595921</v>
      </c>
      <c r="K160" s="114">
        <v>4689203.93494232</v>
      </c>
      <c r="L160" s="114">
        <v>6666176.0868742913</v>
      </c>
      <c r="M160" s="114">
        <v>-269095.32879756391</v>
      </c>
      <c r="N160" s="114">
        <v>9914082.7808754146</v>
      </c>
      <c r="O160" s="114">
        <v>11268766.230053872</v>
      </c>
      <c r="P160" s="114">
        <v>4004979.8437286019</v>
      </c>
    </row>
    <row r="161" spans="6:16" ht="15.75" customHeight="1">
      <c r="F161" s="36">
        <v>142</v>
      </c>
      <c r="G161" s="114">
        <v>16803129.207751662</v>
      </c>
      <c r="H161" s="114">
        <v>5202683.3930339068</v>
      </c>
      <c r="I161" s="114">
        <v>3535879.4797349572</v>
      </c>
      <c r="J161" s="114">
        <v>12625044.682354584</v>
      </c>
      <c r="K161" s="114">
        <v>6503253.7268617302</v>
      </c>
      <c r="L161" s="114">
        <v>379665.83560572565</v>
      </c>
      <c r="M161" s="114">
        <v>-3018831.8005460054</v>
      </c>
      <c r="N161" s="114">
        <v>-3980135.1052685976</v>
      </c>
      <c r="O161" s="114">
        <v>11894312.197049469</v>
      </c>
      <c r="P161" s="114">
        <v>5376006.2783386707</v>
      </c>
    </row>
    <row r="162" spans="6:16" ht="15.75" customHeight="1">
      <c r="F162" s="36">
        <v>143</v>
      </c>
      <c r="G162" s="114">
        <v>2950765.0077470839</v>
      </c>
      <c r="H162" s="114">
        <v>6897147.1112392098</v>
      </c>
      <c r="I162" s="114">
        <v>7499803.7965869308</v>
      </c>
      <c r="J162" s="114">
        <v>2813043.1639724523</v>
      </c>
      <c r="K162" s="114">
        <v>8964547.9046143144</v>
      </c>
      <c r="L162" s="114">
        <v>3447348.1141927242</v>
      </c>
      <c r="M162" s="114">
        <v>4138030.5734640211</v>
      </c>
      <c r="N162" s="114">
        <v>11108926.404712692</v>
      </c>
      <c r="O162" s="114">
        <v>-9600093.7315628231</v>
      </c>
      <c r="P162" s="114">
        <v>6583386.8126243502</v>
      </c>
    </row>
    <row r="163" spans="6:16" ht="15.75" customHeight="1">
      <c r="F163" s="36">
        <v>144</v>
      </c>
      <c r="G163" s="114">
        <v>9320840.0210413486</v>
      </c>
      <c r="H163" s="114">
        <v>9736091.7206027657</v>
      </c>
      <c r="I163" s="114">
        <v>3367196.3270535022</v>
      </c>
      <c r="J163" s="114">
        <v>2747362.4160117656</v>
      </c>
      <c r="K163" s="114">
        <v>13337668.051198035</v>
      </c>
      <c r="L163" s="114">
        <v>6258497.6652287245</v>
      </c>
      <c r="M163" s="114">
        <v>-4290734.7676797956</v>
      </c>
      <c r="N163" s="114">
        <v>-7780049.8382366598</v>
      </c>
      <c r="O163" s="114">
        <v>-601399.62264846265</v>
      </c>
      <c r="P163" s="114">
        <v>2696271.7270281017</v>
      </c>
    </row>
    <row r="164" spans="6:16" ht="15.75" customHeight="1">
      <c r="F164" s="36">
        <v>145</v>
      </c>
      <c r="G164" s="114">
        <v>14643031.735526562</v>
      </c>
      <c r="H164" s="114">
        <v>12741780.760224283</v>
      </c>
      <c r="I164" s="114">
        <v>4952704.2566225976</v>
      </c>
      <c r="J164" s="114">
        <v>2741111.8434486538</v>
      </c>
      <c r="K164" s="114">
        <v>13885863.996487901</v>
      </c>
      <c r="L164" s="114">
        <v>10591309.983149052</v>
      </c>
      <c r="M164" s="114">
        <v>12930729.541457519</v>
      </c>
      <c r="N164" s="114">
        <v>2504577.204958424</v>
      </c>
      <c r="O164" s="114">
        <v>5572562.4543091357</v>
      </c>
      <c r="P164" s="114">
        <v>-7523743.6295274347</v>
      </c>
    </row>
    <row r="165" spans="6:16" ht="15.75" customHeight="1">
      <c r="F165" s="36">
        <v>146</v>
      </c>
      <c r="G165" s="114">
        <v>19487613.603150278</v>
      </c>
      <c r="H165" s="114">
        <v>-1993547.4346511513</v>
      </c>
      <c r="I165" s="114">
        <v>3921569.8014993668</v>
      </c>
      <c r="J165" s="114">
        <v>11773071.102456912</v>
      </c>
      <c r="K165" s="114">
        <v>64419.605078265071</v>
      </c>
      <c r="L165" s="114">
        <v>10231041.045129061</v>
      </c>
      <c r="M165" s="114">
        <v>1271712.9567156285</v>
      </c>
      <c r="N165" s="114">
        <v>-8957239.1095548123</v>
      </c>
      <c r="O165" s="114">
        <v>-5629969.7322384864</v>
      </c>
      <c r="P165" s="114">
        <v>5474458.6852016151</v>
      </c>
    </row>
    <row r="166" spans="6:16" ht="15.75" customHeight="1">
      <c r="F166" s="36">
        <v>147</v>
      </c>
      <c r="G166" s="114">
        <v>12517072.870967969</v>
      </c>
      <c r="H166" s="114">
        <v>12333201.589538053</v>
      </c>
      <c r="I166" s="114">
        <v>14280314.226476014</v>
      </c>
      <c r="J166" s="114">
        <v>6195834.2471043766</v>
      </c>
      <c r="K166" s="114">
        <v>13487111.548287272</v>
      </c>
      <c r="L166" s="114">
        <v>-155612.86117272079</v>
      </c>
      <c r="M166" s="114">
        <v>-3727754.4413657784</v>
      </c>
      <c r="N166" s="114">
        <v>5523309.9638325125</v>
      </c>
      <c r="O166" s="114">
        <v>3771503.8945355713</v>
      </c>
      <c r="P166" s="114">
        <v>-2569304.5197560042</v>
      </c>
    </row>
    <row r="167" spans="6:16" ht="15.75" customHeight="1">
      <c r="F167" s="36">
        <v>148</v>
      </c>
      <c r="G167" s="114">
        <v>12585569.412382096</v>
      </c>
      <c r="H167" s="114">
        <v>3841238.5892718136</v>
      </c>
      <c r="I167" s="114">
        <v>-5571423.7723375559</v>
      </c>
      <c r="J167" s="114">
        <v>4919346.6735880077</v>
      </c>
      <c r="K167" s="114">
        <v>-1152631.4643353671</v>
      </c>
      <c r="L167" s="114">
        <v>12805592.2286762</v>
      </c>
      <c r="M167" s="114">
        <v>-3690004.1062482148</v>
      </c>
      <c r="N167" s="114">
        <v>3193601.1933979988</v>
      </c>
      <c r="O167" s="114">
        <v>7538124.7529669702</v>
      </c>
      <c r="P167" s="114">
        <v>1278547.244132176</v>
      </c>
    </row>
    <row r="168" spans="6:16" ht="15.75" customHeight="1">
      <c r="F168" s="36">
        <v>149</v>
      </c>
      <c r="G168" s="114">
        <v>11088021.632457107</v>
      </c>
      <c r="H168" s="114">
        <v>6269190.6755335927</v>
      </c>
      <c r="I168" s="114">
        <v>5214074.2877833843</v>
      </c>
      <c r="J168" s="114">
        <v>14110868.283247441</v>
      </c>
      <c r="K168" s="114">
        <v>-1447653.771867305</v>
      </c>
      <c r="L168" s="114">
        <v>2739415.2675062716</v>
      </c>
      <c r="M168" s="114">
        <v>2683233.8151738346</v>
      </c>
      <c r="N168" s="114">
        <v>10663045.253516838</v>
      </c>
      <c r="O168" s="114">
        <v>557348.44211925566</v>
      </c>
      <c r="P168" s="114">
        <v>5262154.8426685929</v>
      </c>
    </row>
    <row r="169" spans="6:16" ht="15.75" customHeight="1">
      <c r="F169" s="36">
        <v>150</v>
      </c>
      <c r="G169" s="114">
        <v>3417453.307242319</v>
      </c>
      <c r="H169" s="114">
        <v>7749631.4281351119</v>
      </c>
      <c r="I169" s="114">
        <v>12897044.154190555</v>
      </c>
      <c r="J169" s="114">
        <v>9011552.4626955837</v>
      </c>
      <c r="K169" s="114">
        <v>4011681.778237924</v>
      </c>
      <c r="L169" s="114">
        <v>-105316.27258214355</v>
      </c>
      <c r="M169" s="114">
        <v>6300336.339392215</v>
      </c>
      <c r="N169" s="114">
        <v>8572335.1655211747</v>
      </c>
      <c r="O169" s="114">
        <v>-1387935.8532951474</v>
      </c>
      <c r="P169" s="114">
        <v>-4513823.9290769696</v>
      </c>
    </row>
    <row r="170" spans="6:16" ht="15.75" customHeight="1">
      <c r="F170" s="36">
        <v>151</v>
      </c>
      <c r="G170" s="114">
        <v>13437391.906310603</v>
      </c>
      <c r="H170" s="114">
        <v>10177083.049078226</v>
      </c>
      <c r="I170" s="114">
        <v>9465833.7097772807</v>
      </c>
      <c r="J170" s="114">
        <v>1779114.8271194845</v>
      </c>
      <c r="K170" s="114">
        <v>94398.866310402751</v>
      </c>
      <c r="L170" s="114">
        <v>-5387018.1005370468</v>
      </c>
      <c r="M170" s="114">
        <v>3003868.5060146451</v>
      </c>
      <c r="N170" s="114">
        <v>8819852.486459747</v>
      </c>
      <c r="O170" s="114">
        <v>6237965.2761786431</v>
      </c>
      <c r="P170" s="114">
        <v>-7587657.4339684397</v>
      </c>
    </row>
    <row r="171" spans="6:16" ht="15.75" customHeight="1">
      <c r="F171" s="36">
        <v>152</v>
      </c>
      <c r="G171" s="114">
        <v>16422817.738623977</v>
      </c>
      <c r="H171" s="114">
        <v>5247994.399396807</v>
      </c>
      <c r="I171" s="114">
        <v>9016748.3643891215</v>
      </c>
      <c r="J171" s="114">
        <v>-7976512.1951558292</v>
      </c>
      <c r="K171" s="114">
        <v>-4807154.7538100183</v>
      </c>
      <c r="L171" s="114">
        <v>-639652.15115578473</v>
      </c>
      <c r="M171" s="114">
        <v>9539112.158264786</v>
      </c>
      <c r="N171" s="114">
        <v>-2003786.600175947</v>
      </c>
      <c r="O171" s="114">
        <v>85192.377661064267</v>
      </c>
      <c r="P171" s="114">
        <v>-4147150.0187400281</v>
      </c>
    </row>
    <row r="172" spans="6:16" ht="15.75" customHeight="1">
      <c r="F172" s="36">
        <v>153</v>
      </c>
      <c r="G172" s="114">
        <v>6526546.2670283318</v>
      </c>
      <c r="H172" s="114">
        <v>7645562.4997680783</v>
      </c>
      <c r="I172" s="114">
        <v>6907112.1523552984</v>
      </c>
      <c r="J172" s="114">
        <v>3802996.8379212767</v>
      </c>
      <c r="K172" s="114">
        <v>4991044.7694925815</v>
      </c>
      <c r="L172" s="114">
        <v>11190072.77892074</v>
      </c>
      <c r="M172" s="114">
        <v>6359447.1801320016</v>
      </c>
      <c r="N172" s="114">
        <v>788277.41407245398</v>
      </c>
      <c r="O172" s="114">
        <v>2753293.3143959939</v>
      </c>
      <c r="P172" s="114">
        <v>2720895.0703616738</v>
      </c>
    </row>
    <row r="173" spans="6:16" ht="15.75" customHeight="1">
      <c r="F173" s="36">
        <v>154</v>
      </c>
      <c r="G173" s="114">
        <v>4047293.4082329571</v>
      </c>
      <c r="H173" s="114">
        <v>14186197.295156091</v>
      </c>
      <c r="I173" s="114">
        <v>8754203.4905917048</v>
      </c>
      <c r="J173" s="114">
        <v>11539159.972248375</v>
      </c>
      <c r="K173" s="114">
        <v>2173440.901509434</v>
      </c>
      <c r="L173" s="114">
        <v>1960305.2514677942</v>
      </c>
      <c r="M173" s="114">
        <v>6327306.6833535433</v>
      </c>
      <c r="N173" s="114">
        <v>12908853.237339646</v>
      </c>
      <c r="O173" s="114">
        <v>3393575.5822146535</v>
      </c>
      <c r="P173" s="114">
        <v>-5225348.9847809076</v>
      </c>
    </row>
    <row r="174" spans="6:16" ht="15.75" customHeight="1">
      <c r="F174" s="36">
        <v>155</v>
      </c>
      <c r="G174" s="114">
        <v>11938225.533745393</v>
      </c>
      <c r="H174" s="114">
        <v>9386671.4125264138</v>
      </c>
      <c r="I174" s="114">
        <v>15146346.540934891</v>
      </c>
      <c r="J174" s="114">
        <v>5906943.7920483202</v>
      </c>
      <c r="K174" s="114">
        <v>2424789.484180212</v>
      </c>
      <c r="L174" s="114">
        <v>13058454.301093459</v>
      </c>
      <c r="M174" s="114">
        <v>12910562.96602428</v>
      </c>
      <c r="N174" s="114">
        <v>-295605.67719106376</v>
      </c>
      <c r="O174" s="114">
        <v>-625247.16964487731</v>
      </c>
      <c r="P174" s="114">
        <v>2017685.1218449473</v>
      </c>
    </row>
    <row r="175" spans="6:16" ht="15.75" customHeight="1">
      <c r="F175" s="36">
        <v>156</v>
      </c>
      <c r="G175" s="114">
        <v>1696796.9171495438</v>
      </c>
      <c r="H175" s="114">
        <v>5567913.7865318507</v>
      </c>
      <c r="I175" s="114">
        <v>11755350.187531143</v>
      </c>
      <c r="J175" s="114">
        <v>-4657385.2518982887</v>
      </c>
      <c r="K175" s="114">
        <v>406892.45312470198</v>
      </c>
      <c r="L175" s="114">
        <v>3720080.6499943733</v>
      </c>
      <c r="M175" s="114">
        <v>5742635.6144256741</v>
      </c>
      <c r="N175" s="114">
        <v>1423723.7235202491</v>
      </c>
      <c r="O175" s="114">
        <v>4912024.9967054427</v>
      </c>
      <c r="P175" s="114">
        <v>-185606.54407840967</v>
      </c>
    </row>
    <row r="176" spans="6:16" ht="15.75" customHeight="1">
      <c r="F176" s="36">
        <v>157</v>
      </c>
      <c r="G176" s="114">
        <v>20687491.765998706</v>
      </c>
      <c r="H176" s="114">
        <v>9443425.4913027287</v>
      </c>
      <c r="I176" s="114">
        <v>13716369.28397359</v>
      </c>
      <c r="J176" s="114">
        <v>7918083.5096666813</v>
      </c>
      <c r="K176" s="114">
        <v>-2858158.9989449084</v>
      </c>
      <c r="L176" s="114">
        <v>11805647.882280752</v>
      </c>
      <c r="M176" s="114">
        <v>2329656.1969659925</v>
      </c>
      <c r="N176" s="114">
        <v>-6993784.3650022894</v>
      </c>
      <c r="O176" s="114">
        <v>8321850.6906949878</v>
      </c>
      <c r="P176" s="114">
        <v>1515867.9438695312</v>
      </c>
    </row>
    <row r="177" spans="6:16" ht="15.75" customHeight="1">
      <c r="F177" s="36">
        <v>158</v>
      </c>
      <c r="G177" s="114">
        <v>15125589.839408234</v>
      </c>
      <c r="H177" s="114">
        <v>3035225.737333551</v>
      </c>
      <c r="I177" s="114">
        <v>12743376.991824284</v>
      </c>
      <c r="J177" s="114">
        <v>7168642.1663720459</v>
      </c>
      <c r="K177" s="114">
        <v>4174999.2791412324</v>
      </c>
      <c r="L177" s="114">
        <v>6149814.2389460504</v>
      </c>
      <c r="M177" s="114">
        <v>3216884.0169939399</v>
      </c>
      <c r="N177" s="114">
        <v>1428446.1737446487</v>
      </c>
      <c r="O177" s="114">
        <v>6628.3243483901024</v>
      </c>
      <c r="P177" s="114">
        <v>-2493570.0030124784</v>
      </c>
    </row>
    <row r="178" spans="6:16" ht="15.75" customHeight="1">
      <c r="F178" s="36">
        <v>159</v>
      </c>
      <c r="G178" s="114">
        <v>8250590.1545789093</v>
      </c>
      <c r="H178" s="114">
        <v>4617988.3361791968</v>
      </c>
      <c r="I178" s="114">
        <v>5042849.1472005993</v>
      </c>
      <c r="J178" s="114">
        <v>4865832.3472798169</v>
      </c>
      <c r="K178" s="114">
        <v>-1717421.7113386989</v>
      </c>
      <c r="L178" s="114">
        <v>-8393093.4407462925</v>
      </c>
      <c r="M178" s="114">
        <v>5380583.3560195714</v>
      </c>
      <c r="N178" s="114">
        <v>7199663.5720831454</v>
      </c>
      <c r="O178" s="114">
        <v>-3162129.9308773875</v>
      </c>
      <c r="P178" s="114">
        <v>-7978994.5740120709</v>
      </c>
    </row>
    <row r="179" spans="6:16" ht="15.75" customHeight="1">
      <c r="F179" s="36">
        <v>160</v>
      </c>
      <c r="G179" s="114">
        <v>8976417.5941269696</v>
      </c>
      <c r="H179" s="114">
        <v>5433351.6724014431</v>
      </c>
      <c r="I179" s="114">
        <v>3723787.6259426773</v>
      </c>
      <c r="J179" s="114">
        <v>10908335.210387006</v>
      </c>
      <c r="K179" s="114">
        <v>3240786.4783080965</v>
      </c>
      <c r="L179" s="114">
        <v>4837972.5117293447</v>
      </c>
      <c r="M179" s="114">
        <v>13507889.568163738</v>
      </c>
      <c r="N179" s="114">
        <v>-4482217.162953496</v>
      </c>
      <c r="O179" s="114">
        <v>2451554.8048108369</v>
      </c>
      <c r="P179" s="114">
        <v>410435.56238783896</v>
      </c>
    </row>
    <row r="180" spans="6:16" ht="15.75" customHeight="1">
      <c r="F180" s="36">
        <v>161</v>
      </c>
      <c r="G180" s="114">
        <v>12826408.180713728</v>
      </c>
      <c r="H180" s="114">
        <v>12641421.352504358</v>
      </c>
      <c r="I180" s="114">
        <v>14370074.746727318</v>
      </c>
      <c r="J180" s="114">
        <v>6940978.0770667791</v>
      </c>
      <c r="K180" s="114">
        <v>2419942.3206239492</v>
      </c>
      <c r="L180" s="114">
        <v>3854896.1759354174</v>
      </c>
      <c r="M180" s="114">
        <v>-8935245.3515575975</v>
      </c>
      <c r="N180" s="114">
        <v>-10192070.82143259</v>
      </c>
      <c r="O180" s="114">
        <v>6005164.9998219758</v>
      </c>
      <c r="P180" s="114">
        <v>2739196.4848532081</v>
      </c>
    </row>
    <row r="181" spans="6:16" ht="15.75" customHeight="1">
      <c r="F181" s="36">
        <v>162</v>
      </c>
      <c r="G181" s="114">
        <v>9849648.9505411237</v>
      </c>
      <c r="H181" s="114">
        <v>14535110.138541654</v>
      </c>
      <c r="I181" s="114">
        <v>5073928.7260971963</v>
      </c>
      <c r="J181" s="114">
        <v>1106283.853179872</v>
      </c>
      <c r="K181" s="114">
        <v>11871988.169061288</v>
      </c>
      <c r="L181" s="114">
        <v>6539312.5913917124</v>
      </c>
      <c r="M181" s="114">
        <v>-2974023.0352167785</v>
      </c>
      <c r="N181" s="114">
        <v>4591431.3318413198</v>
      </c>
      <c r="O181" s="114">
        <v>1349350.0029049516</v>
      </c>
      <c r="P181" s="114">
        <v>-4412868.1902309358</v>
      </c>
    </row>
    <row r="182" spans="6:16" ht="15.75" customHeight="1">
      <c r="F182" s="36">
        <v>163</v>
      </c>
      <c r="G182" s="114">
        <v>9568306.135006398</v>
      </c>
      <c r="H182" s="114">
        <v>7806831.5759571642</v>
      </c>
      <c r="I182" s="114">
        <v>6918637.1518734097</v>
      </c>
      <c r="J182" s="114">
        <v>-3039362.4080804437</v>
      </c>
      <c r="K182" s="114">
        <v>7172224.119377479</v>
      </c>
      <c r="L182" s="114">
        <v>953178.24403192103</v>
      </c>
      <c r="M182" s="114">
        <v>15104825.809013218</v>
      </c>
      <c r="N182" s="114">
        <v>385108.75325912237</v>
      </c>
      <c r="O182" s="114">
        <v>3423038.8024233431</v>
      </c>
      <c r="P182" s="114">
        <v>3584768.5170012861</v>
      </c>
    </row>
    <row r="183" spans="6:16" ht="15.75" customHeight="1">
      <c r="F183" s="36">
        <v>164</v>
      </c>
      <c r="G183" s="114">
        <v>12983753.111890614</v>
      </c>
      <c r="H183" s="114">
        <v>12579172.684142113</v>
      </c>
      <c r="I183" s="114">
        <v>6970045.4140285105</v>
      </c>
      <c r="J183" s="114">
        <v>8887355.0308917761</v>
      </c>
      <c r="K183" s="114">
        <v>8353448.3626712412</v>
      </c>
      <c r="L183" s="114">
        <v>9362440.6438465118</v>
      </c>
      <c r="M183" s="114">
        <v>6816205.1989972889</v>
      </c>
      <c r="N183" s="114">
        <v>6524739.3395368159</v>
      </c>
      <c r="O183" s="114">
        <v>4163013.8029945791</v>
      </c>
      <c r="P183" s="114">
        <v>2987069.3346114308</v>
      </c>
    </row>
    <row r="184" spans="6:16" ht="15.75" customHeight="1">
      <c r="F184" s="36">
        <v>165</v>
      </c>
      <c r="G184" s="114">
        <v>5928303.2536982</v>
      </c>
      <c r="H184" s="114">
        <v>13608073.247518361</v>
      </c>
      <c r="I184" s="114">
        <v>7455306.9266847968</v>
      </c>
      <c r="J184" s="114">
        <v>3841381.2288398296</v>
      </c>
      <c r="K184" s="114">
        <v>3046794.9501004815</v>
      </c>
      <c r="L184" s="114">
        <v>3019642.6115491688</v>
      </c>
      <c r="M184" s="114">
        <v>4275139.1744455099</v>
      </c>
      <c r="N184" s="114">
        <v>-7799681.4131905437</v>
      </c>
      <c r="O184" s="114">
        <v>8437942.6306224614</v>
      </c>
      <c r="P184" s="114">
        <v>6646148.5946507454</v>
      </c>
    </row>
    <row r="185" spans="6:16" ht="15.75" customHeight="1">
      <c r="F185" s="36">
        <v>166</v>
      </c>
      <c r="G185" s="114">
        <v>5064934.6549823135</v>
      </c>
      <c r="H185" s="114">
        <v>4328374.2309868336</v>
      </c>
      <c r="I185" s="114">
        <v>3903726.1945597827</v>
      </c>
      <c r="J185" s="114">
        <v>10017037.689628154</v>
      </c>
      <c r="K185" s="114">
        <v>1155934.3268669695</v>
      </c>
      <c r="L185" s="114">
        <v>4486597.1874708384</v>
      </c>
      <c r="M185" s="114">
        <v>1495584.0324489623</v>
      </c>
      <c r="N185" s="114">
        <v>751626.4369867444</v>
      </c>
      <c r="O185" s="114">
        <v>2325747.4240110815</v>
      </c>
      <c r="P185" s="114">
        <v>2636502.1381549537</v>
      </c>
    </row>
    <row r="186" spans="6:16" ht="15.75" customHeight="1">
      <c r="F186" s="36">
        <v>167</v>
      </c>
      <c r="G186" s="114">
        <v>8050343.024849534</v>
      </c>
      <c r="H186" s="114">
        <v>9245947.490537554</v>
      </c>
      <c r="I186" s="114">
        <v>16890191.019965112</v>
      </c>
      <c r="J186" s="114">
        <v>16051724.162075892</v>
      </c>
      <c r="K186" s="114">
        <v>8664921.6071510911</v>
      </c>
      <c r="L186" s="114">
        <v>3577510.1770164967</v>
      </c>
      <c r="M186" s="114">
        <v>7135903.5049595237</v>
      </c>
      <c r="N186" s="114">
        <v>6884479.8358421028</v>
      </c>
      <c r="O186" s="114">
        <v>2132158.1879367679</v>
      </c>
      <c r="P186" s="114">
        <v>4566758.5069993287</v>
      </c>
    </row>
    <row r="187" spans="6:16" ht="15.75" customHeight="1">
      <c r="F187" s="36">
        <v>168</v>
      </c>
      <c r="G187" s="114">
        <v>2564781.1530400813</v>
      </c>
      <c r="H187" s="114">
        <v>1133504.3174365163</v>
      </c>
      <c r="I187" s="114">
        <v>-255190.68463040888</v>
      </c>
      <c r="J187" s="114">
        <v>13296482.860157222</v>
      </c>
      <c r="K187" s="114">
        <v>6672306.0316817164</v>
      </c>
      <c r="L187" s="114">
        <v>8978899.1679401249</v>
      </c>
      <c r="M187" s="114">
        <v>2184102.2296089232</v>
      </c>
      <c r="N187" s="114">
        <v>975498.90044495463</v>
      </c>
      <c r="O187" s="114">
        <v>-4907804.0474358797</v>
      </c>
      <c r="P187" s="114">
        <v>3487766.783169359</v>
      </c>
    </row>
    <row r="188" spans="6:16" ht="15.75" customHeight="1">
      <c r="F188" s="36">
        <v>169</v>
      </c>
      <c r="G188" s="114">
        <v>17201996.427842617</v>
      </c>
      <c r="H188" s="114">
        <v>15422197.51130724</v>
      </c>
      <c r="I188" s="114">
        <v>10293180.87555711</v>
      </c>
      <c r="J188" s="114">
        <v>6693901.0380678773</v>
      </c>
      <c r="K188" s="114">
        <v>6130436.9268722385</v>
      </c>
      <c r="L188" s="114">
        <v>1644042.2857055515</v>
      </c>
      <c r="M188" s="114">
        <v>9356016.5669980943</v>
      </c>
      <c r="N188" s="114">
        <v>3502444.8632315099</v>
      </c>
      <c r="O188" s="114">
        <v>906730.77852603793</v>
      </c>
      <c r="P188" s="114">
        <v>7207039.8795415759</v>
      </c>
    </row>
    <row r="189" spans="6:16" ht="15.75" customHeight="1">
      <c r="F189" s="36">
        <v>170</v>
      </c>
      <c r="G189" s="114">
        <v>19738206.629834324</v>
      </c>
      <c r="H189" s="114">
        <v>490914.38196852803</v>
      </c>
      <c r="I189" s="114">
        <v>11267516.388226315</v>
      </c>
      <c r="J189" s="114">
        <v>11600204.831200078</v>
      </c>
      <c r="K189" s="114">
        <v>3913389.1845440716</v>
      </c>
      <c r="L189" s="114">
        <v>11737686.162144601</v>
      </c>
      <c r="M189" s="114">
        <v>217729.34875738621</v>
      </c>
      <c r="N189" s="114">
        <v>3249476.2013114989</v>
      </c>
      <c r="O189" s="114">
        <v>4238023.5382966101</v>
      </c>
      <c r="P189" s="114">
        <v>-1600204.2794818878</v>
      </c>
    </row>
    <row r="190" spans="6:16" ht="15.75" customHeight="1">
      <c r="F190" s="36">
        <v>171</v>
      </c>
      <c r="G190" s="114">
        <v>6527262.2936861366</v>
      </c>
      <c r="H190" s="114">
        <v>13853409.60453549</v>
      </c>
      <c r="I190" s="114">
        <v>10831766.911071822</v>
      </c>
      <c r="J190" s="114">
        <v>3448171.1834779978</v>
      </c>
      <c r="K190" s="114">
        <v>8107479.8221488595</v>
      </c>
      <c r="L190" s="114">
        <v>9095832.8070210516</v>
      </c>
      <c r="M190" s="114">
        <v>-6237106.7771448791</v>
      </c>
      <c r="N190" s="114">
        <v>17940953.125755027</v>
      </c>
      <c r="O190" s="114">
        <v>-7957455.4729921371</v>
      </c>
      <c r="P190" s="114">
        <v>-1683058.8854387701</v>
      </c>
    </row>
    <row r="191" spans="6:16" ht="15.75" customHeight="1">
      <c r="F191" s="36">
        <v>172</v>
      </c>
      <c r="G191" s="114">
        <v>12037864.899067163</v>
      </c>
      <c r="H191" s="114">
        <v>5396627.6047407091</v>
      </c>
      <c r="I191" s="114">
        <v>11957571.449953169</v>
      </c>
      <c r="J191" s="114">
        <v>5507664.7469851673</v>
      </c>
      <c r="K191" s="114">
        <v>-3195748.1912055016</v>
      </c>
      <c r="L191" s="114">
        <v>13843079.805429995</v>
      </c>
      <c r="M191" s="114">
        <v>3180859.7247751653</v>
      </c>
      <c r="N191" s="114">
        <v>-3145383.7006862909</v>
      </c>
      <c r="O191" s="114">
        <v>6000741.20291242</v>
      </c>
      <c r="P191" s="114">
        <v>7828015.1396007836</v>
      </c>
    </row>
    <row r="192" spans="6:16" ht="15.75" customHeight="1">
      <c r="F192" s="36">
        <v>173</v>
      </c>
      <c r="G192" s="114">
        <v>15151409.097122386</v>
      </c>
      <c r="H192" s="114">
        <v>3020690.4125687033</v>
      </c>
      <c r="I192" s="114">
        <v>12248987.319678918</v>
      </c>
      <c r="J192" s="114">
        <v>7060063.1990551353</v>
      </c>
      <c r="K192" s="114">
        <v>-545817.58148825169</v>
      </c>
      <c r="L192" s="114">
        <v>-491899.73761597276</v>
      </c>
      <c r="M192" s="114">
        <v>4680150.9486965388</v>
      </c>
      <c r="N192" s="114">
        <v>3027615.6440267265</v>
      </c>
      <c r="O192" s="114">
        <v>2522632.9175354987</v>
      </c>
      <c r="P192" s="114">
        <v>-10387912.219885096</v>
      </c>
    </row>
    <row r="193" spans="6:16" ht="15.75" customHeight="1">
      <c r="F193" s="36">
        <v>174</v>
      </c>
      <c r="G193" s="114">
        <v>17359459.975063086</v>
      </c>
      <c r="H193" s="114">
        <v>17176381.319861665</v>
      </c>
      <c r="I193" s="114">
        <v>3984231.406458199</v>
      </c>
      <c r="J193" s="114">
        <v>8236892.1114198118</v>
      </c>
      <c r="K193" s="114">
        <v>12133380.983321935</v>
      </c>
      <c r="L193" s="114">
        <v>5849989.7647047341</v>
      </c>
      <c r="M193" s="114">
        <v>10535426.913741469</v>
      </c>
      <c r="N193" s="114">
        <v>4165347.8276508749</v>
      </c>
      <c r="O193" s="114">
        <v>869642.15212246776</v>
      </c>
      <c r="P193" s="114">
        <v>-252890.02134333551</v>
      </c>
    </row>
    <row r="194" spans="6:16" ht="15.75" customHeight="1">
      <c r="F194" s="36">
        <v>175</v>
      </c>
      <c r="G194" s="114">
        <v>1791567.0796905458</v>
      </c>
      <c r="H194" s="114">
        <v>4935531.295618996</v>
      </c>
      <c r="I194" s="114">
        <v>6175759.4352382421</v>
      </c>
      <c r="J194" s="114">
        <v>10543838.746142343</v>
      </c>
      <c r="K194" s="114">
        <v>12198966.136394829</v>
      </c>
      <c r="L194" s="114">
        <v>3868570.80716905</v>
      </c>
      <c r="M194" s="114">
        <v>-3055347.0591435432</v>
      </c>
      <c r="N194" s="114">
        <v>2363061.6090499759</v>
      </c>
      <c r="O194" s="114">
        <v>3767821.0029763579</v>
      </c>
      <c r="P194" s="114">
        <v>3171898.7684712261</v>
      </c>
    </row>
    <row r="195" spans="6:16" ht="15.75" customHeight="1">
      <c r="F195" s="36">
        <v>176</v>
      </c>
      <c r="G195" s="114">
        <v>3912767.2275289893</v>
      </c>
      <c r="H195" s="114">
        <v>14814950.522852838</v>
      </c>
      <c r="I195" s="114">
        <v>-1766497.624263376</v>
      </c>
      <c r="J195" s="114">
        <v>3409221.2984063327</v>
      </c>
      <c r="K195" s="114">
        <v>22538356.125905633</v>
      </c>
      <c r="L195" s="114">
        <v>3370500.3130864948</v>
      </c>
      <c r="M195" s="114">
        <v>9054621.5594661534</v>
      </c>
      <c r="N195" s="114">
        <v>7716970.0545938462</v>
      </c>
      <c r="O195" s="114">
        <v>8334526.3058923483</v>
      </c>
      <c r="P195" s="114">
        <v>647810.02340623736</v>
      </c>
    </row>
    <row r="196" spans="6:16" ht="15.75" customHeight="1">
      <c r="F196" s="36">
        <v>177</v>
      </c>
      <c r="G196" s="114">
        <v>11240822.972218752</v>
      </c>
      <c r="H196" s="114">
        <v>11771622.683800951</v>
      </c>
      <c r="I196" s="114">
        <v>7437770.0179226398</v>
      </c>
      <c r="J196" s="114">
        <v>6737969.9763394594</v>
      </c>
      <c r="K196" s="114">
        <v>2364542.1629957706</v>
      </c>
      <c r="L196" s="114">
        <v>87523.610213279724</v>
      </c>
      <c r="M196" s="114">
        <v>6237495.9975586385</v>
      </c>
      <c r="N196" s="114">
        <v>-4251054.1660754532</v>
      </c>
      <c r="O196" s="114">
        <v>10777923.33175987</v>
      </c>
      <c r="P196" s="114">
        <v>3752218.6715922058</v>
      </c>
    </row>
    <row r="197" spans="6:16" ht="15.75" customHeight="1">
      <c r="F197" s="36">
        <v>178</v>
      </c>
      <c r="G197" s="114">
        <v>14362276.170612857</v>
      </c>
      <c r="H197" s="114">
        <v>14683797.886365354</v>
      </c>
      <c r="I197" s="114">
        <v>911739.08116340637</v>
      </c>
      <c r="J197" s="114">
        <v>4968176.6136376858</v>
      </c>
      <c r="K197" s="114">
        <v>-3520486.1040252745</v>
      </c>
      <c r="L197" s="114">
        <v>12521231.532671511</v>
      </c>
      <c r="M197" s="114">
        <v>4063376.4574916363</v>
      </c>
      <c r="N197" s="114">
        <v>2771537.5778022707</v>
      </c>
      <c r="O197" s="114">
        <v>6751509.4473946542</v>
      </c>
      <c r="P197" s="114">
        <v>5702622.0750553608</v>
      </c>
    </row>
    <row r="198" spans="6:16" ht="15.75" customHeight="1">
      <c r="F198" s="36">
        <v>179</v>
      </c>
      <c r="G198" s="114">
        <v>1417978.7738637775</v>
      </c>
      <c r="H198" s="114">
        <v>3498025.5024487674</v>
      </c>
      <c r="I198" s="114">
        <v>6595796.1315641254</v>
      </c>
      <c r="J198" s="114">
        <v>5437560.4738556445</v>
      </c>
      <c r="K198" s="114">
        <v>4947116.9157381207</v>
      </c>
      <c r="L198" s="114">
        <v>10900417.985394299</v>
      </c>
      <c r="M198" s="114">
        <v>7534457.0190601796</v>
      </c>
      <c r="N198" s="114">
        <v>-1474908.1999015808</v>
      </c>
      <c r="O198" s="114">
        <v>-7809708.8978114426</v>
      </c>
      <c r="P198" s="114">
        <v>512335.24462223053</v>
      </c>
    </row>
    <row r="199" spans="6:16" ht="15.75" customHeight="1">
      <c r="F199" s="36">
        <v>180</v>
      </c>
      <c r="G199" s="114">
        <v>13538349.946131229</v>
      </c>
      <c r="H199" s="114">
        <v>8646188.0535443425</v>
      </c>
      <c r="I199" s="114">
        <v>10744106.856389165</v>
      </c>
      <c r="J199" s="114">
        <v>3600640.7227395773</v>
      </c>
      <c r="K199" s="114">
        <v>5635840.39879179</v>
      </c>
      <c r="L199" s="114">
        <v>6045921.9996600747</v>
      </c>
      <c r="M199" s="114">
        <v>4812223.4392670691</v>
      </c>
      <c r="N199" s="114">
        <v>2502717.3247200251</v>
      </c>
      <c r="O199" s="114">
        <v>2526758.4915776998</v>
      </c>
      <c r="P199" s="114">
        <v>-695437.87226873636</v>
      </c>
    </row>
    <row r="200" spans="6:16" ht="15.75" customHeight="1">
      <c r="F200" s="36">
        <v>181</v>
      </c>
      <c r="G200" s="114">
        <v>-1074904.8823846132</v>
      </c>
      <c r="H200" s="114">
        <v>3813924.3531030416</v>
      </c>
      <c r="I200" s="114">
        <v>3530184.6644061804</v>
      </c>
      <c r="J200" s="114">
        <v>2284661.7188486904</v>
      </c>
      <c r="K200" s="114">
        <v>10131312.433917105</v>
      </c>
      <c r="L200" s="114">
        <v>2652725.9799083471</v>
      </c>
      <c r="M200" s="114">
        <v>3016560.7904453725</v>
      </c>
      <c r="N200" s="114">
        <v>-287331.32023315132</v>
      </c>
      <c r="O200" s="114">
        <v>2490217.7605566233</v>
      </c>
      <c r="P200" s="114">
        <v>-8622204.9162396491</v>
      </c>
    </row>
    <row r="201" spans="6:16" ht="15.75" customHeight="1">
      <c r="F201" s="36">
        <v>182</v>
      </c>
      <c r="G201" s="114">
        <v>16475764.064804107</v>
      </c>
      <c r="H201" s="114">
        <v>6394774.1212099493</v>
      </c>
      <c r="I201" s="114">
        <v>6996048.448661387</v>
      </c>
      <c r="J201" s="114">
        <v>687647.44748786092</v>
      </c>
      <c r="K201" s="114">
        <v>133261.35433599353</v>
      </c>
      <c r="L201" s="114">
        <v>1341267.6538804919</v>
      </c>
      <c r="M201" s="114">
        <v>2531772.616043359</v>
      </c>
      <c r="N201" s="114">
        <v>4378059.6110260338</v>
      </c>
      <c r="O201" s="114">
        <v>-2316724.004312709</v>
      </c>
      <c r="P201" s="114">
        <v>886846.24416649342</v>
      </c>
    </row>
    <row r="202" spans="6:16" ht="15.75" customHeight="1">
      <c r="F202" s="36">
        <v>183</v>
      </c>
      <c r="G202" s="114">
        <v>6453346.96312958</v>
      </c>
      <c r="H202" s="114">
        <v>10073091.072091982</v>
      </c>
      <c r="I202" s="114">
        <v>16606533.644472003</v>
      </c>
      <c r="J202" s="114">
        <v>4273595.4462077618</v>
      </c>
      <c r="K202" s="114">
        <v>-1143538.9735580385</v>
      </c>
      <c r="L202" s="114">
        <v>5154800.5749122053</v>
      </c>
      <c r="M202" s="114">
        <v>-3983.4655314534903</v>
      </c>
      <c r="N202" s="114">
        <v>8582298.9354318827</v>
      </c>
      <c r="O202" s="114">
        <v>-4119855.3718080819</v>
      </c>
      <c r="P202" s="114">
        <v>-5589309.7661042213</v>
      </c>
    </row>
    <row r="203" spans="6:16" ht="15.75" customHeight="1">
      <c r="F203" s="36">
        <v>184</v>
      </c>
      <c r="G203" s="114">
        <v>7878803.9117262959</v>
      </c>
      <c r="H203" s="114">
        <v>12609097.419848621</v>
      </c>
      <c r="I203" s="114">
        <v>7899494.915536508</v>
      </c>
      <c r="J203" s="114">
        <v>5874267.1839959621</v>
      </c>
      <c r="K203" s="114">
        <v>266739.78563646972</v>
      </c>
      <c r="L203" s="114">
        <v>3931708.0117352903</v>
      </c>
      <c r="M203" s="114">
        <v>-3442428.8373295963</v>
      </c>
      <c r="N203" s="114">
        <v>9245776.558299154</v>
      </c>
      <c r="O203" s="114">
        <v>-9668372.5923711061</v>
      </c>
      <c r="P203" s="114">
        <v>-2635233.6652423441</v>
      </c>
    </row>
    <row r="204" spans="6:16" ht="15.75" customHeight="1">
      <c r="F204" s="36">
        <v>185</v>
      </c>
      <c r="G204" s="114">
        <v>3814138.6709986329</v>
      </c>
      <c r="H204" s="114">
        <v>7145630.1339248419</v>
      </c>
      <c r="I204" s="114">
        <v>11396060.881200403</v>
      </c>
      <c r="J204" s="114">
        <v>12022302.338276982</v>
      </c>
      <c r="K204" s="114">
        <v>10235446.697620794</v>
      </c>
      <c r="L204" s="114">
        <v>5607800.9040317088</v>
      </c>
      <c r="M204" s="114">
        <v>7212811.4399440736</v>
      </c>
      <c r="N204" s="114">
        <v>-2715451.4690746963</v>
      </c>
      <c r="O204" s="114">
        <v>236050.19857111573</v>
      </c>
      <c r="P204" s="114">
        <v>4249193.1284614056</v>
      </c>
    </row>
    <row r="205" spans="6:16" ht="15.75" customHeight="1">
      <c r="F205" s="36">
        <v>186</v>
      </c>
      <c r="G205" s="114">
        <v>12796977.872214168</v>
      </c>
      <c r="H205" s="114">
        <v>9065673.2856256366</v>
      </c>
      <c r="I205" s="114">
        <v>10346268.509867266</v>
      </c>
      <c r="J205" s="114">
        <v>4896038.936775744</v>
      </c>
      <c r="K205" s="114">
        <v>4644057.9352312088</v>
      </c>
      <c r="L205" s="114">
        <v>6144540.2614818811</v>
      </c>
      <c r="M205" s="114">
        <v>3568987.3016467839</v>
      </c>
      <c r="N205" s="114">
        <v>9132728.0530003905</v>
      </c>
      <c r="O205" s="114">
        <v>5138939.9707437456</v>
      </c>
      <c r="P205" s="114">
        <v>3843515.6346853971</v>
      </c>
    </row>
    <row r="206" spans="6:16" ht="15.75" customHeight="1">
      <c r="F206" s="36">
        <v>187</v>
      </c>
      <c r="G206" s="114">
        <v>3609988.2530055493</v>
      </c>
      <c r="H206" s="114">
        <v>11451488.474381536</v>
      </c>
      <c r="I206" s="114">
        <v>14482480.105243281</v>
      </c>
      <c r="J206" s="114">
        <v>12059730.641932711</v>
      </c>
      <c r="K206" s="114">
        <v>10399304.371588081</v>
      </c>
      <c r="L206" s="114">
        <v>9684448.1082145274</v>
      </c>
      <c r="M206" s="114">
        <v>-3404092.110044986</v>
      </c>
      <c r="N206" s="114">
        <v>4654875.2828475833</v>
      </c>
      <c r="O206" s="114">
        <v>2581940.3823639452</v>
      </c>
      <c r="P206" s="114">
        <v>-6414219.4714310765</v>
      </c>
    </row>
    <row r="207" spans="6:16" ht="15.75" customHeight="1">
      <c r="F207" s="36">
        <v>188</v>
      </c>
      <c r="G207" s="114">
        <v>20518793.59554328</v>
      </c>
      <c r="H207" s="114">
        <v>9356635.2090887576</v>
      </c>
      <c r="I207" s="114">
        <v>7950236.5741826594</v>
      </c>
      <c r="J207" s="114">
        <v>3934827.8015079498</v>
      </c>
      <c r="K207" s="114">
        <v>5312010.266651243</v>
      </c>
      <c r="L207" s="114">
        <v>13038981.241943598</v>
      </c>
      <c r="M207" s="114">
        <v>9852556.3906728774</v>
      </c>
      <c r="N207" s="114">
        <v>-1590974.1697961688</v>
      </c>
      <c r="O207" s="114">
        <v>7260966.7792504579</v>
      </c>
      <c r="P207" s="114">
        <v>-374381.89333114028</v>
      </c>
    </row>
    <row r="208" spans="6:16" ht="15.75" customHeight="1">
      <c r="F208" s="36">
        <v>189</v>
      </c>
      <c r="G208" s="114">
        <v>21432688.699424714</v>
      </c>
      <c r="H208" s="114">
        <v>6353972.1781902909</v>
      </c>
      <c r="I208" s="114">
        <v>-5764913.9083104879</v>
      </c>
      <c r="J208" s="114">
        <v>10846897.298033267</v>
      </c>
      <c r="K208" s="114">
        <v>4432055.2624483556</v>
      </c>
      <c r="L208" s="114">
        <v>-2053265.5665172935</v>
      </c>
      <c r="M208" s="114">
        <v>3186413.7092786431</v>
      </c>
      <c r="N208" s="114">
        <v>15733342.872241914</v>
      </c>
      <c r="O208" s="114">
        <v>8784487.6121406257</v>
      </c>
      <c r="P208" s="114">
        <v>4541390.1410622597</v>
      </c>
    </row>
    <row r="209" spans="6:16" ht="15.75" customHeight="1">
      <c r="F209" s="36">
        <v>190</v>
      </c>
      <c r="G209" s="114">
        <v>14643679.419307441</v>
      </c>
      <c r="H209" s="114">
        <v>10167218.081425175</v>
      </c>
      <c r="I209" s="114">
        <v>4420401.2271541953</v>
      </c>
      <c r="J209" s="114">
        <v>-293038.17567524314</v>
      </c>
      <c r="K209" s="114">
        <v>7485398.1001700759</v>
      </c>
      <c r="L209" s="114">
        <v>2895016.7963269204</v>
      </c>
      <c r="M209" s="114">
        <v>-2195554.9989385009</v>
      </c>
      <c r="N209" s="114">
        <v>4443559.2308661789</v>
      </c>
      <c r="O209" s="114">
        <v>3989897.0044630319</v>
      </c>
      <c r="P209" s="114">
        <v>4203476.9473564923</v>
      </c>
    </row>
    <row r="210" spans="6:16" ht="15.75" customHeight="1">
      <c r="F210" s="36">
        <v>191</v>
      </c>
      <c r="G210" s="114">
        <v>8453310.8028882891</v>
      </c>
      <c r="H210" s="114">
        <v>9503046.9972204566</v>
      </c>
      <c r="I210" s="114">
        <v>7990735.7861300409</v>
      </c>
      <c r="J210" s="114">
        <v>8959313.9062919021</v>
      </c>
      <c r="K210" s="114">
        <v>6650098.7808343619</v>
      </c>
      <c r="L210" s="114">
        <v>3748975.9924640656</v>
      </c>
      <c r="M210" s="114">
        <v>6989126.7419777066</v>
      </c>
      <c r="N210" s="114">
        <v>2562253.8584109396</v>
      </c>
      <c r="O210" s="114">
        <v>6056903.6014872193</v>
      </c>
      <c r="P210" s="114">
        <v>655820.81188045442</v>
      </c>
    </row>
    <row r="211" spans="6:16" ht="15.75" customHeight="1">
      <c r="F211" s="36">
        <v>192</v>
      </c>
      <c r="G211" s="114">
        <v>5664886.645446986</v>
      </c>
      <c r="H211" s="114">
        <v>14074825.263912261</v>
      </c>
      <c r="I211" s="114">
        <v>10485417.016157761</v>
      </c>
      <c r="J211" s="114">
        <v>-2771487.5067926049</v>
      </c>
      <c r="K211" s="114">
        <v>2816992.2107436955</v>
      </c>
      <c r="L211" s="114">
        <v>7661164.8732465953</v>
      </c>
      <c r="M211" s="114">
        <v>1949218.5563577563</v>
      </c>
      <c r="N211" s="114">
        <v>2195263.1383421123</v>
      </c>
      <c r="O211" s="114">
        <v>4174028.4846876562</v>
      </c>
      <c r="P211" s="114">
        <v>-5742710.1112906188</v>
      </c>
    </row>
    <row r="212" spans="6:16" ht="15.75" customHeight="1">
      <c r="F212" s="36">
        <v>193</v>
      </c>
      <c r="G212" s="114">
        <v>6935202.6429554671</v>
      </c>
      <c r="H212" s="114">
        <v>8541884.5517570823</v>
      </c>
      <c r="I212" s="114">
        <v>10173010.810533568</v>
      </c>
      <c r="J212" s="114">
        <v>8600166.3899822533</v>
      </c>
      <c r="K212" s="114">
        <v>1339870.2658316493</v>
      </c>
      <c r="L212" s="114">
        <v>6996663.6386342049</v>
      </c>
      <c r="M212" s="114">
        <v>-2410841.6520240754</v>
      </c>
      <c r="N212" s="114">
        <v>1020853.8261304498</v>
      </c>
      <c r="O212" s="114">
        <v>784041.24017508328</v>
      </c>
      <c r="P212" s="114">
        <v>-2073134.7774239779</v>
      </c>
    </row>
    <row r="213" spans="6:16" ht="15.75" customHeight="1">
      <c r="F213" s="36">
        <v>194</v>
      </c>
      <c r="G213" s="114">
        <v>2722403.5080693513</v>
      </c>
      <c r="H213" s="114">
        <v>26972417.098429173</v>
      </c>
      <c r="I213" s="114">
        <v>5079056.6261909604</v>
      </c>
      <c r="J213" s="114">
        <v>12835066.487889856</v>
      </c>
      <c r="K213" s="114">
        <v>8864769.2179640532</v>
      </c>
      <c r="L213" s="114">
        <v>-2184756.7332671136</v>
      </c>
      <c r="M213" s="114">
        <v>-2408165.597398147</v>
      </c>
      <c r="N213" s="114">
        <v>8084492.0087144077</v>
      </c>
      <c r="O213" s="114">
        <v>-5866334.9221498817</v>
      </c>
      <c r="P213" s="114">
        <v>-3573966.5602272749</v>
      </c>
    </row>
    <row r="214" spans="6:16" ht="15.75" customHeight="1">
      <c r="F214" s="36">
        <v>195</v>
      </c>
      <c r="G214" s="114">
        <v>6863123.3666996807</v>
      </c>
      <c r="H214" s="114">
        <v>14714206.241600499</v>
      </c>
      <c r="I214" s="114">
        <v>13337030.354901195</v>
      </c>
      <c r="J214" s="114">
        <v>-1679910.2346890122</v>
      </c>
      <c r="K214" s="114">
        <v>7313179.1093561351</v>
      </c>
      <c r="L214" s="114">
        <v>11555931.912880242</v>
      </c>
      <c r="M214" s="114">
        <v>6840040.232524991</v>
      </c>
      <c r="N214" s="114">
        <v>-1297745.4860938787</v>
      </c>
      <c r="O214" s="114">
        <v>1844822.958997488</v>
      </c>
      <c r="P214" s="114">
        <v>9499366.237768963</v>
      </c>
    </row>
    <row r="215" spans="6:16" ht="15.75" customHeight="1">
      <c r="F215" s="36">
        <v>196</v>
      </c>
      <c r="G215" s="114">
        <v>2830141.5691495985</v>
      </c>
      <c r="H215" s="114">
        <v>13846336.749676198</v>
      </c>
      <c r="I215" s="114">
        <v>7162399.5132343769</v>
      </c>
      <c r="J215" s="114">
        <v>-1189172.2905240655</v>
      </c>
      <c r="K215" s="114">
        <v>-2626848.7052070498</v>
      </c>
      <c r="L215" s="114">
        <v>2587696.8896912783</v>
      </c>
      <c r="M215" s="114">
        <v>-344141.16849839687</v>
      </c>
      <c r="N215" s="114">
        <v>177359.8178704977</v>
      </c>
      <c r="O215" s="114">
        <v>1684555.1431947201</v>
      </c>
      <c r="P215" s="114">
        <v>-968950.82518327236</v>
      </c>
    </row>
    <row r="216" spans="6:16" ht="15.75" customHeight="1">
      <c r="F216" s="36">
        <v>197</v>
      </c>
      <c r="G216" s="114">
        <v>9542511.6257927567</v>
      </c>
      <c r="H216" s="114">
        <v>-4681121.2616553605</v>
      </c>
      <c r="I216" s="114">
        <v>12388902.857930243</v>
      </c>
      <c r="J216" s="114">
        <v>8742703.4209356904</v>
      </c>
      <c r="K216" s="114">
        <v>5608728.4645854384</v>
      </c>
      <c r="L216" s="114">
        <v>5637752.1072033048</v>
      </c>
      <c r="M216" s="114">
        <v>-6799453.8287139833</v>
      </c>
      <c r="N216" s="114">
        <v>8701484.9122843146</v>
      </c>
      <c r="O216" s="114">
        <v>2189848.9848141074</v>
      </c>
      <c r="P216" s="114">
        <v>10375284.914258778</v>
      </c>
    </row>
    <row r="217" spans="6:16" ht="15.75" customHeight="1">
      <c r="F217" s="36">
        <v>198</v>
      </c>
      <c r="G217" s="114">
        <v>9033271.5585926175</v>
      </c>
      <c r="H217" s="114">
        <v>10742443.217482939</v>
      </c>
      <c r="I217" s="114">
        <v>630475.60929369926</v>
      </c>
      <c r="J217" s="114">
        <v>6114499.6587144136</v>
      </c>
      <c r="K217" s="114">
        <v>12541857.339858323</v>
      </c>
      <c r="L217" s="114">
        <v>-833159.66503353417</v>
      </c>
      <c r="M217" s="114">
        <v>9358112.9950959682</v>
      </c>
      <c r="N217" s="114">
        <v>-8378986.2609874308</v>
      </c>
      <c r="O217" s="114">
        <v>-5579560.8495698273</v>
      </c>
      <c r="P217" s="114">
        <v>12552962.286294281</v>
      </c>
    </row>
    <row r="218" spans="6:16" ht="15.75" customHeight="1">
      <c r="F218" s="36">
        <v>199</v>
      </c>
      <c r="G218" s="114">
        <v>6168672.2047165036</v>
      </c>
      <c r="H218" s="114">
        <v>13385031.054055616</v>
      </c>
      <c r="I218" s="114">
        <v>5436767.950122118</v>
      </c>
      <c r="J218" s="114">
        <v>5857304.4482268542</v>
      </c>
      <c r="K218" s="114">
        <v>13299584.113320872</v>
      </c>
      <c r="L218" s="114">
        <v>5101544.6694727391</v>
      </c>
      <c r="M218" s="114">
        <v>1189186.5108014047</v>
      </c>
      <c r="N218" s="114">
        <v>5534319.3054500818</v>
      </c>
      <c r="O218" s="114">
        <v>10129040.613799095</v>
      </c>
      <c r="P218" s="114">
        <v>-10490122.28628242</v>
      </c>
    </row>
    <row r="219" spans="6:16" ht="15.75" customHeight="1">
      <c r="F219" s="36">
        <v>200</v>
      </c>
      <c r="G219" s="114">
        <v>4140060.9211308956</v>
      </c>
      <c r="H219" s="114">
        <v>9602386.0173710436</v>
      </c>
      <c r="I219" s="114">
        <v>5588971.0363002419</v>
      </c>
      <c r="J219" s="114">
        <v>8945974.028471306</v>
      </c>
      <c r="K219" s="114">
        <v>8841372.7721645534</v>
      </c>
      <c r="L219" s="114">
        <v>5672711.9588072747</v>
      </c>
      <c r="M219" s="114">
        <v>6109626.0791066587</v>
      </c>
      <c r="N219" s="114">
        <v>4783975.4960439652</v>
      </c>
      <c r="O219" s="114">
        <v>2194010.3673598468</v>
      </c>
      <c r="P219" s="114">
        <v>536759.88968858123</v>
      </c>
    </row>
  </sheetData>
  <conditionalFormatting sqref="G16:P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7">
    <tabColor rgb="FFCC0000"/>
    <outlinePr summaryBelow="0" summaryRight="0"/>
  </sheetPr>
  <dimension ref="A2:CA237"/>
  <sheetViews>
    <sheetView topLeftCell="D9" zoomScale="75" workbookViewId="0">
      <selection activeCell="P25" sqref="P25"/>
    </sheetView>
  </sheetViews>
  <sheetFormatPr defaultColWidth="12.6640625" defaultRowHeight="15.75" customHeight="1"/>
  <cols>
    <col min="1" max="1" width="12.6640625" style="36"/>
    <col min="2" max="2" width="18.77734375" style="36" bestFit="1" customWidth="1"/>
    <col min="3" max="3" width="20.109375" style="36" bestFit="1" customWidth="1"/>
    <col min="4" max="4" width="18.109375" style="36" customWidth="1"/>
    <col min="5" max="6" width="12.6640625" style="36"/>
    <col min="7" max="7" width="19.33203125" style="36" customWidth="1"/>
    <col min="8" max="18" width="12.6640625" style="36"/>
    <col min="19" max="26" width="13.6640625" style="36" bestFit="1" customWidth="1"/>
    <col min="27" max="16384" width="12.6640625" style="36"/>
  </cols>
  <sheetData>
    <row r="2" spans="1:79" ht="15.75" customHeight="1">
      <c r="A2" s="127"/>
      <c r="B2" s="127" t="s">
        <v>91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</row>
    <row r="3" spans="1:79" ht="15.75" customHeight="1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</row>
    <row r="4" spans="1:79" ht="15.75" customHeight="1">
      <c r="A4" s="127"/>
      <c r="B4" s="13" t="s">
        <v>92</v>
      </c>
      <c r="C4" s="13"/>
      <c r="D4" s="13"/>
      <c r="E4" s="13"/>
      <c r="F4" s="13"/>
    </row>
    <row r="5" spans="1:79" ht="15.75" customHeight="1">
      <c r="A5" s="127"/>
      <c r="B5" s="14" t="s">
        <v>93</v>
      </c>
      <c r="C5" s="14" t="s">
        <v>86</v>
      </c>
      <c r="D5" s="14" t="s">
        <v>94</v>
      </c>
      <c r="E5" s="14" t="s">
        <v>95</v>
      </c>
      <c r="F5" s="13"/>
    </row>
    <row r="6" spans="1:79" ht="15.75" customHeight="1">
      <c r="A6" s="128">
        <f ca="1">RANDBETWEEN(45,55)</f>
        <v>50</v>
      </c>
      <c r="B6" s="15" t="s">
        <v>96</v>
      </c>
      <c r="C6" s="16">
        <v>2209113</v>
      </c>
      <c r="D6" s="16">
        <v>2177808</v>
      </c>
      <c r="E6" s="16">
        <v>31305</v>
      </c>
      <c r="F6" s="13"/>
    </row>
    <row r="7" spans="1:79" ht="15.75" customHeight="1">
      <c r="A7" s="128">
        <f ca="1">RANDBETWEEN(36,44)</f>
        <v>38</v>
      </c>
      <c r="B7" s="15" t="s">
        <v>97</v>
      </c>
      <c r="C7" s="16">
        <v>6705081</v>
      </c>
      <c r="D7" s="16">
        <v>6534162</v>
      </c>
      <c r="E7" s="16">
        <v>170919</v>
      </c>
      <c r="F7" s="13"/>
    </row>
    <row r="8" spans="1:79" ht="15.75" customHeight="1">
      <c r="A8" s="128">
        <f ca="1">RANDBETWEEN(27,33)</f>
        <v>28</v>
      </c>
      <c r="B8" s="15" t="s">
        <v>98</v>
      </c>
      <c r="C8" s="16">
        <v>41320</v>
      </c>
      <c r="D8" s="16">
        <v>40021</v>
      </c>
      <c r="E8" s="16">
        <v>1299</v>
      </c>
      <c r="F8" s="13"/>
    </row>
    <row r="9" spans="1:79" ht="15.75" customHeight="1">
      <c r="A9" s="127"/>
      <c r="B9" s="15" t="s">
        <v>99</v>
      </c>
      <c r="C9" s="19">
        <v>8955514</v>
      </c>
      <c r="D9" s="19">
        <v>8751991</v>
      </c>
      <c r="E9" s="19">
        <v>203523</v>
      </c>
      <c r="F9" s="20"/>
    </row>
    <row r="10" spans="1:79" ht="15.75" customHeight="1">
      <c r="A10" s="127"/>
      <c r="B10" s="13"/>
      <c r="C10" s="13"/>
      <c r="D10" s="13"/>
      <c r="E10" s="13"/>
      <c r="F10" s="13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  <c r="AK10" s="127"/>
      <c r="AL10" s="127"/>
      <c r="AM10" s="127"/>
      <c r="AN10" s="127"/>
      <c r="AO10" s="127"/>
      <c r="AP10" s="127"/>
      <c r="AQ10" s="127"/>
      <c r="AR10" s="127"/>
      <c r="AS10" s="127"/>
      <c r="AT10" s="127"/>
      <c r="AU10" s="127"/>
      <c r="AV10" s="127"/>
      <c r="AW10" s="127"/>
      <c r="AX10" s="127"/>
      <c r="AY10" s="127"/>
      <c r="AZ10" s="127"/>
      <c r="BA10" s="127"/>
      <c r="BB10" s="127"/>
      <c r="BC10" s="127"/>
      <c r="BD10" s="127"/>
      <c r="BE10" s="127"/>
      <c r="BF10" s="127"/>
      <c r="BG10" s="127"/>
      <c r="BH10" s="127"/>
      <c r="BI10" s="127"/>
      <c r="BJ10" s="127"/>
      <c r="BK10" s="127"/>
      <c r="BL10" s="127"/>
      <c r="BM10" s="127"/>
      <c r="BN10" s="127"/>
      <c r="BO10" s="127"/>
      <c r="BP10" s="127"/>
      <c r="BQ10" s="127"/>
      <c r="BR10" s="127"/>
      <c r="BS10" s="127"/>
      <c r="BT10" s="127"/>
      <c r="BU10" s="127"/>
      <c r="BV10" s="127"/>
      <c r="BW10" s="127"/>
      <c r="BX10" s="127" t="s">
        <v>10</v>
      </c>
      <c r="BY10" s="127"/>
      <c r="BZ10" s="127"/>
      <c r="CA10" s="127"/>
    </row>
    <row r="11" spans="1:79" ht="15.75" customHeight="1">
      <c r="A11" s="127"/>
      <c r="B11" s="13" t="s">
        <v>100</v>
      </c>
      <c r="C11" s="14" t="s">
        <v>86</v>
      </c>
      <c r="D11" s="14" t="s">
        <v>94</v>
      </c>
      <c r="E11" s="14" t="s">
        <v>95</v>
      </c>
      <c r="F11" s="13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  <c r="AK11" s="127"/>
      <c r="AL11" s="127"/>
      <c r="AM11" s="127"/>
      <c r="AN11" s="127"/>
      <c r="AO11" s="127"/>
      <c r="AP11" s="127"/>
      <c r="AQ11" s="127"/>
      <c r="AR11" s="127"/>
      <c r="AS11" s="127"/>
      <c r="AT11" s="127"/>
      <c r="AU11" s="127"/>
      <c r="AV11" s="127"/>
      <c r="AW11" s="127"/>
      <c r="AX11" s="127"/>
      <c r="AY11" s="127"/>
      <c r="AZ11" s="127"/>
      <c r="BA11" s="127"/>
      <c r="BB11" s="127"/>
      <c r="BC11" s="127"/>
      <c r="BD11" s="127"/>
      <c r="BE11" s="127"/>
      <c r="BF11" s="127"/>
      <c r="BG11" s="127"/>
      <c r="BH11" s="127"/>
      <c r="BI11" s="127"/>
      <c r="BJ11" s="127"/>
      <c r="BK11" s="127"/>
      <c r="BL11" s="127"/>
      <c r="BM11" s="127"/>
      <c r="BN11" s="127"/>
      <c r="BO11" s="127"/>
      <c r="BP11" s="127"/>
      <c r="BQ11" s="127"/>
      <c r="BR11" s="127"/>
      <c r="BS11" s="127"/>
      <c r="BT11" s="127"/>
      <c r="BU11" s="127"/>
      <c r="BV11" s="127"/>
      <c r="BW11" s="127"/>
      <c r="BX11" s="127" t="s">
        <v>10</v>
      </c>
      <c r="BY11" s="127"/>
      <c r="BZ11" s="127"/>
      <c r="CA11" s="127"/>
    </row>
    <row r="12" spans="1:79" ht="15.75" customHeight="1">
      <c r="A12" s="127"/>
      <c r="B12" s="15" t="s">
        <v>96</v>
      </c>
      <c r="C12" s="21">
        <f ca="1">(A6*C6/100)*$P$25</f>
        <v>6632312.6982592111</v>
      </c>
      <c r="D12" s="21">
        <f t="shared" ref="D12:D14" ca="1" si="0">(A6*D6/100)*$P$25</f>
        <v>6538327.2167473985</v>
      </c>
      <c r="E12" s="21">
        <f t="shared" ref="E12:E14" ca="1" si="1">(A6*E6/100)*$P$25</f>
        <v>93985.481511812482</v>
      </c>
      <c r="F12" s="13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  <c r="AK12" s="127"/>
      <c r="AL12" s="127"/>
      <c r="AM12" s="127"/>
      <c r="AN12" s="127"/>
      <c r="AO12" s="127"/>
      <c r="AP12" s="127"/>
      <c r="AQ12" s="127"/>
      <c r="AR12" s="127"/>
      <c r="AS12" s="127"/>
      <c r="AT12" s="127"/>
      <c r="AU12" s="127"/>
      <c r="AV12" s="127"/>
      <c r="AW12" s="127"/>
      <c r="AX12" s="127"/>
      <c r="AY12" s="127"/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27"/>
      <c r="BK12" s="127"/>
      <c r="BL12" s="127"/>
      <c r="BM12" s="127"/>
      <c r="BN12" s="127"/>
      <c r="BO12" s="127"/>
      <c r="BP12" s="127"/>
      <c r="BQ12" s="127"/>
      <c r="BR12" s="127"/>
      <c r="BS12" s="127"/>
      <c r="BT12" s="127"/>
      <c r="BU12" s="127"/>
      <c r="BV12" s="127"/>
      <c r="BW12" s="127"/>
      <c r="BX12" s="127" t="s">
        <v>10</v>
      </c>
      <c r="BY12" s="127"/>
      <c r="BZ12" s="127"/>
      <c r="CA12" s="127"/>
    </row>
    <row r="13" spans="1:79" ht="15.75" customHeight="1">
      <c r="A13" s="127"/>
      <c r="B13" s="15" t="s">
        <v>97</v>
      </c>
      <c r="C13" s="21">
        <f t="shared" ref="C13:C14" ca="1" si="2">(A7*C7/100)*$P$25</f>
        <v>15299057.736276502</v>
      </c>
      <c r="D13" s="21">
        <f t="shared" ca="1" si="0"/>
        <v>14909069.956975007</v>
      </c>
      <c r="E13" s="21">
        <f ca="1">(A7*E7/100)*$P$25</f>
        <v>389987.77930149442</v>
      </c>
      <c r="F13" s="13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  <c r="AK13" s="127"/>
      <c r="AL13" s="127"/>
      <c r="AM13" s="127"/>
      <c r="AN13" s="127"/>
      <c r="AO13" s="127"/>
      <c r="AP13" s="127"/>
      <c r="AQ13" s="127"/>
      <c r="AR13" s="127"/>
      <c r="AS13" s="127"/>
      <c r="AT13" s="127"/>
      <c r="AU13" s="127"/>
      <c r="AV13" s="127"/>
      <c r="AW13" s="127"/>
      <c r="AX13" s="127"/>
      <c r="AY13" s="127"/>
      <c r="AZ13" s="127"/>
      <c r="BA13" s="127"/>
      <c r="BB13" s="127"/>
      <c r="BC13" s="127"/>
      <c r="BD13" s="127"/>
      <c r="BE13" s="127"/>
      <c r="BF13" s="127"/>
      <c r="BG13" s="127"/>
      <c r="BH13" s="127"/>
      <c r="BI13" s="127"/>
      <c r="BJ13" s="127"/>
      <c r="BK13" s="127"/>
      <c r="BL13" s="127"/>
      <c r="BM13" s="127"/>
      <c r="BN13" s="127"/>
      <c r="BO13" s="127"/>
      <c r="BP13" s="127"/>
      <c r="BQ13" s="127"/>
      <c r="BR13" s="127"/>
      <c r="BS13" s="127"/>
      <c r="BT13" s="127"/>
      <c r="BU13" s="127"/>
      <c r="BV13" s="127"/>
      <c r="BW13" s="127"/>
      <c r="BX13" s="127" t="s">
        <v>10</v>
      </c>
      <c r="BY13" s="127"/>
      <c r="BZ13" s="127"/>
      <c r="CA13" s="127"/>
    </row>
    <row r="14" spans="1:79" ht="15.75" customHeight="1">
      <c r="A14" s="127"/>
      <c r="B14" s="15" t="s">
        <v>98</v>
      </c>
      <c r="C14" s="21">
        <f t="shared" ca="1" si="2"/>
        <v>69469.696655426655</v>
      </c>
      <c r="D14" s="21">
        <f t="shared" ca="1" si="0"/>
        <v>67285.738863669641</v>
      </c>
      <c r="E14" s="21">
        <f t="shared" ca="1" si="1"/>
        <v>2183.9577917569995</v>
      </c>
      <c r="F14" s="13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/>
      <c r="AL14" s="127"/>
      <c r="AM14" s="127"/>
      <c r="AN14" s="127"/>
      <c r="AO14" s="127"/>
      <c r="AP14" s="127"/>
      <c r="AQ14" s="127"/>
      <c r="AR14" s="127"/>
      <c r="AS14" s="127"/>
      <c r="AT14" s="127"/>
      <c r="AU14" s="127"/>
      <c r="AV14" s="127"/>
      <c r="AW14" s="127"/>
      <c r="AX14" s="127"/>
      <c r="AY14" s="127"/>
      <c r="AZ14" s="127"/>
      <c r="BA14" s="127"/>
      <c r="BB14" s="127"/>
      <c r="BC14" s="127"/>
      <c r="BD14" s="127"/>
      <c r="BE14" s="127"/>
      <c r="BF14" s="127"/>
      <c r="BG14" s="127"/>
      <c r="BH14" s="127"/>
      <c r="BI14" s="127"/>
      <c r="BJ14" s="127"/>
      <c r="BK14" s="127"/>
      <c r="BL14" s="127"/>
      <c r="BM14" s="127"/>
      <c r="BN14" s="127"/>
      <c r="BO14" s="127"/>
      <c r="BP14" s="127"/>
      <c r="BQ14" s="127"/>
      <c r="BR14" s="127"/>
      <c r="BS14" s="127"/>
      <c r="BT14" s="127"/>
      <c r="BU14" s="127"/>
      <c r="BV14" s="127"/>
      <c r="BW14" s="127"/>
      <c r="BX14" s="127"/>
      <c r="BY14" s="127"/>
      <c r="BZ14" s="127"/>
      <c r="CA14" s="127"/>
    </row>
    <row r="15" spans="1:79" ht="15.75" customHeight="1">
      <c r="A15" s="127"/>
      <c r="B15" s="15" t="s">
        <v>99</v>
      </c>
      <c r="C15" s="21">
        <f t="shared" ref="C15:E15" ca="1" si="3">SUM(C12:C14)</f>
        <v>22000840.131191138</v>
      </c>
      <c r="D15" s="21">
        <f t="shared" ca="1" si="3"/>
        <v>21514682.912586074</v>
      </c>
      <c r="E15" s="21">
        <f t="shared" ca="1" si="3"/>
        <v>486157.21860506391</v>
      </c>
      <c r="F15" s="13"/>
      <c r="G15" s="1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/>
      <c r="BE15" s="127"/>
      <c r="BF15" s="127"/>
      <c r="BG15" s="127"/>
      <c r="BH15" s="127"/>
      <c r="BI15" s="127"/>
      <c r="BJ15" s="127"/>
      <c r="BK15" s="127"/>
      <c r="BL15" s="127"/>
      <c r="BM15" s="127"/>
      <c r="BN15" s="127"/>
      <c r="BO15" s="127"/>
      <c r="BP15" s="127"/>
      <c r="BQ15" s="127"/>
      <c r="BR15" s="127"/>
      <c r="BS15" s="127"/>
      <c r="BT15" s="127"/>
      <c r="BU15" s="127"/>
      <c r="BV15" s="127"/>
      <c r="BW15" s="127"/>
      <c r="BX15" s="127"/>
      <c r="BY15" s="127"/>
      <c r="BZ15" s="127"/>
      <c r="CA15" s="127"/>
    </row>
    <row r="16" spans="1:79" ht="15.75" customHeight="1">
      <c r="A16" s="127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</row>
    <row r="17" spans="1:79" ht="15.75" customHeight="1">
      <c r="A17" s="127"/>
      <c r="B17" s="129"/>
      <c r="C17" s="129"/>
      <c r="D17" s="129"/>
      <c r="E17" s="129"/>
      <c r="F17" s="129"/>
      <c r="G17" s="129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129"/>
      <c r="BT17" s="129"/>
      <c r="BU17" s="129"/>
      <c r="BV17" s="129"/>
      <c r="BW17" s="129"/>
      <c r="BX17" s="129"/>
      <c r="BY17" s="129"/>
      <c r="BZ17" s="129"/>
      <c r="CA17" s="129"/>
    </row>
    <row r="18" spans="1:79" ht="15.75" customHeight="1">
      <c r="A18" s="127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129"/>
      <c r="BT18" s="129"/>
      <c r="BU18" s="129"/>
      <c r="BV18" s="129"/>
      <c r="BW18" s="129"/>
      <c r="BX18" s="129"/>
      <c r="BY18" s="129"/>
      <c r="BZ18" s="129"/>
      <c r="CA18" s="129"/>
    </row>
    <row r="19" spans="1:79" ht="15.75" customHeight="1">
      <c r="A19" s="127"/>
      <c r="B19" s="13"/>
      <c r="C19" s="13"/>
      <c r="D19" s="13"/>
      <c r="E19" s="13"/>
      <c r="F19" s="13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129"/>
      <c r="BT19" s="129"/>
      <c r="BU19" s="129"/>
      <c r="BV19" s="129"/>
      <c r="BW19" s="129"/>
      <c r="BX19" s="129"/>
      <c r="BY19" s="129"/>
      <c r="BZ19" s="129"/>
      <c r="CA19" s="129"/>
    </row>
    <row r="20" spans="1:79" ht="15.75" customHeight="1">
      <c r="A20" s="127"/>
      <c r="B20" s="13" t="s">
        <v>101</v>
      </c>
      <c r="C20" s="13"/>
      <c r="D20" s="13"/>
      <c r="E20" s="13"/>
      <c r="F20" s="13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129"/>
      <c r="BT20" s="129"/>
      <c r="BU20" s="129"/>
      <c r="BV20" s="129"/>
      <c r="BW20" s="129"/>
      <c r="BX20" s="129"/>
      <c r="BY20" s="129"/>
      <c r="BZ20" s="129"/>
      <c r="CA20" s="129"/>
    </row>
    <row r="21" spans="1:79" ht="15.75" customHeight="1">
      <c r="A21" s="127"/>
      <c r="B21" s="14" t="s">
        <v>93</v>
      </c>
      <c r="C21" s="14" t="s">
        <v>86</v>
      </c>
      <c r="D21" s="14" t="s">
        <v>94</v>
      </c>
      <c r="E21" s="14" t="s">
        <v>95</v>
      </c>
      <c r="F21" s="13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129"/>
      <c r="BT21" s="129"/>
      <c r="BU21" s="129"/>
      <c r="BV21" s="129"/>
      <c r="BW21" s="129"/>
      <c r="BX21" s="129"/>
      <c r="BY21" s="129"/>
      <c r="BZ21" s="129"/>
      <c r="CA21" s="129"/>
    </row>
    <row r="22" spans="1:79" ht="15.75" customHeight="1">
      <c r="A22" s="128">
        <f ca="1">RANDBETWEEN(31.5,38.5)</f>
        <v>32</v>
      </c>
      <c r="B22" s="15" t="s">
        <v>96</v>
      </c>
      <c r="C22" s="16">
        <v>539625</v>
      </c>
      <c r="D22" s="16">
        <v>518622</v>
      </c>
      <c r="E22" s="16">
        <v>21003</v>
      </c>
      <c r="F22" s="13"/>
      <c r="G22" s="2"/>
      <c r="H22" s="2"/>
      <c r="I22" s="17">
        <v>44927</v>
      </c>
      <c r="J22" s="17">
        <v>44958</v>
      </c>
      <c r="K22" s="17">
        <v>44986</v>
      </c>
      <c r="L22" s="17">
        <v>45017</v>
      </c>
      <c r="M22" s="17">
        <v>45047</v>
      </c>
      <c r="N22" s="17">
        <v>45078</v>
      </c>
      <c r="O22" s="17">
        <v>45108</v>
      </c>
      <c r="P22" s="17">
        <v>45139</v>
      </c>
      <c r="Q22" s="17">
        <v>45170</v>
      </c>
      <c r="R22" s="17">
        <v>45200</v>
      </c>
      <c r="S22" s="17">
        <v>45231</v>
      </c>
      <c r="T22" s="17">
        <v>45261</v>
      </c>
      <c r="U22" s="17">
        <v>45292</v>
      </c>
      <c r="V22" s="17">
        <v>45323</v>
      </c>
      <c r="W22" s="17">
        <v>45352</v>
      </c>
      <c r="X22" s="17">
        <v>45383</v>
      </c>
      <c r="Y22" s="17">
        <v>45413</v>
      </c>
      <c r="Z22" s="17">
        <v>45444</v>
      </c>
      <c r="AA22" s="17">
        <v>45474</v>
      </c>
      <c r="AB22" s="17">
        <v>45505</v>
      </c>
      <c r="AC22" s="17">
        <v>45536</v>
      </c>
      <c r="AD22" s="17">
        <v>45566</v>
      </c>
      <c r="AE22" s="17">
        <v>45597</v>
      </c>
      <c r="AF22" s="17">
        <v>45627</v>
      </c>
      <c r="AG22" s="17">
        <v>45658</v>
      </c>
      <c r="AH22" s="17">
        <v>45689</v>
      </c>
      <c r="AI22" s="17">
        <v>45717</v>
      </c>
      <c r="AJ22" s="17">
        <v>45748</v>
      </c>
      <c r="AK22" s="17">
        <v>45778</v>
      </c>
      <c r="AL22" s="17">
        <v>45809</v>
      </c>
      <c r="AM22" s="17">
        <v>45839</v>
      </c>
      <c r="AN22" s="17">
        <v>45870</v>
      </c>
      <c r="AO22" s="17">
        <v>45901</v>
      </c>
      <c r="AP22" s="17">
        <v>45931</v>
      </c>
      <c r="AQ22" s="17">
        <v>45962</v>
      </c>
      <c r="AR22" s="17">
        <v>45992</v>
      </c>
      <c r="AS22" s="145">
        <v>46023</v>
      </c>
      <c r="AT22" s="145">
        <v>46054</v>
      </c>
      <c r="AU22" s="145">
        <v>46082</v>
      </c>
      <c r="AV22" s="145">
        <v>46113</v>
      </c>
      <c r="AW22" s="145">
        <v>46143</v>
      </c>
      <c r="AX22" s="145">
        <v>46174</v>
      </c>
      <c r="AY22" s="145">
        <v>46204</v>
      </c>
      <c r="AZ22" s="145">
        <v>46235</v>
      </c>
      <c r="BA22" s="145">
        <v>46266</v>
      </c>
      <c r="BB22" s="145">
        <v>46296</v>
      </c>
      <c r="BC22" s="145">
        <v>46327</v>
      </c>
      <c r="BD22" s="145">
        <v>46357</v>
      </c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129"/>
      <c r="BT22" s="129"/>
      <c r="BU22" s="129"/>
      <c r="BV22" s="129"/>
      <c r="BW22" s="129"/>
      <c r="BX22" s="129"/>
      <c r="BY22" s="129"/>
      <c r="BZ22" s="129"/>
      <c r="CA22" s="129"/>
    </row>
    <row r="23" spans="1:79" ht="15.75" customHeight="1">
      <c r="A23" s="128">
        <f ca="1">RANDBETWEEN(25.2,30.8)</f>
        <v>29</v>
      </c>
      <c r="B23" s="15" t="s">
        <v>97</v>
      </c>
      <c r="C23" s="16">
        <v>960693</v>
      </c>
      <c r="D23" s="16">
        <v>927702</v>
      </c>
      <c r="E23" s="16">
        <v>32991</v>
      </c>
      <c r="F23" s="13"/>
      <c r="G23" s="2"/>
      <c r="H23" s="2"/>
      <c r="I23" s="18">
        <v>7.66</v>
      </c>
      <c r="J23" s="18">
        <v>7.35</v>
      </c>
      <c r="K23" s="18">
        <v>6.87</v>
      </c>
      <c r="L23" s="18">
        <v>6.71</v>
      </c>
      <c r="M23" s="18">
        <v>6.19</v>
      </c>
      <c r="N23" s="18">
        <v>6.14</v>
      </c>
      <c r="O23" s="18">
        <v>6.15</v>
      </c>
      <c r="P23" s="18">
        <v>6.22</v>
      </c>
      <c r="Q23" s="18">
        <v>6.18</v>
      </c>
      <c r="R23" s="18">
        <v>6.12</v>
      </c>
      <c r="S23" s="18">
        <v>6.75</v>
      </c>
      <c r="T23" s="18">
        <v>6.49</v>
      </c>
      <c r="U23" s="18">
        <v>6.46</v>
      </c>
      <c r="V23" s="18">
        <v>6.79</v>
      </c>
      <c r="W23" s="18">
        <v>6.73</v>
      </c>
      <c r="X23" s="18">
        <v>6.66</v>
      </c>
      <c r="Y23" s="18">
        <v>6.54</v>
      </c>
      <c r="Z23" s="18">
        <v>6.44</v>
      </c>
      <c r="AA23" s="18">
        <v>6.35</v>
      </c>
      <c r="AB23" s="18">
        <v>6.21</v>
      </c>
      <c r="AC23" s="18">
        <v>6</v>
      </c>
      <c r="AD23" s="18">
        <v>6.1</v>
      </c>
      <c r="AE23" s="18">
        <v>6.07</v>
      </c>
      <c r="AF23" s="18">
        <v>6.15</v>
      </c>
      <c r="AG23" s="18">
        <v>6.32</v>
      </c>
      <c r="AH23" s="18">
        <v>6.38</v>
      </c>
      <c r="AI23" s="18">
        <v>6.27</v>
      </c>
      <c r="AJ23" s="18">
        <v>6.03</v>
      </c>
      <c r="AK23" s="18">
        <v>5.98</v>
      </c>
      <c r="AL23" s="18">
        <v>5.88</v>
      </c>
      <c r="AM23" s="18">
        <v>6.11</v>
      </c>
      <c r="AN23" s="18">
        <v>6.01</v>
      </c>
      <c r="AO23" s="18">
        <v>5.94</v>
      </c>
      <c r="AP23" s="18">
        <v>6.03</v>
      </c>
      <c r="AQ23" s="18">
        <v>6.21</v>
      </c>
      <c r="AR23" s="22">
        <v>6.19</v>
      </c>
      <c r="AS23" s="146">
        <v>6.2156047000000001</v>
      </c>
      <c r="AT23" s="146">
        <v>6.3485981000000002</v>
      </c>
      <c r="AU23" s="146">
        <v>6.2744445000000004</v>
      </c>
      <c r="AV23" s="146">
        <v>6.2062223999999997</v>
      </c>
      <c r="AW23" s="146">
        <v>6.1226374999999997</v>
      </c>
      <c r="AX23" s="146">
        <v>5.9483296000000001</v>
      </c>
      <c r="AY23" s="146">
        <v>5.9150223999999998</v>
      </c>
      <c r="AZ23" s="146">
        <v>5.7821812000000001</v>
      </c>
      <c r="BA23" s="146">
        <v>5.6621870999999997</v>
      </c>
      <c r="BB23" s="146">
        <v>5.6976880000000003</v>
      </c>
      <c r="BC23" s="146">
        <v>5.9350911999999996</v>
      </c>
      <c r="BD23" s="146">
        <v>5.9460280000000001</v>
      </c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129"/>
      <c r="BT23" s="129"/>
      <c r="BU23" s="129"/>
      <c r="BV23" s="129"/>
      <c r="BW23" s="129"/>
      <c r="BX23" s="129"/>
      <c r="BY23" s="129"/>
      <c r="BZ23" s="129"/>
      <c r="CA23" s="129"/>
    </row>
    <row r="24" spans="1:79" ht="15.75" customHeight="1">
      <c r="A24" s="127"/>
      <c r="B24" s="15" t="s">
        <v>99</v>
      </c>
      <c r="C24" s="19">
        <v>1500318</v>
      </c>
      <c r="D24" s="19">
        <v>1446324</v>
      </c>
      <c r="E24" s="19">
        <v>53994</v>
      </c>
      <c r="F24" s="13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129"/>
      <c r="BT24" s="129"/>
      <c r="BU24" s="129"/>
      <c r="BV24" s="129"/>
      <c r="BW24" s="129"/>
      <c r="BX24" s="129"/>
      <c r="BY24" s="129"/>
      <c r="BZ24" s="129"/>
      <c r="CA24" s="129"/>
    </row>
    <row r="25" spans="1:79" ht="15.75" customHeight="1">
      <c r="A25" s="127"/>
      <c r="B25" s="13"/>
      <c r="C25" s="13"/>
      <c r="D25" s="13"/>
      <c r="E25" s="13"/>
      <c r="F25" s="13"/>
      <c r="G25" s="2"/>
      <c r="H25" s="2"/>
      <c r="I25" s="2"/>
      <c r="J25" s="2"/>
      <c r="K25" s="2"/>
      <c r="L25" s="2"/>
      <c r="M25" s="2"/>
      <c r="N25" s="2"/>
      <c r="O25" s="126" t="s">
        <v>102</v>
      </c>
      <c r="P25" s="126">
        <f>AVERAGE(AS23:BD23)</f>
        <v>6.0045028916666654</v>
      </c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129"/>
      <c r="BT25" s="129"/>
      <c r="BU25" s="129"/>
      <c r="BV25" s="129"/>
      <c r="BW25" s="129"/>
      <c r="BX25" s="129"/>
      <c r="BY25" s="129"/>
      <c r="BZ25" s="129"/>
      <c r="CA25" s="129"/>
    </row>
    <row r="26" spans="1:79" ht="15.75" customHeight="1">
      <c r="A26" s="127"/>
      <c r="B26" s="13" t="s">
        <v>101</v>
      </c>
      <c r="C26" s="13"/>
      <c r="D26" s="13"/>
      <c r="E26" s="13"/>
      <c r="F26" s="13"/>
      <c r="G26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3"/>
      <c r="AR26" s="23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129"/>
      <c r="BT26" s="129"/>
      <c r="BU26" s="129"/>
      <c r="BV26" s="129"/>
      <c r="BW26" s="129"/>
      <c r="BX26" s="129"/>
      <c r="BY26" s="129"/>
      <c r="BZ26" s="129"/>
      <c r="CA26" s="129"/>
    </row>
    <row r="27" spans="1:79" ht="15.75" customHeight="1">
      <c r="A27" s="127"/>
      <c r="B27" s="14" t="s">
        <v>93</v>
      </c>
      <c r="C27" s="14" t="s">
        <v>86</v>
      </c>
      <c r="D27" s="14" t="s">
        <v>94</v>
      </c>
      <c r="E27" s="14" t="s">
        <v>95</v>
      </c>
      <c r="F27" s="13"/>
      <c r="G27" s="2" t="s">
        <v>10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3"/>
      <c r="AR27" s="23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129"/>
      <c r="BT27" s="129"/>
      <c r="BU27" s="129"/>
      <c r="BV27" s="129"/>
      <c r="BW27" s="129"/>
      <c r="BX27" s="129"/>
      <c r="BY27" s="129"/>
      <c r="BZ27" s="129"/>
      <c r="CA27" s="129"/>
    </row>
    <row r="28" spans="1:79" ht="15.75" customHeight="1">
      <c r="A28" s="127"/>
      <c r="B28" s="15" t="s">
        <v>103</v>
      </c>
      <c r="C28" s="21">
        <f ca="1">A22 * C22/100 *$P$25</f>
        <v>1036857.5593329998</v>
      </c>
      <c r="D28" s="21">
        <f t="shared" ref="D28" ca="1" si="4">A22 * D22/100 * $P$25</f>
        <v>996501.53557822388</v>
      </c>
      <c r="E28" s="21">
        <f t="shared" ref="E28:E29" ca="1" si="5">A22 * E22/100 * $P$25</f>
        <v>40356.02375477599</v>
      </c>
      <c r="F28" s="24"/>
      <c r="G28" s="132"/>
      <c r="H28" s="132"/>
      <c r="I28" s="132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29"/>
      <c r="AG28" s="129"/>
      <c r="AH28" s="129"/>
      <c r="AI28" s="129"/>
      <c r="AJ28" s="129"/>
      <c r="AK28" s="129"/>
      <c r="AL28" s="129"/>
      <c r="AM28" s="129"/>
      <c r="AN28" s="129"/>
      <c r="AO28" s="129"/>
      <c r="AP28" s="129"/>
      <c r="AQ28" s="133"/>
      <c r="AR28" s="133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29"/>
      <c r="BE28" s="129"/>
      <c r="BF28" s="129"/>
      <c r="BG28" s="129"/>
      <c r="BH28" s="129"/>
      <c r="BI28" s="129"/>
      <c r="BJ28" s="129"/>
      <c r="BK28" s="129"/>
      <c r="BL28" s="129"/>
      <c r="BM28" s="129"/>
      <c r="BN28" s="129"/>
      <c r="BO28" s="129"/>
      <c r="BP28" s="129"/>
      <c r="BQ28" s="129"/>
      <c r="BR28" s="129"/>
      <c r="BS28" s="129"/>
      <c r="BT28" s="129"/>
      <c r="BU28" s="129"/>
      <c r="BV28" s="129"/>
      <c r="BW28" s="129"/>
      <c r="BX28" s="129"/>
      <c r="BY28" s="129"/>
      <c r="BZ28" s="129"/>
      <c r="CA28" s="129"/>
    </row>
    <row r="29" spans="1:79" ht="15.75" customHeight="1">
      <c r="A29" s="127"/>
      <c r="B29" s="15" t="s">
        <v>104</v>
      </c>
      <c r="C29" s="21">
        <f ca="1">A23 * C23/100 * $P$25</f>
        <v>1672860.3299861378</v>
      </c>
      <c r="D29" s="21">
        <f ca="1">A23 * D23/100 * $P$25</f>
        <v>1615412.9090654352</v>
      </c>
      <c r="E29" s="21">
        <f t="shared" ca="1" si="5"/>
        <v>57447.420920702738</v>
      </c>
      <c r="F29" s="13"/>
      <c r="G29" s="127"/>
      <c r="H29" s="127"/>
      <c r="I29" s="127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129"/>
      <c r="AG29" s="129"/>
      <c r="AH29" s="129"/>
      <c r="AI29" s="129"/>
      <c r="AJ29" s="129"/>
      <c r="AK29" s="129"/>
      <c r="AL29" s="129"/>
      <c r="AM29" s="129"/>
      <c r="AN29" s="129"/>
      <c r="AO29" s="129"/>
      <c r="AP29" s="129"/>
      <c r="AQ29" s="133"/>
      <c r="AR29" s="133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29"/>
      <c r="BE29" s="129"/>
      <c r="BF29" s="129"/>
      <c r="BG29" s="129"/>
      <c r="BH29" s="129"/>
      <c r="BI29" s="129"/>
      <c r="BJ29" s="129"/>
      <c r="BK29" s="129"/>
      <c r="BL29" s="129"/>
      <c r="BM29" s="129"/>
      <c r="BN29" s="129"/>
      <c r="BO29" s="129"/>
      <c r="BP29" s="129"/>
      <c r="BQ29" s="129"/>
      <c r="BR29" s="129"/>
      <c r="BS29" s="129"/>
      <c r="BT29" s="129"/>
      <c r="BU29" s="129"/>
      <c r="BV29" s="129"/>
      <c r="BW29" s="129"/>
      <c r="BX29" s="129"/>
      <c r="BY29" s="129"/>
      <c r="BZ29" s="129"/>
      <c r="CA29" s="129"/>
    </row>
    <row r="30" spans="1:79" ht="15.75" customHeight="1">
      <c r="A30" s="127"/>
      <c r="B30" s="15" t="s">
        <v>99</v>
      </c>
      <c r="C30" s="25">
        <f t="shared" ref="C30:E30" ca="1" si="6">SUM(C28:C29)</f>
        <v>2709717.8893191377</v>
      </c>
      <c r="D30" s="25">
        <f t="shared" ca="1" si="6"/>
        <v>2611914.4446436591</v>
      </c>
      <c r="E30" s="25">
        <f t="shared" ca="1" si="6"/>
        <v>97803.444675478735</v>
      </c>
      <c r="F30" s="13" t="s">
        <v>10</v>
      </c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29"/>
      <c r="AP30" s="129"/>
      <c r="AQ30" s="133"/>
      <c r="AR30" s="133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E30" s="129"/>
      <c r="BF30" s="129"/>
      <c r="BG30" s="129"/>
      <c r="BH30" s="129"/>
      <c r="BI30" s="129"/>
      <c r="BJ30" s="129"/>
      <c r="BK30" s="129"/>
      <c r="BL30" s="129"/>
      <c r="BM30" s="129"/>
      <c r="BN30" s="129"/>
      <c r="BO30" s="129"/>
      <c r="BP30" s="129"/>
      <c r="BQ30" s="129"/>
      <c r="BR30" s="129"/>
      <c r="BS30" s="129"/>
      <c r="BT30" s="129"/>
      <c r="BU30" s="129"/>
      <c r="BV30" s="129"/>
      <c r="BW30" s="129"/>
      <c r="BX30" s="129"/>
      <c r="BY30" s="129"/>
      <c r="BZ30" s="129"/>
      <c r="CA30" s="129"/>
    </row>
    <row r="31" spans="1:79" ht="15.75" customHeight="1">
      <c r="A31" s="127"/>
      <c r="B31" s="2"/>
      <c r="C31" s="2"/>
      <c r="D31" s="2"/>
      <c r="E31" s="2"/>
      <c r="F31" s="2" t="s">
        <v>10</v>
      </c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  <c r="AN31" s="129"/>
      <c r="AO31" s="129"/>
      <c r="AP31" s="129"/>
      <c r="AQ31" s="133"/>
      <c r="AR31" s="133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E31" s="129"/>
      <c r="BF31" s="129"/>
      <c r="BG31" s="129"/>
      <c r="BH31" s="129"/>
      <c r="BI31" s="129"/>
      <c r="BJ31" s="129"/>
      <c r="BK31" s="129"/>
      <c r="BL31" s="129"/>
      <c r="BM31" s="129"/>
      <c r="BN31" s="129"/>
      <c r="BO31" s="129"/>
      <c r="BP31" s="129"/>
      <c r="BQ31" s="129"/>
      <c r="BR31" s="129"/>
      <c r="BS31" s="129"/>
      <c r="BT31" s="129"/>
      <c r="BU31" s="129"/>
      <c r="BV31" s="129"/>
      <c r="BW31" s="129"/>
      <c r="BX31" s="129"/>
      <c r="BY31" s="129"/>
      <c r="BZ31" s="129"/>
      <c r="CA31" s="129"/>
    </row>
    <row r="32" spans="1:79" ht="15.75" customHeight="1">
      <c r="A32" s="127"/>
      <c r="B32" s="2"/>
      <c r="C32" s="2"/>
      <c r="D32" s="2" t="s">
        <v>10</v>
      </c>
      <c r="E32" s="2"/>
      <c r="F32" s="2" t="s">
        <v>10</v>
      </c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29"/>
      <c r="AN32" s="129"/>
      <c r="AO32" s="129"/>
      <c r="AP32" s="129"/>
      <c r="AQ32" s="133"/>
      <c r="AR32" s="133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E32" s="129"/>
      <c r="BF32" s="129"/>
      <c r="BG32" s="129"/>
      <c r="BH32" s="129"/>
      <c r="BI32" s="129"/>
      <c r="BJ32" s="129"/>
      <c r="BK32" s="129"/>
      <c r="BL32" s="129"/>
      <c r="BM32" s="129"/>
      <c r="BN32" s="129"/>
      <c r="BO32" s="129"/>
      <c r="BP32" s="129"/>
      <c r="BQ32" s="129"/>
      <c r="BR32" s="129"/>
      <c r="BS32" s="129"/>
      <c r="BT32" s="129"/>
      <c r="BU32" s="129"/>
      <c r="BV32" s="129"/>
      <c r="BW32" s="129"/>
      <c r="BX32" s="129"/>
      <c r="BY32" s="129"/>
      <c r="BZ32" s="129"/>
      <c r="CA32" s="129"/>
    </row>
    <row r="33" spans="1:79" ht="15.75" customHeight="1">
      <c r="A33" s="127"/>
      <c r="B33" s="2"/>
      <c r="C33" s="2"/>
      <c r="D33" s="2"/>
      <c r="E33" s="2"/>
      <c r="F33" s="2" t="s">
        <v>10</v>
      </c>
      <c r="G33" s="129"/>
      <c r="H33" s="129" t="s">
        <v>10</v>
      </c>
      <c r="I33" s="129"/>
      <c r="J33" s="129"/>
      <c r="K33" s="129"/>
      <c r="L33" s="129"/>
      <c r="M33" s="129"/>
      <c r="N33" s="129"/>
      <c r="O33" s="129"/>
      <c r="P33" s="129"/>
      <c r="Q33" s="129"/>
      <c r="R33" s="129" t="s">
        <v>122</v>
      </c>
      <c r="S33" s="205">
        <f>AVERAGE(S38:S237)</f>
        <v>7697899.2627009787</v>
      </c>
      <c r="T33" s="205">
        <f t="shared" ref="T33:Z33" si="7">AVERAGE(T38:T237)</f>
        <v>8701302.6340018604</v>
      </c>
      <c r="U33" s="205">
        <f t="shared" si="7"/>
        <v>6055233.6183101367</v>
      </c>
      <c r="V33" s="205">
        <f t="shared" si="7"/>
        <v>5287139.4093190394</v>
      </c>
      <c r="W33" s="205">
        <f t="shared" si="7"/>
        <v>4948661.5371548543</v>
      </c>
      <c r="X33" s="205">
        <f t="shared" si="7"/>
        <v>3606047.2288896912</v>
      </c>
      <c r="Y33" s="205">
        <f t="shared" si="7"/>
        <v>1708788.8770932835</v>
      </c>
      <c r="Z33" s="205">
        <f t="shared" si="7"/>
        <v>1177313.8529881551</v>
      </c>
      <c r="AA33" s="129"/>
      <c r="AB33" s="129"/>
      <c r="AC33" s="129"/>
      <c r="AD33" s="129"/>
      <c r="AE33" s="129"/>
      <c r="AF33" s="129"/>
      <c r="AG33" s="129"/>
      <c r="AH33" s="129"/>
      <c r="AI33" s="129"/>
      <c r="AJ33" s="129"/>
      <c r="AK33" s="129"/>
      <c r="AL33" s="129"/>
      <c r="AM33" s="129"/>
      <c r="AN33" s="129"/>
      <c r="AO33" s="129"/>
      <c r="AP33" s="129"/>
      <c r="AQ33" s="133"/>
      <c r="AR33" s="133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29"/>
      <c r="BM33" s="129"/>
      <c r="BN33" s="129"/>
      <c r="BO33" s="129"/>
      <c r="BP33" s="129"/>
      <c r="BQ33" s="129"/>
      <c r="BR33" s="129"/>
      <c r="BS33" s="129"/>
      <c r="BT33" s="129"/>
      <c r="BU33" s="129"/>
      <c r="BV33" s="129"/>
      <c r="BW33" s="129"/>
      <c r="BX33" s="129"/>
      <c r="BY33" s="129"/>
      <c r="BZ33" s="129"/>
      <c r="CA33" s="129"/>
    </row>
    <row r="34" spans="1:79" ht="21" customHeight="1">
      <c r="A34" s="127"/>
      <c r="B34" s="198" t="s">
        <v>171</v>
      </c>
      <c r="C34" s="199">
        <f ca="1">SUM(C24,C15)</f>
        <v>23501158.131191138</v>
      </c>
      <c r="D34"/>
      <c r="E34" s="2" t="s">
        <v>10</v>
      </c>
      <c r="F34" s="2" t="s">
        <v>10</v>
      </c>
      <c r="G34" s="129"/>
      <c r="H34" s="129" t="s">
        <v>10</v>
      </c>
      <c r="I34" s="129"/>
      <c r="J34" s="129"/>
      <c r="K34" s="129"/>
      <c r="L34" s="129"/>
      <c r="M34" s="129"/>
      <c r="N34" s="129"/>
      <c r="O34" s="129"/>
      <c r="P34" s="129" t="s">
        <v>10</v>
      </c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33"/>
      <c r="AR34" s="133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29"/>
      <c r="BM34" s="129"/>
      <c r="BN34" s="129"/>
      <c r="BO34" s="129"/>
      <c r="BP34" s="129"/>
      <c r="BQ34" s="129"/>
      <c r="BR34" s="129"/>
      <c r="BS34" s="129"/>
      <c r="BT34" s="129"/>
      <c r="BU34" s="129"/>
      <c r="BV34" s="129"/>
      <c r="BW34" s="129"/>
      <c r="BX34" s="129"/>
      <c r="BY34" s="129"/>
      <c r="BZ34" s="129"/>
      <c r="CA34" s="129"/>
    </row>
    <row r="35" spans="1:79" ht="15.75" customHeight="1">
      <c r="A35" s="127"/>
      <c r="B35" s="2" t="s">
        <v>135</v>
      </c>
      <c r="C35" s="200">
        <f ca="1">Podsumowanie!J9</f>
        <v>4141962.804915458</v>
      </c>
      <c r="D35" s="2"/>
      <c r="E35" s="2" t="s">
        <v>10</v>
      </c>
      <c r="F35" s="2" t="s">
        <v>10</v>
      </c>
      <c r="G35" s="129"/>
      <c r="H35" s="129" t="s">
        <v>10</v>
      </c>
      <c r="I35" s="129"/>
      <c r="J35" s="129"/>
      <c r="K35" s="129"/>
      <c r="L35" s="129"/>
      <c r="M35" s="129"/>
      <c r="N35" s="129"/>
      <c r="O35" s="129"/>
      <c r="P35" s="129" t="s">
        <v>10</v>
      </c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33"/>
      <c r="AR35" s="133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</row>
    <row r="36" spans="1:79" ht="15.75" customHeight="1">
      <c r="A36" s="127"/>
      <c r="B36" s="129"/>
      <c r="C36" s="129"/>
      <c r="D36" s="129"/>
      <c r="E36" s="129" t="s">
        <v>10</v>
      </c>
      <c r="F36" s="129" t="s">
        <v>10</v>
      </c>
      <c r="G36" s="129"/>
      <c r="H36" s="129"/>
      <c r="I36" s="129"/>
      <c r="J36" s="129"/>
      <c r="K36" s="129"/>
      <c r="L36" s="129"/>
      <c r="M36" s="129"/>
      <c r="N36" s="129"/>
      <c r="O36" s="129"/>
      <c r="P36" s="129" t="s">
        <v>10</v>
      </c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33"/>
      <c r="AR36" s="133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</row>
    <row r="37" spans="1:79" ht="15.75" customHeight="1">
      <c r="A37" s="127"/>
      <c r="B37" s="129"/>
      <c r="C37" s="129"/>
      <c r="D37" s="129"/>
      <c r="E37" s="129" t="s">
        <v>10</v>
      </c>
      <c r="F37" s="129" t="s">
        <v>10</v>
      </c>
      <c r="G37" s="129"/>
      <c r="H37" s="129"/>
      <c r="I37" s="129"/>
      <c r="J37" s="129"/>
      <c r="K37" s="129"/>
      <c r="L37" s="129"/>
      <c r="M37" s="129"/>
      <c r="N37" s="129"/>
      <c r="O37" s="129"/>
      <c r="P37" s="129" t="s">
        <v>10</v>
      </c>
      <c r="Q37" s="129"/>
      <c r="R37" s="203">
        <f ca="1">C35</f>
        <v>4141962.804915458</v>
      </c>
      <c r="S37" s="204">
        <v>20000000</v>
      </c>
      <c r="T37" s="204">
        <v>21000000</v>
      </c>
      <c r="U37" s="204">
        <v>22000000</v>
      </c>
      <c r="V37" s="204">
        <v>23000000</v>
      </c>
      <c r="W37" s="204">
        <v>24000000</v>
      </c>
      <c r="X37" s="204">
        <v>25000000</v>
      </c>
      <c r="Y37" s="204">
        <v>26000000</v>
      </c>
      <c r="Z37" s="204">
        <v>27000000</v>
      </c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33"/>
      <c r="AR37" s="133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</row>
    <row r="38" spans="1:79" ht="15.75" customHeight="1">
      <c r="A38" s="127"/>
      <c r="B38" s="185" t="s">
        <v>93</v>
      </c>
      <c r="C38" s="217" t="s">
        <v>155</v>
      </c>
      <c r="D38" s="217"/>
      <c r="E38" s="217" t="s">
        <v>156</v>
      </c>
      <c r="F38" s="217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>
        <v>1</v>
      </c>
      <c r="S38" s="201">
        <f t="dataTable" ref="S38:Z237" dt2D="1" dtr="1" r1="C34" r2="Q44" ca="1"/>
        <v>10075334.750814155</v>
      </c>
      <c r="T38" s="201">
        <v>12739599.517530724</v>
      </c>
      <c r="U38" s="201">
        <v>3020009.5668946356</v>
      </c>
      <c r="V38" s="201">
        <v>242653.04833781719</v>
      </c>
      <c r="W38" s="201">
        <v>5155652.0274329782</v>
      </c>
      <c r="X38" s="201">
        <v>17431091.348611325</v>
      </c>
      <c r="Y38" s="201">
        <v>1277290.4504856914</v>
      </c>
      <c r="Z38" s="201">
        <v>-4550561.8771195859</v>
      </c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33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</row>
    <row r="39" spans="1:79" ht="15.75" customHeight="1">
      <c r="A39" s="127"/>
      <c r="B39" s="186"/>
      <c r="C39" s="185" t="s">
        <v>166</v>
      </c>
      <c r="D39" s="185" t="s">
        <v>165</v>
      </c>
      <c r="E39" s="185" t="s">
        <v>166</v>
      </c>
      <c r="F39" s="185" t="s">
        <v>165</v>
      </c>
      <c r="G39" s="181"/>
      <c r="H39" s="129"/>
      <c r="I39" s="129"/>
      <c r="J39" s="129"/>
      <c r="K39" s="129"/>
      <c r="L39" s="129"/>
      <c r="M39" s="129"/>
      <c r="N39" s="129"/>
      <c r="O39" s="129"/>
      <c r="P39" s="129" t="s">
        <v>10</v>
      </c>
      <c r="Q39" s="129"/>
      <c r="R39" s="129">
        <v>2</v>
      </c>
      <c r="S39" s="201">
        <v>8691744.3709333986</v>
      </c>
      <c r="T39" s="201">
        <v>4164804.9607677013</v>
      </c>
      <c r="U39" s="201">
        <v>5273825.1052335203</v>
      </c>
      <c r="V39" s="201">
        <v>7788944.9971001446</v>
      </c>
      <c r="W39" s="201">
        <v>4034875.2682369649</v>
      </c>
      <c r="X39" s="201">
        <v>938699.51813496649</v>
      </c>
      <c r="Y39" s="201">
        <v>-13887917.175060049</v>
      </c>
      <c r="Z39" s="201">
        <v>2442530.2271255106</v>
      </c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33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</row>
    <row r="40" spans="1:79" ht="13.8">
      <c r="B40" s="187" t="s">
        <v>96</v>
      </c>
      <c r="C40" s="188" t="s">
        <v>157</v>
      </c>
      <c r="D40" s="186" t="s">
        <v>167</v>
      </c>
      <c r="E40" s="188" t="s">
        <v>158</v>
      </c>
      <c r="F40" s="189" t="s">
        <v>164</v>
      </c>
      <c r="G40" s="182"/>
      <c r="I40" s="147" t="s">
        <v>105</v>
      </c>
      <c r="J40" s="148" t="s">
        <v>106</v>
      </c>
      <c r="K40" s="148" t="s">
        <v>107</v>
      </c>
      <c r="L40" s="148" t="s">
        <v>108</v>
      </c>
      <c r="M40" s="149" t="s">
        <v>109</v>
      </c>
      <c r="P40" s="73" t="s">
        <v>10</v>
      </c>
      <c r="R40" s="129">
        <v>3</v>
      </c>
      <c r="S40" s="202">
        <v>10109371.535829112</v>
      </c>
      <c r="T40" s="202">
        <v>7563292.1461490393</v>
      </c>
      <c r="U40" s="202">
        <v>6764851.2522455752</v>
      </c>
      <c r="V40" s="202">
        <v>3106036.1209252626</v>
      </c>
      <c r="W40" s="202">
        <v>1709799.4286735505</v>
      </c>
      <c r="X40" s="202">
        <v>-2278492.85907121</v>
      </c>
      <c r="Y40" s="202">
        <v>3059326.0540201366</v>
      </c>
      <c r="Z40" s="202">
        <v>-425548.73326641321</v>
      </c>
      <c r="AP40" s="134"/>
      <c r="AQ40" s="133"/>
      <c r="AR40" s="134"/>
      <c r="AS40" s="134"/>
      <c r="AT40" s="134"/>
    </row>
    <row r="41" spans="1:79" ht="15.75" customHeight="1">
      <c r="B41" s="187" t="s">
        <v>97</v>
      </c>
      <c r="C41" s="188" t="s">
        <v>159</v>
      </c>
      <c r="D41" s="186" t="s">
        <v>170</v>
      </c>
      <c r="E41" s="188" t="s">
        <v>160</v>
      </c>
      <c r="F41" s="189" t="s">
        <v>168</v>
      </c>
      <c r="G41" s="182"/>
      <c r="I41" s="135">
        <v>46045</v>
      </c>
      <c r="J41" s="136">
        <v>7.66</v>
      </c>
      <c r="K41" s="137"/>
      <c r="L41" s="137"/>
      <c r="M41" s="138"/>
      <c r="P41" s="73" t="s">
        <v>10</v>
      </c>
      <c r="R41" s="129">
        <v>4</v>
      </c>
      <c r="S41" s="202">
        <v>7114142.5739766061</v>
      </c>
      <c r="T41" s="202">
        <v>6159171.9390529245</v>
      </c>
      <c r="U41" s="202">
        <v>-6385607.2188529372</v>
      </c>
      <c r="V41" s="202">
        <v>3311023.4000581205</v>
      </c>
      <c r="W41" s="202">
        <v>2432932.7030866891</v>
      </c>
      <c r="X41" s="202">
        <v>7161529.2130371034</v>
      </c>
      <c r="Y41" s="202">
        <v>-1262172.6012490243</v>
      </c>
      <c r="Z41" s="202">
        <v>1629896.5997336209</v>
      </c>
      <c r="AP41" s="134"/>
      <c r="AQ41" s="133"/>
      <c r="AR41" s="134"/>
      <c r="AS41" s="134"/>
      <c r="AT41" s="134"/>
    </row>
    <row r="42" spans="1:79" ht="15.75" customHeight="1">
      <c r="B42" s="187" t="s">
        <v>98</v>
      </c>
      <c r="C42" s="188" t="s">
        <v>161</v>
      </c>
      <c r="D42" s="186" t="s">
        <v>169</v>
      </c>
      <c r="E42" s="190"/>
      <c r="F42" s="188"/>
      <c r="G42" s="183"/>
      <c r="I42" s="139">
        <v>46076</v>
      </c>
      <c r="J42" s="140">
        <v>7.35</v>
      </c>
      <c r="K42" s="141"/>
      <c r="L42" s="141"/>
      <c r="M42" s="142"/>
      <c r="R42" s="129">
        <v>5</v>
      </c>
      <c r="S42" s="202">
        <v>-2370210.7088600844</v>
      </c>
      <c r="T42" s="202">
        <v>3619358.5166769922</v>
      </c>
      <c r="U42" s="202">
        <v>4669027.4662684649</v>
      </c>
      <c r="V42" s="202">
        <v>-1640939.9155727625</v>
      </c>
      <c r="W42" s="202">
        <v>6843135.4362223446</v>
      </c>
      <c r="X42" s="202">
        <v>15479738.173363417</v>
      </c>
      <c r="Y42" s="202">
        <v>5573336.3203377128</v>
      </c>
      <c r="Z42" s="202">
        <v>765420.30794782937</v>
      </c>
      <c r="AP42" s="134"/>
      <c r="AQ42" s="133"/>
      <c r="AR42" s="134"/>
      <c r="AS42" s="134"/>
      <c r="AT42" s="134"/>
    </row>
    <row r="43" spans="1:79" ht="15.75" customHeight="1">
      <c r="B43" s="187" t="s">
        <v>99</v>
      </c>
      <c r="C43" s="191" t="s">
        <v>162</v>
      </c>
      <c r="D43" s="186"/>
      <c r="E43" s="191" t="s">
        <v>163</v>
      </c>
      <c r="F43" s="191"/>
      <c r="G43" s="184"/>
      <c r="I43" s="135">
        <v>46104</v>
      </c>
      <c r="J43" s="136">
        <v>6.87</v>
      </c>
      <c r="K43" s="137"/>
      <c r="L43" s="137"/>
      <c r="M43" s="138"/>
      <c r="P43" s="73" t="s">
        <v>10</v>
      </c>
      <c r="R43" s="129">
        <v>6</v>
      </c>
      <c r="S43" s="202">
        <v>5253631.5716088116</v>
      </c>
      <c r="T43" s="202">
        <v>9188684.2109203637</v>
      </c>
      <c r="U43" s="202">
        <v>-837046.7515629828</v>
      </c>
      <c r="V43" s="202">
        <v>4770489.5771960765</v>
      </c>
      <c r="W43" s="202">
        <v>12298251.054158643</v>
      </c>
      <c r="X43" s="202">
        <v>6276255.8821469247</v>
      </c>
      <c r="Y43" s="202">
        <v>10392330.841452956</v>
      </c>
      <c r="Z43" s="202">
        <v>-3353505.8398984373</v>
      </c>
      <c r="AP43" s="134"/>
      <c r="AQ43" s="133"/>
      <c r="AR43" s="134"/>
      <c r="AS43" s="134"/>
      <c r="AT43" s="134"/>
    </row>
    <row r="44" spans="1:79" ht="15.75" customHeight="1">
      <c r="I44" s="139">
        <v>46135</v>
      </c>
      <c r="J44" s="140">
        <v>6.71</v>
      </c>
      <c r="K44" s="141"/>
      <c r="L44" s="141"/>
      <c r="M44" s="142"/>
      <c r="P44" s="73" t="s">
        <v>10</v>
      </c>
      <c r="R44" s="129">
        <v>7</v>
      </c>
      <c r="S44" s="202">
        <v>-468924.64765152335</v>
      </c>
      <c r="T44" s="202">
        <v>5169339.5819061548</v>
      </c>
      <c r="U44" s="202">
        <v>9661474.1565396786</v>
      </c>
      <c r="V44" s="202">
        <v>-4658992.7630541474</v>
      </c>
      <c r="W44" s="202">
        <v>4327175.5073121935</v>
      </c>
      <c r="X44" s="202">
        <v>5898624.6126570255</v>
      </c>
      <c r="Y44" s="202">
        <v>840368.03735995293</v>
      </c>
      <c r="Z44" s="202">
        <v>-4779159.5352859497</v>
      </c>
      <c r="AP44" s="134"/>
      <c r="AQ44" s="133"/>
      <c r="AR44" s="134"/>
      <c r="AS44" s="134"/>
      <c r="AT44" s="134"/>
    </row>
    <row r="45" spans="1:79" ht="15.75" customHeight="1">
      <c r="I45" s="135">
        <v>46165</v>
      </c>
      <c r="J45" s="136">
        <v>6.19</v>
      </c>
      <c r="K45" s="137"/>
      <c r="L45" s="137"/>
      <c r="M45" s="138"/>
      <c r="R45" s="129">
        <v>8</v>
      </c>
      <c r="S45" s="202">
        <v>5876693.3766747415</v>
      </c>
      <c r="T45" s="202">
        <v>7291189.8567874581</v>
      </c>
      <c r="U45" s="202">
        <v>11719577.421014637</v>
      </c>
      <c r="V45" s="202">
        <v>6184400.9543009996</v>
      </c>
      <c r="W45" s="202">
        <v>3007052.7333886921</v>
      </c>
      <c r="X45" s="202">
        <v>5174284.479665637</v>
      </c>
      <c r="Y45" s="202">
        <v>-981175.59890887141</v>
      </c>
      <c r="Z45" s="202">
        <v>-4449714.2971360385</v>
      </c>
      <c r="AP45" s="134"/>
      <c r="AQ45" s="133"/>
      <c r="AR45" s="134"/>
      <c r="AS45" s="134"/>
      <c r="AT45" s="134"/>
    </row>
    <row r="46" spans="1:79" ht="15.75" customHeight="1">
      <c r="I46" s="139">
        <v>46196</v>
      </c>
      <c r="J46" s="140">
        <v>6.14</v>
      </c>
      <c r="K46" s="141"/>
      <c r="L46" s="141"/>
      <c r="M46" s="142"/>
      <c r="R46" s="129">
        <v>9</v>
      </c>
      <c r="S46" s="202">
        <v>3767207.9801336974</v>
      </c>
      <c r="T46" s="202">
        <v>5153258.5432349741</v>
      </c>
      <c r="U46" s="202">
        <v>8424345.301528886</v>
      </c>
      <c r="V46" s="202">
        <v>-912549.10141679645</v>
      </c>
      <c r="W46" s="202">
        <v>10430725.16453445</v>
      </c>
      <c r="X46" s="202">
        <v>3605824.7294788063</v>
      </c>
      <c r="Y46" s="202">
        <v>-1894843.9812617749</v>
      </c>
      <c r="Z46" s="202">
        <v>-5111224.8595630676</v>
      </c>
      <c r="AP46" s="134"/>
      <c r="AQ46" s="133"/>
      <c r="AR46" s="134"/>
      <c r="AS46" s="134"/>
      <c r="AT46" s="134"/>
    </row>
    <row r="47" spans="1:79" ht="15.75" customHeight="1">
      <c r="I47" s="135">
        <v>46226</v>
      </c>
      <c r="J47" s="136">
        <v>6.15</v>
      </c>
      <c r="K47" s="137"/>
      <c r="L47" s="137"/>
      <c r="M47" s="138"/>
      <c r="R47" s="129">
        <v>10</v>
      </c>
      <c r="S47" s="202">
        <v>10155105.111945897</v>
      </c>
      <c r="T47" s="202">
        <v>6566038.1576175988</v>
      </c>
      <c r="U47" s="202">
        <v>5487627.4564427584</v>
      </c>
      <c r="V47" s="202">
        <v>13059857.283577532</v>
      </c>
      <c r="W47" s="202">
        <v>6583149.8110367358</v>
      </c>
      <c r="X47" s="202">
        <v>2097558.0496991128</v>
      </c>
      <c r="Y47" s="202">
        <v>-5368192.4765270948</v>
      </c>
      <c r="Z47" s="202">
        <v>590146.17808765173</v>
      </c>
      <c r="AP47" s="134"/>
      <c r="AQ47" s="133"/>
      <c r="AR47" s="134"/>
      <c r="AS47" s="134"/>
      <c r="AT47" s="134"/>
    </row>
    <row r="48" spans="1:79" ht="15.75" customHeight="1">
      <c r="I48" s="139">
        <v>46257</v>
      </c>
      <c r="J48" s="140">
        <v>6.22</v>
      </c>
      <c r="K48" s="141"/>
      <c r="L48" s="141"/>
      <c r="M48" s="142"/>
      <c r="R48" s="129">
        <v>11</v>
      </c>
      <c r="S48" s="202">
        <v>9195169.0837960839</v>
      </c>
      <c r="T48" s="202">
        <v>14403335.290739805</v>
      </c>
      <c r="U48" s="202">
        <v>7569607.2141624391</v>
      </c>
      <c r="V48" s="202">
        <v>8252680.8782129884</v>
      </c>
      <c r="W48" s="202">
        <v>2718555.8735513985</v>
      </c>
      <c r="X48" s="202">
        <v>-7089599.0556965023</v>
      </c>
      <c r="Y48" s="202">
        <v>5580872.0901188105</v>
      </c>
      <c r="Z48" s="202">
        <v>-3630084.6275796443</v>
      </c>
      <c r="AP48" s="134"/>
      <c r="AQ48" s="133"/>
      <c r="AR48" s="134"/>
      <c r="AS48" s="134"/>
      <c r="AT48" s="134"/>
    </row>
    <row r="49" spans="9:46" ht="13.8">
      <c r="I49" s="135">
        <v>46288</v>
      </c>
      <c r="J49" s="136">
        <v>6.18</v>
      </c>
      <c r="K49" s="137"/>
      <c r="L49" s="137"/>
      <c r="M49" s="138"/>
      <c r="R49" s="129">
        <v>12</v>
      </c>
      <c r="S49" s="202">
        <v>-816179.84177102149</v>
      </c>
      <c r="T49" s="202">
        <v>11398936.053311393</v>
      </c>
      <c r="U49" s="202">
        <v>8409774.2980148941</v>
      </c>
      <c r="V49" s="202">
        <v>12206956.248020768</v>
      </c>
      <c r="W49" s="202">
        <v>12732415.530742571</v>
      </c>
      <c r="X49" s="202">
        <v>1077210.2452521026</v>
      </c>
      <c r="Y49" s="202">
        <v>6928978.4579064548</v>
      </c>
      <c r="Z49" s="202">
        <v>4275082.6047646999</v>
      </c>
      <c r="AP49" s="134"/>
      <c r="AQ49" s="133"/>
      <c r="AR49" s="134"/>
      <c r="AS49" s="134"/>
      <c r="AT49" s="134"/>
    </row>
    <row r="50" spans="9:46" ht="13.8">
      <c r="I50" s="139">
        <v>46318</v>
      </c>
      <c r="J50" s="140">
        <v>6.12</v>
      </c>
      <c r="K50" s="141"/>
      <c r="L50" s="141"/>
      <c r="M50" s="142"/>
      <c r="R50" s="129">
        <v>13</v>
      </c>
      <c r="S50" s="202">
        <v>6636700.4739720523</v>
      </c>
      <c r="T50" s="202">
        <v>946715.81083615124</v>
      </c>
      <c r="U50" s="202">
        <v>7461427.4973873645</v>
      </c>
      <c r="V50" s="202">
        <v>-1352224.3499968052</v>
      </c>
      <c r="W50" s="202">
        <v>13866789.655612126</v>
      </c>
      <c r="X50" s="202">
        <v>2259228.2787428796</v>
      </c>
      <c r="Y50" s="202">
        <v>-4173751.2262195349</v>
      </c>
      <c r="Z50" s="202">
        <v>-4260828.372795105</v>
      </c>
      <c r="AP50" s="134"/>
      <c r="AQ50" s="133"/>
      <c r="AR50" s="134"/>
      <c r="AS50" s="134"/>
      <c r="AT50" s="134"/>
    </row>
    <row r="51" spans="9:46" ht="13.8">
      <c r="I51" s="135">
        <v>46349</v>
      </c>
      <c r="J51" s="136">
        <v>6.75</v>
      </c>
      <c r="K51" s="137"/>
      <c r="L51" s="137"/>
      <c r="M51" s="138"/>
      <c r="R51" s="129">
        <v>14</v>
      </c>
      <c r="S51" s="202">
        <v>1939735.8700338304</v>
      </c>
      <c r="T51" s="202">
        <v>2365925.1036502868</v>
      </c>
      <c r="U51" s="202">
        <v>2975295.8825797439</v>
      </c>
      <c r="V51" s="202">
        <v>8135283.7740007788</v>
      </c>
      <c r="W51" s="202">
        <v>2720727.1703532636</v>
      </c>
      <c r="X51" s="202">
        <v>3489228.3690469414</v>
      </c>
      <c r="Y51" s="202">
        <v>119853.22012156248</v>
      </c>
      <c r="Z51" s="202">
        <v>-3925485.5726756454</v>
      </c>
    </row>
    <row r="52" spans="9:46" ht="13.8">
      <c r="I52" s="139">
        <v>46379</v>
      </c>
      <c r="J52" s="140">
        <v>6.49</v>
      </c>
      <c r="K52" s="141"/>
      <c r="L52" s="141"/>
      <c r="M52" s="142"/>
      <c r="R52" s="129">
        <v>15</v>
      </c>
      <c r="S52" s="202">
        <v>13105274.493345037</v>
      </c>
      <c r="T52" s="202">
        <v>3456879.6768507659</v>
      </c>
      <c r="U52" s="202">
        <v>4493806.5606729537</v>
      </c>
      <c r="V52" s="202">
        <v>94820.907359004021</v>
      </c>
      <c r="W52" s="202">
        <v>6851329.6591118723</v>
      </c>
      <c r="X52" s="202">
        <v>16096977.319783315</v>
      </c>
      <c r="Y52" s="202">
        <v>295464.53670009971</v>
      </c>
      <c r="Z52" s="202">
        <v>-2036058.8070459068</v>
      </c>
    </row>
    <row r="53" spans="9:46" ht="13.8">
      <c r="I53" s="135">
        <v>46046</v>
      </c>
      <c r="J53" s="136">
        <v>6.46</v>
      </c>
      <c r="K53" s="137"/>
      <c r="L53" s="137"/>
      <c r="M53" s="138"/>
      <c r="R53" s="129">
        <v>16</v>
      </c>
      <c r="S53" s="202">
        <v>4147633.8088723868</v>
      </c>
      <c r="T53" s="202">
        <v>9076190.8911434859</v>
      </c>
      <c r="U53" s="202">
        <v>-67896.218928545713</v>
      </c>
      <c r="V53" s="202">
        <v>4771595.5784930587</v>
      </c>
      <c r="W53" s="202">
        <v>9520454.531544596</v>
      </c>
      <c r="X53" s="202">
        <v>3622021.3958470076</v>
      </c>
      <c r="Y53" s="202">
        <v>6330319.5050539821</v>
      </c>
      <c r="Z53" s="202">
        <v>1894554.4884700477</v>
      </c>
    </row>
    <row r="54" spans="9:46" ht="13.8">
      <c r="I54" s="139">
        <v>46077</v>
      </c>
      <c r="J54" s="140">
        <v>6.79</v>
      </c>
      <c r="K54" s="141"/>
      <c r="L54" s="141"/>
      <c r="M54" s="142"/>
      <c r="R54" s="129">
        <v>17</v>
      </c>
      <c r="S54" s="202">
        <v>5465023.3604578972</v>
      </c>
      <c r="T54" s="202">
        <v>6179764.604641825</v>
      </c>
      <c r="U54" s="202">
        <v>5971598.3290086687</v>
      </c>
      <c r="V54" s="202">
        <v>8931655.7906493247</v>
      </c>
      <c r="W54" s="202">
        <v>2679387.8291164041</v>
      </c>
      <c r="X54" s="202">
        <v>5981958.8365613818</v>
      </c>
      <c r="Y54" s="202">
        <v>-273522.10144540668</v>
      </c>
      <c r="Z54" s="202">
        <v>-1944195.32463184</v>
      </c>
    </row>
    <row r="55" spans="9:46" ht="13.8">
      <c r="I55" s="135">
        <v>46105</v>
      </c>
      <c r="J55" s="136">
        <v>6.73</v>
      </c>
      <c r="K55" s="137"/>
      <c r="L55" s="137"/>
      <c r="M55" s="138"/>
      <c r="R55" s="129">
        <v>18</v>
      </c>
      <c r="S55" s="202">
        <v>18714903.988478661</v>
      </c>
      <c r="T55" s="202">
        <v>10742491.581849486</v>
      </c>
      <c r="U55" s="202">
        <v>3663680.8144132644</v>
      </c>
      <c r="V55" s="202">
        <v>15313818.228867501</v>
      </c>
      <c r="W55" s="202">
        <v>8928073.208272025</v>
      </c>
      <c r="X55" s="202">
        <v>92683.503192812204</v>
      </c>
      <c r="Y55" s="202">
        <v>2772115.9247457087</v>
      </c>
      <c r="Z55" s="202">
        <v>4856963.5971237868</v>
      </c>
    </row>
    <row r="56" spans="9:46" ht="13.8">
      <c r="I56" s="139">
        <v>46136</v>
      </c>
      <c r="J56" s="140">
        <v>6.66</v>
      </c>
      <c r="K56" s="141"/>
      <c r="L56" s="141"/>
      <c r="M56" s="142"/>
      <c r="R56" s="129">
        <v>19</v>
      </c>
      <c r="S56" s="202">
        <v>-5785982.1083773077</v>
      </c>
      <c r="T56" s="202">
        <v>7481373.2224322259</v>
      </c>
      <c r="U56" s="202">
        <v>7363950.7490737736</v>
      </c>
      <c r="V56" s="202">
        <v>14968061.170414895</v>
      </c>
      <c r="W56" s="202">
        <v>6482986.3359382302</v>
      </c>
      <c r="X56" s="202">
        <v>1646024.8388244212</v>
      </c>
      <c r="Y56" s="202">
        <v>2169742.7277223915</v>
      </c>
      <c r="Z56" s="202">
        <v>3192029.841178</v>
      </c>
    </row>
    <row r="57" spans="9:46" ht="13.8">
      <c r="I57" s="135">
        <v>46166</v>
      </c>
      <c r="J57" s="136">
        <v>6.54</v>
      </c>
      <c r="K57" s="137"/>
      <c r="L57" s="137"/>
      <c r="M57" s="138"/>
      <c r="R57" s="129">
        <v>20</v>
      </c>
      <c r="S57" s="202">
        <v>15626468.541410848</v>
      </c>
      <c r="T57" s="202">
        <v>10853689.337877706</v>
      </c>
      <c r="U57" s="202">
        <v>10495226.436912969</v>
      </c>
      <c r="V57" s="202">
        <v>2163045.1474969089</v>
      </c>
      <c r="W57" s="202">
        <v>11900114.199616641</v>
      </c>
      <c r="X57" s="202">
        <v>6683424.7139035016</v>
      </c>
      <c r="Y57" s="202">
        <v>4471620.357484147</v>
      </c>
      <c r="Z57" s="202">
        <v>9255246.0323598981</v>
      </c>
    </row>
    <row r="58" spans="9:46" ht="13.8">
      <c r="I58" s="139">
        <v>46197</v>
      </c>
      <c r="J58" s="140">
        <v>6.44</v>
      </c>
      <c r="K58" s="141"/>
      <c r="L58" s="141"/>
      <c r="M58" s="142"/>
      <c r="R58" s="129">
        <v>21</v>
      </c>
      <c r="S58" s="202">
        <v>3920749.2974830717</v>
      </c>
      <c r="T58" s="202">
        <v>8633005.2267651707</v>
      </c>
      <c r="U58" s="202">
        <v>2508613.0627361983</v>
      </c>
      <c r="V58" s="202">
        <v>13919686.01763244</v>
      </c>
      <c r="W58" s="202">
        <v>8242590.8966715187</v>
      </c>
      <c r="X58" s="202">
        <v>-1795402.0590548962</v>
      </c>
      <c r="Y58" s="202">
        <v>-1074203.8818089813</v>
      </c>
      <c r="Z58" s="202">
        <v>8857482.248946622</v>
      </c>
    </row>
    <row r="59" spans="9:46" ht="13.8">
      <c r="I59" s="135">
        <v>46227</v>
      </c>
      <c r="J59" s="136">
        <v>6.35</v>
      </c>
      <c r="K59" s="137"/>
      <c r="L59" s="137"/>
      <c r="M59" s="138"/>
      <c r="R59" s="129">
        <v>22</v>
      </c>
      <c r="S59" s="202">
        <v>7527804.5719895363</v>
      </c>
      <c r="T59" s="202">
        <v>7284144.2366762906</v>
      </c>
      <c r="U59" s="202">
        <v>-2442969.0128775835</v>
      </c>
      <c r="V59" s="202">
        <v>10803089.801169485</v>
      </c>
      <c r="W59" s="202">
        <v>3870116.1217787415</v>
      </c>
      <c r="X59" s="202">
        <v>-3599988.6843237281</v>
      </c>
      <c r="Y59" s="202">
        <v>-2632205.9176676869</v>
      </c>
      <c r="Z59" s="202">
        <v>6025614.097960189</v>
      </c>
    </row>
    <row r="60" spans="9:46" ht="13.8">
      <c r="I60" s="139">
        <v>46258</v>
      </c>
      <c r="J60" s="140">
        <v>6.21</v>
      </c>
      <c r="K60" s="141"/>
      <c r="L60" s="141"/>
      <c r="M60" s="142"/>
      <c r="R60" s="129">
        <v>23</v>
      </c>
      <c r="S60" s="202">
        <v>4383785.8401075155</v>
      </c>
      <c r="T60" s="202">
        <v>11713170.020290792</v>
      </c>
      <c r="U60" s="202">
        <v>-1507797.6550006717</v>
      </c>
      <c r="V60" s="202">
        <v>3794226.4427141249</v>
      </c>
      <c r="W60" s="202">
        <v>13489443.255745262</v>
      </c>
      <c r="X60" s="202">
        <v>5560767.6215451062</v>
      </c>
      <c r="Y60" s="202">
        <v>5256901.5948083997</v>
      </c>
      <c r="Z60" s="202">
        <v>-211441.14220786095</v>
      </c>
    </row>
    <row r="61" spans="9:46" ht="13.8">
      <c r="I61" s="135">
        <v>46289</v>
      </c>
      <c r="J61" s="136">
        <v>6</v>
      </c>
      <c r="K61" s="137"/>
      <c r="L61" s="137"/>
      <c r="M61" s="138"/>
      <c r="R61" s="129">
        <v>24</v>
      </c>
      <c r="S61" s="202">
        <v>10556258.594603181</v>
      </c>
      <c r="T61" s="202">
        <v>14707867.389257759</v>
      </c>
      <c r="U61" s="202">
        <v>16183309.141085207</v>
      </c>
      <c r="V61" s="202">
        <v>8624971.657515198</v>
      </c>
      <c r="W61" s="202">
        <v>-6217103.4528155923</v>
      </c>
      <c r="X61" s="202">
        <v>3224958.995420143</v>
      </c>
      <c r="Y61" s="202">
        <v>-293235.15239174664</v>
      </c>
      <c r="Z61" s="202">
        <v>-13306692.102817386</v>
      </c>
    </row>
    <row r="62" spans="9:46" ht="13.8">
      <c r="I62" s="139">
        <v>46319</v>
      </c>
      <c r="J62" s="140">
        <v>6.1</v>
      </c>
      <c r="K62" s="141"/>
      <c r="L62" s="141"/>
      <c r="M62" s="142"/>
      <c r="R62" s="129">
        <v>25</v>
      </c>
      <c r="S62" s="202">
        <v>12219607.107494608</v>
      </c>
      <c r="T62" s="202">
        <v>13227233.055649683</v>
      </c>
      <c r="U62" s="202">
        <v>9071079.3428947926</v>
      </c>
      <c r="V62" s="202">
        <v>9999126.7754223198</v>
      </c>
      <c r="W62" s="202">
        <v>995040.18554256856</v>
      </c>
      <c r="X62" s="202">
        <v>4589022.2482970059</v>
      </c>
      <c r="Y62" s="202">
        <v>475745.2685867846</v>
      </c>
      <c r="Z62" s="202">
        <v>-1668912.7348035574</v>
      </c>
    </row>
    <row r="63" spans="9:46" ht="13.8">
      <c r="I63" s="135">
        <v>46350</v>
      </c>
      <c r="J63" s="136">
        <v>6.07</v>
      </c>
      <c r="K63" s="137"/>
      <c r="L63" s="137"/>
      <c r="M63" s="138"/>
      <c r="R63" s="129">
        <v>26</v>
      </c>
      <c r="S63" s="202">
        <v>16445682.403212309</v>
      </c>
      <c r="T63" s="202">
        <v>17072604.746907994</v>
      </c>
      <c r="U63" s="202">
        <v>-2346651.0855613649</v>
      </c>
      <c r="V63" s="202">
        <v>-2048307.4521371573</v>
      </c>
      <c r="W63" s="202">
        <v>8444727.9258476943</v>
      </c>
      <c r="X63" s="202">
        <v>-3088015.3631704301</v>
      </c>
      <c r="Y63" s="202">
        <v>-1818592.9092976004</v>
      </c>
      <c r="Z63" s="202">
        <v>601453.84672471881</v>
      </c>
    </row>
    <row r="64" spans="9:46" ht="13.8">
      <c r="I64" s="139">
        <v>46380</v>
      </c>
      <c r="J64" s="140">
        <v>6.15</v>
      </c>
      <c r="K64" s="141"/>
      <c r="L64" s="141"/>
      <c r="M64" s="142"/>
      <c r="R64" s="129">
        <v>27</v>
      </c>
      <c r="S64" s="202">
        <v>2113939.2411789298</v>
      </c>
      <c r="T64" s="202">
        <v>11905189.955998689</v>
      </c>
      <c r="U64" s="202">
        <v>4256394.300786376</v>
      </c>
      <c r="V64" s="202">
        <v>2569068.8554859459</v>
      </c>
      <c r="W64" s="202">
        <v>1052139.0377846062</v>
      </c>
      <c r="X64" s="202">
        <v>11212976.736973524</v>
      </c>
      <c r="Y64" s="202">
        <v>-3982565.8686363846</v>
      </c>
      <c r="Z64" s="202">
        <v>-1809155.5094709396</v>
      </c>
    </row>
    <row r="65" spans="9:26" ht="13.8">
      <c r="I65" s="135">
        <v>46047</v>
      </c>
      <c r="J65" s="136">
        <v>6.32</v>
      </c>
      <c r="K65" s="137"/>
      <c r="L65" s="137"/>
      <c r="M65" s="138"/>
      <c r="R65" s="129">
        <v>28</v>
      </c>
      <c r="S65" s="202">
        <v>5341341.1677262038</v>
      </c>
      <c r="T65" s="202">
        <v>2565974.8024753928</v>
      </c>
      <c r="U65" s="202">
        <v>8923877.9006078243</v>
      </c>
      <c r="V65" s="202">
        <v>3559443.5981718004</v>
      </c>
      <c r="W65" s="202">
        <v>9931271.7308554798</v>
      </c>
      <c r="X65" s="202">
        <v>-1421584.3899018764</v>
      </c>
      <c r="Y65" s="202">
        <v>3309697.5566088557</v>
      </c>
      <c r="Z65" s="202">
        <v>3488524.8482275456</v>
      </c>
    </row>
    <row r="66" spans="9:26" ht="13.8">
      <c r="I66" s="139">
        <v>46078</v>
      </c>
      <c r="J66" s="140">
        <v>6.38</v>
      </c>
      <c r="K66" s="141"/>
      <c r="L66" s="141"/>
      <c r="M66" s="142"/>
      <c r="R66" s="129">
        <v>29</v>
      </c>
      <c r="S66" s="202">
        <v>11621223.718936339</v>
      </c>
      <c r="T66" s="202">
        <v>2899932.5550955534</v>
      </c>
      <c r="U66" s="202">
        <v>14905657.043385565</v>
      </c>
      <c r="V66" s="202">
        <v>4084640.5427272022</v>
      </c>
      <c r="W66" s="202">
        <v>12452462.926992416</v>
      </c>
      <c r="X66" s="202">
        <v>-8025058.5268850625</v>
      </c>
      <c r="Y66" s="202">
        <v>715070.80813194811</v>
      </c>
      <c r="Z66" s="202">
        <v>4547638.3075089455</v>
      </c>
    </row>
    <row r="67" spans="9:26" ht="13.8">
      <c r="I67" s="135">
        <v>46106</v>
      </c>
      <c r="J67" s="136">
        <v>6.27</v>
      </c>
      <c r="K67" s="137"/>
      <c r="L67" s="137"/>
      <c r="M67" s="138"/>
      <c r="R67" s="129">
        <v>30</v>
      </c>
      <c r="S67" s="202">
        <v>6823272.6862421632</v>
      </c>
      <c r="T67" s="202">
        <v>15090650.431178063</v>
      </c>
      <c r="U67" s="202">
        <v>-2591328.2309421301</v>
      </c>
      <c r="V67" s="202">
        <v>11925604.959341139</v>
      </c>
      <c r="W67" s="202">
        <v>6153916.8050464988</v>
      </c>
      <c r="X67" s="202">
        <v>-264639.03912325203</v>
      </c>
      <c r="Y67" s="202">
        <v>4984324.5112461597</v>
      </c>
      <c r="Z67" s="202">
        <v>-5821933.338733837</v>
      </c>
    </row>
    <row r="68" spans="9:26" ht="13.8">
      <c r="I68" s="139">
        <v>46137</v>
      </c>
      <c r="J68" s="140">
        <v>6.03</v>
      </c>
      <c r="K68" s="141"/>
      <c r="L68" s="141"/>
      <c r="M68" s="142"/>
      <c r="R68" s="129">
        <v>31</v>
      </c>
      <c r="S68" s="202">
        <v>12006599.573131621</v>
      </c>
      <c r="T68" s="202">
        <v>2980346.2903968096</v>
      </c>
      <c r="U68" s="202">
        <v>3037684.5422862917</v>
      </c>
      <c r="V68" s="202">
        <v>-6229885.5756129622</v>
      </c>
      <c r="W68" s="202">
        <v>7585499.0869039744</v>
      </c>
      <c r="X68" s="202">
        <v>-8739615.4843267649</v>
      </c>
      <c r="Y68" s="202">
        <v>1731179.0665627569</v>
      </c>
      <c r="Z68" s="202">
        <v>-630222.47219894826</v>
      </c>
    </row>
    <row r="69" spans="9:26" ht="13.8">
      <c r="I69" s="135">
        <v>46167</v>
      </c>
      <c r="J69" s="136">
        <v>5.98</v>
      </c>
      <c r="K69" s="137"/>
      <c r="L69" s="137"/>
      <c r="M69" s="138"/>
      <c r="R69" s="129">
        <v>32</v>
      </c>
      <c r="S69" s="202">
        <v>10901051.166031882</v>
      </c>
      <c r="T69" s="202">
        <v>10129352.752195001</v>
      </c>
      <c r="U69" s="202">
        <v>1767874.3127658963</v>
      </c>
      <c r="V69" s="202">
        <v>5635656.245668605</v>
      </c>
      <c r="W69" s="202">
        <v>4075956.5885313749</v>
      </c>
      <c r="X69" s="202">
        <v>13573371.227041736</v>
      </c>
      <c r="Y69" s="202">
        <v>4167205.0774916708</v>
      </c>
      <c r="Z69" s="202">
        <v>7013861.6341643333</v>
      </c>
    </row>
    <row r="70" spans="9:26" ht="13.8">
      <c r="I70" s="139">
        <v>46198</v>
      </c>
      <c r="J70" s="140">
        <v>5.88</v>
      </c>
      <c r="K70" s="141"/>
      <c r="L70" s="141"/>
      <c r="M70" s="142"/>
      <c r="R70" s="129">
        <v>33</v>
      </c>
      <c r="S70" s="202">
        <v>21061750.575486109</v>
      </c>
      <c r="T70" s="202">
        <v>4580476.5014639497</v>
      </c>
      <c r="U70" s="202">
        <v>16460754.048706561</v>
      </c>
      <c r="V70" s="202">
        <v>6764728.5408825874</v>
      </c>
      <c r="W70" s="202">
        <v>6388687.8398460895</v>
      </c>
      <c r="X70" s="202">
        <v>8261590.9170005023</v>
      </c>
      <c r="Y70" s="202">
        <v>-3086570.7706474364</v>
      </c>
      <c r="Z70" s="202">
        <v>5573260.3118396401</v>
      </c>
    </row>
    <row r="71" spans="9:26" ht="13.8">
      <c r="I71" s="135">
        <v>46228</v>
      </c>
      <c r="J71" s="136">
        <v>6.11</v>
      </c>
      <c r="K71" s="137"/>
      <c r="L71" s="137"/>
      <c r="M71" s="138"/>
      <c r="R71" s="129">
        <v>34</v>
      </c>
      <c r="S71" s="202">
        <v>13478638.293759972</v>
      </c>
      <c r="T71" s="202">
        <v>9382518.6081081629</v>
      </c>
      <c r="U71" s="202">
        <v>10762172.993501946</v>
      </c>
      <c r="V71" s="202">
        <v>-4025217.1045162231</v>
      </c>
      <c r="W71" s="202">
        <v>-3898924.0508605242</v>
      </c>
      <c r="X71" s="202">
        <v>-2589440.4792218953</v>
      </c>
      <c r="Y71" s="202">
        <v>811048.6316742748</v>
      </c>
      <c r="Z71" s="202">
        <v>-4869860.0844427943</v>
      </c>
    </row>
    <row r="72" spans="9:26" ht="13.8">
      <c r="I72" s="139">
        <v>46259</v>
      </c>
      <c r="J72" s="140">
        <v>6.01</v>
      </c>
      <c r="K72" s="141"/>
      <c r="L72" s="141"/>
      <c r="M72" s="142"/>
      <c r="R72" s="129">
        <v>35</v>
      </c>
      <c r="S72" s="202">
        <v>10595205.838464856</v>
      </c>
      <c r="T72" s="202">
        <v>8525621.9300001562</v>
      </c>
      <c r="U72" s="202">
        <v>9744639.5789046288</v>
      </c>
      <c r="V72" s="202">
        <v>12421190.318034321</v>
      </c>
      <c r="W72" s="202">
        <v>2785703.0618611276</v>
      </c>
      <c r="X72" s="202">
        <v>1548870.1963702142</v>
      </c>
      <c r="Y72" s="202">
        <v>6211456.1815740764</v>
      </c>
      <c r="Z72" s="202">
        <v>-390190.49842727184</v>
      </c>
    </row>
    <row r="73" spans="9:26" ht="13.8">
      <c r="I73" s="135">
        <v>46290</v>
      </c>
      <c r="J73" s="136">
        <v>5.94</v>
      </c>
      <c r="K73" s="137"/>
      <c r="L73" s="137"/>
      <c r="M73" s="138"/>
      <c r="R73" s="129">
        <v>36</v>
      </c>
      <c r="S73" s="202">
        <v>4964369.1384518892</v>
      </c>
      <c r="T73" s="202">
        <v>9188031.056494236</v>
      </c>
      <c r="U73" s="202">
        <v>6045038.6493780613</v>
      </c>
      <c r="V73" s="202">
        <v>4010931.0855598599</v>
      </c>
      <c r="W73" s="202">
        <v>4584809.0931997299</v>
      </c>
      <c r="X73" s="202">
        <v>2741380.6352004558</v>
      </c>
      <c r="Y73" s="202">
        <v>-4592625.1611777097</v>
      </c>
      <c r="Z73" s="202">
        <v>3221970.1116891652</v>
      </c>
    </row>
    <row r="74" spans="9:26" ht="13.8">
      <c r="I74" s="139">
        <v>46320</v>
      </c>
      <c r="J74" s="140">
        <v>6.03</v>
      </c>
      <c r="K74" s="141"/>
      <c r="L74" s="141"/>
      <c r="M74" s="142"/>
      <c r="R74" s="129">
        <v>37</v>
      </c>
      <c r="S74" s="202">
        <v>88343.752304315567</v>
      </c>
      <c r="T74" s="202">
        <v>5779334.115647614</v>
      </c>
      <c r="U74" s="202">
        <v>2259360.7185682356</v>
      </c>
      <c r="V74" s="202">
        <v>10992126.531095475</v>
      </c>
      <c r="W74" s="202">
        <v>5445432.0427635014</v>
      </c>
      <c r="X74" s="202">
        <v>3106447.7252928913</v>
      </c>
      <c r="Y74" s="202">
        <v>4980070.1847563088</v>
      </c>
      <c r="Z74" s="202">
        <v>4312761.0737794489</v>
      </c>
    </row>
    <row r="75" spans="9:26" ht="13.8">
      <c r="I75" s="135">
        <v>46351</v>
      </c>
      <c r="J75" s="136">
        <v>6.21</v>
      </c>
      <c r="K75" s="137"/>
      <c r="L75" s="137"/>
      <c r="M75" s="138"/>
      <c r="R75" s="129">
        <v>38</v>
      </c>
      <c r="S75" s="202">
        <v>3062683.9850588292</v>
      </c>
      <c r="T75" s="202">
        <v>1312180.3073991537</v>
      </c>
      <c r="U75" s="202">
        <v>2649037.9908949435</v>
      </c>
      <c r="V75" s="202">
        <v>-3156399.4893945605</v>
      </c>
      <c r="W75" s="202">
        <v>7864985.2536281794</v>
      </c>
      <c r="X75" s="202">
        <v>5720259.4462073594</v>
      </c>
      <c r="Y75" s="202">
        <v>-7330657.6864882112</v>
      </c>
      <c r="Z75" s="202">
        <v>6041561.2037157863</v>
      </c>
    </row>
    <row r="76" spans="9:26" ht="13.8">
      <c r="I76" s="139">
        <v>46381</v>
      </c>
      <c r="J76" s="140">
        <v>6.19</v>
      </c>
      <c r="K76" s="140">
        <v>6.19</v>
      </c>
      <c r="L76" s="140">
        <v>6.19</v>
      </c>
      <c r="M76" s="143">
        <v>6.19</v>
      </c>
      <c r="R76" s="129">
        <v>39</v>
      </c>
      <c r="S76" s="202">
        <v>-775184.94053258002</v>
      </c>
      <c r="T76" s="202">
        <v>8685284.9021296352</v>
      </c>
      <c r="U76" s="202">
        <v>-6457026.0401839316</v>
      </c>
      <c r="V76" s="202">
        <v>-2330387.2701354176</v>
      </c>
      <c r="W76" s="202">
        <v>4760307.0827925205</v>
      </c>
      <c r="X76" s="202">
        <v>2225785.3112581819</v>
      </c>
      <c r="Y76" s="202">
        <v>10997819.598764002</v>
      </c>
      <c r="Z76" s="202">
        <v>2119057.2087121606</v>
      </c>
    </row>
    <row r="77" spans="9:26" ht="13.8">
      <c r="I77" s="135">
        <v>46048</v>
      </c>
      <c r="J77" s="137"/>
      <c r="K77" s="136">
        <v>6.2156047000000001</v>
      </c>
      <c r="L77" s="136">
        <v>5.79</v>
      </c>
      <c r="M77" s="144">
        <v>6.64</v>
      </c>
      <c r="R77" s="129">
        <v>40</v>
      </c>
      <c r="S77" s="202">
        <v>8038971.2552072406</v>
      </c>
      <c r="T77" s="202">
        <v>7186181.9420789033</v>
      </c>
      <c r="U77" s="202">
        <v>5554937.2661481202</v>
      </c>
      <c r="V77" s="202">
        <v>-354823.27481308579</v>
      </c>
      <c r="W77" s="202">
        <v>-6311519.4292795956</v>
      </c>
      <c r="X77" s="202">
        <v>2415898.8957968056</v>
      </c>
      <c r="Y77" s="202">
        <v>409449.95861701667</v>
      </c>
      <c r="Z77" s="202">
        <v>2852014.3442827761</v>
      </c>
    </row>
    <row r="78" spans="9:26" ht="13.8">
      <c r="I78" s="139">
        <v>46079</v>
      </c>
      <c r="J78" s="141"/>
      <c r="K78" s="140">
        <v>6.3485981000000002</v>
      </c>
      <c r="L78" s="140">
        <v>5.82</v>
      </c>
      <c r="M78" s="143">
        <v>6.88</v>
      </c>
      <c r="R78" s="129">
        <v>41</v>
      </c>
      <c r="S78" s="202">
        <v>-697998.03074032068</v>
      </c>
      <c r="T78" s="202">
        <v>19638778.519363135</v>
      </c>
      <c r="U78" s="202">
        <v>13410011.179677829</v>
      </c>
      <c r="V78" s="202">
        <v>9736123.5381261557</v>
      </c>
      <c r="W78" s="202">
        <v>972031.33717474341</v>
      </c>
      <c r="X78" s="202">
        <v>12134827.32830821</v>
      </c>
      <c r="Y78" s="202">
        <v>-4136392.2596879005</v>
      </c>
      <c r="Z78" s="202">
        <v>6833983.3270220906</v>
      </c>
    </row>
    <row r="79" spans="9:26" ht="13.8">
      <c r="I79" s="135">
        <v>46107</v>
      </c>
      <c r="J79" s="137"/>
      <c r="K79" s="136">
        <v>6.2744445000000004</v>
      </c>
      <c r="L79" s="136">
        <v>5.65</v>
      </c>
      <c r="M79" s="144">
        <v>6.9</v>
      </c>
      <c r="R79" s="129">
        <v>42</v>
      </c>
      <c r="S79" s="202">
        <v>2539424.2305936515</v>
      </c>
      <c r="T79" s="202">
        <v>2118802.8488229215</v>
      </c>
      <c r="U79" s="202">
        <v>11201531.048637122</v>
      </c>
      <c r="V79" s="202">
        <v>3657603.5992411822</v>
      </c>
      <c r="W79" s="202">
        <v>10542465.776246101</v>
      </c>
      <c r="X79" s="202">
        <v>9215429.4664133042</v>
      </c>
      <c r="Y79" s="202">
        <v>-1952799.2880994529</v>
      </c>
      <c r="Z79" s="202">
        <v>3563125.0469934642</v>
      </c>
    </row>
    <row r="80" spans="9:26" ht="13.8">
      <c r="I80" s="139">
        <v>46138</v>
      </c>
      <c r="J80" s="141"/>
      <c r="K80" s="140">
        <v>6.2062223999999997</v>
      </c>
      <c r="L80" s="140">
        <v>5.51</v>
      </c>
      <c r="M80" s="143">
        <v>6.91</v>
      </c>
      <c r="R80" s="129">
        <v>43</v>
      </c>
      <c r="S80" s="202">
        <v>8802840.3863547742</v>
      </c>
      <c r="T80" s="202">
        <v>10932045.779781789</v>
      </c>
      <c r="U80" s="202">
        <v>5025866.0199720114</v>
      </c>
      <c r="V80" s="202">
        <v>1805694.9863317758</v>
      </c>
      <c r="W80" s="202">
        <v>4813080.7536676079</v>
      </c>
      <c r="X80" s="202">
        <v>8583292.0809706599</v>
      </c>
      <c r="Y80" s="202">
        <v>414769.66627386212</v>
      </c>
      <c r="Z80" s="202">
        <v>6622233.408427313</v>
      </c>
    </row>
    <row r="81" spans="9:26" ht="13.8">
      <c r="I81" s="135">
        <v>46168</v>
      </c>
      <c r="J81" s="137"/>
      <c r="K81" s="136">
        <v>6.1226374999999997</v>
      </c>
      <c r="L81" s="136">
        <v>5.35</v>
      </c>
      <c r="M81" s="144">
        <v>6.89</v>
      </c>
      <c r="R81" s="129">
        <v>44</v>
      </c>
      <c r="S81" s="202">
        <v>10946559.607841998</v>
      </c>
      <c r="T81" s="202">
        <v>6913235.0812186003</v>
      </c>
      <c r="U81" s="202">
        <v>17789112.714180946</v>
      </c>
      <c r="V81" s="202">
        <v>-1432402.8176891655</v>
      </c>
      <c r="W81" s="202">
        <v>479782.14197781682</v>
      </c>
      <c r="X81" s="202">
        <v>3339203.1638658196</v>
      </c>
      <c r="Y81" s="202">
        <v>498539.3704289943</v>
      </c>
      <c r="Z81" s="202">
        <v>-163648.31670626998</v>
      </c>
    </row>
    <row r="82" spans="9:26" ht="13.8">
      <c r="I82" s="139">
        <v>46199</v>
      </c>
      <c r="J82" s="141"/>
      <c r="K82" s="140">
        <v>5.9483296000000001</v>
      </c>
      <c r="L82" s="140">
        <v>5.1100000000000003</v>
      </c>
      <c r="M82" s="143">
        <v>6.78</v>
      </c>
      <c r="R82" s="129">
        <v>45</v>
      </c>
      <c r="S82" s="202">
        <v>6874307.5837793499</v>
      </c>
      <c r="T82" s="202">
        <v>5316053.5049692094</v>
      </c>
      <c r="U82" s="202">
        <v>352430.9926430136</v>
      </c>
      <c r="V82" s="202">
        <v>6910920.3388696015</v>
      </c>
      <c r="W82" s="202">
        <v>6666360.7063565254</v>
      </c>
      <c r="X82" s="202">
        <v>-133038.07678288221</v>
      </c>
      <c r="Y82" s="202">
        <v>-4204675.4416283816</v>
      </c>
      <c r="Z82" s="202">
        <v>11093378.470372483</v>
      </c>
    </row>
    <row r="83" spans="9:26" ht="13.8">
      <c r="I83" s="135">
        <v>46229</v>
      </c>
      <c r="J83" s="137"/>
      <c r="K83" s="136">
        <v>5.9150223999999998</v>
      </c>
      <c r="L83" s="136">
        <v>5.0199999999999996</v>
      </c>
      <c r="M83" s="144">
        <v>6.81</v>
      </c>
      <c r="R83" s="129">
        <v>46</v>
      </c>
      <c r="S83" s="202">
        <v>13973673.902124435</v>
      </c>
      <c r="T83" s="202">
        <v>12721323.823488489</v>
      </c>
      <c r="U83" s="202">
        <v>10737594.270327032</v>
      </c>
      <c r="V83" s="202">
        <v>1633066.3193365633</v>
      </c>
      <c r="W83" s="202">
        <v>9750106.7483246475</v>
      </c>
      <c r="X83" s="202">
        <v>-402426.94959011674</v>
      </c>
      <c r="Y83" s="202">
        <v>9059342.5907680988</v>
      </c>
      <c r="Z83" s="202">
        <v>5820272.6700687557</v>
      </c>
    </row>
    <row r="84" spans="9:26" ht="13.8">
      <c r="I84" s="139">
        <v>46260</v>
      </c>
      <c r="J84" s="141"/>
      <c r="K84" s="140">
        <v>5.7821812000000001</v>
      </c>
      <c r="L84" s="140">
        <v>4.83</v>
      </c>
      <c r="M84" s="143">
        <v>6.73</v>
      </c>
      <c r="R84" s="129">
        <v>47</v>
      </c>
      <c r="S84" s="202">
        <v>12938128.961930245</v>
      </c>
      <c r="T84" s="202">
        <v>18415614.243837625</v>
      </c>
      <c r="U84" s="202">
        <v>11546823.944646984</v>
      </c>
      <c r="V84" s="202">
        <v>-776733.37382927537</v>
      </c>
      <c r="W84" s="202">
        <v>2388316.5874908864</v>
      </c>
      <c r="X84" s="202">
        <v>-5409177.3450132012</v>
      </c>
      <c r="Y84" s="202">
        <v>-4836347.5450499058</v>
      </c>
      <c r="Z84" s="202">
        <v>2741911.3464597315</v>
      </c>
    </row>
    <row r="85" spans="9:26" ht="13.8">
      <c r="I85" s="135">
        <v>46291</v>
      </c>
      <c r="J85" s="137"/>
      <c r="K85" s="136">
        <v>5.6621870999999997</v>
      </c>
      <c r="L85" s="136">
        <v>4.66</v>
      </c>
      <c r="M85" s="144">
        <v>6.67</v>
      </c>
      <c r="R85" s="129">
        <v>48</v>
      </c>
      <c r="S85" s="202">
        <v>8626798.8838798404</v>
      </c>
      <c r="T85" s="202">
        <v>5465363.2543060035</v>
      </c>
      <c r="U85" s="202">
        <v>8262665.2574502081</v>
      </c>
      <c r="V85" s="202">
        <v>-138028.55892910063</v>
      </c>
      <c r="W85" s="202">
        <v>-2711412.3913972527</v>
      </c>
      <c r="X85" s="202">
        <v>7687735.0258181244</v>
      </c>
      <c r="Y85" s="202">
        <v>-8201998.0618578494</v>
      </c>
      <c r="Z85" s="202">
        <v>-2800819.6637143493</v>
      </c>
    </row>
    <row r="86" spans="9:26" ht="13.8">
      <c r="I86" s="139">
        <v>46321</v>
      </c>
      <c r="J86" s="141"/>
      <c r="K86" s="140">
        <v>5.6976880000000003</v>
      </c>
      <c r="L86" s="140">
        <v>4.6399999999999997</v>
      </c>
      <c r="M86" s="143">
        <v>6.75</v>
      </c>
      <c r="R86" s="129">
        <v>49</v>
      </c>
      <c r="S86" s="202">
        <v>7819272.1464317143</v>
      </c>
      <c r="T86" s="202">
        <v>7604098.8431656957</v>
      </c>
      <c r="U86" s="202">
        <v>10567563.94206804</v>
      </c>
      <c r="V86" s="202">
        <v>8534292.1150900871</v>
      </c>
      <c r="W86" s="202">
        <v>3699171.9640188664</v>
      </c>
      <c r="X86" s="202">
        <v>13936515.053375006</v>
      </c>
      <c r="Y86" s="202">
        <v>3830904.1843205094</v>
      </c>
      <c r="Z86" s="202">
        <v>-5882959.1470688283</v>
      </c>
    </row>
    <row r="87" spans="9:26" ht="13.8">
      <c r="I87" s="135">
        <v>46352</v>
      </c>
      <c r="J87" s="137"/>
      <c r="K87" s="136">
        <v>5.9350911999999996</v>
      </c>
      <c r="L87" s="136">
        <v>4.83</v>
      </c>
      <c r="M87" s="144">
        <v>7.04</v>
      </c>
      <c r="R87" s="129">
        <v>50</v>
      </c>
      <c r="S87" s="202">
        <v>4041151.7886045724</v>
      </c>
      <c r="T87" s="202">
        <v>12353659.648394987</v>
      </c>
      <c r="U87" s="202">
        <v>5218718.979383558</v>
      </c>
      <c r="V87" s="202">
        <v>4760766.0059098601</v>
      </c>
      <c r="W87" s="202">
        <v>3393280.184361428</v>
      </c>
      <c r="X87" s="202">
        <v>72812.966613650322</v>
      </c>
      <c r="Y87" s="202">
        <v>5013291.7115548551</v>
      </c>
      <c r="Z87" s="202">
        <v>135415.1891875118</v>
      </c>
    </row>
    <row r="88" spans="9:26" ht="13.8">
      <c r="I88" s="139">
        <v>46382</v>
      </c>
      <c r="J88" s="141"/>
      <c r="K88" s="140">
        <v>5.9460280000000001</v>
      </c>
      <c r="L88" s="140">
        <v>4.79</v>
      </c>
      <c r="M88" s="143">
        <v>7.1</v>
      </c>
      <c r="R88" s="129">
        <v>51</v>
      </c>
      <c r="S88" s="202">
        <v>-2668903.1706705093</v>
      </c>
      <c r="T88" s="202">
        <v>15200420.875656113</v>
      </c>
      <c r="U88" s="202">
        <v>5619700.0115868598</v>
      </c>
      <c r="V88" s="202">
        <v>6201810.2968924642</v>
      </c>
      <c r="W88" s="202">
        <v>9070450.3372596502</v>
      </c>
      <c r="X88" s="202">
        <v>2522516.174555555</v>
      </c>
      <c r="Y88" s="202">
        <v>4330664.7061966509</v>
      </c>
      <c r="Z88" s="202">
        <v>3570906.4371632636</v>
      </c>
    </row>
    <row r="89" spans="9:26" ht="13.8">
      <c r="I89" s="135">
        <v>46049</v>
      </c>
      <c r="J89" s="137"/>
      <c r="K89" s="136">
        <v>5.9715914000000003</v>
      </c>
      <c r="L89" s="136">
        <v>4.74</v>
      </c>
      <c r="M89" s="144">
        <v>7.2</v>
      </c>
      <c r="R89" s="129">
        <v>52</v>
      </c>
      <c r="S89" s="202">
        <v>4587765.3388343453</v>
      </c>
      <c r="T89" s="202">
        <v>5860090.4617340565</v>
      </c>
      <c r="U89" s="202">
        <v>13530671.653646708</v>
      </c>
      <c r="V89" s="202">
        <v>10052824.782653898</v>
      </c>
      <c r="W89" s="202">
        <v>4973814.3621053845</v>
      </c>
      <c r="X89" s="202">
        <v>-195195.86533810198</v>
      </c>
      <c r="Y89" s="202">
        <v>2527802.2165437043</v>
      </c>
      <c r="Z89" s="202">
        <v>-2225946.3174318671</v>
      </c>
    </row>
    <row r="90" spans="9:26" ht="13.8">
      <c r="I90" s="139">
        <v>46080</v>
      </c>
      <c r="J90" s="141"/>
      <c r="K90" s="140">
        <v>6.1045847999999996</v>
      </c>
      <c r="L90" s="140">
        <v>4.83</v>
      </c>
      <c r="M90" s="143">
        <v>7.38</v>
      </c>
      <c r="R90" s="129">
        <v>53</v>
      </c>
      <c r="S90" s="202">
        <v>7571370.5567858517</v>
      </c>
      <c r="T90" s="202">
        <v>7088297.1154978275</v>
      </c>
      <c r="U90" s="202">
        <v>9695281.9954893589</v>
      </c>
      <c r="V90" s="202">
        <v>17353278.189736307</v>
      </c>
      <c r="W90" s="202">
        <v>15964453.992612064</v>
      </c>
      <c r="X90" s="202">
        <v>3938370.4039255083</v>
      </c>
      <c r="Y90" s="202">
        <v>-1371567.5882695764</v>
      </c>
      <c r="Z90" s="202">
        <v>1904622.775724709</v>
      </c>
    </row>
    <row r="91" spans="9:26" ht="13.8">
      <c r="I91" s="135">
        <v>46108</v>
      </c>
      <c r="J91" s="137"/>
      <c r="K91" s="136">
        <v>6.0304311999999998</v>
      </c>
      <c r="L91" s="136">
        <v>4.72</v>
      </c>
      <c r="M91" s="144">
        <v>7.34</v>
      </c>
      <c r="R91" s="129">
        <v>54</v>
      </c>
      <c r="S91" s="202">
        <v>10016462.952968463</v>
      </c>
      <c r="T91" s="202">
        <v>381698.35294853151</v>
      </c>
      <c r="U91" s="202">
        <v>3224922.5755391419</v>
      </c>
      <c r="V91" s="202">
        <v>11899761.334373683</v>
      </c>
      <c r="W91" s="202">
        <v>7510457.0179640353</v>
      </c>
      <c r="X91" s="202">
        <v>9794681.7233908772</v>
      </c>
      <c r="Y91" s="202">
        <v>81311.374811038375</v>
      </c>
      <c r="Z91" s="202">
        <v>5919472.1013418287</v>
      </c>
    </row>
    <row r="92" spans="9:26" ht="13.8">
      <c r="I92" s="139">
        <v>46139</v>
      </c>
      <c r="J92" s="141"/>
      <c r="K92" s="140">
        <v>5.9622090999999999</v>
      </c>
      <c r="L92" s="140">
        <v>4.6100000000000003</v>
      </c>
      <c r="M92" s="143">
        <v>7.32</v>
      </c>
      <c r="R92" s="129">
        <v>55</v>
      </c>
      <c r="S92" s="202">
        <v>4558459.0476524979</v>
      </c>
      <c r="T92" s="202">
        <v>18844666.488152891</v>
      </c>
      <c r="U92" s="202">
        <v>14356854.567133039</v>
      </c>
      <c r="V92" s="202">
        <v>10698665.574343726</v>
      </c>
      <c r="W92" s="202">
        <v>5507752.2990232706</v>
      </c>
      <c r="X92" s="202">
        <v>3485092.0312964022</v>
      </c>
      <c r="Y92" s="202">
        <v>598582.48845180869</v>
      </c>
      <c r="Z92" s="202">
        <v>10035906.989764497</v>
      </c>
    </row>
    <row r="93" spans="9:26" ht="13.8">
      <c r="I93" s="135">
        <v>46169</v>
      </c>
      <c r="J93" s="137"/>
      <c r="K93" s="136">
        <v>5.8786242</v>
      </c>
      <c r="L93" s="136">
        <v>4.49</v>
      </c>
      <c r="M93" s="144">
        <v>7.27</v>
      </c>
      <c r="R93" s="129">
        <v>56</v>
      </c>
      <c r="S93" s="202">
        <v>8361938.1902445853</v>
      </c>
      <c r="T93" s="202">
        <v>15314588.680770993</v>
      </c>
      <c r="U93" s="202">
        <v>913858.21471440792</v>
      </c>
      <c r="V93" s="202">
        <v>4416269.6609248221</v>
      </c>
      <c r="W93" s="202">
        <v>7014053.3720003963</v>
      </c>
      <c r="X93" s="202">
        <v>7827281.4958221018</v>
      </c>
      <c r="Y93" s="202">
        <v>-1084347.0928243846</v>
      </c>
      <c r="Z93" s="202">
        <v>-2444849.2999992669</v>
      </c>
    </row>
    <row r="94" spans="9:26" ht="13.8">
      <c r="I94" s="139">
        <v>46200</v>
      </c>
      <c r="J94" s="141"/>
      <c r="K94" s="140">
        <v>5.7043162000000001</v>
      </c>
      <c r="L94" s="140">
        <v>4.2699999999999996</v>
      </c>
      <c r="M94" s="143">
        <v>7.13</v>
      </c>
      <c r="R94" s="129">
        <v>57</v>
      </c>
      <c r="S94" s="202">
        <v>10596992.24147293</v>
      </c>
      <c r="T94" s="202">
        <v>8452055.6476772875</v>
      </c>
      <c r="U94" s="202">
        <v>14047802.730226219</v>
      </c>
      <c r="V94" s="202">
        <v>5207032.8250081539</v>
      </c>
      <c r="W94" s="202">
        <v>-4317424.8953082412</v>
      </c>
      <c r="X94" s="202">
        <v>3952356.5154258758</v>
      </c>
      <c r="Y94" s="202">
        <v>2955613.6726904064</v>
      </c>
      <c r="Z94" s="202">
        <v>4501206.0601571053</v>
      </c>
    </row>
    <row r="95" spans="9:26" ht="13.8">
      <c r="I95" s="135">
        <v>46230</v>
      </c>
      <c r="J95" s="137"/>
      <c r="K95" s="136">
        <v>5.6710091</v>
      </c>
      <c r="L95" s="136">
        <v>4.2</v>
      </c>
      <c r="M95" s="144">
        <v>7.14</v>
      </c>
      <c r="R95" s="129">
        <v>58</v>
      </c>
      <c r="S95" s="202">
        <v>19164999.714776218</v>
      </c>
      <c r="T95" s="202">
        <v>7347265.8405376077</v>
      </c>
      <c r="U95" s="202">
        <v>3582568.408100605</v>
      </c>
      <c r="V95" s="202">
        <v>145167.1606503427</v>
      </c>
      <c r="W95" s="202">
        <v>3051139.8822521269</v>
      </c>
      <c r="X95" s="202">
        <v>-6859372.6041216105</v>
      </c>
      <c r="Y95" s="202">
        <v>4370166.0350951254</v>
      </c>
      <c r="Z95" s="202">
        <v>-9350760.5355547369</v>
      </c>
    </row>
    <row r="96" spans="9:26" ht="13.8">
      <c r="I96" s="139">
        <v>46261</v>
      </c>
      <c r="J96" s="141"/>
      <c r="K96" s="140">
        <v>5.5381679000000004</v>
      </c>
      <c r="L96" s="140">
        <v>4.04</v>
      </c>
      <c r="M96" s="143">
        <v>7.04</v>
      </c>
      <c r="R96" s="129">
        <v>59</v>
      </c>
      <c r="S96" s="202">
        <v>4936927.5128938109</v>
      </c>
      <c r="T96" s="202">
        <v>-2203718.421827808</v>
      </c>
      <c r="U96" s="202">
        <v>5146339.6653854847</v>
      </c>
      <c r="V96" s="202">
        <v>5872941.7077967227</v>
      </c>
      <c r="W96" s="202">
        <v>5469788.5054436773</v>
      </c>
      <c r="X96" s="202">
        <v>3422669.4421032071</v>
      </c>
      <c r="Y96" s="202">
        <v>3924075.4374378771</v>
      </c>
      <c r="Z96" s="202">
        <v>3259410.378148824</v>
      </c>
    </row>
    <row r="97" spans="9:26" ht="13.8">
      <c r="I97" s="135">
        <v>46292</v>
      </c>
      <c r="J97" s="137"/>
      <c r="K97" s="136">
        <v>5.4181737999999999</v>
      </c>
      <c r="L97" s="136">
        <v>3.88</v>
      </c>
      <c r="M97" s="144">
        <v>6.96</v>
      </c>
      <c r="R97" s="129">
        <v>60</v>
      </c>
      <c r="S97" s="202">
        <v>4886766.75683707</v>
      </c>
      <c r="T97" s="202">
        <v>18557825.318938941</v>
      </c>
      <c r="U97" s="202">
        <v>9585976.7414130867</v>
      </c>
      <c r="V97" s="202">
        <v>-6305631.6708248854</v>
      </c>
      <c r="W97" s="202">
        <v>6648912.3492427915</v>
      </c>
      <c r="X97" s="202">
        <v>1940235.8968309611</v>
      </c>
      <c r="Y97" s="202">
        <v>679921.0339384079</v>
      </c>
      <c r="Z97" s="202">
        <v>8253096.1187380701</v>
      </c>
    </row>
    <row r="98" spans="9:26" ht="13.8">
      <c r="I98" s="139">
        <v>46322</v>
      </c>
      <c r="J98" s="141"/>
      <c r="K98" s="140">
        <v>5.4536746999999997</v>
      </c>
      <c r="L98" s="140">
        <v>3.88</v>
      </c>
      <c r="M98" s="143">
        <v>7.03</v>
      </c>
      <c r="R98" s="129">
        <v>61</v>
      </c>
      <c r="S98" s="202">
        <v>5386805.4630586952</v>
      </c>
      <c r="T98" s="202">
        <v>7035257.2441477329</v>
      </c>
      <c r="U98" s="202">
        <v>9601682.7262672782</v>
      </c>
      <c r="V98" s="202">
        <v>2579461.3564269096</v>
      </c>
      <c r="W98" s="202">
        <v>-1238825.1244954914</v>
      </c>
      <c r="X98" s="202">
        <v>7456230.0671314597</v>
      </c>
      <c r="Y98" s="202">
        <v>12998510.337197572</v>
      </c>
      <c r="Z98" s="202">
        <v>1516034.5439995974</v>
      </c>
    </row>
    <row r="99" spans="9:26" ht="13.8">
      <c r="I99" s="135">
        <v>46353</v>
      </c>
      <c r="J99" s="137"/>
      <c r="K99" s="136">
        <v>5.6910778000000004</v>
      </c>
      <c r="L99" s="136">
        <v>4.08</v>
      </c>
      <c r="M99" s="144">
        <v>7.3</v>
      </c>
      <c r="R99" s="129">
        <v>62</v>
      </c>
      <c r="S99" s="202">
        <v>4435892.6116383672</v>
      </c>
      <c r="T99" s="202">
        <v>8557344.0935568213</v>
      </c>
      <c r="U99" s="202">
        <v>13046958.377819836</v>
      </c>
      <c r="V99" s="202">
        <v>2461888.2944085151</v>
      </c>
      <c r="W99" s="202">
        <v>6706336.1219168901</v>
      </c>
      <c r="X99" s="202">
        <v>5314484.4166202247</v>
      </c>
      <c r="Y99" s="202">
        <v>2202540.3133827448</v>
      </c>
      <c r="Z99" s="202">
        <v>-12023680.742041454</v>
      </c>
    </row>
    <row r="100" spans="9:26" ht="13.8">
      <c r="I100" s="139">
        <v>46383</v>
      </c>
      <c r="J100" s="141"/>
      <c r="K100" s="140">
        <v>5.7020147000000003</v>
      </c>
      <c r="L100" s="140">
        <v>4.0599999999999996</v>
      </c>
      <c r="M100" s="143">
        <v>7.34</v>
      </c>
      <c r="R100" s="129">
        <v>63</v>
      </c>
      <c r="S100" s="202">
        <v>9606162.5564284623</v>
      </c>
      <c r="T100" s="202">
        <v>15466902.960215598</v>
      </c>
      <c r="U100" s="202">
        <v>4267269.5669362843</v>
      </c>
      <c r="V100" s="202">
        <v>7721276.5308936536</v>
      </c>
      <c r="W100" s="202">
        <v>1704844.7157504559</v>
      </c>
      <c r="X100" s="202">
        <v>5953344.8240382522</v>
      </c>
      <c r="Y100" s="202">
        <v>4141064.9202288687</v>
      </c>
      <c r="Z100" s="202">
        <v>-389375.00443038344</v>
      </c>
    </row>
    <row r="101" spans="9:26" ht="15.75" customHeight="1">
      <c r="R101" s="129">
        <v>64</v>
      </c>
      <c r="S101" s="202">
        <v>2456749.7547895908</v>
      </c>
      <c r="T101" s="202">
        <v>-2148688.9277732968</v>
      </c>
      <c r="U101" s="202">
        <v>10932813.297754228</v>
      </c>
      <c r="V101" s="202">
        <v>-388054.41282196343</v>
      </c>
      <c r="W101" s="202">
        <v>1643284.6729997545</v>
      </c>
      <c r="X101" s="202">
        <v>2193900.2302758843</v>
      </c>
      <c r="Y101" s="202">
        <v>1037827.6913040578</v>
      </c>
      <c r="Z101" s="202">
        <v>-5268562.2165238857</v>
      </c>
    </row>
    <row r="102" spans="9:26" ht="15.75" customHeight="1">
      <c r="R102" s="129">
        <v>65</v>
      </c>
      <c r="S102" s="202">
        <v>13989623.286025465</v>
      </c>
      <c r="T102" s="202">
        <v>12105147.412059456</v>
      </c>
      <c r="U102" s="202">
        <v>10155827.373332635</v>
      </c>
      <c r="V102" s="202">
        <v>1535446.5409103036</v>
      </c>
      <c r="W102" s="202">
        <v>8581014.2533123791</v>
      </c>
      <c r="X102" s="202">
        <v>689051.16476257145</v>
      </c>
      <c r="Y102" s="202">
        <v>6102865.6022798717</v>
      </c>
      <c r="Z102" s="202">
        <v>17628809.949034214</v>
      </c>
    </row>
    <row r="103" spans="9:26" ht="15.75" customHeight="1">
      <c r="R103" s="129">
        <v>66</v>
      </c>
      <c r="S103" s="202">
        <v>10275366.446962878</v>
      </c>
      <c r="T103" s="202">
        <v>8490225.1734643579</v>
      </c>
      <c r="U103" s="202">
        <v>7045863.4902693331</v>
      </c>
      <c r="V103" s="202">
        <v>-4816680.4633979499</v>
      </c>
      <c r="W103" s="202">
        <v>8906296.8973363638</v>
      </c>
      <c r="X103" s="202">
        <v>5409347.844473213</v>
      </c>
      <c r="Y103" s="202">
        <v>-4878692.1561755985</v>
      </c>
      <c r="Z103" s="202">
        <v>-2100393.455477044</v>
      </c>
    </row>
    <row r="104" spans="9:26" ht="15.75" customHeight="1">
      <c r="R104" s="129">
        <v>67</v>
      </c>
      <c r="S104" s="202">
        <v>12354064.258288294</v>
      </c>
      <c r="T104" s="202">
        <v>16090000.266170025</v>
      </c>
      <c r="U104" s="202">
        <v>14619066.168356359</v>
      </c>
      <c r="V104" s="202">
        <v>3880494.0840055197</v>
      </c>
      <c r="W104" s="202">
        <v>15565081.677242234</v>
      </c>
      <c r="X104" s="202">
        <v>9155593.76849325</v>
      </c>
      <c r="Y104" s="202">
        <v>524136.76093783975</v>
      </c>
      <c r="Z104" s="202">
        <v>-7151253.2621421069</v>
      </c>
    </row>
    <row r="105" spans="9:26" ht="15.75" customHeight="1">
      <c r="R105" s="129">
        <v>68</v>
      </c>
      <c r="S105" s="202">
        <v>5561769.9108037204</v>
      </c>
      <c r="T105" s="202">
        <v>9515417.6055543125</v>
      </c>
      <c r="U105" s="202">
        <v>3048479.9658080488</v>
      </c>
      <c r="V105" s="202">
        <v>4065636.0299964249</v>
      </c>
      <c r="W105" s="202">
        <v>15794258.397566065</v>
      </c>
      <c r="X105" s="202">
        <v>4797165.8397889435</v>
      </c>
      <c r="Y105" s="202">
        <v>973601.96023593843</v>
      </c>
      <c r="Z105" s="202">
        <v>4250450.0747865736</v>
      </c>
    </row>
    <row r="106" spans="9:26" ht="15.75" customHeight="1">
      <c r="R106" s="129">
        <v>69</v>
      </c>
      <c r="S106" s="202">
        <v>11495423.483618811</v>
      </c>
      <c r="T106" s="202">
        <v>10008727.164557472</v>
      </c>
      <c r="U106" s="202">
        <v>11312870.439774573</v>
      </c>
      <c r="V106" s="202">
        <v>15855171.487959206</v>
      </c>
      <c r="W106" s="202">
        <v>7720481.2018297911</v>
      </c>
      <c r="X106" s="202">
        <v>-8343050.9184527844</v>
      </c>
      <c r="Y106" s="202">
        <v>-983992.33644190431</v>
      </c>
      <c r="Z106" s="202">
        <v>-790961.90458476543</v>
      </c>
    </row>
    <row r="107" spans="9:26" ht="15.75" customHeight="1">
      <c r="R107" s="129">
        <v>70</v>
      </c>
      <c r="S107" s="202">
        <v>1567346.1659400761</v>
      </c>
      <c r="T107" s="202">
        <v>16108705.770449758</v>
      </c>
      <c r="U107" s="202">
        <v>-970288.39776706696</v>
      </c>
      <c r="V107" s="202">
        <v>3808623.0018836856</v>
      </c>
      <c r="W107" s="202">
        <v>6896408.7455542684</v>
      </c>
      <c r="X107" s="202">
        <v>5996827.1753967106</v>
      </c>
      <c r="Y107" s="202">
        <v>-620481.56651759148</v>
      </c>
      <c r="Z107" s="202">
        <v>-806555.23411275446</v>
      </c>
    </row>
    <row r="108" spans="9:26" ht="15.75" customHeight="1">
      <c r="R108" s="129">
        <v>71</v>
      </c>
      <c r="S108" s="202">
        <v>146937.53315836191</v>
      </c>
      <c r="T108" s="202">
        <v>7665923.5863680542</v>
      </c>
      <c r="U108" s="202">
        <v>12092546.29947184</v>
      </c>
      <c r="V108" s="202">
        <v>3084389.3924842775</v>
      </c>
      <c r="W108" s="202">
        <v>4205704.7219638973</v>
      </c>
      <c r="X108" s="202">
        <v>4203998.4967876971</v>
      </c>
      <c r="Y108" s="202">
        <v>1630453.8655956239</v>
      </c>
      <c r="Z108" s="202">
        <v>-2384244.3042020053</v>
      </c>
    </row>
    <row r="109" spans="9:26" ht="15.75" customHeight="1">
      <c r="R109" s="129">
        <v>72</v>
      </c>
      <c r="S109" s="202">
        <v>16876814.250430822</v>
      </c>
      <c r="T109" s="202">
        <v>9908789.6564945281</v>
      </c>
      <c r="U109" s="202">
        <v>-1289215.8397962749</v>
      </c>
      <c r="V109" s="202">
        <v>8551958.2479925156</v>
      </c>
      <c r="W109" s="202">
        <v>12500921.151105329</v>
      </c>
      <c r="X109" s="202">
        <v>4792877.0154950023</v>
      </c>
      <c r="Y109" s="202">
        <v>3272734.932251066</v>
      </c>
      <c r="Z109" s="202">
        <v>8113921.6132312268</v>
      </c>
    </row>
    <row r="110" spans="9:26" ht="15.75" customHeight="1">
      <c r="R110" s="129">
        <v>73</v>
      </c>
      <c r="S110" s="202">
        <v>7103908.3805079311</v>
      </c>
      <c r="T110" s="202">
        <v>10026761.306820482</v>
      </c>
      <c r="U110" s="202">
        <v>6439609.187007755</v>
      </c>
      <c r="V110" s="202">
        <v>6253479.8836272806</v>
      </c>
      <c r="W110" s="202">
        <v>3760911.4900855124</v>
      </c>
      <c r="X110" s="202">
        <v>5673469.7913349122</v>
      </c>
      <c r="Y110" s="202">
        <v>-111208.03991082311</v>
      </c>
      <c r="Z110" s="202">
        <v>6666340.4885947704</v>
      </c>
    </row>
    <row r="111" spans="9:26" ht="15.75" customHeight="1">
      <c r="R111" s="129">
        <v>74</v>
      </c>
      <c r="S111" s="202">
        <v>2145311.4400233328</v>
      </c>
      <c r="T111" s="202">
        <v>20779992.890114188</v>
      </c>
      <c r="U111" s="202">
        <v>-5008414.2485263944</v>
      </c>
      <c r="V111" s="202">
        <v>6502670.3044551462</v>
      </c>
      <c r="W111" s="202">
        <v>5941128.1088291407</v>
      </c>
      <c r="X111" s="202">
        <v>723494.7550483793</v>
      </c>
      <c r="Y111" s="202">
        <v>1535275.0260359645</v>
      </c>
      <c r="Z111" s="202">
        <v>10333579.871505588</v>
      </c>
    </row>
    <row r="112" spans="9:26" ht="15.75" customHeight="1">
      <c r="R112" s="129">
        <v>75</v>
      </c>
      <c r="S112" s="202">
        <v>7386595.8259563893</v>
      </c>
      <c r="T112" s="202">
        <v>8878328.5935464799</v>
      </c>
      <c r="U112" s="202">
        <v>7909329.9686015695</v>
      </c>
      <c r="V112" s="202">
        <v>9894091.279617995</v>
      </c>
      <c r="W112" s="202">
        <v>-4395510.9498427808</v>
      </c>
      <c r="X112" s="202">
        <v>-486565.84216731787</v>
      </c>
      <c r="Y112" s="202">
        <v>578519.89426678419</v>
      </c>
      <c r="Z112" s="202">
        <v>-3188547.7944982946</v>
      </c>
    </row>
    <row r="113" spans="18:26" ht="15.75" customHeight="1">
      <c r="R113" s="129">
        <v>76</v>
      </c>
      <c r="S113" s="202">
        <v>7776164.2716461122</v>
      </c>
      <c r="T113" s="202">
        <v>15797904.869187534</v>
      </c>
      <c r="U113" s="202">
        <v>9770794.8465304524</v>
      </c>
      <c r="V113" s="202">
        <v>8795792.5699713081</v>
      </c>
      <c r="W113" s="202">
        <v>9138428.9057839513</v>
      </c>
      <c r="X113" s="202">
        <v>-3542144.2511240095</v>
      </c>
      <c r="Y113" s="202">
        <v>6871545.729133442</v>
      </c>
      <c r="Z113" s="202">
        <v>1355357.4531273544</v>
      </c>
    </row>
    <row r="114" spans="18:26" ht="15.75" customHeight="1">
      <c r="R114" s="129">
        <v>77</v>
      </c>
      <c r="S114" s="202">
        <v>-1083122.844433412</v>
      </c>
      <c r="T114" s="202">
        <v>11141903.353810191</v>
      </c>
      <c r="U114" s="202">
        <v>8842341.2446929812</v>
      </c>
      <c r="V114" s="202">
        <v>3389427.4167224318</v>
      </c>
      <c r="W114" s="202">
        <v>-7882020.0058857799</v>
      </c>
      <c r="X114" s="202">
        <v>393873.84180508554</v>
      </c>
      <c r="Y114" s="202">
        <v>6411320.3207185119</v>
      </c>
      <c r="Z114" s="202">
        <v>-4306619.7844110131</v>
      </c>
    </row>
    <row r="115" spans="18:26" ht="15.75" customHeight="1">
      <c r="R115" s="129">
        <v>78</v>
      </c>
      <c r="S115" s="202">
        <v>11339618.888392478</v>
      </c>
      <c r="T115" s="202">
        <v>6296466.1362110525</v>
      </c>
      <c r="U115" s="202">
        <v>5357923.8037877679</v>
      </c>
      <c r="V115" s="202">
        <v>2950537.5710297227</v>
      </c>
      <c r="W115" s="202">
        <v>4087982.2613024265</v>
      </c>
      <c r="X115" s="202">
        <v>4889135.2057363093</v>
      </c>
      <c r="Y115" s="202">
        <v>7822902.5855997801</v>
      </c>
      <c r="Z115" s="202">
        <v>3122368.6314064413</v>
      </c>
    </row>
    <row r="116" spans="18:26" ht="15.75" customHeight="1">
      <c r="R116" s="129">
        <v>79</v>
      </c>
      <c r="S116" s="202">
        <v>7436315.2020588368</v>
      </c>
      <c r="T116" s="202">
        <v>10480228.049252629</v>
      </c>
      <c r="U116" s="202">
        <v>13765970.663766101</v>
      </c>
      <c r="V116" s="202">
        <v>7052646.1339896172</v>
      </c>
      <c r="W116" s="202">
        <v>-4527912.4030911177</v>
      </c>
      <c r="X116" s="202">
        <v>10230241.781947583</v>
      </c>
      <c r="Y116" s="202">
        <v>-1058793.5090779066</v>
      </c>
      <c r="Z116" s="202">
        <v>1969894.6026962101</v>
      </c>
    </row>
    <row r="117" spans="18:26" ht="15.75" customHeight="1">
      <c r="R117" s="129">
        <v>80</v>
      </c>
      <c r="S117" s="202">
        <v>615852.12131743133</v>
      </c>
      <c r="T117" s="202">
        <v>15048026.251219586</v>
      </c>
      <c r="U117" s="202">
        <v>6267266.0879742205</v>
      </c>
      <c r="V117" s="202">
        <v>11835721.330790475</v>
      </c>
      <c r="W117" s="202">
        <v>4803591.3536454737</v>
      </c>
      <c r="X117" s="202">
        <v>6858096.1729818583</v>
      </c>
      <c r="Y117" s="202">
        <v>2189789.1801495552</v>
      </c>
      <c r="Z117" s="202">
        <v>3920253.1384863853</v>
      </c>
    </row>
    <row r="118" spans="18:26" ht="15.75" customHeight="1">
      <c r="R118" s="129">
        <v>81</v>
      </c>
      <c r="S118" s="202">
        <v>6524822.656551376</v>
      </c>
      <c r="T118" s="202">
        <v>2614905.7809694707</v>
      </c>
      <c r="U118" s="202">
        <v>17086789.596141681</v>
      </c>
      <c r="V118" s="202">
        <v>6030488.668208465</v>
      </c>
      <c r="W118" s="202">
        <v>9942203.1484134793</v>
      </c>
      <c r="X118" s="202">
        <v>-1140471.296875298</v>
      </c>
      <c r="Y118" s="202">
        <v>1639316.3770960569</v>
      </c>
      <c r="Z118" s="202">
        <v>-1012783.8778626323</v>
      </c>
    </row>
    <row r="119" spans="18:26" ht="15.75" customHeight="1">
      <c r="R119" s="129">
        <v>82</v>
      </c>
      <c r="S119" s="202">
        <v>2915213.3422799855</v>
      </c>
      <c r="T119" s="202">
        <v>11841880.138421059</v>
      </c>
      <c r="U119" s="202">
        <v>5384406.2941552103</v>
      </c>
      <c r="V119" s="202">
        <v>14446332.994584605</v>
      </c>
      <c r="W119" s="202">
        <v>6813277.9404226393</v>
      </c>
      <c r="X119" s="202">
        <v>6537268.7157379687</v>
      </c>
      <c r="Y119" s="202">
        <v>15064606.029860884</v>
      </c>
      <c r="Z119" s="202">
        <v>-5170336.7997856438</v>
      </c>
    </row>
    <row r="120" spans="18:26" ht="15.75" customHeight="1">
      <c r="R120" s="129">
        <v>83</v>
      </c>
      <c r="S120" s="202">
        <v>10700632.393657058</v>
      </c>
      <c r="T120" s="202">
        <v>7399186.4778915346</v>
      </c>
      <c r="U120" s="202">
        <v>-10105716.205080375</v>
      </c>
      <c r="V120" s="202">
        <v>16304832.648668617</v>
      </c>
      <c r="W120" s="202">
        <v>16128129.566884398</v>
      </c>
      <c r="X120" s="202">
        <v>3002700.2077725232</v>
      </c>
      <c r="Y120" s="202">
        <v>2626816.5616241097</v>
      </c>
      <c r="Z120" s="202">
        <v>-10703380.392846406</v>
      </c>
    </row>
    <row r="121" spans="18:26" ht="15.75" customHeight="1">
      <c r="R121" s="129">
        <v>84</v>
      </c>
      <c r="S121" s="202">
        <v>13466496.127534717</v>
      </c>
      <c r="T121" s="202">
        <v>4147995.0911187381</v>
      </c>
      <c r="U121" s="202">
        <v>9543634.3463507295</v>
      </c>
      <c r="V121" s="202">
        <v>4199370.3129021227</v>
      </c>
      <c r="W121" s="202">
        <v>1252275.0348688513</v>
      </c>
      <c r="X121" s="202">
        <v>13685773.808648825</v>
      </c>
      <c r="Y121" s="202">
        <v>79353.717626392841</v>
      </c>
      <c r="Z121" s="202">
        <v>-4715149.837223351</v>
      </c>
    </row>
    <row r="122" spans="18:26" ht="15.75" customHeight="1">
      <c r="R122" s="129">
        <v>85</v>
      </c>
      <c r="S122" s="202">
        <v>10322303.756394595</v>
      </c>
      <c r="T122" s="202">
        <v>1195271.0369957387</v>
      </c>
      <c r="U122" s="202">
        <v>8850039.8146945089</v>
      </c>
      <c r="V122" s="202">
        <v>-4665718.179594636</v>
      </c>
      <c r="W122" s="202">
        <v>-130531.3742467165</v>
      </c>
      <c r="X122" s="202">
        <v>17596807.974687189</v>
      </c>
      <c r="Y122" s="202">
        <v>-2149446.5174943358</v>
      </c>
      <c r="Z122" s="202">
        <v>13662262.3693102</v>
      </c>
    </row>
    <row r="123" spans="18:26" ht="15.75" customHeight="1">
      <c r="R123" s="129">
        <v>86</v>
      </c>
      <c r="S123" s="202">
        <v>12732967.098585725</v>
      </c>
      <c r="T123" s="202">
        <v>15090222.6140742</v>
      </c>
      <c r="U123" s="202">
        <v>2244472.5582396686</v>
      </c>
      <c r="V123" s="202">
        <v>9092756.2998444736</v>
      </c>
      <c r="W123" s="202">
        <v>-6306810.1999452263</v>
      </c>
      <c r="X123" s="202">
        <v>3264727.9560340345</v>
      </c>
      <c r="Y123" s="202">
        <v>3989964.7411107868</v>
      </c>
      <c r="Z123" s="202">
        <v>9984185.3160412312</v>
      </c>
    </row>
    <row r="124" spans="18:26" ht="15.75" customHeight="1">
      <c r="R124" s="129">
        <v>87</v>
      </c>
      <c r="S124" s="202">
        <v>11484707.354105175</v>
      </c>
      <c r="T124" s="202">
        <v>9971300.3609552681</v>
      </c>
      <c r="U124" s="202">
        <v>7667094.9009626359</v>
      </c>
      <c r="V124" s="202">
        <v>13142166.616407841</v>
      </c>
      <c r="W124" s="202">
        <v>9695474.0403768122</v>
      </c>
      <c r="X124" s="202">
        <v>9563810.6552840173</v>
      </c>
      <c r="Y124" s="202">
        <v>-6645526.6447053701</v>
      </c>
      <c r="Z124" s="202">
        <v>-1958159.4534464478</v>
      </c>
    </row>
    <row r="125" spans="18:26" ht="15.75" customHeight="1">
      <c r="R125" s="129">
        <v>88</v>
      </c>
      <c r="S125" s="202">
        <v>8899211.3962604851</v>
      </c>
      <c r="T125" s="202">
        <v>14484263.794366688</v>
      </c>
      <c r="U125" s="202">
        <v>6946913.782008633</v>
      </c>
      <c r="V125" s="202">
        <v>13810013.645402476</v>
      </c>
      <c r="W125" s="202">
        <v>-2302861.3635261357</v>
      </c>
      <c r="X125" s="202">
        <v>9235756.0577168167</v>
      </c>
      <c r="Y125" s="202">
        <v>5722534.4501029253</v>
      </c>
      <c r="Z125" s="202">
        <v>9982204.5120901763</v>
      </c>
    </row>
    <row r="126" spans="18:26" ht="15.75" customHeight="1">
      <c r="R126" s="129">
        <v>89</v>
      </c>
      <c r="S126" s="202">
        <v>14412363.275767013</v>
      </c>
      <c r="T126" s="202">
        <v>9733589.6489435136</v>
      </c>
      <c r="U126" s="202">
        <v>4543414.8613307327</v>
      </c>
      <c r="V126" s="202">
        <v>-1318771.2310965359</v>
      </c>
      <c r="W126" s="202">
        <v>13719709.657063067</v>
      </c>
      <c r="X126" s="202">
        <v>527432.93504996598</v>
      </c>
      <c r="Y126" s="202">
        <v>3309001.1928219497</v>
      </c>
      <c r="Z126" s="202">
        <v>-305652.6198091507</v>
      </c>
    </row>
    <row r="127" spans="18:26" ht="15.75" customHeight="1">
      <c r="R127" s="129">
        <v>90</v>
      </c>
      <c r="S127" s="202">
        <v>7205392.8583648503</v>
      </c>
      <c r="T127" s="202">
        <v>8862312.4451331943</v>
      </c>
      <c r="U127" s="202">
        <v>5917512.7203999162</v>
      </c>
      <c r="V127" s="202">
        <v>8914846.389782086</v>
      </c>
      <c r="W127" s="202">
        <v>-6849330.3529798537</v>
      </c>
      <c r="X127" s="202">
        <v>9038624.1332391649</v>
      </c>
      <c r="Y127" s="202">
        <v>15438594.019634485</v>
      </c>
      <c r="Z127" s="202">
        <v>4650817.2691170871</v>
      </c>
    </row>
    <row r="128" spans="18:26" ht="15.75" customHeight="1">
      <c r="R128" s="129">
        <v>91</v>
      </c>
      <c r="S128" s="202">
        <v>7220805.4098480791</v>
      </c>
      <c r="T128" s="202">
        <v>3554796.2613506317</v>
      </c>
      <c r="U128" s="202">
        <v>11801947.289757341</v>
      </c>
      <c r="V128" s="202">
        <v>-6390138.8326150626</v>
      </c>
      <c r="W128" s="202">
        <v>2235437.5363641083</v>
      </c>
      <c r="X128" s="202">
        <v>8888815.7953594327</v>
      </c>
      <c r="Y128" s="202">
        <v>1451877.9573826343</v>
      </c>
      <c r="Z128" s="202">
        <v>3323309.098546207</v>
      </c>
    </row>
    <row r="129" spans="18:26" ht="15.75" customHeight="1">
      <c r="R129" s="129">
        <v>92</v>
      </c>
      <c r="S129" s="202">
        <v>3402252.8157818615</v>
      </c>
      <c r="T129" s="202">
        <v>6158840.565077439</v>
      </c>
      <c r="U129" s="202">
        <v>17166440.318909109</v>
      </c>
      <c r="V129" s="202">
        <v>10882533.610101894</v>
      </c>
      <c r="W129" s="202">
        <v>4067123.9819552302</v>
      </c>
      <c r="X129" s="202">
        <v>-2276027.5433832258</v>
      </c>
      <c r="Y129" s="202">
        <v>5380276.8903988898</v>
      </c>
      <c r="Z129" s="202">
        <v>4375705.9666071534</v>
      </c>
    </row>
    <row r="130" spans="18:26" ht="15.75" customHeight="1">
      <c r="R130" s="129">
        <v>93</v>
      </c>
      <c r="S130" s="202">
        <v>19453796.129198372</v>
      </c>
      <c r="T130" s="202">
        <v>13176270.848983988</v>
      </c>
      <c r="U130" s="202">
        <v>5430218.7546764612</v>
      </c>
      <c r="V130" s="202">
        <v>-13091485.655775473</v>
      </c>
      <c r="W130" s="202">
        <v>5283969.6923755109</v>
      </c>
      <c r="X130" s="202">
        <v>6041715.4509534836</v>
      </c>
      <c r="Y130" s="202">
        <v>4735230.6686740667</v>
      </c>
      <c r="Z130" s="202">
        <v>-5063988.8930222988</v>
      </c>
    </row>
    <row r="131" spans="18:26" ht="15.75" customHeight="1">
      <c r="R131" s="129">
        <v>94</v>
      </c>
      <c r="S131" s="202">
        <v>-7076355.3754514158</v>
      </c>
      <c r="T131" s="202">
        <v>3727566.7147405446</v>
      </c>
      <c r="U131" s="202">
        <v>3386800.3379607946</v>
      </c>
      <c r="V131" s="202">
        <v>3296858.7676563859</v>
      </c>
      <c r="W131" s="202">
        <v>5954373.9206184149</v>
      </c>
      <c r="X131" s="202">
        <v>11827621.301649556</v>
      </c>
      <c r="Y131" s="202">
        <v>-1098755.4532207251</v>
      </c>
      <c r="Z131" s="202">
        <v>-1809891.8101031184</v>
      </c>
    </row>
    <row r="132" spans="18:26" ht="15.75" customHeight="1">
      <c r="R132" s="129">
        <v>95</v>
      </c>
      <c r="S132" s="202">
        <v>2456924.3035209924</v>
      </c>
      <c r="T132" s="202">
        <v>11758761.42407912</v>
      </c>
      <c r="U132" s="202">
        <v>3638294.3595093042</v>
      </c>
      <c r="V132" s="202">
        <v>6981883.3046435863</v>
      </c>
      <c r="W132" s="202">
        <v>9554251.1297953725</v>
      </c>
      <c r="X132" s="202">
        <v>8195177.0646539032</v>
      </c>
      <c r="Y132" s="202">
        <v>3877652.285906747</v>
      </c>
      <c r="Z132" s="202">
        <v>-864964.91078054905</v>
      </c>
    </row>
    <row r="133" spans="18:26" ht="15.75" customHeight="1">
      <c r="R133" s="129">
        <v>96</v>
      </c>
      <c r="S133" s="202">
        <v>4474652.3046350181</v>
      </c>
      <c r="T133" s="202">
        <v>5974393.9082098752</v>
      </c>
      <c r="U133" s="202">
        <v>-2208887.9021786749</v>
      </c>
      <c r="V133" s="202">
        <v>-3979619.930239886</v>
      </c>
      <c r="W133" s="202">
        <v>3427923.2951874733</v>
      </c>
      <c r="X133" s="202">
        <v>3489704.0467730165</v>
      </c>
      <c r="Y133" s="202">
        <v>7600146.2188581079</v>
      </c>
      <c r="Z133" s="202">
        <v>8460007.3879944086</v>
      </c>
    </row>
    <row r="134" spans="18:26" ht="15.75" customHeight="1">
      <c r="R134" s="129">
        <v>97</v>
      </c>
      <c r="S134" s="202">
        <v>7766764.473985821</v>
      </c>
      <c r="T134" s="202">
        <v>7147709.021890983</v>
      </c>
      <c r="U134" s="202">
        <v>5106827.4836342931</v>
      </c>
      <c r="V134" s="202">
        <v>2307698.9864248484</v>
      </c>
      <c r="W134" s="202">
        <v>1603442.926319018</v>
      </c>
      <c r="X134" s="202">
        <v>2723872.3084008396</v>
      </c>
      <c r="Y134" s="202">
        <v>11847577.976213962</v>
      </c>
      <c r="Z134" s="202">
        <v>-5213678.8430269659</v>
      </c>
    </row>
    <row r="135" spans="18:26" ht="15.75" customHeight="1">
      <c r="R135" s="129">
        <v>98</v>
      </c>
      <c r="S135" s="202">
        <v>3684442.614523828</v>
      </c>
      <c r="T135" s="202">
        <v>7276480.2199033797</v>
      </c>
      <c r="U135" s="202">
        <v>8851043.1645742357</v>
      </c>
      <c r="V135" s="202">
        <v>7298247.5295753032</v>
      </c>
      <c r="W135" s="202">
        <v>13678382.598048225</v>
      </c>
      <c r="X135" s="202">
        <v>5318771.0430771261</v>
      </c>
      <c r="Y135" s="202">
        <v>430871.94499772787</v>
      </c>
      <c r="Z135" s="202">
        <v>-222533.66679918766</v>
      </c>
    </row>
    <row r="136" spans="18:26" ht="15.75" customHeight="1">
      <c r="R136" s="129">
        <v>99</v>
      </c>
      <c r="S136" s="202">
        <v>5569486.5115303397</v>
      </c>
      <c r="T136" s="202">
        <v>13356572.617864192</v>
      </c>
      <c r="U136" s="202">
        <v>-2783652.7702857256</v>
      </c>
      <c r="V136" s="202">
        <v>7969889.2873397171</v>
      </c>
      <c r="W136" s="202">
        <v>111943.8753015548</v>
      </c>
      <c r="X136" s="202">
        <v>1687978.9546740353</v>
      </c>
      <c r="Y136" s="202">
        <v>10401309.637347221</v>
      </c>
      <c r="Z136" s="202">
        <v>-5147512.534599781</v>
      </c>
    </row>
    <row r="137" spans="18:26" ht="15.75" customHeight="1">
      <c r="R137" s="129">
        <v>100</v>
      </c>
      <c r="S137" s="202">
        <v>12831570.124146372</v>
      </c>
      <c r="T137" s="202">
        <v>8856722.7241498232</v>
      </c>
      <c r="U137" s="202">
        <v>2846147.4339381009</v>
      </c>
      <c r="V137" s="202">
        <v>4880279.2673595548</v>
      </c>
      <c r="W137" s="202">
        <v>12278443.638569385</v>
      </c>
      <c r="X137" s="202">
        <v>-3858971.1639793962</v>
      </c>
      <c r="Y137" s="202">
        <v>-1528837.5940177441</v>
      </c>
      <c r="Z137" s="202">
        <v>4490267.1851433814</v>
      </c>
    </row>
    <row r="138" spans="18:26" ht="15.75" customHeight="1">
      <c r="R138" s="129">
        <v>101</v>
      </c>
      <c r="S138" s="202">
        <v>-1630447.7920649201</v>
      </c>
      <c r="T138" s="202">
        <v>15125941.032987267</v>
      </c>
      <c r="U138" s="202">
        <v>2274691.7159285247</v>
      </c>
      <c r="V138" s="202">
        <v>9292002.8833793849</v>
      </c>
      <c r="W138" s="202">
        <v>-738564.48064036667</v>
      </c>
      <c r="X138" s="202">
        <v>-2468530.7220305949</v>
      </c>
      <c r="Y138" s="202">
        <v>-1856694.4167556912</v>
      </c>
      <c r="Z138" s="202">
        <v>89683.488638550043</v>
      </c>
    </row>
    <row r="139" spans="18:26" ht="15.75" customHeight="1">
      <c r="R139" s="129">
        <v>102</v>
      </c>
      <c r="S139" s="202">
        <v>6499688.2063499689</v>
      </c>
      <c r="T139" s="202">
        <v>8519844.3759245276</v>
      </c>
      <c r="U139" s="202">
        <v>7939008.1723479331</v>
      </c>
      <c r="V139" s="202">
        <v>10982642.411606461</v>
      </c>
      <c r="W139" s="202">
        <v>18604070.610348016</v>
      </c>
      <c r="X139" s="202">
        <v>-2312643.1401900649</v>
      </c>
      <c r="Y139" s="202">
        <v>-282980.39329390228</v>
      </c>
      <c r="Z139" s="202">
        <v>-5153458.3013194054</v>
      </c>
    </row>
    <row r="140" spans="18:26" ht="15.75" customHeight="1">
      <c r="R140" s="129">
        <v>103</v>
      </c>
      <c r="S140" s="202">
        <v>7025675.1464101821</v>
      </c>
      <c r="T140" s="202">
        <v>4145861.9950952828</v>
      </c>
      <c r="U140" s="202">
        <v>-4864191.3325389624</v>
      </c>
      <c r="V140" s="202">
        <v>-2796066.1291406304</v>
      </c>
      <c r="W140" s="202">
        <v>9523566.6213314086</v>
      </c>
      <c r="X140" s="202">
        <v>5274024.5897595286</v>
      </c>
      <c r="Y140" s="202">
        <v>8899497.5775031149</v>
      </c>
      <c r="Z140" s="202">
        <v>298212.47147831321</v>
      </c>
    </row>
    <row r="141" spans="18:26" ht="15.75" customHeight="1">
      <c r="R141" s="129">
        <v>104</v>
      </c>
      <c r="S141" s="202">
        <v>19524161.794729263</v>
      </c>
      <c r="T141" s="202">
        <v>3965824.9668595791</v>
      </c>
      <c r="U141" s="202">
        <v>6620523.0412777513</v>
      </c>
      <c r="V141" s="202">
        <v>4034409.9440382272</v>
      </c>
      <c r="W141" s="202">
        <v>2866798.995537892</v>
      </c>
      <c r="X141" s="202">
        <v>-890215.0112003237</v>
      </c>
      <c r="Y141" s="202">
        <v>-5237834.9300044328</v>
      </c>
      <c r="Z141" s="202">
        <v>12570967.20895195</v>
      </c>
    </row>
    <row r="142" spans="18:26" ht="15.75" customHeight="1">
      <c r="R142" s="129">
        <v>105</v>
      </c>
      <c r="S142" s="202">
        <v>6714629.2137824595</v>
      </c>
      <c r="T142" s="202">
        <v>3815424.9094246328</v>
      </c>
      <c r="U142" s="202">
        <v>10793493.412220925</v>
      </c>
      <c r="V142" s="202">
        <v>10798466.696969703</v>
      </c>
      <c r="W142" s="202">
        <v>8154569.7322374284</v>
      </c>
      <c r="X142" s="202">
        <v>3587093.3111687303</v>
      </c>
      <c r="Y142" s="202">
        <v>5822851.990592435</v>
      </c>
      <c r="Z142" s="202">
        <v>-7581805.3081595898</v>
      </c>
    </row>
    <row r="143" spans="18:26" ht="15.75" customHeight="1">
      <c r="R143" s="129">
        <v>106</v>
      </c>
      <c r="S143" s="202">
        <v>14513513.485704556</v>
      </c>
      <c r="T143" s="202">
        <v>10179361.35995172</v>
      </c>
      <c r="U143" s="202">
        <v>10691474.829277962</v>
      </c>
      <c r="V143" s="202">
        <v>13868260.646469831</v>
      </c>
      <c r="W143" s="202">
        <v>-1675141.0771111846</v>
      </c>
      <c r="X143" s="202">
        <v>-1065434.7110398859</v>
      </c>
      <c r="Y143" s="202">
        <v>3690784.3383314013</v>
      </c>
      <c r="Z143" s="202">
        <v>5516535.8938131332</v>
      </c>
    </row>
    <row r="144" spans="18:26" ht="15.75" customHeight="1">
      <c r="R144" s="129">
        <v>107</v>
      </c>
      <c r="S144" s="202">
        <v>13003471.025926143</v>
      </c>
      <c r="T144" s="202">
        <v>8546340.0041188598</v>
      </c>
      <c r="U144" s="202">
        <v>2967973.2571940869</v>
      </c>
      <c r="V144" s="202">
        <v>14732179.768522486</v>
      </c>
      <c r="W144" s="202">
        <v>9117457.6200513095</v>
      </c>
      <c r="X144" s="202">
        <v>398325.05100433528</v>
      </c>
      <c r="Y144" s="202">
        <v>-1439127.2239704132</v>
      </c>
      <c r="Z144" s="202">
        <v>9041340.2576428801</v>
      </c>
    </row>
    <row r="145" spans="18:26" ht="15.75" customHeight="1">
      <c r="R145" s="129">
        <v>108</v>
      </c>
      <c r="S145" s="202">
        <v>5947506.5249105692</v>
      </c>
      <c r="T145" s="202">
        <v>12433316.204533994</v>
      </c>
      <c r="U145" s="202">
        <v>20485903.012549952</v>
      </c>
      <c r="V145" s="202">
        <v>9036284.0734342337</v>
      </c>
      <c r="W145" s="202">
        <v>14781095.530154929</v>
      </c>
      <c r="X145" s="202">
        <v>7412090.1322588623</v>
      </c>
      <c r="Y145" s="202">
        <v>2620058.238104254</v>
      </c>
      <c r="Z145" s="202">
        <v>226545.71681188047</v>
      </c>
    </row>
    <row r="146" spans="18:26" ht="15.75" customHeight="1">
      <c r="R146" s="129">
        <v>109</v>
      </c>
      <c r="S146" s="202">
        <v>12693615.864699006</v>
      </c>
      <c r="T146" s="202">
        <v>15394773.049861848</v>
      </c>
      <c r="U146" s="202">
        <v>7237199.5208921134</v>
      </c>
      <c r="V146" s="202">
        <v>9965039.2466230392</v>
      </c>
      <c r="W146" s="202">
        <v>1945180.7024347782</v>
      </c>
      <c r="X146" s="202">
        <v>-7657122.5599089861</v>
      </c>
      <c r="Y146" s="202">
        <v>1347565.7573481053</v>
      </c>
      <c r="Z146" s="202">
        <v>-6250977.3745092303</v>
      </c>
    </row>
    <row r="147" spans="18:26" ht="15.75" customHeight="1">
      <c r="R147" s="129">
        <v>110</v>
      </c>
      <c r="S147" s="202">
        <v>7368602.306881398</v>
      </c>
      <c r="T147" s="202">
        <v>-5499750.1954937577</v>
      </c>
      <c r="U147" s="202">
        <v>9173900.0947751701</v>
      </c>
      <c r="V147" s="202">
        <v>7651882.0366130769</v>
      </c>
      <c r="W147" s="202">
        <v>9889487.859873265</v>
      </c>
      <c r="X147" s="202">
        <v>9640190.3548224121</v>
      </c>
      <c r="Y147" s="202">
        <v>-598785.56306572258</v>
      </c>
      <c r="Z147" s="202">
        <v>-8734632.9254022688</v>
      </c>
    </row>
    <row r="148" spans="18:26" ht="15.75" customHeight="1">
      <c r="R148" s="129">
        <v>111</v>
      </c>
      <c r="S148" s="202">
        <v>13288556.084888011</v>
      </c>
      <c r="T148" s="202">
        <v>12011433.845607132</v>
      </c>
      <c r="U148" s="202">
        <v>-1627506.9416998178</v>
      </c>
      <c r="V148" s="202">
        <v>-4913550.8384573907</v>
      </c>
      <c r="W148" s="202">
        <v>15333816.593388647</v>
      </c>
      <c r="X148" s="202">
        <v>4656053.792406112</v>
      </c>
      <c r="Y148" s="202">
        <v>1668945.884036094</v>
      </c>
      <c r="Z148" s="202">
        <v>2498229.6010845602</v>
      </c>
    </row>
    <row r="149" spans="18:26" ht="15.75" customHeight="1">
      <c r="R149" s="129">
        <v>112</v>
      </c>
      <c r="S149" s="202">
        <v>8307483.2795771807</v>
      </c>
      <c r="T149" s="202">
        <v>1981565.7735516429</v>
      </c>
      <c r="U149" s="202">
        <v>1411151.6569572389</v>
      </c>
      <c r="V149" s="202">
        <v>12300655.505831242</v>
      </c>
      <c r="W149" s="202">
        <v>-968877.84367118776</v>
      </c>
      <c r="X149" s="202">
        <v>6405999.8561845869</v>
      </c>
      <c r="Y149" s="202">
        <v>9572926.453826189</v>
      </c>
      <c r="Z149" s="202">
        <v>-2383765.5988296866</v>
      </c>
    </row>
    <row r="150" spans="18:26" ht="15.75" customHeight="1">
      <c r="R150" s="129">
        <v>113</v>
      </c>
      <c r="S150" s="202">
        <v>10850333.091661841</v>
      </c>
      <c r="T150" s="202">
        <v>11610320.827578604</v>
      </c>
      <c r="U150" s="202">
        <v>7279786.128395468</v>
      </c>
      <c r="V150" s="202">
        <v>983610.76008243859</v>
      </c>
      <c r="W150" s="202">
        <v>-8606698.9406971633</v>
      </c>
      <c r="X150" s="202">
        <v>2297648.3673590273</v>
      </c>
      <c r="Y150" s="202">
        <v>552252.15488263965</v>
      </c>
      <c r="Z150" s="202">
        <v>-7523671.8587207198</v>
      </c>
    </row>
    <row r="151" spans="18:26" ht="15.75" customHeight="1">
      <c r="R151" s="129">
        <v>114</v>
      </c>
      <c r="S151" s="202">
        <v>-579094.47194717824</v>
      </c>
      <c r="T151" s="202">
        <v>11192688.906782925</v>
      </c>
      <c r="U151" s="202">
        <v>4403046.1237583458</v>
      </c>
      <c r="V151" s="202">
        <v>4370999.3694663048</v>
      </c>
      <c r="W151" s="202">
        <v>3485120.0294949114</v>
      </c>
      <c r="X151" s="202">
        <v>260589.33546601236</v>
      </c>
      <c r="Y151" s="202">
        <v>1893258.4744805694</v>
      </c>
      <c r="Z151" s="202">
        <v>7502220.4812082946</v>
      </c>
    </row>
    <row r="152" spans="18:26" ht="15.75" customHeight="1">
      <c r="R152" s="129">
        <v>115</v>
      </c>
      <c r="S152" s="202">
        <v>16474599.197102278</v>
      </c>
      <c r="T152" s="202">
        <v>21441061.666314289</v>
      </c>
      <c r="U152" s="202">
        <v>11484321.855417803</v>
      </c>
      <c r="V152" s="202">
        <v>1597961.8977155536</v>
      </c>
      <c r="W152" s="202">
        <v>9580605.7434383631</v>
      </c>
      <c r="X152" s="202">
        <v>3766716.3844841868</v>
      </c>
      <c r="Y152" s="202">
        <v>-963741.54663214087</v>
      </c>
      <c r="Z152" s="202">
        <v>11850976.616173536</v>
      </c>
    </row>
    <row r="153" spans="18:26" ht="15.75" customHeight="1">
      <c r="R153" s="129">
        <v>116</v>
      </c>
      <c r="S153" s="202">
        <v>3240257.2394886166</v>
      </c>
      <c r="T153" s="202">
        <v>6637311.9604709744</v>
      </c>
      <c r="U153" s="202">
        <v>4775635.494902432</v>
      </c>
      <c r="V153" s="202">
        <v>10443639.423776925</v>
      </c>
      <c r="W153" s="202">
        <v>-964419.28170803189</v>
      </c>
      <c r="X153" s="202">
        <v>12957416.926018625</v>
      </c>
      <c r="Y153" s="202">
        <v>608279.65562582016</v>
      </c>
      <c r="Z153" s="202">
        <v>-3187874.2609950006</v>
      </c>
    </row>
    <row r="154" spans="18:26" ht="15.75" customHeight="1">
      <c r="R154" s="129">
        <v>117</v>
      </c>
      <c r="S154" s="202">
        <v>1826476.949570924</v>
      </c>
      <c r="T154" s="202">
        <v>5553771.4558802694</v>
      </c>
      <c r="U154" s="202">
        <v>2206040.6462936103</v>
      </c>
      <c r="V154" s="202">
        <v>9898745.6090659201</v>
      </c>
      <c r="W154" s="202">
        <v>4533378.1702380776</v>
      </c>
      <c r="X154" s="202">
        <v>5246240.8798672408</v>
      </c>
      <c r="Y154" s="202">
        <v>-1217278.2781831324</v>
      </c>
      <c r="Z154" s="202">
        <v>6552911.1185716242</v>
      </c>
    </row>
    <row r="155" spans="18:26" ht="15.75" customHeight="1">
      <c r="R155" s="129">
        <v>118</v>
      </c>
      <c r="S155" s="202">
        <v>8130821.2282585502</v>
      </c>
      <c r="T155" s="202">
        <v>3906064.5373470485</v>
      </c>
      <c r="U155" s="202">
        <v>2150327.8769071251</v>
      </c>
      <c r="V155" s="202">
        <v>8425479.5714788139</v>
      </c>
      <c r="W155" s="202">
        <v>7514562.5128655136</v>
      </c>
      <c r="X155" s="202">
        <v>9253104.2960219681</v>
      </c>
      <c r="Y155" s="202">
        <v>-1947783.7939184457</v>
      </c>
      <c r="Z155" s="202">
        <v>-1525754.7817286849</v>
      </c>
    </row>
    <row r="156" spans="18:26" ht="15.75" customHeight="1">
      <c r="R156" s="129">
        <v>119</v>
      </c>
      <c r="S156" s="202">
        <v>8363366.6440844983</v>
      </c>
      <c r="T156" s="202">
        <v>9697385.8988648653</v>
      </c>
      <c r="U156" s="202">
        <v>12465431.263791233</v>
      </c>
      <c r="V156" s="202">
        <v>604700.90523457527</v>
      </c>
      <c r="W156" s="202">
        <v>5756269.7482165694</v>
      </c>
      <c r="X156" s="202">
        <v>6423613.2196364403</v>
      </c>
      <c r="Y156" s="202">
        <v>-4972944.682359755</v>
      </c>
      <c r="Z156" s="202">
        <v>3187723.0274475813</v>
      </c>
    </row>
    <row r="157" spans="18:26" ht="15.75" customHeight="1">
      <c r="R157" s="129">
        <v>120</v>
      </c>
      <c r="S157" s="202">
        <v>16062621.869598866</v>
      </c>
      <c r="T157" s="202">
        <v>11307964.42016615</v>
      </c>
      <c r="U157" s="202">
        <v>15448841.391703635</v>
      </c>
      <c r="V157" s="202">
        <v>10422084.245131433</v>
      </c>
      <c r="W157" s="202">
        <v>9713186.8980200887</v>
      </c>
      <c r="X157" s="202">
        <v>8266220.3267582953</v>
      </c>
      <c r="Y157" s="202">
        <v>9513137.0202121735</v>
      </c>
      <c r="Z157" s="202">
        <v>-1201765.9519320875</v>
      </c>
    </row>
    <row r="158" spans="18:26" ht="15.75" customHeight="1">
      <c r="R158" s="129">
        <v>121</v>
      </c>
      <c r="S158" s="202">
        <v>15154065.032057539</v>
      </c>
      <c r="T158" s="202">
        <v>8547227.5659649819</v>
      </c>
      <c r="U158" s="202">
        <v>9735085.1081628799</v>
      </c>
      <c r="V158" s="202">
        <v>-1991440.6557475477</v>
      </c>
      <c r="W158" s="202">
        <v>196432.75672021508</v>
      </c>
      <c r="X158" s="202">
        <v>2049938.0737702996</v>
      </c>
      <c r="Y158" s="202">
        <v>396557.56539776921</v>
      </c>
      <c r="Z158" s="202">
        <v>-691823.84753194451</v>
      </c>
    </row>
    <row r="159" spans="18:26" ht="15.75" customHeight="1">
      <c r="R159" s="129">
        <v>122</v>
      </c>
      <c r="S159" s="202">
        <v>3035667.477373302</v>
      </c>
      <c r="T159" s="202">
        <v>-3858370.7958910167</v>
      </c>
      <c r="U159" s="202">
        <v>1817076.5988334715</v>
      </c>
      <c r="V159" s="202">
        <v>12117739.222275659</v>
      </c>
      <c r="W159" s="202">
        <v>4463004.6667182148</v>
      </c>
      <c r="X159" s="202">
        <v>-5945300.0649850368</v>
      </c>
      <c r="Y159" s="202">
        <v>4874125.5079611242</v>
      </c>
      <c r="Z159" s="202">
        <v>3929394.9836532176</v>
      </c>
    </row>
    <row r="160" spans="18:26" ht="15.75" customHeight="1">
      <c r="R160" s="129">
        <v>123</v>
      </c>
      <c r="S160" s="202">
        <v>2574506.2433395386</v>
      </c>
      <c r="T160" s="202">
        <v>8358848.3943511546</v>
      </c>
      <c r="U160" s="202">
        <v>1223329.3542916179</v>
      </c>
      <c r="V160" s="202">
        <v>-533226.61125075817</v>
      </c>
      <c r="W160" s="202">
        <v>6175475.5540190339</v>
      </c>
      <c r="X160" s="202">
        <v>-5113373.626060605</v>
      </c>
      <c r="Y160" s="202">
        <v>1781419.6198754907</v>
      </c>
      <c r="Z160" s="202">
        <v>7800447.688793689</v>
      </c>
    </row>
    <row r="161" spans="18:26" ht="15.75" customHeight="1">
      <c r="R161" s="129">
        <v>124</v>
      </c>
      <c r="S161" s="202">
        <v>5692531.1331883073</v>
      </c>
      <c r="T161" s="202">
        <v>4881907.9998786598</v>
      </c>
      <c r="U161" s="202">
        <v>7683337.3644111454</v>
      </c>
      <c r="V161" s="202">
        <v>530347.56967644393</v>
      </c>
      <c r="W161" s="202">
        <v>9294696.1849615723</v>
      </c>
      <c r="X161" s="202">
        <v>6174449.4022238106</v>
      </c>
      <c r="Y161" s="202">
        <v>9164949.9360033572</v>
      </c>
      <c r="Z161" s="202">
        <v>-2941957.6754955202</v>
      </c>
    </row>
    <row r="162" spans="18:26" ht="15.75" customHeight="1">
      <c r="R162" s="129">
        <v>125</v>
      </c>
      <c r="S162" s="202">
        <v>5142781.7622608244</v>
      </c>
      <c r="T162" s="202">
        <v>-2307357.3718479872</v>
      </c>
      <c r="U162" s="202">
        <v>2624685.8872020394</v>
      </c>
      <c r="V162" s="202">
        <v>10433290.903797895</v>
      </c>
      <c r="W162" s="202">
        <v>6111589.6389310062</v>
      </c>
      <c r="X162" s="202">
        <v>4600704.7374398708</v>
      </c>
      <c r="Y162" s="202">
        <v>-410909.63623942435</v>
      </c>
      <c r="Z162" s="202">
        <v>-1911332.7050476372</v>
      </c>
    </row>
    <row r="163" spans="18:26" ht="15.75" customHeight="1">
      <c r="R163" s="129">
        <v>126</v>
      </c>
      <c r="S163" s="202">
        <v>11583354.443324134</v>
      </c>
      <c r="T163" s="202">
        <v>8027418.0620792657</v>
      </c>
      <c r="U163" s="202">
        <v>5913866.095013082</v>
      </c>
      <c r="V163" s="202">
        <v>-2779721.2497761399</v>
      </c>
      <c r="W163" s="202">
        <v>7899860.6906738877</v>
      </c>
      <c r="X163" s="202">
        <v>8112296.2284918129</v>
      </c>
      <c r="Y163" s="202">
        <v>-721458.55550301075</v>
      </c>
      <c r="Z163" s="202">
        <v>-3589355.2165162116</v>
      </c>
    </row>
    <row r="164" spans="18:26" ht="15.75" customHeight="1">
      <c r="R164" s="129">
        <v>127</v>
      </c>
      <c r="S164" s="202">
        <v>-1938738.9596289098</v>
      </c>
      <c r="T164" s="202">
        <v>9910753.7577650398</v>
      </c>
      <c r="U164" s="202">
        <v>4517105.6215620637</v>
      </c>
      <c r="V164" s="202">
        <v>8516519.1783983111</v>
      </c>
      <c r="W164" s="202">
        <v>12337643.969167635</v>
      </c>
      <c r="X164" s="202">
        <v>-304401.90490759909</v>
      </c>
      <c r="Y164" s="202">
        <v>-10269022.673363701</v>
      </c>
      <c r="Z164" s="202">
        <v>-567429.22373941541</v>
      </c>
    </row>
    <row r="165" spans="18:26" ht="15.75" customHeight="1">
      <c r="R165" s="129">
        <v>128</v>
      </c>
      <c r="S165" s="202">
        <v>10072520.478270516</v>
      </c>
      <c r="T165" s="202">
        <v>2411711.0011367798</v>
      </c>
      <c r="U165" s="202">
        <v>5807885.2515125126</v>
      </c>
      <c r="V165" s="202">
        <v>8434294.9872336984</v>
      </c>
      <c r="W165" s="202">
        <v>4586847.8333422244</v>
      </c>
      <c r="X165" s="202">
        <v>8822721.7356726229</v>
      </c>
      <c r="Y165" s="202">
        <v>12037856.130542725</v>
      </c>
      <c r="Z165" s="202">
        <v>1603244.9989694506</v>
      </c>
    </row>
    <row r="166" spans="18:26" ht="15.75" customHeight="1">
      <c r="R166" s="129">
        <v>129</v>
      </c>
      <c r="S166" s="202">
        <v>1255916.0134900808</v>
      </c>
      <c r="T166" s="202">
        <v>14911081.581916958</v>
      </c>
      <c r="U166" s="202">
        <v>13200984.811499894</v>
      </c>
      <c r="V166" s="202">
        <v>-2034195.4497623593</v>
      </c>
      <c r="W166" s="202">
        <v>16445907.592305675</v>
      </c>
      <c r="X166" s="202">
        <v>-6997866.7466571033</v>
      </c>
      <c r="Y166" s="202">
        <v>1186743.6207642853</v>
      </c>
      <c r="Z166" s="202">
        <v>4136235.2426406145</v>
      </c>
    </row>
    <row r="167" spans="18:26" ht="15.75" customHeight="1">
      <c r="R167" s="129">
        <v>130</v>
      </c>
      <c r="S167" s="202">
        <v>9921628.2030545473</v>
      </c>
      <c r="T167" s="202">
        <v>2738582.0072591305</v>
      </c>
      <c r="U167" s="202">
        <v>17712237.179633901</v>
      </c>
      <c r="V167" s="202">
        <v>7560128.6666488796</v>
      </c>
      <c r="W167" s="202">
        <v>-1925680.8580922782</v>
      </c>
      <c r="X167" s="202">
        <v>5646020.3975043446</v>
      </c>
      <c r="Y167" s="202">
        <v>-2663545.1788803339</v>
      </c>
      <c r="Z167" s="202">
        <v>14293876.728948817</v>
      </c>
    </row>
    <row r="168" spans="18:26" ht="15.75" customHeight="1">
      <c r="R168" s="129">
        <v>131</v>
      </c>
      <c r="S168" s="202">
        <v>8418504.9052394629</v>
      </c>
      <c r="T168" s="202">
        <v>8309089.1472492069</v>
      </c>
      <c r="U168" s="202">
        <v>1851883.3968793005</v>
      </c>
      <c r="V168" s="202">
        <v>1967730.1197531521</v>
      </c>
      <c r="W168" s="202">
        <v>4652808.6534578949</v>
      </c>
      <c r="X168" s="202">
        <v>10805939.997348487</v>
      </c>
      <c r="Y168" s="202">
        <v>277997.14571216702</v>
      </c>
      <c r="Z168" s="202">
        <v>-859295.33680078387</v>
      </c>
    </row>
    <row r="169" spans="18:26" ht="15.75" customHeight="1">
      <c r="R169" s="129">
        <v>132</v>
      </c>
      <c r="S169" s="202">
        <v>9438521.2983993292</v>
      </c>
      <c r="T169" s="202">
        <v>11172839.92939949</v>
      </c>
      <c r="U169" s="202">
        <v>6473694.244281128</v>
      </c>
      <c r="V169" s="202">
        <v>10110479.747198358</v>
      </c>
      <c r="W169" s="202">
        <v>11312623.679373026</v>
      </c>
      <c r="X169" s="202">
        <v>9029815.2768995613</v>
      </c>
      <c r="Y169" s="202">
        <v>7158999.2573262155</v>
      </c>
      <c r="Z169" s="202">
        <v>942217.07465526462</v>
      </c>
    </row>
    <row r="170" spans="18:26" ht="15.75" customHeight="1">
      <c r="R170" s="129">
        <v>133</v>
      </c>
      <c r="S170" s="202">
        <v>18378220.712714016</v>
      </c>
      <c r="T170" s="202">
        <v>-502062.97007195652</v>
      </c>
      <c r="U170" s="202">
        <v>11080574.645830631</v>
      </c>
      <c r="V170" s="202">
        <v>4090575.4445717931</v>
      </c>
      <c r="W170" s="202">
        <v>-2413757.5141805708</v>
      </c>
      <c r="X170" s="202">
        <v>-5073096.4425915927</v>
      </c>
      <c r="Y170" s="202">
        <v>3785200.9952864945</v>
      </c>
      <c r="Z170" s="202">
        <v>2851965.8463498354</v>
      </c>
    </row>
    <row r="171" spans="18:26" ht="15.75" customHeight="1">
      <c r="R171" s="129">
        <v>134</v>
      </c>
      <c r="S171" s="202">
        <v>2520809.2532071918</v>
      </c>
      <c r="T171" s="202">
        <v>7474693.6379063576</v>
      </c>
      <c r="U171" s="202">
        <v>6692572.9453021288</v>
      </c>
      <c r="V171" s="202">
        <v>538038.37576946616</v>
      </c>
      <c r="W171" s="202">
        <v>10471927.732316464</v>
      </c>
      <c r="X171" s="202">
        <v>9167479.4778185338</v>
      </c>
      <c r="Y171" s="202">
        <v>2538962.6762470752</v>
      </c>
      <c r="Z171" s="202">
        <v>-3501945.9357599318</v>
      </c>
    </row>
    <row r="172" spans="18:26" ht="15.75" customHeight="1">
      <c r="R172" s="129">
        <v>135</v>
      </c>
      <c r="S172" s="202">
        <v>5054575.7300409079</v>
      </c>
      <c r="T172" s="202">
        <v>12894294.161202252</v>
      </c>
      <c r="U172" s="202">
        <v>9258842.7188418508</v>
      </c>
      <c r="V172" s="202">
        <v>11045145.540987238</v>
      </c>
      <c r="W172" s="202">
        <v>5987118.1075044423</v>
      </c>
      <c r="X172" s="202">
        <v>2433637.654442668</v>
      </c>
      <c r="Y172" s="202">
        <v>-321231.96691338718</v>
      </c>
      <c r="Z172" s="202">
        <v>5257865.1897343099</v>
      </c>
    </row>
    <row r="173" spans="18:26" ht="15.75" customHeight="1">
      <c r="R173" s="129">
        <v>136</v>
      </c>
      <c r="S173" s="202">
        <v>6144580.6956470609</v>
      </c>
      <c r="T173" s="202">
        <v>14064847.198378384</v>
      </c>
      <c r="U173" s="202">
        <v>4740877.3769720197</v>
      </c>
      <c r="V173" s="202">
        <v>3414940.9972628355</v>
      </c>
      <c r="W173" s="202">
        <v>760621.25532922149</v>
      </c>
      <c r="X173" s="202">
        <v>2040440.9699216783</v>
      </c>
      <c r="Y173" s="202">
        <v>-4757307.887739867</v>
      </c>
      <c r="Z173" s="202">
        <v>-4276328.6137474179</v>
      </c>
    </row>
    <row r="174" spans="18:26" ht="15.75" customHeight="1">
      <c r="R174" s="129">
        <v>137</v>
      </c>
      <c r="S174" s="202">
        <v>5368348.0238803029</v>
      </c>
      <c r="T174" s="202">
        <v>13796585.442106694</v>
      </c>
      <c r="U174" s="202">
        <v>3379898.0447002649</v>
      </c>
      <c r="V174" s="202">
        <v>6125186.8459652662</v>
      </c>
      <c r="W174" s="202">
        <v>8676020.5275607109</v>
      </c>
      <c r="X174" s="202">
        <v>9262556.3600021601</v>
      </c>
      <c r="Y174" s="202">
        <v>1492401.0291761756</v>
      </c>
      <c r="Z174" s="202">
        <v>-566938.23060402274</v>
      </c>
    </row>
    <row r="175" spans="18:26" ht="15.75" customHeight="1">
      <c r="R175" s="129">
        <v>138</v>
      </c>
      <c r="S175" s="202">
        <v>-399212.67307274044</v>
      </c>
      <c r="T175" s="202">
        <v>15274741.924610794</v>
      </c>
      <c r="U175" s="202">
        <v>8809719.4677005112</v>
      </c>
      <c r="V175" s="202">
        <v>-2636971.0155973732</v>
      </c>
      <c r="W175" s="202">
        <v>11395476.632197514</v>
      </c>
      <c r="X175" s="202">
        <v>2154058.4650527984</v>
      </c>
      <c r="Y175" s="202">
        <v>-5957134.6266233325</v>
      </c>
      <c r="Z175" s="202">
        <v>7981828.3876066208</v>
      </c>
    </row>
    <row r="176" spans="18:26" ht="15.75" customHeight="1">
      <c r="R176" s="129">
        <v>139</v>
      </c>
      <c r="S176" s="202">
        <v>14229761.367006779</v>
      </c>
      <c r="T176" s="202">
        <v>8122989.0693680793</v>
      </c>
      <c r="U176" s="202">
        <v>3524854.6212679744</v>
      </c>
      <c r="V176" s="202">
        <v>1727809.9428316653</v>
      </c>
      <c r="W176" s="202">
        <v>2347421.9343678504</v>
      </c>
      <c r="X176" s="202">
        <v>-330384.77313688397</v>
      </c>
      <c r="Y176" s="202">
        <v>-4372075.567715466</v>
      </c>
      <c r="Z176" s="202">
        <v>11800622.086022422</v>
      </c>
    </row>
    <row r="177" spans="18:26" ht="15.75" customHeight="1">
      <c r="R177" s="129">
        <v>140</v>
      </c>
      <c r="S177" s="202">
        <v>17550917.854124501</v>
      </c>
      <c r="T177" s="202">
        <v>6319953.0314823687</v>
      </c>
      <c r="U177" s="202">
        <v>12036399.594417065</v>
      </c>
      <c r="V177" s="202">
        <v>-1868108.4686739743</v>
      </c>
      <c r="W177" s="202">
        <v>6623401.5352143943</v>
      </c>
      <c r="X177" s="202">
        <v>2195854.3298471272</v>
      </c>
      <c r="Y177" s="202">
        <v>-4867994.7301315069</v>
      </c>
      <c r="Z177" s="202">
        <v>-6369369.1098124832</v>
      </c>
    </row>
    <row r="178" spans="18:26" ht="15.75" customHeight="1">
      <c r="R178" s="129">
        <v>141</v>
      </c>
      <c r="S178" s="202">
        <v>10880151.050671816</v>
      </c>
      <c r="T178" s="202">
        <v>-434914.5866496712</v>
      </c>
      <c r="U178" s="202">
        <v>10319644.376927644</v>
      </c>
      <c r="V178" s="202">
        <v>5741922.9065902829</v>
      </c>
      <c r="W178" s="202">
        <v>491194.98600545526</v>
      </c>
      <c r="X178" s="202">
        <v>6002280.5224740654</v>
      </c>
      <c r="Y178" s="202">
        <v>-16349547.069574147</v>
      </c>
      <c r="Z178" s="202">
        <v>-2275197.003104955</v>
      </c>
    </row>
    <row r="179" spans="18:26" ht="15.75" customHeight="1">
      <c r="R179" s="129">
        <v>142</v>
      </c>
      <c r="S179" s="202">
        <v>-2703508.0051017851</v>
      </c>
      <c r="T179" s="202">
        <v>7549505.4048818052</v>
      </c>
      <c r="U179" s="202">
        <v>5349696.1826188266</v>
      </c>
      <c r="V179" s="202">
        <v>5517782.4042940736</v>
      </c>
      <c r="W179" s="202">
        <v>8296531.6049834043</v>
      </c>
      <c r="X179" s="202">
        <v>1445115.456393674</v>
      </c>
      <c r="Y179" s="202">
        <v>3964659.5004231334</v>
      </c>
      <c r="Z179" s="202">
        <v>8652672.548778668</v>
      </c>
    </row>
    <row r="180" spans="18:26" ht="15.75" customHeight="1">
      <c r="R180" s="129">
        <v>143</v>
      </c>
      <c r="S180" s="202">
        <v>6783806.4733067006</v>
      </c>
      <c r="T180" s="202">
        <v>4819133.3958485872</v>
      </c>
      <c r="U180" s="202">
        <v>10123068.187775284</v>
      </c>
      <c r="V180" s="202">
        <v>5545671.7866182327</v>
      </c>
      <c r="W180" s="202">
        <v>-2097583.3695113212</v>
      </c>
      <c r="X180" s="202">
        <v>3868829.2938058823</v>
      </c>
      <c r="Y180" s="202">
        <v>3664650.7704659402</v>
      </c>
      <c r="Z180" s="202">
        <v>-2205327.9418822229</v>
      </c>
    </row>
    <row r="181" spans="18:26" ht="15.75" customHeight="1">
      <c r="R181" s="129">
        <v>144</v>
      </c>
      <c r="S181" s="202">
        <v>5782537.7155018747</v>
      </c>
      <c r="T181" s="202">
        <v>8657048.2607105821</v>
      </c>
      <c r="U181" s="202">
        <v>12643378.298923239</v>
      </c>
      <c r="V181" s="202">
        <v>-3722546.6097251475</v>
      </c>
      <c r="W181" s="202">
        <v>20133649.144186005</v>
      </c>
      <c r="X181" s="202">
        <v>3369553.3172689378</v>
      </c>
      <c r="Y181" s="202">
        <v>4851196.076817736</v>
      </c>
      <c r="Z181" s="202">
        <v>-3566258.0095779747</v>
      </c>
    </row>
    <row r="182" spans="18:26" ht="15.75" customHeight="1">
      <c r="R182" s="129">
        <v>145</v>
      </c>
      <c r="S182" s="202">
        <v>8372878.244586587</v>
      </c>
      <c r="T182" s="202">
        <v>1739950.1525686383</v>
      </c>
      <c r="U182" s="202">
        <v>-5091351.1044092476</v>
      </c>
      <c r="V182" s="202">
        <v>5233340.3454506546</v>
      </c>
      <c r="W182" s="202">
        <v>2233365.8974425197</v>
      </c>
      <c r="X182" s="202">
        <v>-2333112.7408900857</v>
      </c>
      <c r="Y182" s="202">
        <v>-7778775.3282007873</v>
      </c>
      <c r="Z182" s="202">
        <v>-1668868.4657187164</v>
      </c>
    </row>
    <row r="183" spans="18:26" ht="15.75" customHeight="1">
      <c r="R183" s="129">
        <v>146</v>
      </c>
      <c r="S183" s="202">
        <v>2789812.6063567847</v>
      </c>
      <c r="T183" s="202">
        <v>-2067700.595225215</v>
      </c>
      <c r="U183" s="202">
        <v>12522001.132259369</v>
      </c>
      <c r="V183" s="202">
        <v>4059632.2684966922</v>
      </c>
      <c r="W183" s="202">
        <v>-1609126.5094364882</v>
      </c>
      <c r="X183" s="202">
        <v>7300909.8195261508</v>
      </c>
      <c r="Y183" s="202">
        <v>9777078.3097585142</v>
      </c>
      <c r="Z183" s="202">
        <v>-6733080.1240323931</v>
      </c>
    </row>
    <row r="184" spans="18:26" ht="15.75" customHeight="1">
      <c r="R184" s="129">
        <v>147</v>
      </c>
      <c r="S184" s="202">
        <v>16787340.152932793</v>
      </c>
      <c r="T184" s="202">
        <v>18242549.347245008</v>
      </c>
      <c r="U184" s="202">
        <v>-362224.59380854666</v>
      </c>
      <c r="V184" s="202">
        <v>17830157.699062675</v>
      </c>
      <c r="W184" s="202">
        <v>-1634420.6693640202</v>
      </c>
      <c r="X184" s="202">
        <v>4063414.6579326689</v>
      </c>
      <c r="Y184" s="202">
        <v>6503795.082369253</v>
      </c>
      <c r="Z184" s="202">
        <v>1737746.0394765139</v>
      </c>
    </row>
    <row r="185" spans="18:26" ht="15.75" customHeight="1">
      <c r="R185" s="129">
        <v>148</v>
      </c>
      <c r="S185" s="202">
        <v>5922494.692052424</v>
      </c>
      <c r="T185" s="202">
        <v>14128691.048484981</v>
      </c>
      <c r="U185" s="202">
        <v>8251809.1344362348</v>
      </c>
      <c r="V185" s="202">
        <v>-4920271.9057672769</v>
      </c>
      <c r="W185" s="202">
        <v>2368446.0446110219</v>
      </c>
      <c r="X185" s="202">
        <v>3367711.4429876506</v>
      </c>
      <c r="Y185" s="202">
        <v>11214767.762493059</v>
      </c>
      <c r="Z185" s="202">
        <v>8728645.9890987873</v>
      </c>
    </row>
    <row r="186" spans="18:26" ht="15.75" customHeight="1">
      <c r="R186" s="129">
        <v>149</v>
      </c>
      <c r="S186" s="202">
        <v>19842256.8701922</v>
      </c>
      <c r="T186" s="202">
        <v>10752500.298112661</v>
      </c>
      <c r="U186" s="202">
        <v>5565235.6761190742</v>
      </c>
      <c r="V186" s="202">
        <v>16898725.221754223</v>
      </c>
      <c r="W186" s="202">
        <v>6755973.4777089655</v>
      </c>
      <c r="X186" s="202">
        <v>11640508.386829346</v>
      </c>
      <c r="Y186" s="202">
        <v>5577850.0636074841</v>
      </c>
      <c r="Z186" s="202">
        <v>9002984.621417582</v>
      </c>
    </row>
    <row r="187" spans="18:26" ht="15.75" customHeight="1">
      <c r="R187" s="129">
        <v>150</v>
      </c>
      <c r="S187" s="202">
        <v>588747.57423000038</v>
      </c>
      <c r="T187" s="202">
        <v>6836593.4131419361</v>
      </c>
      <c r="U187" s="202">
        <v>9317034.393726334</v>
      </c>
      <c r="V187" s="202">
        <v>-3678043.0395896584</v>
      </c>
      <c r="W187" s="202">
        <v>-483178.06024059653</v>
      </c>
      <c r="X187" s="202">
        <v>6606784.3644997776</v>
      </c>
      <c r="Y187" s="202">
        <v>3865322.9539581984</v>
      </c>
      <c r="Z187" s="202">
        <v>-2832575.2602272183</v>
      </c>
    </row>
    <row r="188" spans="18:26" ht="15.75" customHeight="1">
      <c r="R188" s="129">
        <v>151</v>
      </c>
      <c r="S188" s="202">
        <v>-453508.5700327009</v>
      </c>
      <c r="T188" s="202">
        <v>1600280.5381414592</v>
      </c>
      <c r="U188" s="202">
        <v>2038414.8709605336</v>
      </c>
      <c r="V188" s="202">
        <v>12863258.115077883</v>
      </c>
      <c r="W188" s="202">
        <v>-4296626.2798676193</v>
      </c>
      <c r="X188" s="202">
        <v>-2121329.8701349497</v>
      </c>
      <c r="Y188" s="202">
        <v>-10251389.034636915</v>
      </c>
      <c r="Z188" s="202">
        <v>-1266363.3057319224</v>
      </c>
    </row>
    <row r="189" spans="18:26" ht="15.75" customHeight="1">
      <c r="R189" s="129">
        <v>152</v>
      </c>
      <c r="S189" s="202">
        <v>9971653.5488197654</v>
      </c>
      <c r="T189" s="202">
        <v>6613028.7323612869</v>
      </c>
      <c r="U189" s="202">
        <v>6018082.8762281537</v>
      </c>
      <c r="V189" s="202">
        <v>6856698.5425010324</v>
      </c>
      <c r="W189" s="202">
        <v>-3234305.6922284961</v>
      </c>
      <c r="X189" s="202">
        <v>4049176.8005821407</v>
      </c>
      <c r="Y189" s="202">
        <v>7954894.5835502446</v>
      </c>
      <c r="Z189" s="202">
        <v>-706731.72221155465</v>
      </c>
    </row>
    <row r="190" spans="18:26" ht="15.75" customHeight="1">
      <c r="R190" s="129">
        <v>153</v>
      </c>
      <c r="S190" s="202">
        <v>11118339.047194183</v>
      </c>
      <c r="T190" s="202">
        <v>9109520.7352356911</v>
      </c>
      <c r="U190" s="202">
        <v>15844155.7437751</v>
      </c>
      <c r="V190" s="202">
        <v>8108146.0174765587</v>
      </c>
      <c r="W190" s="202">
        <v>7249072.7899891734</v>
      </c>
      <c r="X190" s="202">
        <v>20498000.349195182</v>
      </c>
      <c r="Y190" s="202">
        <v>11611870.66784218</v>
      </c>
      <c r="Z190" s="202">
        <v>-4042186.2029446959</v>
      </c>
    </row>
    <row r="191" spans="18:26" ht="15.75" customHeight="1">
      <c r="R191" s="129">
        <v>154</v>
      </c>
      <c r="S191" s="202">
        <v>11292856.193111449</v>
      </c>
      <c r="T191" s="202">
        <v>8143272.8989374638</v>
      </c>
      <c r="U191" s="202">
        <v>7055181.375418067</v>
      </c>
      <c r="V191" s="202">
        <v>2465371.542385146</v>
      </c>
      <c r="W191" s="202">
        <v>12914182.059883669</v>
      </c>
      <c r="X191" s="202">
        <v>8622872.6534302533</v>
      </c>
      <c r="Y191" s="202">
        <v>3402849.0267452598</v>
      </c>
      <c r="Z191" s="202">
        <v>7239677.8305997699</v>
      </c>
    </row>
    <row r="192" spans="18:26" ht="15.75" customHeight="1">
      <c r="R192" s="129">
        <v>155</v>
      </c>
      <c r="S192" s="202">
        <v>4936610.2549830973</v>
      </c>
      <c r="T192" s="202">
        <v>10003976.572420716</v>
      </c>
      <c r="U192" s="202">
        <v>969456.52772136033</v>
      </c>
      <c r="V192" s="202">
        <v>-136576.00627161562</v>
      </c>
      <c r="W192" s="202">
        <v>-5549306.3451759815</v>
      </c>
      <c r="X192" s="202">
        <v>10874329.764813036</v>
      </c>
      <c r="Y192" s="202">
        <v>1912009.0867527127</v>
      </c>
      <c r="Z192" s="202">
        <v>3942906.6103059947</v>
      </c>
    </row>
    <row r="193" spans="18:26" ht="15.75" customHeight="1">
      <c r="R193" s="129">
        <v>156</v>
      </c>
      <c r="S193" s="202">
        <v>6823148.3859479725</v>
      </c>
      <c r="T193" s="202">
        <v>17561499.948624715</v>
      </c>
      <c r="U193" s="202">
        <v>13067736.574377358</v>
      </c>
      <c r="V193" s="202">
        <v>3269665.8649365008</v>
      </c>
      <c r="W193" s="202">
        <v>3807248.333508417</v>
      </c>
      <c r="X193" s="202">
        <v>-3715576.3156680912</v>
      </c>
      <c r="Y193" s="202">
        <v>2167187.8921227008</v>
      </c>
      <c r="Z193" s="202">
        <v>3821394.6672121584</v>
      </c>
    </row>
    <row r="194" spans="18:26" ht="15.75" customHeight="1">
      <c r="R194" s="129">
        <v>157</v>
      </c>
      <c r="S194" s="202">
        <v>6183851.3216121346</v>
      </c>
      <c r="T194" s="202">
        <v>7856725.8799272776</v>
      </c>
      <c r="U194" s="202">
        <v>14358832.826722309</v>
      </c>
      <c r="V194" s="202">
        <v>11938789.148251832</v>
      </c>
      <c r="W194" s="202">
        <v>9212234.8106020838</v>
      </c>
      <c r="X194" s="202">
        <v>-2583713.6138061583</v>
      </c>
      <c r="Y194" s="202">
        <v>11087878.085347086</v>
      </c>
      <c r="Z194" s="202">
        <v>-6491980.763489604</v>
      </c>
    </row>
    <row r="195" spans="18:26" ht="15.75" customHeight="1">
      <c r="R195" s="129">
        <v>158</v>
      </c>
      <c r="S195" s="202">
        <v>3593147.0746230483</v>
      </c>
      <c r="T195" s="202">
        <v>11720750.223657504</v>
      </c>
      <c r="U195" s="202">
        <v>1919282.954307735</v>
      </c>
      <c r="V195" s="202">
        <v>1727192.3024815023</v>
      </c>
      <c r="W195" s="202">
        <v>12225824.574709535</v>
      </c>
      <c r="X195" s="202">
        <v>636843.32369413972</v>
      </c>
      <c r="Y195" s="202">
        <v>931635.59400931001</v>
      </c>
      <c r="Z195" s="202">
        <v>4343908.9796541631</v>
      </c>
    </row>
    <row r="196" spans="18:26" ht="15.75" customHeight="1">
      <c r="R196" s="129">
        <v>159</v>
      </c>
      <c r="S196" s="202">
        <v>5937667.48164545</v>
      </c>
      <c r="T196" s="202">
        <v>10150070.820046976</v>
      </c>
      <c r="U196" s="202">
        <v>-1636975.4920944124</v>
      </c>
      <c r="V196" s="202">
        <v>6261899.5988680422</v>
      </c>
      <c r="W196" s="202">
        <v>2071276.9474259615</v>
      </c>
      <c r="X196" s="202">
        <v>7690296.5089011937</v>
      </c>
      <c r="Y196" s="202">
        <v>-2891549.9693402648</v>
      </c>
      <c r="Z196" s="202">
        <v>-1210082.2395348847</v>
      </c>
    </row>
    <row r="197" spans="18:26" ht="15.75" customHeight="1">
      <c r="R197" s="129">
        <v>160</v>
      </c>
      <c r="S197" s="202">
        <v>4949418.481266439</v>
      </c>
      <c r="T197" s="202">
        <v>11223761.820568815</v>
      </c>
      <c r="U197" s="202">
        <v>6043706.5258205533</v>
      </c>
      <c r="V197" s="202">
        <v>7362304.4678804278</v>
      </c>
      <c r="W197" s="202">
        <v>-1489524.0326346159</v>
      </c>
      <c r="X197" s="202">
        <v>849883.42820219696</v>
      </c>
      <c r="Y197" s="202">
        <v>-6009533.2564100325</v>
      </c>
      <c r="Z197" s="202">
        <v>2364589.4199152142</v>
      </c>
    </row>
    <row r="198" spans="18:26" ht="15.75" customHeight="1">
      <c r="R198" s="129">
        <v>161</v>
      </c>
      <c r="S198" s="202">
        <v>1414424.6830348372</v>
      </c>
      <c r="T198" s="202">
        <v>6878542.2389694452</v>
      </c>
      <c r="U198" s="202">
        <v>11193258.072533771</v>
      </c>
      <c r="V198" s="202">
        <v>-913403.46393333375</v>
      </c>
      <c r="W198" s="202">
        <v>1240663.8060687482</v>
      </c>
      <c r="X198" s="202">
        <v>5588628.6317835748</v>
      </c>
      <c r="Y198" s="202">
        <v>-9308210.1160932481</v>
      </c>
      <c r="Z198" s="202">
        <v>-7388538.1651014686</v>
      </c>
    </row>
    <row r="199" spans="18:26" ht="15.75" customHeight="1">
      <c r="R199" s="129">
        <v>162</v>
      </c>
      <c r="S199" s="202">
        <v>13247978.780542329</v>
      </c>
      <c r="T199" s="202">
        <v>14405883.763034418</v>
      </c>
      <c r="U199" s="202">
        <v>2376332.5183505565</v>
      </c>
      <c r="V199" s="202">
        <v>3186005.1842816919</v>
      </c>
      <c r="W199" s="202">
        <v>6208869.8582938313</v>
      </c>
      <c r="X199" s="202">
        <v>9346786.0850148052</v>
      </c>
      <c r="Y199" s="202">
        <v>7496994.7361404151</v>
      </c>
      <c r="Z199" s="202">
        <v>-2805840.3884691894</v>
      </c>
    </row>
    <row r="200" spans="18:26" ht="15.75" customHeight="1">
      <c r="R200" s="129">
        <v>163</v>
      </c>
      <c r="S200" s="202">
        <v>8312670.494520098</v>
      </c>
      <c r="T200" s="202">
        <v>10332140.853269368</v>
      </c>
      <c r="U200" s="202">
        <v>10979922.464617267</v>
      </c>
      <c r="V200" s="202">
        <v>11893746.718531474</v>
      </c>
      <c r="W200" s="202">
        <v>16247415.761069462</v>
      </c>
      <c r="X200" s="202">
        <v>-4029587.6830342114</v>
      </c>
      <c r="Y200" s="202">
        <v>-330684.83390600979</v>
      </c>
      <c r="Z200" s="202">
        <v>5896650.8184078932</v>
      </c>
    </row>
    <row r="201" spans="18:26" ht="15.75" customHeight="1">
      <c r="R201" s="129">
        <v>164</v>
      </c>
      <c r="S201" s="202">
        <v>10671957.667652473</v>
      </c>
      <c r="T201" s="202">
        <v>5874999.8330192864</v>
      </c>
      <c r="U201" s="202">
        <v>5984930.2771299481</v>
      </c>
      <c r="V201" s="202">
        <v>6577459.2663374245</v>
      </c>
      <c r="W201" s="202">
        <v>-1554938.0586089194</v>
      </c>
      <c r="X201" s="202">
        <v>1354348.6894785464</v>
      </c>
      <c r="Y201" s="202">
        <v>-3049727.4435714334</v>
      </c>
      <c r="Z201" s="202">
        <v>-513259.8632684797</v>
      </c>
    </row>
    <row r="202" spans="18:26" ht="15.75" customHeight="1">
      <c r="R202" s="129">
        <v>165</v>
      </c>
      <c r="S202" s="202">
        <v>10169602.456892103</v>
      </c>
      <c r="T202" s="202">
        <v>3221998.1484980136</v>
      </c>
      <c r="U202" s="202">
        <v>7218020.0260941982</v>
      </c>
      <c r="V202" s="202">
        <v>2307092.4127097726</v>
      </c>
      <c r="W202" s="202">
        <v>15162310.794978246</v>
      </c>
      <c r="X202" s="202">
        <v>6167954.793682009</v>
      </c>
      <c r="Y202" s="202">
        <v>4281538.4502850771</v>
      </c>
      <c r="Z202" s="202">
        <v>-4292817.6262450665</v>
      </c>
    </row>
    <row r="203" spans="18:26" ht="15.75" customHeight="1">
      <c r="R203" s="129">
        <v>166</v>
      </c>
      <c r="S203" s="202">
        <v>-2795203.9615923315</v>
      </c>
      <c r="T203" s="202">
        <v>13137616.443246752</v>
      </c>
      <c r="U203" s="202">
        <v>3813638.5315669477</v>
      </c>
      <c r="V203" s="202">
        <v>5469466.3630468994</v>
      </c>
      <c r="W203" s="202">
        <v>4295241.9428725541</v>
      </c>
      <c r="X203" s="202">
        <v>3871881.0905757248</v>
      </c>
      <c r="Y203" s="202">
        <v>-1761848.5025886893</v>
      </c>
      <c r="Z203" s="202">
        <v>2376995.0067980587</v>
      </c>
    </row>
    <row r="204" spans="18:26" ht="15.75" customHeight="1">
      <c r="R204" s="129">
        <v>167</v>
      </c>
      <c r="S204" s="202">
        <v>10678206.739632174</v>
      </c>
      <c r="T204" s="202">
        <v>9558491.6913241446</v>
      </c>
      <c r="U204" s="202">
        <v>6811192.5084968954</v>
      </c>
      <c r="V204" s="202">
        <v>12399894.500215471</v>
      </c>
      <c r="W204" s="202">
        <v>-1614462.3533852398</v>
      </c>
      <c r="X204" s="202">
        <v>-2531912.396017313</v>
      </c>
      <c r="Y204" s="202">
        <v>-7124072.4995446801</v>
      </c>
      <c r="Z204" s="202">
        <v>3762645.0730366111</v>
      </c>
    </row>
    <row r="205" spans="18:26" ht="15.75" customHeight="1">
      <c r="R205" s="129">
        <v>168</v>
      </c>
      <c r="S205" s="202">
        <v>10718405.749743</v>
      </c>
      <c r="T205" s="202">
        <v>9713680.3695788532</v>
      </c>
      <c r="U205" s="202">
        <v>10768896.392405301</v>
      </c>
      <c r="V205" s="202">
        <v>5594499.9861781895</v>
      </c>
      <c r="W205" s="202">
        <v>6342681.5066165775</v>
      </c>
      <c r="X205" s="202">
        <v>-12036221.387693614</v>
      </c>
      <c r="Y205" s="202">
        <v>-4444573.9052725583</v>
      </c>
      <c r="Z205" s="202">
        <v>-5617692.932547614</v>
      </c>
    </row>
    <row r="206" spans="18:26" ht="15.75" customHeight="1">
      <c r="R206" s="129">
        <v>169</v>
      </c>
      <c r="S206" s="202">
        <v>2068987.5803634077</v>
      </c>
      <c r="T206" s="202">
        <v>-40561.667722851038</v>
      </c>
      <c r="U206" s="202">
        <v>7866366.7137299031</v>
      </c>
      <c r="V206" s="202">
        <v>10965244.590694621</v>
      </c>
      <c r="W206" s="202">
        <v>8934564.043854624</v>
      </c>
      <c r="X206" s="202">
        <v>9378544.226362586</v>
      </c>
      <c r="Y206" s="202">
        <v>5626273.5727525502</v>
      </c>
      <c r="Z206" s="202">
        <v>1027923.679319948</v>
      </c>
    </row>
    <row r="207" spans="18:26" ht="15.75" customHeight="1">
      <c r="R207" s="129">
        <v>170</v>
      </c>
      <c r="S207" s="202">
        <v>2149951.1836423278</v>
      </c>
      <c r="T207" s="202">
        <v>6426499.7976627946</v>
      </c>
      <c r="U207" s="202">
        <v>-9778787.0366776288</v>
      </c>
      <c r="V207" s="202">
        <v>8216692.6640070081</v>
      </c>
      <c r="W207" s="202">
        <v>3081172.7423320562</v>
      </c>
      <c r="X207" s="202">
        <v>4240714.4427628368</v>
      </c>
      <c r="Y207" s="202">
        <v>13407683.600802049</v>
      </c>
      <c r="Z207" s="202">
        <v>5101392.3005553484</v>
      </c>
    </row>
    <row r="208" spans="18:26" ht="15.75" customHeight="1">
      <c r="R208" s="129">
        <v>171</v>
      </c>
      <c r="S208" s="202">
        <v>2836417.2992022485</v>
      </c>
      <c r="T208" s="202">
        <v>9114673.7784421444</v>
      </c>
      <c r="U208" s="202">
        <v>3615577.901681006</v>
      </c>
      <c r="V208" s="202">
        <v>1453412.8122047037</v>
      </c>
      <c r="W208" s="202">
        <v>13897212.221365362</v>
      </c>
      <c r="X208" s="202">
        <v>-7189394.727508083</v>
      </c>
      <c r="Y208" s="202">
        <v>7553539.9230107814</v>
      </c>
      <c r="Z208" s="202">
        <v>3604905.3700041026</v>
      </c>
    </row>
    <row r="209" spans="18:26" ht="15.75" customHeight="1">
      <c r="R209" s="129">
        <v>172</v>
      </c>
      <c r="S209" s="202">
        <v>-676698.03592920303</v>
      </c>
      <c r="T209" s="202">
        <v>14599976.988794997</v>
      </c>
      <c r="U209" s="202">
        <v>10641797.08818236</v>
      </c>
      <c r="V209" s="202">
        <v>1048313.3954366148</v>
      </c>
      <c r="W209" s="202">
        <v>-2655329.2169155926</v>
      </c>
      <c r="X209" s="202">
        <v>-2543904.7652793378</v>
      </c>
      <c r="Y209" s="202">
        <v>-4221196.7874015421</v>
      </c>
      <c r="Z209" s="202">
        <v>3874454.7963015139</v>
      </c>
    </row>
    <row r="210" spans="18:26" ht="15.75" customHeight="1">
      <c r="R210" s="129">
        <v>173</v>
      </c>
      <c r="S210" s="202">
        <v>7536353.2614756525</v>
      </c>
      <c r="T210" s="202">
        <v>12655024.013440996</v>
      </c>
      <c r="U210" s="202">
        <v>7466862.023671329</v>
      </c>
      <c r="V210" s="202">
        <v>-2356510.5454949886</v>
      </c>
      <c r="W210" s="202">
        <v>7330986.6031296849</v>
      </c>
      <c r="X210" s="202">
        <v>5777622.2409197837</v>
      </c>
      <c r="Y210" s="202">
        <v>8118749.9755334407</v>
      </c>
      <c r="Z210" s="202">
        <v>10061613.113313228</v>
      </c>
    </row>
    <row r="211" spans="18:26" ht="15.75" customHeight="1">
      <c r="R211" s="129">
        <v>174</v>
      </c>
      <c r="S211" s="202">
        <v>15184989.025498122</v>
      </c>
      <c r="T211" s="202">
        <v>3304750.7609422207</v>
      </c>
      <c r="U211" s="202">
        <v>7251971.493329823</v>
      </c>
      <c r="V211" s="202">
        <v>63138.491256460547</v>
      </c>
      <c r="W211" s="202">
        <v>724223.24950799346</v>
      </c>
      <c r="X211" s="202">
        <v>7526329.3670814782</v>
      </c>
      <c r="Y211" s="202">
        <v>2783073.5445699096</v>
      </c>
      <c r="Z211" s="202">
        <v>9547685.5532420427</v>
      </c>
    </row>
    <row r="212" spans="18:26" ht="15.75" customHeight="1">
      <c r="R212" s="129">
        <v>175</v>
      </c>
      <c r="S212" s="202">
        <v>10790466.211850196</v>
      </c>
      <c r="T212" s="202">
        <v>1709800.5693966746</v>
      </c>
      <c r="U212" s="202">
        <v>-1032094.1840737313</v>
      </c>
      <c r="V212" s="202">
        <v>1401674.6023075283</v>
      </c>
      <c r="W212" s="202">
        <v>6012244.0891723335</v>
      </c>
      <c r="X212" s="202">
        <v>2941583.1004024893</v>
      </c>
      <c r="Y212" s="202">
        <v>6154723.6451357305</v>
      </c>
      <c r="Z212" s="202">
        <v>640807.21341711283</v>
      </c>
    </row>
    <row r="213" spans="18:26" ht="15.75" customHeight="1">
      <c r="R213" s="129">
        <v>176</v>
      </c>
      <c r="S213" s="202">
        <v>8581495.5072859377</v>
      </c>
      <c r="T213" s="202">
        <v>5627005.6872728467</v>
      </c>
      <c r="U213" s="202">
        <v>4228552.1663253307</v>
      </c>
      <c r="V213" s="202">
        <v>6176498.3333793432</v>
      </c>
      <c r="W213" s="202">
        <v>14831.532481744885</v>
      </c>
      <c r="X213" s="202">
        <v>-1055359.1633093655</v>
      </c>
      <c r="Y213" s="202">
        <v>13531880.405208677</v>
      </c>
      <c r="Z213" s="202">
        <v>4245706.6901760697</v>
      </c>
    </row>
    <row r="214" spans="18:26" ht="15.75" customHeight="1">
      <c r="R214" s="129">
        <v>177</v>
      </c>
      <c r="S214" s="202">
        <v>1883890.1752791405</v>
      </c>
      <c r="T214" s="202">
        <v>1649974.4880174845</v>
      </c>
      <c r="U214" s="202">
        <v>9898970.0512644202</v>
      </c>
      <c r="V214" s="202">
        <v>9263791.3993832171</v>
      </c>
      <c r="W214" s="202">
        <v>4247214.9777127504</v>
      </c>
      <c r="X214" s="202">
        <v>2163475.2714500725</v>
      </c>
      <c r="Y214" s="202">
        <v>-1590933.206096828</v>
      </c>
      <c r="Z214" s="202">
        <v>-4979944.2091498077</v>
      </c>
    </row>
    <row r="215" spans="18:26" ht="15.75" customHeight="1">
      <c r="R215" s="129">
        <v>178</v>
      </c>
      <c r="S215" s="202">
        <v>11182678.942261651</v>
      </c>
      <c r="T215" s="202">
        <v>8223813.5713028759</v>
      </c>
      <c r="U215" s="202">
        <v>-2694380.8489739895</v>
      </c>
      <c r="V215" s="202">
        <v>11366538.326436967</v>
      </c>
      <c r="W215" s="202">
        <v>-337477.78317648172</v>
      </c>
      <c r="X215" s="202">
        <v>7406152.2665284872</v>
      </c>
      <c r="Y215" s="202">
        <v>9441145.0739720315</v>
      </c>
      <c r="Z215" s="202">
        <v>2041740.1537293494</v>
      </c>
    </row>
    <row r="216" spans="18:26" ht="15.75" customHeight="1">
      <c r="R216" s="129">
        <v>179</v>
      </c>
      <c r="S216" s="202">
        <v>2464376.4434694201</v>
      </c>
      <c r="T216" s="202">
        <v>11833709.774767786</v>
      </c>
      <c r="U216" s="202">
        <v>16477859.815687031</v>
      </c>
      <c r="V216" s="202">
        <v>14813051.458207637</v>
      </c>
      <c r="W216" s="202">
        <v>13993832.253745198</v>
      </c>
      <c r="X216" s="202">
        <v>5439312.1762918532</v>
      </c>
      <c r="Y216" s="202">
        <v>-5569433.073102504</v>
      </c>
      <c r="Z216" s="202">
        <v>-1609820.7069497108</v>
      </c>
    </row>
    <row r="217" spans="18:26" ht="15.75" customHeight="1">
      <c r="R217" s="129">
        <v>180</v>
      </c>
      <c r="S217" s="202">
        <v>12441504.383875176</v>
      </c>
      <c r="T217" s="202">
        <v>7999525.5749021322</v>
      </c>
      <c r="U217" s="202">
        <v>7752162.4914172739</v>
      </c>
      <c r="V217" s="202">
        <v>14397768.681646764</v>
      </c>
      <c r="W217" s="202">
        <v>-6078925.7535249293</v>
      </c>
      <c r="X217" s="202">
        <v>2307905.5335105211</v>
      </c>
      <c r="Y217" s="202">
        <v>-2746329.7325867712</v>
      </c>
      <c r="Z217" s="202">
        <v>10930988.238208771</v>
      </c>
    </row>
    <row r="218" spans="18:26" ht="15.75" customHeight="1">
      <c r="R218" s="129">
        <v>181</v>
      </c>
      <c r="S218" s="202">
        <v>8349518.7093780339</v>
      </c>
      <c r="T218" s="202">
        <v>10590924.132859781</v>
      </c>
      <c r="U218" s="202">
        <v>-1062606.4780776352</v>
      </c>
      <c r="V218" s="202">
        <v>18822175.273430631</v>
      </c>
      <c r="W218" s="202">
        <v>-3523246.1316216588</v>
      </c>
      <c r="X218" s="202">
        <v>985639.92973485589</v>
      </c>
      <c r="Y218" s="202">
        <v>7002634.5223740488</v>
      </c>
      <c r="Z218" s="202">
        <v>11386379.751981825</v>
      </c>
    </row>
    <row r="219" spans="18:26" ht="15.75" customHeight="1">
      <c r="R219" s="129">
        <v>182</v>
      </c>
      <c r="S219" s="202">
        <v>991408.73241364956</v>
      </c>
      <c r="T219" s="202">
        <v>23297132.181044564</v>
      </c>
      <c r="U219" s="202">
        <v>-3525585.1899908483</v>
      </c>
      <c r="V219" s="202">
        <v>3226648.0839394331</v>
      </c>
      <c r="W219" s="202">
        <v>13455776.309341803</v>
      </c>
      <c r="X219" s="202">
        <v>2126851.4590099007</v>
      </c>
      <c r="Y219" s="202">
        <v>-5768089.4968313426</v>
      </c>
      <c r="Z219" s="202">
        <v>3297323.5220937729</v>
      </c>
    </row>
    <row r="220" spans="18:26" ht="15.75" customHeight="1">
      <c r="R220" s="129">
        <v>183</v>
      </c>
      <c r="S220" s="202">
        <v>5221525.11821419</v>
      </c>
      <c r="T220" s="202">
        <v>3089128.5713709146</v>
      </c>
      <c r="U220" s="202">
        <v>2639803.8966384083</v>
      </c>
      <c r="V220" s="202">
        <v>10187245.02815187</v>
      </c>
      <c r="W220" s="202">
        <v>2156868.5964224339</v>
      </c>
      <c r="X220" s="202">
        <v>1381380.8454206437</v>
      </c>
      <c r="Y220" s="202">
        <v>4706499.1622149795</v>
      </c>
      <c r="Z220" s="202">
        <v>9379540.1363448948</v>
      </c>
    </row>
    <row r="221" spans="18:26" ht="15.75" customHeight="1">
      <c r="R221" s="129">
        <v>184</v>
      </c>
      <c r="S221" s="202">
        <v>9023813.9824912548</v>
      </c>
      <c r="T221" s="202">
        <v>18110539.326880038</v>
      </c>
      <c r="U221" s="202">
        <v>3161851.0830614269</v>
      </c>
      <c r="V221" s="202">
        <v>8831954.8676699996</v>
      </c>
      <c r="W221" s="202">
        <v>7295629.7083080709</v>
      </c>
      <c r="X221" s="202">
        <v>4648190.1890876889</v>
      </c>
      <c r="Y221" s="202">
        <v>6710860.8222274929</v>
      </c>
      <c r="Z221" s="202">
        <v>6341985.359798789</v>
      </c>
    </row>
    <row r="222" spans="18:26" ht="15.75" customHeight="1">
      <c r="R222" s="129">
        <v>185</v>
      </c>
      <c r="S222" s="202">
        <v>19244219.008954704</v>
      </c>
      <c r="T222" s="202">
        <v>7189852.8262974918</v>
      </c>
      <c r="U222" s="202">
        <v>2770836.7259242237</v>
      </c>
      <c r="V222" s="202">
        <v>1786981.2096571922</v>
      </c>
      <c r="W222" s="202">
        <v>4675284.2491180003</v>
      </c>
      <c r="X222" s="202">
        <v>1884708.8407833874</v>
      </c>
      <c r="Y222" s="202">
        <v>2004549.7580081224</v>
      </c>
      <c r="Z222" s="202">
        <v>-9225307.5251417458</v>
      </c>
    </row>
    <row r="223" spans="18:26" ht="15.75" customHeight="1">
      <c r="R223" s="129">
        <v>186</v>
      </c>
      <c r="S223" s="202">
        <v>11324557.402244061</v>
      </c>
      <c r="T223" s="202">
        <v>10449533.0499378</v>
      </c>
      <c r="U223" s="202">
        <v>9658977.3581837416</v>
      </c>
      <c r="V223" s="202">
        <v>9298151.5002820045</v>
      </c>
      <c r="W223" s="202">
        <v>2017590.3886031508</v>
      </c>
      <c r="X223" s="202">
        <v>10598956.218825862</v>
      </c>
      <c r="Y223" s="202">
        <v>3965238.4384069294</v>
      </c>
      <c r="Z223" s="202">
        <v>3383368.0466663986</v>
      </c>
    </row>
    <row r="224" spans="18:26" ht="15.75" customHeight="1">
      <c r="R224" s="129">
        <v>187</v>
      </c>
      <c r="S224" s="202">
        <v>16743099.959796801</v>
      </c>
      <c r="T224" s="202">
        <v>20545811.576981798</v>
      </c>
      <c r="U224" s="202">
        <v>-5207820.3429838717</v>
      </c>
      <c r="V224" s="202">
        <v>-2611383.2808251232</v>
      </c>
      <c r="W224" s="202">
        <v>5192652.0785340369</v>
      </c>
      <c r="X224" s="202">
        <v>-127614.23521088064</v>
      </c>
      <c r="Y224" s="202">
        <v>-7208921.2743221819</v>
      </c>
      <c r="Z224" s="202">
        <v>-6748713.2834361941</v>
      </c>
    </row>
    <row r="225" spans="18:26" ht="15.75" customHeight="1">
      <c r="R225" s="129">
        <v>188</v>
      </c>
      <c r="S225" s="202">
        <v>12193358.371381372</v>
      </c>
      <c r="T225" s="202">
        <v>8282358.4905912131</v>
      </c>
      <c r="U225" s="202">
        <v>2476252.8294900209</v>
      </c>
      <c r="V225" s="202">
        <v>-5195656.1716930717</v>
      </c>
      <c r="W225" s="202">
        <v>-1784334.0555332899</v>
      </c>
      <c r="X225" s="202">
        <v>-2293550.596483022</v>
      </c>
      <c r="Y225" s="202">
        <v>10634608.285650283</v>
      </c>
      <c r="Z225" s="202">
        <v>-10959667.584267318</v>
      </c>
    </row>
    <row r="226" spans="18:26" ht="15.75" customHeight="1">
      <c r="R226" s="129">
        <v>189</v>
      </c>
      <c r="S226" s="202">
        <v>2816530.5553364456</v>
      </c>
      <c r="T226" s="202">
        <v>19919714.853858396</v>
      </c>
      <c r="U226" s="202">
        <v>-2258943.6869149059</v>
      </c>
      <c r="V226" s="202">
        <v>3394936.7581688017</v>
      </c>
      <c r="W226" s="202">
        <v>4424070.6443820596</v>
      </c>
      <c r="X226" s="202">
        <v>7673371.0669138432</v>
      </c>
      <c r="Y226" s="202">
        <v>-5538254.9807877541</v>
      </c>
      <c r="Z226" s="202">
        <v>542220.26463584602</v>
      </c>
    </row>
    <row r="227" spans="18:26" ht="15.75" customHeight="1">
      <c r="R227" s="129">
        <v>190</v>
      </c>
      <c r="S227" s="202">
        <v>9707572.8002562672</v>
      </c>
      <c r="T227" s="202">
        <v>11654749.861863792</v>
      </c>
      <c r="U227" s="202">
        <v>781885.4472310245</v>
      </c>
      <c r="V227" s="202">
        <v>1090630.3355597407</v>
      </c>
      <c r="W227" s="202">
        <v>1976501.448732242</v>
      </c>
      <c r="X227" s="202">
        <v>-3946735.2449411005</v>
      </c>
      <c r="Y227" s="202">
        <v>-992088.31004698575</v>
      </c>
      <c r="Z227" s="202">
        <v>6191220.2457786202</v>
      </c>
    </row>
    <row r="228" spans="18:26" ht="15.75" customHeight="1">
      <c r="R228" s="129">
        <v>191</v>
      </c>
      <c r="S228" s="202">
        <v>5030829.9202971309</v>
      </c>
      <c r="T228" s="202">
        <v>13465749.636928916</v>
      </c>
      <c r="U228" s="202">
        <v>-1933833.0467092991</v>
      </c>
      <c r="V228" s="202">
        <v>7191260.7132657766</v>
      </c>
      <c r="W228" s="202">
        <v>5057176.5255820453</v>
      </c>
      <c r="X228" s="202">
        <v>4942714.4445374459</v>
      </c>
      <c r="Y228" s="202">
        <v>5232115.9012126625</v>
      </c>
      <c r="Z228" s="202">
        <v>11913920.156432167</v>
      </c>
    </row>
    <row r="229" spans="18:26" ht="15.75" customHeight="1">
      <c r="R229" s="129">
        <v>192</v>
      </c>
      <c r="S229" s="202">
        <v>18677478.082354292</v>
      </c>
      <c r="T229" s="202">
        <v>2043057.2410549372</v>
      </c>
      <c r="U229" s="202">
        <v>-737571.16037487984</v>
      </c>
      <c r="V229" s="202">
        <v>4809836.3921779394</v>
      </c>
      <c r="W229" s="202">
        <v>7486897.0861592889</v>
      </c>
      <c r="X229" s="202">
        <v>12013049.117114037</v>
      </c>
      <c r="Y229" s="202">
        <v>333070.60258281231</v>
      </c>
      <c r="Z229" s="202">
        <v>4406532.7224906236</v>
      </c>
    </row>
    <row r="230" spans="18:26" ht="15.75" customHeight="1">
      <c r="R230" s="129">
        <v>193</v>
      </c>
      <c r="S230" s="202">
        <v>4372655.7373058796</v>
      </c>
      <c r="T230" s="202">
        <v>11182386.539234832</v>
      </c>
      <c r="U230" s="202">
        <v>4706477.1576068997</v>
      </c>
      <c r="V230" s="202">
        <v>8786061.6748617291</v>
      </c>
      <c r="W230" s="202">
        <v>814237.72304457426</v>
      </c>
      <c r="X230" s="202">
        <v>-3320794.5269913673</v>
      </c>
      <c r="Y230" s="202">
        <v>-14465.889308735728</v>
      </c>
      <c r="Z230" s="202">
        <v>-8782903.7635743171</v>
      </c>
    </row>
    <row r="231" spans="18:26" ht="15.75" customHeight="1">
      <c r="R231" s="129">
        <v>194</v>
      </c>
      <c r="S231" s="202">
        <v>15644683.776267409</v>
      </c>
      <c r="T231" s="202">
        <v>1292170.4565026462</v>
      </c>
      <c r="U231" s="202">
        <v>-1902620.0624749362</v>
      </c>
      <c r="V231" s="202">
        <v>4259041.4158450067</v>
      </c>
      <c r="W231" s="202">
        <v>-8539782.9720994681</v>
      </c>
      <c r="X231" s="202">
        <v>-8131561.6243835539</v>
      </c>
      <c r="Y231" s="202">
        <v>2601438.2890459746</v>
      </c>
      <c r="Z231" s="202">
        <v>-1734869.5797831416</v>
      </c>
    </row>
    <row r="232" spans="18:26" ht="15.75" customHeight="1">
      <c r="R232" s="129">
        <v>195</v>
      </c>
      <c r="S232" s="202">
        <v>603000.31908623874</v>
      </c>
      <c r="T232" s="202">
        <v>16046760.520847872</v>
      </c>
      <c r="U232" s="202">
        <v>8012226.9460285604</v>
      </c>
      <c r="V232" s="202">
        <v>6359953.2539106458</v>
      </c>
      <c r="W232" s="202">
        <v>-810417.18780128658</v>
      </c>
      <c r="X232" s="202">
        <v>13971891.144442976</v>
      </c>
      <c r="Y232" s="202">
        <v>4488233.4389432073</v>
      </c>
      <c r="Z232" s="202">
        <v>1019012.1886716038</v>
      </c>
    </row>
    <row r="233" spans="18:26" ht="15.75" customHeight="1">
      <c r="R233" s="129">
        <v>196</v>
      </c>
      <c r="S233" s="202">
        <v>15257689.841490775</v>
      </c>
      <c r="T233" s="202">
        <v>3062729.194972381</v>
      </c>
      <c r="U233" s="202">
        <v>5358757.3521582037</v>
      </c>
      <c r="V233" s="202">
        <v>11013376.397266775</v>
      </c>
      <c r="W233" s="202">
        <v>5691347.9613394439</v>
      </c>
      <c r="X233" s="202">
        <v>11826965.091607243</v>
      </c>
      <c r="Y233" s="202">
        <v>8320991.4057069868</v>
      </c>
      <c r="Z233" s="202">
        <v>-1183718.7924162894</v>
      </c>
    </row>
    <row r="234" spans="18:26" ht="15.75" customHeight="1">
      <c r="R234" s="129">
        <v>197</v>
      </c>
      <c r="S234" s="202">
        <v>6908611.3023172319</v>
      </c>
      <c r="T234" s="202">
        <v>12469310.465618148</v>
      </c>
      <c r="U234" s="202">
        <v>11002929.183403522</v>
      </c>
      <c r="V234" s="202">
        <v>8046766.4761185348</v>
      </c>
      <c r="W234" s="202">
        <v>683764.76921412349</v>
      </c>
      <c r="X234" s="202">
        <v>-5223286.3509033322</v>
      </c>
      <c r="Y234" s="202">
        <v>942921.11748886108</v>
      </c>
      <c r="Z234" s="202">
        <v>2415433.4730276763</v>
      </c>
    </row>
    <row r="235" spans="18:26" ht="15.75" customHeight="1">
      <c r="R235" s="129">
        <v>198</v>
      </c>
      <c r="S235" s="202">
        <v>11425003.520309269</v>
      </c>
      <c r="T235" s="202">
        <v>6308052.3914682269</v>
      </c>
      <c r="U235" s="202">
        <v>8236928.1371707022</v>
      </c>
      <c r="V235" s="202">
        <v>266770.23109060526</v>
      </c>
      <c r="W235" s="202">
        <v>7779381.5225487947</v>
      </c>
      <c r="X235" s="202">
        <v>11185289.404402986</v>
      </c>
      <c r="Y235" s="202">
        <v>-129120.77538390458</v>
      </c>
      <c r="Z235" s="202">
        <v>-2390578.6819301993</v>
      </c>
    </row>
    <row r="236" spans="18:26" ht="15.75" customHeight="1">
      <c r="R236" s="129">
        <v>199</v>
      </c>
      <c r="S236" s="202">
        <v>10758843.310787573</v>
      </c>
      <c r="T236" s="202">
        <v>1374897.9533575028</v>
      </c>
      <c r="U236" s="202">
        <v>5715655.1921280921</v>
      </c>
      <c r="V236" s="202">
        <v>7011870.3852111548</v>
      </c>
      <c r="W236" s="202">
        <v>861463.91913740337</v>
      </c>
      <c r="X236" s="202">
        <v>2326682.0588880181</v>
      </c>
      <c r="Y236" s="202">
        <v>-5009966.77916044</v>
      </c>
      <c r="Z236" s="202">
        <v>8613618.3712490499</v>
      </c>
    </row>
    <row r="237" spans="18:26" ht="15.75" customHeight="1">
      <c r="R237" s="129">
        <v>200</v>
      </c>
      <c r="S237" s="202">
        <v>16190276.990995571</v>
      </c>
      <c r="T237" s="202">
        <v>-338114.11674056947</v>
      </c>
      <c r="U237" s="202">
        <v>-663999.42381879687</v>
      </c>
      <c r="V237" s="202">
        <v>779822.07838848233</v>
      </c>
      <c r="W237" s="202">
        <v>844335.5553111881</v>
      </c>
      <c r="X237" s="202">
        <v>-619332.2611938715</v>
      </c>
      <c r="Y237" s="202">
        <v>1474460.5412959605</v>
      </c>
      <c r="Z237" s="202">
        <v>-1232848.6196423769</v>
      </c>
    </row>
  </sheetData>
  <mergeCells count="2">
    <mergeCell ref="C38:D38"/>
    <mergeCell ref="E38:F38"/>
  </mergeCells>
  <conditionalFormatting sqref="S33:Z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212EE70A1B6D44C821EC82D3F1B3010" ma:contentTypeVersion="10" ma:contentTypeDescription="Utwórz nowy dokument." ma:contentTypeScope="" ma:versionID="7a861814c81eb88f0287ab6149e0b4f0">
  <xsd:schema xmlns:xsd="http://www.w3.org/2001/XMLSchema" xmlns:xs="http://www.w3.org/2001/XMLSchema" xmlns:p="http://schemas.microsoft.com/office/2006/metadata/properties" xmlns:ns3="350dd394-6f0d-4eee-8198-1dd585f2e005" targetNamespace="http://schemas.microsoft.com/office/2006/metadata/properties" ma:root="true" ma:fieldsID="d1d167ab669a3684406ad2f123647bcc" ns3:_="">
    <xsd:import namespace="350dd394-6f0d-4eee-8198-1dd585f2e00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_activity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0dd394-6f0d-4eee-8198-1dd585f2e0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50dd394-6f0d-4eee-8198-1dd585f2e005" xsi:nil="true"/>
  </documentManagement>
</p:properties>
</file>

<file path=customXml/itemProps1.xml><?xml version="1.0" encoding="utf-8"?>
<ds:datastoreItem xmlns:ds="http://schemas.openxmlformats.org/officeDocument/2006/customXml" ds:itemID="{91B71D8D-7C67-4117-ABCA-44A1A70E79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0dd394-6f0d-4eee-8198-1dd585f2e0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1ABEF7-735E-418E-96F7-00887503093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72F849-DD5A-4061-980D-E46AF2DEA87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purl.org/dc/terms/"/>
    <ds:schemaRef ds:uri="http://purl.org/dc/dcmitype/"/>
    <ds:schemaRef ds:uri="350dd394-6f0d-4eee-8198-1dd585f2e005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164e1b0e-c8e5-41a9-9bbb-6f7ed40eef04}" enabled="0" method="" siteId="{164e1b0e-c8e5-41a9-9bbb-6f7ed40eef0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19</vt:i4>
      </vt:variant>
    </vt:vector>
  </HeadingPairs>
  <TitlesOfParts>
    <vt:vector size="19" baseType="lpstr">
      <vt:lpstr>Koszty napraw</vt:lpstr>
      <vt:lpstr>Podsumowanie</vt:lpstr>
      <vt:lpstr>Analiza dwuczynnikowa final</vt:lpstr>
      <vt:lpstr>Model 150%</vt:lpstr>
      <vt:lpstr>Model 140%</vt:lpstr>
      <vt:lpstr>Model 130%</vt:lpstr>
      <vt:lpstr>Model 120%</vt:lpstr>
      <vt:lpstr>Model 110%</vt:lpstr>
      <vt:lpstr>Model 100%</vt:lpstr>
      <vt:lpstr>Model 90%</vt:lpstr>
      <vt:lpstr>Model 80%</vt:lpstr>
      <vt:lpstr>Model 70%</vt:lpstr>
      <vt:lpstr>Przychody z biletów + analiza</vt:lpstr>
      <vt:lpstr>Wyniki regresji</vt:lpstr>
      <vt:lpstr>Scenariusz</vt:lpstr>
      <vt:lpstr>REGRESJA</vt:lpstr>
      <vt:lpstr>Koszty napraw_old</vt:lpstr>
      <vt:lpstr>Koszty pracowników</vt:lpstr>
      <vt:lpstr>Koszty paliwa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Jozek Nanowski</dc:creator>
  <cp:keywords/>
  <dc:description/>
  <cp:lastModifiedBy>Józef Nanowski</cp:lastModifiedBy>
  <cp:revision/>
  <dcterms:created xsi:type="dcterms:W3CDTF">2026-01-08T12:57:01Z</dcterms:created>
  <dcterms:modified xsi:type="dcterms:W3CDTF">2026-01-11T19:27:54Z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0x010100C212EE70A1B6D44C821EC82D3F1B3010</vt:lpwstr>
  </property>
</Properties>
</file>