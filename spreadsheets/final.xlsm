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en_skoroszyt"/>
  <mc:AlternateContent xmlns:mc="http://schemas.openxmlformats.org/markup-compatibility/2006">
    <mc:Choice Requires="x15">
      <x15ac:absPath xmlns:x15ac="http://schemas.microsoft.com/office/spreadsheetml/2010/11/ac" url="https://sghedu-my.sharepoint.com/personal/jn130617_student_sgh_waw_pl/Documents/"/>
    </mc:Choice>
  </mc:AlternateContent>
  <xr:revisionPtr revIDLastSave="3795" documentId="8_{36CF888D-2EE0-4195-A32E-3D2B10CEB6CF}" xr6:coauthVersionLast="47" xr6:coauthVersionMax="47" xr10:uidLastSave="{8FEFC5A0-4725-43FA-B992-B6F864A1C75D}"/>
  <bookViews>
    <workbookView xWindow="4032" yWindow="1356" windowWidth="23040" windowHeight="12168" firstSheet="8" activeTab="13" xr2:uid="{00000000-000D-0000-FFFF-FFFF00000000}"/>
  </bookViews>
  <sheets>
    <sheet name="Podsumowanie" sheetId="1" r:id="rId1"/>
    <sheet name="Analiza dwuczynnikowa final" sheetId="49" r:id="rId2"/>
    <sheet name="Model 150%" sheetId="44" r:id="rId3"/>
    <sheet name="Model 140%" sheetId="43" r:id="rId4"/>
    <sheet name="Model 130%" sheetId="40" r:id="rId5"/>
    <sheet name="Model 120%" sheetId="39" r:id="rId6"/>
    <sheet name="Model 110%" sheetId="38" r:id="rId7"/>
    <sheet name="Model 100%" sheetId="37" r:id="rId8"/>
    <sheet name="Model 90%" sheetId="46" r:id="rId9"/>
    <sheet name="Model 80%" sheetId="47" r:id="rId10"/>
    <sheet name="Model 70%" sheetId="48" r:id="rId11"/>
    <sheet name="Przychody z biletów + analiza" sheetId="2" r:id="rId12"/>
    <sheet name="REGRESJA" sheetId="53" r:id="rId13"/>
    <sheet name="Koszty napraw" sheetId="50" r:id="rId14"/>
    <sheet name="Koszty pracowników" sheetId="8" r:id="rId15"/>
    <sheet name="Koszty paliwa" sheetId="6" r:id="rId16"/>
  </sheets>
  <definedNames>
    <definedName name="_xleta.SUM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R115" i="50" l="1"/>
  <c r="C9" i="8"/>
  <c r="T33" i="6"/>
  <c r="U33" i="6"/>
  <c r="V33" i="6"/>
  <c r="W33" i="6"/>
  <c r="X33" i="6"/>
  <c r="Y33" i="6"/>
  <c r="Z33" i="6"/>
  <c r="S33" i="6"/>
  <c r="H16" i="8"/>
  <c r="I16" i="8"/>
  <c r="J16" i="8"/>
  <c r="K16" i="8"/>
  <c r="L16" i="8"/>
  <c r="M16" i="8"/>
  <c r="N16" i="8"/>
  <c r="O16" i="8"/>
  <c r="P16" i="8"/>
  <c r="G16" i="8"/>
  <c r="P5" i="8"/>
  <c r="P6" i="8"/>
  <c r="C10" i="8"/>
  <c r="A8" i="6"/>
  <c r="A7" i="6"/>
  <c r="A6" i="6"/>
  <c r="A23" i="6"/>
  <c r="AF70" i="50"/>
  <c r="AG70" i="50"/>
  <c r="AH70" i="50"/>
  <c r="AI70" i="50"/>
  <c r="AJ70" i="50"/>
  <c r="AK70" i="50"/>
  <c r="AL70" i="50"/>
  <c r="AM70" i="50"/>
  <c r="AE70" i="50"/>
  <c r="AC25" i="1" a="1"/>
  <c r="AC25" i="1" s="1"/>
  <c r="Q5" i="8" l="1"/>
  <c r="AJ2" i="50"/>
  <c r="AI2" i="50" s="1"/>
  <c r="AG2" i="50" s="1"/>
  <c r="C14" i="2"/>
  <c r="D2" i="50"/>
  <c r="D3" i="50"/>
  <c r="AO3" i="50"/>
  <c r="D4" i="50"/>
  <c r="D5" i="50"/>
  <c r="D6" i="50"/>
  <c r="D7" i="50"/>
  <c r="D8" i="50"/>
  <c r="D9" i="50"/>
  <c r="D10" i="50"/>
  <c r="D11" i="50"/>
  <c r="D12" i="50"/>
  <c r="D13" i="50"/>
  <c r="D14" i="50"/>
  <c r="D15" i="50"/>
  <c r="D16" i="50"/>
  <c r="D17" i="50"/>
  <c r="D18" i="50"/>
  <c r="D19" i="50"/>
  <c r="D20" i="50"/>
  <c r="D21" i="50"/>
  <c r="D22" i="50"/>
  <c r="D23" i="50"/>
  <c r="D24" i="50"/>
  <c r="D25" i="50"/>
  <c r="D26" i="50"/>
  <c r="D27" i="50"/>
  <c r="D28" i="50"/>
  <c r="D29" i="50"/>
  <c r="D30" i="50"/>
  <c r="D31" i="50"/>
  <c r="D32" i="50"/>
  <c r="D33" i="50"/>
  <c r="D34" i="50"/>
  <c r="D35" i="50"/>
  <c r="D36" i="50"/>
  <c r="D37" i="50"/>
  <c r="D38" i="50"/>
  <c r="D39" i="50"/>
  <c r="D40" i="50"/>
  <c r="D41" i="50"/>
  <c r="D42" i="50"/>
  <c r="D43" i="50"/>
  <c r="D44" i="50"/>
  <c r="D45" i="50"/>
  <c r="D46" i="50"/>
  <c r="D47" i="50"/>
  <c r="D48" i="50"/>
  <c r="D49" i="50"/>
  <c r="D50" i="50"/>
  <c r="D51" i="50"/>
  <c r="D52" i="50"/>
  <c r="D53" i="50"/>
  <c r="D54" i="50"/>
  <c r="D55" i="50"/>
  <c r="D56" i="50"/>
  <c r="D57" i="50"/>
  <c r="D58" i="50"/>
  <c r="D59" i="50"/>
  <c r="D60" i="50"/>
  <c r="D61" i="50"/>
  <c r="D62" i="50"/>
  <c r="D63" i="50"/>
  <c r="D64" i="50"/>
  <c r="D65" i="50"/>
  <c r="D66" i="50"/>
  <c r="D67" i="50"/>
  <c r="D68" i="50"/>
  <c r="D69" i="50"/>
  <c r="D70" i="50"/>
  <c r="D71" i="50"/>
  <c r="D72" i="50"/>
  <c r="D73" i="50"/>
  <c r="D74" i="50"/>
  <c r="D75" i="50"/>
  <c r="D76" i="50"/>
  <c r="D77" i="50"/>
  <c r="D78" i="50"/>
  <c r="D79" i="50"/>
  <c r="D80" i="50"/>
  <c r="D81" i="50"/>
  <c r="D82" i="50"/>
  <c r="D83" i="50"/>
  <c r="D84" i="50"/>
  <c r="D85" i="50"/>
  <c r="D86" i="50"/>
  <c r="D87" i="50"/>
  <c r="D88" i="50"/>
  <c r="D89" i="50"/>
  <c r="D90" i="50"/>
  <c r="D91" i="50"/>
  <c r="D92" i="50"/>
  <c r="D93" i="50"/>
  <c r="D94" i="50"/>
  <c r="D95" i="50"/>
  <c r="D96" i="50"/>
  <c r="D97" i="50"/>
  <c r="D98" i="50"/>
  <c r="D99" i="50"/>
  <c r="D100" i="50"/>
  <c r="D101" i="50"/>
  <c r="D102" i="50"/>
  <c r="D103" i="50"/>
  <c r="D104" i="50"/>
  <c r="D105" i="50"/>
  <c r="D106" i="50"/>
  <c r="D107" i="50"/>
  <c r="D108" i="50"/>
  <c r="D109" i="50"/>
  <c r="D110" i="50"/>
  <c r="D111" i="50"/>
  <c r="D112" i="50"/>
  <c r="D113" i="50"/>
  <c r="D114" i="50"/>
  <c r="D115" i="50"/>
  <c r="D116" i="50"/>
  <c r="D117" i="50"/>
  <c r="D118" i="50"/>
  <c r="D119" i="50"/>
  <c r="D120" i="50"/>
  <c r="D121" i="50"/>
  <c r="D122" i="50"/>
  <c r="D123" i="50"/>
  <c r="D124" i="50"/>
  <c r="D125" i="50"/>
  <c r="D126" i="50"/>
  <c r="D127" i="50"/>
  <c r="D128" i="50"/>
  <c r="D129" i="50"/>
  <c r="D130" i="50"/>
  <c r="D131" i="50"/>
  <c r="D132" i="50"/>
  <c r="D133" i="50"/>
  <c r="D134" i="50"/>
  <c r="D135" i="50"/>
  <c r="D136" i="50"/>
  <c r="D137" i="50"/>
  <c r="D138" i="50"/>
  <c r="D139" i="50"/>
  <c r="D140" i="50"/>
  <c r="D141" i="50"/>
  <c r="Z25" i="1" a="1"/>
  <c r="Z25" i="1" s="1"/>
  <c r="J3" i="1"/>
  <c r="S13" i="2"/>
  <c r="T13" i="2"/>
  <c r="U13" i="2"/>
  <c r="V13" i="2"/>
  <c r="W13" i="2"/>
  <c r="X13" i="2"/>
  <c r="Y13" i="2"/>
  <c r="Z13" i="2"/>
  <c r="AA13" i="2"/>
  <c r="AB13" i="2"/>
  <c r="AC13" i="2"/>
  <c r="AD13" i="2"/>
  <c r="AE13" i="2"/>
  <c r="AF13" i="2"/>
  <c r="AG13" i="2"/>
  <c r="R13" i="2"/>
  <c r="D3" i="48"/>
  <c r="E3" i="48"/>
  <c r="F3" i="48"/>
  <c r="G3" i="48"/>
  <c r="H3" i="48"/>
  <c r="I3" i="48"/>
  <c r="C3" i="48"/>
  <c r="C5" i="49"/>
  <c r="C3" i="47"/>
  <c r="D3" i="47"/>
  <c r="E3" i="47"/>
  <c r="F3" i="47"/>
  <c r="G3" i="47"/>
  <c r="H3" i="47"/>
  <c r="I3" i="47"/>
  <c r="D4" i="46"/>
  <c r="E4" i="46"/>
  <c r="F4" i="46"/>
  <c r="G4" i="46"/>
  <c r="H4" i="46"/>
  <c r="I4" i="46"/>
  <c r="C4" i="46"/>
  <c r="D4" i="44"/>
  <c r="E4" i="44"/>
  <c r="F4" i="44"/>
  <c r="G4" i="44"/>
  <c r="H4" i="44"/>
  <c r="I4" i="44"/>
  <c r="C4" i="44"/>
  <c r="D4" i="43"/>
  <c r="E4" i="43"/>
  <c r="F4" i="43"/>
  <c r="G4" i="43"/>
  <c r="H4" i="43"/>
  <c r="I4" i="43"/>
  <c r="C4" i="43"/>
  <c r="P19" i="1"/>
  <c r="Q19" i="1"/>
  <c r="R19" i="1"/>
  <c r="S19" i="1"/>
  <c r="T19" i="1"/>
  <c r="U19" i="1"/>
  <c r="O19" i="1"/>
  <c r="D4" i="40"/>
  <c r="E4" i="40"/>
  <c r="F4" i="40"/>
  <c r="G4" i="40"/>
  <c r="H4" i="40"/>
  <c r="I4" i="40"/>
  <c r="C4" i="40"/>
  <c r="D4" i="39"/>
  <c r="E4" i="39"/>
  <c r="F4" i="39"/>
  <c r="G4" i="39"/>
  <c r="H4" i="39"/>
  <c r="I4" i="39"/>
  <c r="C4" i="39"/>
  <c r="D4" i="38"/>
  <c r="E4" i="38"/>
  <c r="F4" i="38"/>
  <c r="G4" i="38"/>
  <c r="H4" i="38"/>
  <c r="I4" i="38"/>
  <c r="C4" i="38"/>
  <c r="D3" i="37"/>
  <c r="E3" i="37"/>
  <c r="F3" i="37"/>
  <c r="G3" i="37"/>
  <c r="H3" i="37"/>
  <c r="I3" i="37"/>
  <c r="C3" i="37"/>
  <c r="U24" i="1"/>
  <c r="T24" i="1"/>
  <c r="S24" i="1"/>
  <c r="O24" i="1"/>
  <c r="P24" i="1"/>
  <c r="Q24" i="1"/>
  <c r="C13" i="8"/>
  <c r="C12" i="8"/>
  <c r="C11" i="8"/>
  <c r="J15" i="2"/>
  <c r="C3" i="1"/>
  <c r="D3" i="1"/>
  <c r="E3" i="1"/>
  <c r="F3" i="1"/>
  <c r="G3" i="1"/>
  <c r="H3" i="1"/>
  <c r="I3" i="1"/>
  <c r="C4" i="1"/>
  <c r="D4" i="1"/>
  <c r="E4" i="1"/>
  <c r="F4" i="1"/>
  <c r="G4" i="1"/>
  <c r="H4" i="1"/>
  <c r="I4" i="1"/>
  <c r="J4" i="1"/>
  <c r="B4" i="1"/>
  <c r="B3" i="1"/>
  <c r="C2" i="1"/>
  <c r="D2" i="1"/>
  <c r="E2" i="1"/>
  <c r="F2" i="1"/>
  <c r="G2" i="1"/>
  <c r="H2" i="1"/>
  <c r="I2" i="1"/>
  <c r="J2" i="1"/>
  <c r="B2" i="1"/>
  <c r="Q15" i="1"/>
  <c r="Q14" i="1"/>
  <c r="P14" i="1"/>
  <c r="O14" i="1"/>
  <c r="Q9" i="1"/>
  <c r="P9" i="1"/>
  <c r="Q10" i="1"/>
  <c r="Q11" i="1" s="1"/>
  <c r="P10" i="1"/>
  <c r="P11" i="1" s="1"/>
  <c r="O10" i="1"/>
  <c r="O11" i="1" s="1"/>
  <c r="O9" i="1"/>
  <c r="P3" i="8"/>
  <c r="Q3" i="8" s="1"/>
  <c r="P4" i="8"/>
  <c r="A22" i="6"/>
  <c r="C16" i="2"/>
  <c r="F15" i="2"/>
  <c r="K9" i="2"/>
  <c r="K17" i="2" s="1"/>
  <c r="J9" i="2"/>
  <c r="J17" i="2" s="1"/>
  <c r="I9" i="2"/>
  <c r="I17" i="2" s="1"/>
  <c r="E9" i="2"/>
  <c r="D9" i="2"/>
  <c r="D17" i="2" s="1"/>
  <c r="C9" i="2"/>
  <c r="K8" i="2"/>
  <c r="K16" i="2" s="1"/>
  <c r="J8" i="2"/>
  <c r="J16" i="2" s="1"/>
  <c r="I8" i="2"/>
  <c r="I16" i="2" s="1"/>
  <c r="E8" i="2"/>
  <c r="E16" i="2" s="1"/>
  <c r="D8" i="2"/>
  <c r="C8" i="2"/>
  <c r="L7" i="2"/>
  <c r="L15" i="2" s="1"/>
  <c r="K7" i="2"/>
  <c r="K15" i="2" s="1"/>
  <c r="J7" i="2"/>
  <c r="I7" i="2"/>
  <c r="I15" i="2" s="1"/>
  <c r="F7" i="2"/>
  <c r="E7" i="2"/>
  <c r="E15" i="2" s="1"/>
  <c r="D7" i="2"/>
  <c r="C7" i="2"/>
  <c r="C15" i="2" s="1"/>
  <c r="L6" i="2"/>
  <c r="L14" i="2" s="1"/>
  <c r="K6" i="2"/>
  <c r="K14" i="2" s="1"/>
  <c r="J6" i="2"/>
  <c r="J14" i="2" s="1"/>
  <c r="I6" i="2"/>
  <c r="I14" i="2" s="1"/>
  <c r="F6" i="2"/>
  <c r="F14" i="2" s="1"/>
  <c r="E6" i="2"/>
  <c r="E14" i="2" s="1"/>
  <c r="D6" i="2"/>
  <c r="D14" i="2" s="1"/>
  <c r="C6" i="2"/>
  <c r="AH3" i="50" l="1"/>
  <c r="AJ3" i="50"/>
  <c r="C22" i="2"/>
  <c r="E23" i="2"/>
  <c r="E13" i="6"/>
  <c r="F23" i="2"/>
  <c r="E14" i="6"/>
  <c r="D28" i="6"/>
  <c r="E29" i="6"/>
  <c r="D12" i="6"/>
  <c r="D22" i="2"/>
  <c r="E22" i="2"/>
  <c r="F22" i="2"/>
  <c r="D25" i="2"/>
  <c r="C23" i="2"/>
  <c r="E25" i="2"/>
  <c r="D23" i="2"/>
  <c r="C25" i="2"/>
  <c r="E24" i="2"/>
  <c r="D24" i="2"/>
  <c r="O13" i="1"/>
  <c r="P12" i="1"/>
  <c r="Q13" i="1"/>
  <c r="Q12" i="1"/>
  <c r="P13" i="1"/>
  <c r="O12" i="1"/>
  <c r="C24" i="2"/>
  <c r="D29" i="6"/>
  <c r="C12" i="6"/>
  <c r="E28" i="6"/>
  <c r="C14" i="6"/>
  <c r="C17" i="2"/>
  <c r="E17" i="2"/>
  <c r="D15" i="2"/>
  <c r="D16" i="2"/>
  <c r="E12" i="6"/>
  <c r="C13" i="6"/>
  <c r="C29" i="6"/>
  <c r="D13" i="6"/>
  <c r="D14" i="6"/>
  <c r="C28" i="6"/>
  <c r="C30" i="2" l="1"/>
  <c r="AI3" i="50"/>
  <c r="AJ4" i="50"/>
  <c r="E15" i="6"/>
  <c r="D30" i="6"/>
  <c r="E30" i="6"/>
  <c r="C31" i="2"/>
  <c r="C15" i="6"/>
  <c r="D15" i="6"/>
  <c r="C30" i="6"/>
  <c r="C34" i="6" l="1"/>
  <c r="D9" i="1" s="1"/>
  <c r="AG3" i="50"/>
  <c r="AH4" i="50"/>
  <c r="AJ5" i="50"/>
  <c r="AI4" i="50"/>
  <c r="B9" i="1"/>
  <c r="C9" i="1" s="1"/>
  <c r="AG4" i="50" l="1"/>
  <c r="AH5" i="50"/>
  <c r="AJ6" i="50"/>
  <c r="AI5" i="50"/>
  <c r="I9" i="1"/>
  <c r="AG5" i="50" l="1"/>
  <c r="AH6" i="50"/>
  <c r="AJ7" i="50"/>
  <c r="AI6" i="50"/>
  <c r="AG6" i="50" l="1"/>
  <c r="AH7" i="50"/>
  <c r="AJ8" i="50"/>
  <c r="AI7" i="50"/>
  <c r="AH8" i="50" s="1"/>
  <c r="AG7" i="50" l="1"/>
  <c r="AJ9" i="50"/>
  <c r="AI8" i="50"/>
  <c r="AG8" i="50" l="1"/>
  <c r="AH9" i="50"/>
  <c r="AJ10" i="50"/>
  <c r="AI9" i="50"/>
  <c r="AG9" i="50" l="1"/>
  <c r="AH10" i="50"/>
  <c r="AJ11" i="50"/>
  <c r="AI10" i="50"/>
  <c r="AH11" i="50" s="1"/>
  <c r="E12" i="50" l="1"/>
  <c r="E38" i="50"/>
  <c r="E42" i="50"/>
  <c r="M42" i="50" s="1"/>
  <c r="E49" i="50"/>
  <c r="E139" i="50"/>
  <c r="E140" i="50"/>
  <c r="E74" i="50"/>
  <c r="E55" i="50"/>
  <c r="E124" i="50"/>
  <c r="E46" i="50"/>
  <c r="E87" i="50"/>
  <c r="E10" i="50"/>
  <c r="E65" i="50"/>
  <c r="E95" i="50"/>
  <c r="E115" i="50"/>
  <c r="E52" i="50"/>
  <c r="E75" i="50"/>
  <c r="E63" i="50"/>
  <c r="E102" i="50"/>
  <c r="E79" i="50"/>
  <c r="E31" i="50"/>
  <c r="E141" i="50"/>
  <c r="E121" i="50"/>
  <c r="E134" i="50"/>
  <c r="E56" i="50"/>
  <c r="E48" i="50"/>
  <c r="E44" i="50"/>
  <c r="E116" i="50"/>
  <c r="E25" i="50"/>
  <c r="E130" i="50"/>
  <c r="E92" i="50"/>
  <c r="E50" i="50"/>
  <c r="E51" i="50"/>
  <c r="E90" i="50"/>
  <c r="E6" i="50"/>
  <c r="E101" i="50"/>
  <c r="E23" i="50"/>
  <c r="E122" i="50"/>
  <c r="AG10" i="50"/>
  <c r="AJ12" i="50"/>
  <c r="AI12" i="50" s="1"/>
  <c r="AI11" i="50"/>
  <c r="AG11" i="50" l="1"/>
  <c r="AH12" i="50"/>
  <c r="E35" i="50" s="1"/>
  <c r="AG12" i="50"/>
  <c r="Q4" i="8"/>
  <c r="R5" i="8"/>
  <c r="R3" i="8"/>
  <c r="E98" i="50" l="1"/>
  <c r="E83" i="50"/>
  <c r="E89" i="50"/>
  <c r="E39" i="50"/>
  <c r="E36" i="50"/>
  <c r="E93" i="50"/>
  <c r="E118" i="50"/>
  <c r="E62" i="50"/>
  <c r="E43" i="50"/>
  <c r="E109" i="50"/>
  <c r="E136" i="50"/>
  <c r="E73" i="50"/>
  <c r="E84" i="50"/>
  <c r="E82" i="50"/>
  <c r="E4" i="50"/>
  <c r="E22" i="50"/>
  <c r="E106" i="50"/>
  <c r="E20" i="50"/>
  <c r="E14" i="50"/>
  <c r="E7" i="50"/>
  <c r="E2" i="50"/>
  <c r="E129" i="50"/>
  <c r="E47" i="50"/>
  <c r="K47" i="50" s="1"/>
  <c r="E69" i="50"/>
  <c r="E17" i="50"/>
  <c r="E68" i="50"/>
  <c r="E67" i="50"/>
  <c r="E94" i="50"/>
  <c r="E128" i="50"/>
  <c r="E41" i="50"/>
  <c r="E60" i="50"/>
  <c r="E97" i="50"/>
  <c r="E15" i="50"/>
  <c r="E127" i="50"/>
  <c r="E114" i="50"/>
  <c r="E117" i="50"/>
  <c r="E112" i="50"/>
  <c r="E3" i="50"/>
  <c r="E27" i="50"/>
  <c r="E126" i="50"/>
  <c r="E103" i="50"/>
  <c r="E131" i="50"/>
  <c r="E120" i="50"/>
  <c r="E104" i="50"/>
  <c r="E19" i="50"/>
  <c r="E85" i="50"/>
  <c r="E33" i="50"/>
  <c r="E58" i="50"/>
  <c r="E105" i="50"/>
  <c r="E71" i="50"/>
  <c r="E32" i="50"/>
  <c r="E110" i="50"/>
  <c r="E132" i="50"/>
  <c r="E137" i="50"/>
  <c r="E28" i="50"/>
  <c r="L28" i="50" s="1"/>
  <c r="E138" i="50"/>
  <c r="E61" i="50"/>
  <c r="E57" i="50"/>
  <c r="E78" i="50"/>
  <c r="E113" i="50"/>
  <c r="E125" i="50"/>
  <c r="E24" i="50"/>
  <c r="E30" i="50"/>
  <c r="E107" i="50"/>
  <c r="E29" i="50"/>
  <c r="E13" i="50"/>
  <c r="E54" i="50"/>
  <c r="E9" i="50"/>
  <c r="E26" i="50"/>
  <c r="E133" i="50"/>
  <c r="E8" i="50"/>
  <c r="E11" i="50"/>
  <c r="E70" i="50"/>
  <c r="E80" i="50"/>
  <c r="E96" i="50"/>
  <c r="E100" i="50"/>
  <c r="E99" i="50"/>
  <c r="E135" i="50"/>
  <c r="E86" i="50"/>
  <c r="E72" i="50"/>
  <c r="E59" i="50"/>
  <c r="E91" i="50"/>
  <c r="E34" i="50"/>
  <c r="M34" i="50" s="1"/>
  <c r="E77" i="50"/>
  <c r="E123" i="50"/>
  <c r="E37" i="50"/>
  <c r="E18" i="50"/>
  <c r="E45" i="50"/>
  <c r="E119" i="50"/>
  <c r="E21" i="50"/>
  <c r="E81" i="50"/>
  <c r="E5" i="50"/>
  <c r="E40" i="50"/>
  <c r="E88" i="50"/>
  <c r="E66" i="50"/>
  <c r="E64" i="50"/>
  <c r="E16" i="50"/>
  <c r="E111" i="50"/>
  <c r="E76" i="50"/>
  <c r="E53" i="50"/>
  <c r="E108" i="50"/>
  <c r="R4" i="8"/>
  <c r="Q6" i="8"/>
  <c r="R6" i="8" s="1"/>
  <c r="S6" i="8" s="1"/>
  <c r="T6" i="8" s="1"/>
  <c r="K39" i="50" l="1"/>
  <c r="L39" i="50"/>
  <c r="W39" i="50" s="1"/>
  <c r="K41" i="50"/>
  <c r="J41" i="50"/>
  <c r="AM12" i="50"/>
  <c r="AM7" i="50"/>
  <c r="AM4" i="50"/>
  <c r="AM5" i="50"/>
  <c r="AM9" i="50"/>
  <c r="AM3" i="50"/>
  <c r="AM2" i="50"/>
  <c r="AM11" i="50"/>
  <c r="AM10" i="50"/>
  <c r="AM8" i="50"/>
  <c r="AM6" i="50"/>
  <c r="E9" i="1"/>
  <c r="AR14" i="50" l="1"/>
  <c r="K2" i="50"/>
  <c r="V2" i="50" s="1"/>
  <c r="F2" i="50"/>
  <c r="Q2" i="50" s="1"/>
  <c r="H2" i="50"/>
  <c r="S2" i="50" s="1"/>
  <c r="L2" i="50"/>
  <c r="W2" i="50" s="1"/>
  <c r="G2" i="50"/>
  <c r="R2" i="50" s="1"/>
  <c r="J2" i="50"/>
  <c r="U2" i="50" s="1"/>
  <c r="O2" i="50"/>
  <c r="Z2" i="50" s="1"/>
  <c r="N2" i="50"/>
  <c r="Y2" i="50" s="1"/>
  <c r="I2" i="50"/>
  <c r="T2" i="50" s="1"/>
  <c r="M2" i="50"/>
  <c r="X2" i="50" s="1"/>
  <c r="AA2" i="50" l="1"/>
  <c r="I97" i="50" l="1"/>
  <c r="T97" i="50" s="1"/>
  <c r="L97" i="50"/>
  <c r="W97" i="50" s="1"/>
  <c r="K97" i="50"/>
  <c r="V97" i="50" s="1"/>
  <c r="H97" i="50" l="1"/>
  <c r="S97" i="50" s="1"/>
  <c r="G97" i="50"/>
  <c r="R97" i="50" s="1"/>
  <c r="J97" i="50"/>
  <c r="U97" i="50" s="1"/>
  <c r="O97" i="50"/>
  <c r="Z97" i="50" s="1"/>
  <c r="N97" i="50"/>
  <c r="Y97" i="50" s="1"/>
  <c r="F97" i="50"/>
  <c r="Q97" i="50" s="1"/>
  <c r="M97" i="50"/>
  <c r="X97" i="50" s="1"/>
  <c r="AA97" i="50" l="1"/>
  <c r="N85" i="50"/>
  <c r="Y85" i="50" s="1"/>
  <c r="I83" i="50"/>
  <c r="T83" i="50" s="1"/>
  <c r="G41" i="50"/>
  <c r="R41" i="50" s="1"/>
  <c r="M85" i="50"/>
  <c r="X85" i="50" s="1"/>
  <c r="H109" i="50"/>
  <c r="S109" i="50" s="1"/>
  <c r="H54" i="50"/>
  <c r="S54" i="50" s="1"/>
  <c r="L109" i="50"/>
  <c r="W109" i="50" s="1"/>
  <c r="K135" i="50"/>
  <c r="V135" i="50" s="1"/>
  <c r="K107" i="50"/>
  <c r="V107" i="50" s="1"/>
  <c r="J36" i="50"/>
  <c r="U36" i="50" s="1"/>
  <c r="G85" i="50"/>
  <c r="R85" i="50" s="1"/>
  <c r="O85" i="50"/>
  <c r="Z85" i="50" s="1"/>
  <c r="U41" i="50"/>
  <c r="L36" i="50"/>
  <c r="W36" i="50" s="1"/>
  <c r="F51" i="50"/>
  <c r="Q51" i="50" s="1"/>
  <c r="G109" i="50"/>
  <c r="R109" i="50" s="1"/>
  <c r="K80" i="50"/>
  <c r="V80" i="50" s="1"/>
  <c r="J85" i="50"/>
  <c r="U85" i="50" s="1"/>
  <c r="N51" i="50"/>
  <c r="Y51" i="50" s="1"/>
  <c r="H80" i="50"/>
  <c r="S80" i="50" s="1"/>
  <c r="J51" i="50"/>
  <c r="U51" i="50" s="1"/>
  <c r="N135" i="50"/>
  <c r="Y135" i="50" s="1"/>
  <c r="N109" i="50"/>
  <c r="Y109" i="50" s="1"/>
  <c r="I109" i="50"/>
  <c r="T109" i="50" s="1"/>
  <c r="K51" i="50"/>
  <c r="V51" i="50" s="1"/>
  <c r="L135" i="50"/>
  <c r="W135" i="50" s="1"/>
  <c r="N41" i="50"/>
  <c r="Y41" i="50" s="1"/>
  <c r="H41" i="50"/>
  <c r="S41" i="50" s="1"/>
  <c r="M135" i="50"/>
  <c r="X135" i="50" s="1"/>
  <c r="I135" i="50"/>
  <c r="T135" i="50" s="1"/>
  <c r="I85" i="50"/>
  <c r="T85" i="50" s="1"/>
  <c r="H107" i="50"/>
  <c r="S107" i="50" s="1"/>
  <c r="N107" i="50"/>
  <c r="Y107" i="50" s="1"/>
  <c r="I51" i="50"/>
  <c r="T51" i="50" s="1"/>
  <c r="O80" i="50" l="1"/>
  <c r="Z80" i="50" s="1"/>
  <c r="N80" i="50"/>
  <c r="Y80" i="50" s="1"/>
  <c r="L80" i="50"/>
  <c r="W80" i="50" s="1"/>
  <c r="F80" i="50"/>
  <c r="Q80" i="50" s="1"/>
  <c r="G80" i="50"/>
  <c r="R80" i="50" s="1"/>
  <c r="M80" i="50"/>
  <c r="X80" i="50" s="1"/>
  <c r="I80" i="50"/>
  <c r="T80" i="50" s="1"/>
  <c r="J80" i="50"/>
  <c r="U80" i="50" s="1"/>
  <c r="N56" i="50"/>
  <c r="Y56" i="50" s="1"/>
  <c r="H56" i="50"/>
  <c r="S56" i="50" s="1"/>
  <c r="I56" i="50"/>
  <c r="T56" i="50" s="1"/>
  <c r="O56" i="50"/>
  <c r="Z56" i="50" s="1"/>
  <c r="F56" i="50"/>
  <c r="Q56" i="50" s="1"/>
  <c r="M56" i="50"/>
  <c r="X56" i="50" s="1"/>
  <c r="J56" i="50"/>
  <c r="U56" i="50" s="1"/>
  <c r="G56" i="50"/>
  <c r="R56" i="50" s="1"/>
  <c r="K56" i="50"/>
  <c r="V56" i="50" s="1"/>
  <c r="L56" i="50"/>
  <c r="W56" i="50" s="1"/>
  <c r="K54" i="50"/>
  <c r="V54" i="50" s="1"/>
  <c r="O54" i="50"/>
  <c r="Z54" i="50" s="1"/>
  <c r="L54" i="50"/>
  <c r="W54" i="50" s="1"/>
  <c r="J54" i="50"/>
  <c r="U54" i="50" s="1"/>
  <c r="M54" i="50"/>
  <c r="X54" i="50" s="1"/>
  <c r="F54" i="50"/>
  <c r="Q54" i="50" s="1"/>
  <c r="N54" i="50"/>
  <c r="Y54" i="50" s="1"/>
  <c r="G54" i="50"/>
  <c r="R54" i="50" s="1"/>
  <c r="I54" i="50"/>
  <c r="T54" i="50" s="1"/>
  <c r="L85" i="50"/>
  <c r="W85" i="50" s="1"/>
  <c r="K85" i="50"/>
  <c r="V85" i="50" s="1"/>
  <c r="H85" i="50"/>
  <c r="S85" i="50" s="1"/>
  <c r="G135" i="50"/>
  <c r="R135" i="50" s="1"/>
  <c r="I107" i="50"/>
  <c r="T107" i="50" s="1"/>
  <c r="H51" i="50"/>
  <c r="S51" i="50" s="1"/>
  <c r="G51" i="50"/>
  <c r="R51" i="50" s="1"/>
  <c r="L51" i="50"/>
  <c r="W51" i="50" s="1"/>
  <c r="M51" i="50"/>
  <c r="X51" i="50" s="1"/>
  <c r="F107" i="50"/>
  <c r="Q107" i="50" s="1"/>
  <c r="J135" i="50"/>
  <c r="U135" i="50" s="1"/>
  <c r="H135" i="50"/>
  <c r="S135" i="50" s="1"/>
  <c r="F135" i="50"/>
  <c r="Q135" i="50" s="1"/>
  <c r="O135" i="50"/>
  <c r="Z135" i="50" s="1"/>
  <c r="F85" i="50"/>
  <c r="Q85" i="50" s="1"/>
  <c r="K36" i="50"/>
  <c r="V36" i="50" s="1"/>
  <c r="O36" i="50"/>
  <c r="Z36" i="50" s="1"/>
  <c r="N36" i="50"/>
  <c r="Y36" i="50" s="1"/>
  <c r="H36" i="50"/>
  <c r="S36" i="50" s="1"/>
  <c r="I36" i="50"/>
  <c r="T36" i="50" s="1"/>
  <c r="M36" i="50"/>
  <c r="X36" i="50" s="1"/>
  <c r="J107" i="50"/>
  <c r="U107" i="50" s="1"/>
  <c r="M107" i="50"/>
  <c r="X107" i="50" s="1"/>
  <c r="O107" i="50"/>
  <c r="Z107" i="50" s="1"/>
  <c r="G107" i="50"/>
  <c r="R107" i="50" s="1"/>
  <c r="L41" i="50"/>
  <c r="W41" i="50" s="1"/>
  <c r="M41" i="50"/>
  <c r="X41" i="50" s="1"/>
  <c r="O41" i="50"/>
  <c r="Z41" i="50" s="1"/>
  <c r="V41" i="50"/>
  <c r="F41" i="50"/>
  <c r="Q41" i="50" s="1"/>
  <c r="I41" i="50"/>
  <c r="T41" i="50" s="1"/>
  <c r="L107" i="50"/>
  <c r="W107" i="50" s="1"/>
  <c r="K109" i="50"/>
  <c r="V109" i="50" s="1"/>
  <c r="F109" i="50"/>
  <c r="Q109" i="50" s="1"/>
  <c r="J109" i="50"/>
  <c r="U109" i="50" s="1"/>
  <c r="M109" i="50"/>
  <c r="X109" i="50" s="1"/>
  <c r="O109" i="50"/>
  <c r="Z109" i="50" s="1"/>
  <c r="G36" i="50"/>
  <c r="R36" i="50" s="1"/>
  <c r="O51" i="50"/>
  <c r="Z51" i="50" s="1"/>
  <c r="F36" i="50"/>
  <c r="Q36" i="50" s="1"/>
  <c r="K83" i="50"/>
  <c r="V83" i="50" s="1"/>
  <c r="M83" i="50"/>
  <c r="X83" i="50" s="1"/>
  <c r="G83" i="50"/>
  <c r="R83" i="50" s="1"/>
  <c r="O83" i="50"/>
  <c r="Z83" i="50" s="1"/>
  <c r="F83" i="50"/>
  <c r="Q83" i="50" s="1"/>
  <c r="J83" i="50"/>
  <c r="U83" i="50" s="1"/>
  <c r="L83" i="50"/>
  <c r="W83" i="50" s="1"/>
  <c r="H83" i="50"/>
  <c r="S83" i="50" s="1"/>
  <c r="N83" i="50"/>
  <c r="Y83" i="50" s="1"/>
  <c r="AA83" i="50" l="1"/>
  <c r="AA85" i="50"/>
  <c r="AA54" i="50"/>
  <c r="AA41" i="50"/>
  <c r="AA80" i="50"/>
  <c r="AA36" i="50"/>
  <c r="AA109" i="50"/>
  <c r="AA107" i="50"/>
  <c r="AA56" i="50"/>
  <c r="AA51" i="50"/>
  <c r="AA135" i="50"/>
  <c r="N114" i="50"/>
  <c r="Y114" i="50" s="1"/>
  <c r="N117" i="50"/>
  <c r="Y117" i="50" s="1"/>
  <c r="L66" i="50"/>
  <c r="W66" i="50" s="1"/>
  <c r="L69" i="50"/>
  <c r="W69" i="50" s="1"/>
  <c r="M131" i="50"/>
  <c r="X131" i="50" s="1"/>
  <c r="H88" i="50"/>
  <c r="S88" i="50" s="1"/>
  <c r="M90" i="50"/>
  <c r="X90" i="50" s="1"/>
  <c r="L141" i="50"/>
  <c r="W141" i="50" s="1"/>
  <c r="O64" i="50"/>
  <c r="Z64" i="50" s="1"/>
  <c r="K63" i="50"/>
  <c r="V63" i="50" s="1"/>
  <c r="F124" i="50"/>
  <c r="Q124" i="50" s="1"/>
  <c r="J11" i="50"/>
  <c r="U11" i="50" s="1"/>
  <c r="O124" i="50"/>
  <c r="Z124" i="50" s="1"/>
  <c r="G26" i="50"/>
  <c r="R26" i="50" s="1"/>
  <c r="O43" i="50"/>
  <c r="Z43" i="50" s="1"/>
  <c r="N73" i="50"/>
  <c r="Y73" i="50" s="1"/>
  <c r="J88" i="50"/>
  <c r="U88" i="50" s="1"/>
  <c r="H50" i="50"/>
  <c r="S50" i="50" s="1"/>
  <c r="G32" i="50"/>
  <c r="R32" i="50" s="1"/>
  <c r="O37" i="50"/>
  <c r="Z37" i="50" s="1"/>
  <c r="H61" i="50"/>
  <c r="S61" i="50" s="1"/>
  <c r="F89" i="50"/>
  <c r="Q89" i="50" s="1"/>
  <c r="F105" i="50"/>
  <c r="Q105" i="50" s="1"/>
  <c r="K10" i="50"/>
  <c r="V10" i="50" s="1"/>
  <c r="V47" i="50"/>
  <c r="N50" i="50"/>
  <c r="Y50" i="50" s="1"/>
  <c r="N23" i="50"/>
  <c r="Y23" i="50" s="1"/>
  <c r="G23" i="50"/>
  <c r="R23" i="50" s="1"/>
  <c r="N112" i="50"/>
  <c r="Y112" i="50" s="1"/>
  <c r="K118" i="50"/>
  <c r="V118" i="50" s="1"/>
  <c r="N4" i="50"/>
  <c r="Y4" i="50" s="1"/>
  <c r="I134" i="50"/>
  <c r="T134" i="50" s="1"/>
  <c r="O62" i="50"/>
  <c r="Z62" i="50" s="1"/>
  <c r="I50" i="50"/>
  <c r="T50" i="50" s="1"/>
  <c r="H95" i="50"/>
  <c r="S95" i="50" s="1"/>
  <c r="J5" i="50"/>
  <c r="U5" i="50" s="1"/>
  <c r="F110" i="50"/>
  <c r="Q110" i="50" s="1"/>
  <c r="M8" i="50"/>
  <c r="X8" i="50" s="1"/>
  <c r="I3" i="50"/>
  <c r="T3" i="50" s="1"/>
  <c r="H138" i="50"/>
  <c r="S138" i="50" s="1"/>
  <c r="H42" i="50"/>
  <c r="S42" i="50" s="1"/>
  <c r="L37" i="50"/>
  <c r="W37" i="50" s="1"/>
  <c r="N130" i="50"/>
  <c r="Y130" i="50" s="1"/>
  <c r="G132" i="50"/>
  <c r="R132" i="50" s="1"/>
  <c r="L130" i="50"/>
  <c r="W130" i="50" s="1"/>
  <c r="O136" i="50"/>
  <c r="Z136" i="50" s="1"/>
  <c r="L95" i="50"/>
  <c r="W95" i="50" s="1"/>
  <c r="H34" i="50"/>
  <c r="S34" i="50" s="1"/>
  <c r="H126" i="50"/>
  <c r="S126" i="50" s="1"/>
  <c r="M108" i="50"/>
  <c r="X108" i="50" s="1"/>
  <c r="K9" i="50"/>
  <c r="V9" i="50" s="1"/>
  <c r="J32" i="50"/>
  <c r="U32" i="50" s="1"/>
  <c r="F61" i="50"/>
  <c r="Q61" i="50" s="1"/>
  <c r="H91" i="50"/>
  <c r="S91" i="50" s="1"/>
  <c r="N82" i="50"/>
  <c r="Y82" i="50" s="1"/>
  <c r="K117" i="50"/>
  <c r="V117" i="50" s="1"/>
  <c r="M43" i="50"/>
  <c r="X43" i="50" s="1"/>
  <c r="G137" i="50"/>
  <c r="R137" i="50" s="1"/>
  <c r="O21" i="50"/>
  <c r="Z21" i="50" s="1"/>
  <c r="J130" i="50"/>
  <c r="U130" i="50" s="1"/>
  <c r="J62" i="50"/>
  <c r="U62" i="50" s="1"/>
  <c r="I29" i="50"/>
  <c r="T29" i="50" s="1"/>
  <c r="I20" i="50"/>
  <c r="T20" i="50" s="1"/>
  <c r="O137" i="50"/>
  <c r="Z137" i="50" s="1"/>
  <c r="N53" i="50"/>
  <c r="Y53" i="50" s="1"/>
  <c r="F43" i="50"/>
  <c r="Q43" i="50" s="1"/>
  <c r="J3" i="50"/>
  <c r="U3" i="50" s="1"/>
  <c r="N39" i="50"/>
  <c r="Y39" i="50" s="1"/>
  <c r="G95" i="50"/>
  <c r="R95" i="50" s="1"/>
  <c r="N125" i="50"/>
  <c r="Y125" i="50" s="1"/>
  <c r="K108" i="50"/>
  <c r="V108" i="50" s="1"/>
  <c r="J112" i="50"/>
  <c r="U112" i="50" s="1"/>
  <c r="K76" i="50"/>
  <c r="V76" i="50" s="1"/>
  <c r="M136" i="50"/>
  <c r="X136" i="50" s="1"/>
  <c r="K61" i="50"/>
  <c r="V61" i="50" s="1"/>
  <c r="L48" i="50"/>
  <c r="W48" i="50" s="1"/>
  <c r="I9" i="50"/>
  <c r="T9" i="50" s="1"/>
  <c r="N94" i="50"/>
  <c r="Y94" i="50" s="1"/>
  <c r="F40" i="50"/>
  <c r="Q40" i="50" s="1"/>
  <c r="I8" i="50"/>
  <c r="T8" i="50" s="1"/>
  <c r="M120" i="50"/>
  <c r="X120" i="50" s="1"/>
  <c r="N81" i="50"/>
  <c r="Y81" i="50" s="1"/>
  <c r="M55" i="50"/>
  <c r="X55" i="50" s="1"/>
  <c r="M73" i="50"/>
  <c r="X73" i="50" s="1"/>
  <c r="I136" i="50"/>
  <c r="T136" i="50" s="1"/>
  <c r="L61" i="50"/>
  <c r="W61" i="50" s="1"/>
  <c r="O34" i="50"/>
  <c r="Z34" i="50" s="1"/>
  <c r="K132" i="50"/>
  <c r="V132" i="50" s="1"/>
  <c r="F138" i="50"/>
  <c r="Q138" i="50" s="1"/>
  <c r="F28" i="50"/>
  <c r="Q28" i="50" s="1"/>
  <c r="I100" i="50"/>
  <c r="T100" i="50" s="1"/>
  <c r="M100" i="50"/>
  <c r="X100" i="50" s="1"/>
  <c r="L121" i="50"/>
  <c r="W121" i="50" s="1"/>
  <c r="G70" i="50"/>
  <c r="R70" i="50" s="1"/>
  <c r="F49" i="50"/>
  <c r="Q49" i="50" s="1"/>
  <c r="O102" i="50"/>
  <c r="Z102" i="50" s="1"/>
  <c r="M24" i="50"/>
  <c r="X24" i="50" s="1"/>
  <c r="J120" i="50"/>
  <c r="U120" i="50" s="1"/>
  <c r="F42" i="50"/>
  <c r="Q42" i="50" s="1"/>
  <c r="J115" i="50"/>
  <c r="U115" i="50" s="1"/>
  <c r="O96" i="50"/>
  <c r="Z96" i="50" s="1"/>
  <c r="F75" i="50"/>
  <c r="Q75" i="50" s="1"/>
  <c r="M12" i="50"/>
  <c r="X12" i="50" s="1"/>
  <c r="N30" i="50"/>
  <c r="Y30" i="50" s="1"/>
  <c r="M5" i="50"/>
  <c r="X5" i="50" s="1"/>
  <c r="I45" i="50"/>
  <c r="T45" i="50" s="1"/>
  <c r="I12" i="50"/>
  <c r="T12" i="50" s="1"/>
  <c r="M126" i="50"/>
  <c r="X126" i="50" s="1"/>
  <c r="H52" i="50"/>
  <c r="S52" i="50" s="1"/>
  <c r="M125" i="50"/>
  <c r="X125" i="50" s="1"/>
  <c r="J72" i="50"/>
  <c r="U72" i="50" s="1"/>
  <c r="G106" i="50"/>
  <c r="R106" i="50" s="1"/>
  <c r="O131" i="50"/>
  <c r="Z131" i="50" s="1"/>
  <c r="N100" i="50"/>
  <c r="Y100" i="50" s="1"/>
  <c r="K73" i="50"/>
  <c r="V73" i="50" s="1"/>
  <c r="O108" i="50"/>
  <c r="Z108" i="50" s="1"/>
  <c r="F66" i="50"/>
  <c r="Q66" i="50" s="1"/>
  <c r="O3" i="50"/>
  <c r="Z3" i="50" s="1"/>
  <c r="K16" i="50"/>
  <c r="V16" i="50" s="1"/>
  <c r="L55" i="50"/>
  <c r="W55" i="50" s="1"/>
  <c r="G89" i="50"/>
  <c r="R89" i="50" s="1"/>
  <c r="G21" i="50"/>
  <c r="R21" i="50" s="1"/>
  <c r="K69" i="50"/>
  <c r="V69" i="50" s="1"/>
  <c r="L140" i="50"/>
  <c r="W140" i="50" s="1"/>
  <c r="K34" i="50"/>
  <c r="V34" i="50" s="1"/>
  <c r="J106" i="50"/>
  <c r="U106" i="50" s="1"/>
  <c r="J14" i="50"/>
  <c r="U14" i="50" s="1"/>
  <c r="H69" i="50"/>
  <c r="S69" i="50" s="1"/>
  <c r="F62" i="50"/>
  <c r="Q62" i="50" s="1"/>
  <c r="O105" i="50"/>
  <c r="Z105" i="50" s="1"/>
  <c r="M72" i="50"/>
  <c r="X72" i="50" s="1"/>
  <c r="G16" i="50"/>
  <c r="R16" i="50" s="1"/>
  <c r="N29" i="50"/>
  <c r="Y29" i="50" s="1"/>
  <c r="F52" i="50"/>
  <c r="Q52" i="50" s="1"/>
  <c r="G59" i="50"/>
  <c r="R59" i="50" s="1"/>
  <c r="G46" i="50"/>
  <c r="R46" i="50" s="1"/>
  <c r="M32" i="50"/>
  <c r="X32" i="50" s="1"/>
  <c r="G100" i="50"/>
  <c r="R100" i="50" s="1"/>
  <c r="G55" i="50"/>
  <c r="R55" i="50" s="1"/>
  <c r="K5" i="50"/>
  <c r="V5" i="50" s="1"/>
  <c r="J21" i="50"/>
  <c r="U21" i="50" s="1"/>
  <c r="M75" i="50"/>
  <c r="X75" i="50" s="1"/>
  <c r="K66" i="50"/>
  <c r="V66" i="50" s="1"/>
  <c r="L42" i="50"/>
  <c r="W42" i="50" s="1"/>
  <c r="I124" i="50"/>
  <c r="T124" i="50" s="1"/>
  <c r="O19" i="50"/>
  <c r="Z19" i="50" s="1"/>
  <c r="N43" i="50"/>
  <c r="Y43" i="50" s="1"/>
  <c r="X34" i="50"/>
  <c r="L100" i="50"/>
  <c r="W100" i="50" s="1"/>
  <c r="H98" i="50"/>
  <c r="S98" i="50" s="1"/>
  <c r="O66" i="50"/>
  <c r="Z66" i="50" s="1"/>
  <c r="F112" i="50"/>
  <c r="Q112" i="50" s="1"/>
  <c r="J124" i="50"/>
  <c r="U124" i="50" s="1"/>
  <c r="G119" i="50"/>
  <c r="R119" i="50" s="1"/>
  <c r="O119" i="50"/>
  <c r="Z119" i="50" s="1"/>
  <c r="G31" i="50"/>
  <c r="R31" i="50" s="1"/>
  <c r="F81" i="50"/>
  <c r="Q81" i="50" s="1"/>
  <c r="F120" i="50"/>
  <c r="Q120" i="50" s="1"/>
  <c r="G48" i="50"/>
  <c r="R48" i="50" s="1"/>
  <c r="J63" i="50"/>
  <c r="U63" i="50" s="1"/>
  <c r="K106" i="50"/>
  <c r="V106" i="50" s="1"/>
  <c r="F4" i="50"/>
  <c r="Q4" i="50" s="1"/>
  <c r="K21" i="50"/>
  <c r="V21" i="50" s="1"/>
  <c r="K91" i="50"/>
  <c r="V91" i="50" s="1"/>
  <c r="H44" i="50"/>
  <c r="S44" i="50" s="1"/>
  <c r="H128" i="50"/>
  <c r="S128" i="50" s="1"/>
  <c r="M140" i="50"/>
  <c r="X140" i="50" s="1"/>
  <c r="M78" i="50"/>
  <c r="X78" i="50" s="1"/>
  <c r="O88" i="50"/>
  <c r="Z88" i="50" s="1"/>
  <c r="N131" i="50"/>
  <c r="Y131" i="50" s="1"/>
  <c r="G98" i="50"/>
  <c r="R98" i="50" s="1"/>
  <c r="O75" i="50"/>
  <c r="Z75" i="50" s="1"/>
  <c r="M66" i="50"/>
  <c r="X66" i="50" s="1"/>
  <c r="N44" i="50"/>
  <c r="Y44" i="50" s="1"/>
  <c r="F18" i="50"/>
  <c r="Q18" i="50" s="1"/>
  <c r="F17" i="50"/>
  <c r="Q17" i="50" s="1"/>
  <c r="F99" i="50"/>
  <c r="Q99" i="50" s="1"/>
  <c r="G112" i="50"/>
  <c r="R112" i="50" s="1"/>
  <c r="G77" i="50"/>
  <c r="R77" i="50" s="1"/>
  <c r="I89" i="50"/>
  <c r="T89" i="50" s="1"/>
  <c r="F98" i="50"/>
  <c r="Q98" i="50" s="1"/>
  <c r="M82" i="50"/>
  <c r="X82" i="50" s="1"/>
  <c r="G63" i="50"/>
  <c r="R63" i="50" s="1"/>
  <c r="H112" i="50"/>
  <c r="S112" i="50" s="1"/>
  <c r="F24" i="50"/>
  <c r="Q24" i="50" s="1"/>
  <c r="L12" i="50"/>
  <c r="W12" i="50" s="1"/>
  <c r="J131" i="50"/>
  <c r="U131" i="50" s="1"/>
  <c r="I141" i="50"/>
  <c r="T141" i="50" s="1"/>
  <c r="H77" i="50"/>
  <c r="S77" i="50" s="1"/>
  <c r="J122" i="50"/>
  <c r="U122" i="50" s="1"/>
  <c r="I116" i="50"/>
  <c r="T116" i="50" s="1"/>
  <c r="W28" i="50"/>
  <c r="O9" i="50"/>
  <c r="Z9" i="50" s="1"/>
  <c r="J10" i="50"/>
  <c r="U10" i="50" s="1"/>
  <c r="O13" i="50"/>
  <c r="Z13" i="50" s="1"/>
  <c r="O35" i="50"/>
  <c r="Z35" i="50" s="1"/>
  <c r="N66" i="50"/>
  <c r="Y66" i="50" s="1"/>
  <c r="O112" i="50"/>
  <c r="Z112" i="50" s="1"/>
  <c r="O8" i="50"/>
  <c r="Z8" i="50" s="1"/>
  <c r="J61" i="50"/>
  <c r="U61" i="50" s="1"/>
  <c r="F90" i="50"/>
  <c r="Q90" i="50" s="1"/>
  <c r="K71" i="50"/>
  <c r="V71" i="50" s="1"/>
  <c r="O44" i="50"/>
  <c r="Z44" i="50" s="1"/>
  <c r="J100" i="50"/>
  <c r="U100" i="50" s="1"/>
  <c r="G120" i="50"/>
  <c r="R120" i="50" s="1"/>
  <c r="M112" i="50"/>
  <c r="X112" i="50" s="1"/>
  <c r="G111" i="50"/>
  <c r="R111" i="50" s="1"/>
  <c r="K35" i="50"/>
  <c r="V35" i="50" s="1"/>
  <c r="G58" i="50"/>
  <c r="R58" i="50" s="1"/>
  <c r="I131" i="50"/>
  <c r="T131" i="50" s="1"/>
  <c r="I108" i="50"/>
  <c r="T108" i="50" s="1"/>
  <c r="H8" i="50"/>
  <c r="S8" i="50" s="1"/>
  <c r="K124" i="50"/>
  <c r="V124" i="50" s="1"/>
  <c r="H106" i="50"/>
  <c r="S106" i="50" s="1"/>
  <c r="N22" i="50"/>
  <c r="Y22" i="50" s="1"/>
  <c r="I14" i="50"/>
  <c r="T14" i="50" s="1"/>
  <c r="F125" i="50"/>
  <c r="Q125" i="50" s="1"/>
  <c r="K90" i="50"/>
  <c r="V90" i="50" s="1"/>
  <c r="K95" i="50"/>
  <c r="V95" i="50" s="1"/>
  <c r="M58" i="50"/>
  <c r="X58" i="50" s="1"/>
  <c r="J92" i="50"/>
  <c r="U92" i="50" s="1"/>
  <c r="H125" i="50"/>
  <c r="S125" i="50" s="1"/>
  <c r="J29" i="50"/>
  <c r="U29" i="50" s="1"/>
  <c r="K59" i="50"/>
  <c r="V59" i="50" s="1"/>
  <c r="H10" i="50"/>
  <c r="S10" i="50" s="1"/>
  <c r="G24" i="50"/>
  <c r="R24" i="50" s="1"/>
  <c r="H79" i="50"/>
  <c r="S79" i="50" s="1"/>
  <c r="L120" i="50"/>
  <c r="W120" i="50" s="1"/>
  <c r="I34" i="50"/>
  <c r="T34" i="50" s="1"/>
  <c r="O98" i="50"/>
  <c r="Z98" i="50" s="1"/>
  <c r="J44" i="50"/>
  <c r="U44" i="50" s="1"/>
  <c r="I119" i="50"/>
  <c r="T119" i="50" s="1"/>
  <c r="K26" i="50"/>
  <c r="V26" i="50" s="1"/>
  <c r="J75" i="50"/>
  <c r="U75" i="50" s="1"/>
  <c r="I114" i="50"/>
  <c r="T114" i="50" s="1"/>
  <c r="H73" i="50"/>
  <c r="S73" i="50" s="1"/>
  <c r="H136" i="50"/>
  <c r="S136" i="50" s="1"/>
  <c r="K114" i="50"/>
  <c r="V114" i="50" s="1"/>
  <c r="L24" i="50"/>
  <c r="W24" i="50" s="1"/>
  <c r="J117" i="50"/>
  <c r="U117" i="50" s="1"/>
  <c r="O129" i="50"/>
  <c r="Z129" i="50" s="1"/>
  <c r="K13" i="50"/>
  <c r="V13" i="50" s="1"/>
  <c r="I122" i="50"/>
  <c r="T122" i="50" s="1"/>
  <c r="K123" i="50"/>
  <c r="V123" i="50" s="1"/>
  <c r="N47" i="50"/>
  <c r="Y47" i="50" s="1"/>
  <c r="O114" i="50"/>
  <c r="Z114" i="50" s="1"/>
  <c r="N3" i="50"/>
  <c r="Y3" i="50" s="1"/>
  <c r="X42" i="50"/>
  <c r="N108" i="50"/>
  <c r="Y108" i="50" s="1"/>
  <c r="N134" i="50"/>
  <c r="Y134" i="50" s="1"/>
  <c r="I127" i="50"/>
  <c r="T127" i="50" s="1"/>
  <c r="F57" i="50"/>
  <c r="Q57" i="50" s="1"/>
  <c r="N28" i="50"/>
  <c r="Y28" i="50" s="1"/>
  <c r="G7" i="50"/>
  <c r="R7" i="50" s="1"/>
  <c r="J79" i="50"/>
  <c r="U79" i="50" s="1"/>
  <c r="N8" i="50"/>
  <c r="Y8" i="50" s="1"/>
  <c r="H111" i="50"/>
  <c r="S111" i="50" s="1"/>
  <c r="O125" i="50"/>
  <c r="Z125" i="50" s="1"/>
  <c r="J119" i="50"/>
  <c r="U119" i="50" s="1"/>
  <c r="H114" i="50"/>
  <c r="S114" i="50" s="1"/>
  <c r="J108" i="50"/>
  <c r="U108" i="50" s="1"/>
  <c r="G136" i="50"/>
  <c r="R136" i="50" s="1"/>
  <c r="H12" i="50"/>
  <c r="S12" i="50" s="1"/>
  <c r="F48" i="50"/>
  <c r="Q48" i="50" s="1"/>
  <c r="G138" i="50"/>
  <c r="R138" i="50" s="1"/>
  <c r="J114" i="50"/>
  <c r="U114" i="50" s="1"/>
  <c r="I63" i="50"/>
  <c r="T63" i="50" s="1"/>
  <c r="G28" i="50"/>
  <c r="R28" i="50" s="1"/>
  <c r="N37" i="50"/>
  <c r="Y37" i="50" s="1"/>
  <c r="N119" i="50"/>
  <c r="Y119" i="50" s="1"/>
  <c r="G8" i="50"/>
  <c r="R8" i="50" s="1"/>
  <c r="L73" i="50"/>
  <c r="W73" i="50" s="1"/>
  <c r="G114" i="50"/>
  <c r="R114" i="50" s="1"/>
  <c r="O73" i="50"/>
  <c r="Z73" i="50" s="1"/>
  <c r="H120" i="50"/>
  <c r="S120" i="50" s="1"/>
  <c r="G66" i="50"/>
  <c r="R66" i="50" s="1"/>
  <c r="H63" i="50"/>
  <c r="S63" i="50" s="1"/>
  <c r="K42" i="50"/>
  <c r="V42" i="50" s="1"/>
  <c r="J136" i="50"/>
  <c r="U136" i="50" s="1"/>
  <c r="G61" i="50"/>
  <c r="R61" i="50" s="1"/>
  <c r="J113" i="50"/>
  <c r="U113" i="50" s="1"/>
  <c r="I98" i="50"/>
  <c r="T98" i="50" s="1"/>
  <c r="K53" i="50"/>
  <c r="V53" i="50" s="1"/>
  <c r="O89" i="50"/>
  <c r="Z89" i="50" s="1"/>
  <c r="M79" i="50"/>
  <c r="X79" i="50" s="1"/>
  <c r="O46" i="50"/>
  <c r="Z46" i="50" s="1"/>
  <c r="H132" i="50"/>
  <c r="S132" i="50" s="1"/>
  <c r="G4" i="50"/>
  <c r="R4" i="50" s="1"/>
  <c r="K93" i="50"/>
  <c r="V93" i="50" s="1"/>
  <c r="K64" i="50"/>
  <c r="V64" i="50" s="1"/>
  <c r="F132" i="50"/>
  <c r="Q132" i="50" s="1"/>
  <c r="H122" i="50"/>
  <c r="S122" i="50" s="1"/>
  <c r="G68" i="50"/>
  <c r="R68" i="50" s="1"/>
  <c r="M94" i="50"/>
  <c r="X94" i="50" s="1"/>
  <c r="F32" i="50"/>
  <c r="Q32" i="50" s="1"/>
  <c r="I28" i="50"/>
  <c r="T28" i="50" s="1"/>
  <c r="J137" i="50"/>
  <c r="U137" i="50" s="1"/>
  <c r="G104" i="50"/>
  <c r="R104" i="50" s="1"/>
  <c r="M104" i="50"/>
  <c r="X104" i="50" s="1"/>
  <c r="J138" i="50"/>
  <c r="U138" i="50" s="1"/>
  <c r="K25" i="50"/>
  <c r="V25" i="50" s="1"/>
  <c r="F116" i="50"/>
  <c r="Q116" i="50" s="1"/>
  <c r="G35" i="50"/>
  <c r="R35" i="50" s="1"/>
  <c r="H93" i="50"/>
  <c r="S93" i="50" s="1"/>
  <c r="O30" i="50"/>
  <c r="Z30" i="50" s="1"/>
  <c r="L104" i="50"/>
  <c r="W104" i="50" s="1"/>
  <c r="H22" i="50"/>
  <c r="S22" i="50" s="1"/>
  <c r="M70" i="50"/>
  <c r="X70" i="50" s="1"/>
  <c r="J26" i="50"/>
  <c r="U26" i="50" s="1"/>
  <c r="L105" i="50"/>
  <c r="W105" i="50" s="1"/>
  <c r="L18" i="50"/>
  <c r="W18" i="50" s="1"/>
  <c r="J126" i="50"/>
  <c r="U126" i="50" s="1"/>
  <c r="F131" i="50"/>
  <c r="Q131" i="50" s="1"/>
  <c r="F108" i="50"/>
  <c r="Q108" i="50" s="1"/>
  <c r="M62" i="50"/>
  <c r="X62" i="50" s="1"/>
  <c r="M113" i="50"/>
  <c r="X113" i="50" s="1"/>
  <c r="M35" i="50"/>
  <c r="X35" i="50" s="1"/>
  <c r="N12" i="50"/>
  <c r="Y12" i="50" s="1"/>
  <c r="G90" i="50"/>
  <c r="R90" i="50" s="1"/>
  <c r="G92" i="50"/>
  <c r="R92" i="50" s="1"/>
  <c r="M114" i="50"/>
  <c r="X114" i="50" s="1"/>
  <c r="K8" i="50"/>
  <c r="V8" i="50" s="1"/>
  <c r="K100" i="50"/>
  <c r="V100" i="50" s="1"/>
  <c r="G73" i="50"/>
  <c r="R73" i="50" s="1"/>
  <c r="J73" i="50"/>
  <c r="U73" i="50" s="1"/>
  <c r="H108" i="50"/>
  <c r="S108" i="50" s="1"/>
  <c r="M63" i="50"/>
  <c r="X63" i="50" s="1"/>
  <c r="L63" i="50"/>
  <c r="W63" i="50" s="1"/>
  <c r="J42" i="50"/>
  <c r="U42" i="50" s="1"/>
  <c r="K136" i="50"/>
  <c r="V136" i="50" s="1"/>
  <c r="O32" i="50"/>
  <c r="Z32" i="50" s="1"/>
  <c r="N141" i="50"/>
  <c r="Y141" i="50" s="1"/>
  <c r="J53" i="50"/>
  <c r="U53" i="50" s="1"/>
  <c r="H7" i="50"/>
  <c r="S7" i="50" s="1"/>
  <c r="J77" i="50"/>
  <c r="U77" i="50" s="1"/>
  <c r="F104" i="50"/>
  <c r="Q104" i="50" s="1"/>
  <c r="H113" i="50"/>
  <c r="S113" i="50" s="1"/>
  <c r="L137" i="50"/>
  <c r="W137" i="50" s="1"/>
  <c r="F130" i="50"/>
  <c r="Q130" i="50" s="1"/>
  <c r="I95" i="50"/>
  <c r="T95" i="50" s="1"/>
  <c r="O27" i="50"/>
  <c r="Z27" i="50" s="1"/>
  <c r="F7" i="50"/>
  <c r="Q7" i="50" s="1"/>
  <c r="O110" i="50"/>
  <c r="Z110" i="50" s="1"/>
  <c r="N122" i="50"/>
  <c r="Y122" i="50" s="1"/>
  <c r="J65" i="50"/>
  <c r="U65" i="50" s="1"/>
  <c r="I69" i="50"/>
  <c r="T69" i="50" s="1"/>
  <c r="H117" i="50"/>
  <c r="S117" i="50" s="1"/>
  <c r="N89" i="50"/>
  <c r="Y89" i="50" s="1"/>
  <c r="F53" i="50"/>
  <c r="Q53" i="50" s="1"/>
  <c r="O7" i="50"/>
  <c r="Z7" i="50" s="1"/>
  <c r="I111" i="50"/>
  <c r="T111" i="50" s="1"/>
  <c r="F137" i="50"/>
  <c r="Q137" i="50" s="1"/>
  <c r="N10" i="50"/>
  <c r="Y10" i="50" s="1"/>
  <c r="N91" i="50"/>
  <c r="Y91" i="50" s="1"/>
  <c r="H47" i="50"/>
  <c r="S47" i="50" s="1"/>
  <c r="O59" i="50"/>
  <c r="Z59" i="50" s="1"/>
  <c r="J76" i="50"/>
  <c r="U76" i="50" s="1"/>
  <c r="J70" i="50"/>
  <c r="U70" i="50" s="1"/>
  <c r="G18" i="50"/>
  <c r="R18" i="50" s="1"/>
  <c r="I104" i="50"/>
  <c r="T104" i="50" s="1"/>
  <c r="H94" i="50"/>
  <c r="S94" i="50" s="1"/>
  <c r="L78" i="50"/>
  <c r="W78" i="50" s="1"/>
  <c r="F111" i="50"/>
  <c r="Q111" i="50" s="1"/>
  <c r="G52" i="50"/>
  <c r="R52" i="50" s="1"/>
  <c r="F47" i="50"/>
  <c r="Q47" i="50" s="1"/>
  <c r="O31" i="50"/>
  <c r="Z31" i="50" s="1"/>
  <c r="I78" i="50"/>
  <c r="T78" i="50" s="1"/>
  <c r="G131" i="50"/>
  <c r="R131" i="50" s="1"/>
  <c r="H3" i="50"/>
  <c r="S3" i="50" s="1"/>
  <c r="G42" i="50"/>
  <c r="R42" i="50" s="1"/>
  <c r="I112" i="50"/>
  <c r="T112" i="50" s="1"/>
  <c r="L124" i="50"/>
  <c r="W124" i="50" s="1"/>
  <c r="O47" i="50"/>
  <c r="Z47" i="50" s="1"/>
  <c r="O12" i="50"/>
  <c r="Z12" i="50" s="1"/>
  <c r="K111" i="50"/>
  <c r="V111" i="50" s="1"/>
  <c r="N52" i="50"/>
  <c r="Y52" i="50" s="1"/>
  <c r="G129" i="50"/>
  <c r="R129" i="50" s="1"/>
  <c r="L76" i="50"/>
  <c r="W76" i="50" s="1"/>
  <c r="F140" i="50"/>
  <c r="Q140" i="50" s="1"/>
  <c r="K58" i="50"/>
  <c r="V58" i="50" s="1"/>
  <c r="K19" i="50"/>
  <c r="V19" i="50" s="1"/>
  <c r="I76" i="50"/>
  <c r="T76" i="50" s="1"/>
  <c r="H49" i="50"/>
  <c r="S49" i="50" s="1"/>
  <c r="F114" i="50"/>
  <c r="Q114" i="50" s="1"/>
  <c r="M3" i="50"/>
  <c r="X3" i="50" s="1"/>
  <c r="I120" i="50"/>
  <c r="T120" i="50" s="1"/>
  <c r="J66" i="50"/>
  <c r="U66" i="50" s="1"/>
  <c r="O42" i="50"/>
  <c r="Z42" i="50" s="1"/>
  <c r="L136" i="50"/>
  <c r="W136" i="50" s="1"/>
  <c r="L112" i="50"/>
  <c r="W112" i="50" s="1"/>
  <c r="N61" i="50"/>
  <c r="Y61" i="50" s="1"/>
  <c r="M124" i="50"/>
  <c r="X124" i="50" s="1"/>
  <c r="N124" i="50"/>
  <c r="Y124" i="50" s="1"/>
  <c r="H130" i="50"/>
  <c r="S130" i="50" s="1"/>
  <c r="L9" i="50"/>
  <c r="W9" i="50" s="1"/>
  <c r="M27" i="50"/>
  <c r="X27" i="50" s="1"/>
  <c r="I35" i="50"/>
  <c r="T35" i="50" s="1"/>
  <c r="M65" i="50"/>
  <c r="X65" i="50" s="1"/>
  <c r="M69" i="50"/>
  <c r="X69" i="50" s="1"/>
  <c r="F63" i="50"/>
  <c r="Q63" i="50" s="1"/>
  <c r="K105" i="50"/>
  <c r="V105" i="50" s="1"/>
  <c r="M45" i="50"/>
  <c r="X45" i="50" s="1"/>
  <c r="F94" i="50"/>
  <c r="Q94" i="50" s="1"/>
  <c r="H32" i="50"/>
  <c r="S32" i="50" s="1"/>
  <c r="M105" i="50"/>
  <c r="X105" i="50" s="1"/>
  <c r="N132" i="50"/>
  <c r="Y132" i="50" s="1"/>
  <c r="I106" i="50"/>
  <c r="T106" i="50" s="1"/>
  <c r="G10" i="50"/>
  <c r="R10" i="50" s="1"/>
  <c r="N98" i="50"/>
  <c r="Y98" i="50" s="1"/>
  <c r="M31" i="50"/>
  <c r="X31" i="50" s="1"/>
  <c r="J81" i="50"/>
  <c r="U81" i="50" s="1"/>
  <c r="N55" i="50"/>
  <c r="Y55" i="50" s="1"/>
  <c r="K92" i="50"/>
  <c r="V92" i="50" s="1"/>
  <c r="K27" i="50"/>
  <c r="V27" i="50" s="1"/>
  <c r="M10" i="50"/>
  <c r="X10" i="50" s="1"/>
  <c r="I128" i="50"/>
  <c r="T128" i="50" s="1"/>
  <c r="J34" i="50"/>
  <c r="U34" i="50" s="1"/>
  <c r="K78" i="50"/>
  <c r="V78" i="50" s="1"/>
  <c r="N7" i="50"/>
  <c r="Y7" i="50" s="1"/>
  <c r="L118" i="50"/>
  <c r="W118" i="50" s="1"/>
  <c r="L122" i="50"/>
  <c r="W122" i="50" s="1"/>
  <c r="I68" i="50"/>
  <c r="T68" i="50" s="1"/>
  <c r="H118" i="50"/>
  <c r="S118" i="50" s="1"/>
  <c r="I7" i="50"/>
  <c r="T7" i="50" s="1"/>
  <c r="M71" i="50"/>
  <c r="X71" i="50" s="1"/>
  <c r="F82" i="50"/>
  <c r="Q82" i="50" s="1"/>
  <c r="N20" i="50"/>
  <c r="Y20" i="50" s="1"/>
  <c r="K55" i="50"/>
  <c r="V55" i="50" s="1"/>
  <c r="H65" i="50"/>
  <c r="S65" i="50" s="1"/>
  <c r="G22" i="50"/>
  <c r="R22" i="50" s="1"/>
  <c r="J43" i="50"/>
  <c r="U43" i="50" s="1"/>
  <c r="J49" i="50"/>
  <c r="U49" i="50" s="1"/>
  <c r="G88" i="50"/>
  <c r="R88" i="50" s="1"/>
  <c r="L22" i="50"/>
  <c r="W22" i="50" s="1"/>
  <c r="H13" i="50"/>
  <c r="S13" i="50" s="1"/>
  <c r="N111" i="50"/>
  <c r="Y111" i="50" s="1"/>
  <c r="K141" i="50"/>
  <c r="V141" i="50" s="1"/>
  <c r="G130" i="50"/>
  <c r="R130" i="50" s="1"/>
  <c r="M53" i="50"/>
  <c r="X53" i="50" s="1"/>
  <c r="H57" i="50"/>
  <c r="S57" i="50" s="1"/>
  <c r="J22" i="50"/>
  <c r="U22" i="50" s="1"/>
  <c r="O28" i="50"/>
  <c r="Z28" i="50" s="1"/>
  <c r="K14" i="50"/>
  <c r="V14" i="50" s="1"/>
  <c r="M21" i="50"/>
  <c r="X21" i="50" s="1"/>
  <c r="K12" i="50"/>
  <c r="V12" i="50" s="1"/>
  <c r="O50" i="50"/>
  <c r="Z50" i="50" s="1"/>
  <c r="O120" i="50"/>
  <c r="Z120" i="50" s="1"/>
  <c r="M61" i="50"/>
  <c r="X61" i="50" s="1"/>
  <c r="O58" i="50"/>
  <c r="Z58" i="50" s="1"/>
  <c r="M121" i="50"/>
  <c r="X121" i="50" s="1"/>
  <c r="N78" i="50"/>
  <c r="Y78" i="50" s="1"/>
  <c r="O22" i="50"/>
  <c r="Z22" i="50" s="1"/>
  <c r="L128" i="50"/>
  <c r="W128" i="50" s="1"/>
  <c r="J95" i="50"/>
  <c r="U95" i="50" s="1"/>
  <c r="L119" i="50"/>
  <c r="W119" i="50" s="1"/>
  <c r="H30" i="50"/>
  <c r="S30" i="50" s="1"/>
  <c r="L131" i="50"/>
  <c r="W131" i="50" s="1"/>
  <c r="L114" i="50"/>
  <c r="W114" i="50" s="1"/>
  <c r="J8" i="50"/>
  <c r="U8" i="50" s="1"/>
  <c r="H100" i="50"/>
  <c r="S100" i="50" s="1"/>
  <c r="O100" i="50"/>
  <c r="Z100" i="50" s="1"/>
  <c r="I73" i="50"/>
  <c r="T73" i="50" s="1"/>
  <c r="G108" i="50"/>
  <c r="R108" i="50" s="1"/>
  <c r="N63" i="50"/>
  <c r="Y63" i="50" s="1"/>
  <c r="O63" i="50"/>
  <c r="Z63" i="50" s="1"/>
  <c r="N42" i="50"/>
  <c r="Y42" i="50" s="1"/>
  <c r="F136" i="50"/>
  <c r="Q136" i="50" s="1"/>
  <c r="L108" i="50"/>
  <c r="W108" i="50" s="1"/>
  <c r="L3" i="50"/>
  <c r="W3" i="50" s="1"/>
  <c r="F73" i="50"/>
  <c r="Q73" i="50" s="1"/>
  <c r="H66" i="50"/>
  <c r="S66" i="50" s="1"/>
  <c r="O61" i="50"/>
  <c r="Z61" i="50" s="1"/>
  <c r="I27" i="50"/>
  <c r="T27" i="50" s="1"/>
  <c r="L11" i="50"/>
  <c r="W11" i="50" s="1"/>
  <c r="I19" i="50"/>
  <c r="T19" i="50" s="1"/>
  <c r="H9" i="50"/>
  <c r="S9" i="50" s="1"/>
  <c r="G79" i="50"/>
  <c r="R79" i="50" s="1"/>
  <c r="G78" i="50"/>
  <c r="R78" i="50" s="1"/>
  <c r="H16" i="50"/>
  <c r="S16" i="50" s="1"/>
  <c r="G30" i="50"/>
  <c r="R30" i="50" s="1"/>
  <c r="G12" i="50"/>
  <c r="R12" i="50" s="1"/>
  <c r="L126" i="50"/>
  <c r="W126" i="50" s="1"/>
  <c r="I140" i="50"/>
  <c r="T140" i="50" s="1"/>
  <c r="J110" i="50"/>
  <c r="U110" i="50" s="1"/>
  <c r="N118" i="50"/>
  <c r="Y118" i="50" s="1"/>
  <c r="L106" i="50"/>
  <c r="W106" i="50" s="1"/>
  <c r="G134" i="50"/>
  <c r="R134" i="50" s="1"/>
  <c r="H96" i="50"/>
  <c r="S96" i="50" s="1"/>
  <c r="J89" i="50"/>
  <c r="U89" i="50" s="1"/>
  <c r="N58" i="50"/>
  <c r="Y58" i="50" s="1"/>
  <c r="M129" i="50"/>
  <c r="X129" i="50" s="1"/>
  <c r="O10" i="50"/>
  <c r="Z10" i="50" s="1"/>
  <c r="O132" i="50"/>
  <c r="Z132" i="50" s="1"/>
  <c r="G113" i="50"/>
  <c r="R113" i="50" s="1"/>
  <c r="H78" i="50"/>
  <c r="S78" i="50" s="1"/>
  <c r="N110" i="50"/>
  <c r="Y110" i="50" s="1"/>
  <c r="J16" i="50"/>
  <c r="U16" i="50" s="1"/>
  <c r="N104" i="50"/>
  <c r="Y104" i="50" s="1"/>
  <c r="F141" i="50"/>
  <c r="Q141" i="50" s="1"/>
  <c r="I126" i="50"/>
  <c r="T126" i="50" s="1"/>
  <c r="G141" i="50"/>
  <c r="R141" i="50" s="1"/>
  <c r="L70" i="50"/>
  <c r="W70" i="50" s="1"/>
  <c r="H39" i="50"/>
  <c r="S39" i="50" s="1"/>
  <c r="O106" i="50"/>
  <c r="Z106" i="50" s="1"/>
  <c r="I72" i="50"/>
  <c r="T72" i="50" s="1"/>
  <c r="J7" i="50"/>
  <c r="U7" i="50" s="1"/>
  <c r="M81" i="50"/>
  <c r="X81" i="50" s="1"/>
  <c r="G94" i="50"/>
  <c r="R94" i="50" s="1"/>
  <c r="L127" i="50"/>
  <c r="W127" i="50" s="1"/>
  <c r="K104" i="50"/>
  <c r="V104" i="50" s="1"/>
  <c r="I90" i="50"/>
  <c r="T90" i="50" s="1"/>
  <c r="L35" i="50"/>
  <c r="W35" i="50" s="1"/>
  <c r="L8" i="50"/>
  <c r="W8" i="50" s="1"/>
  <c r="N136" i="50"/>
  <c r="Y136" i="50" s="1"/>
  <c r="F100" i="50"/>
  <c r="Q100" i="50" s="1"/>
  <c r="G124" i="50"/>
  <c r="R124" i="50" s="1"/>
  <c r="I88" i="50"/>
  <c r="T88" i="50" s="1"/>
  <c r="H116" i="50"/>
  <c r="S116" i="50" s="1"/>
  <c r="I71" i="50"/>
  <c r="T71" i="50" s="1"/>
  <c r="M95" i="50"/>
  <c r="X95" i="50" s="1"/>
  <c r="I113" i="50"/>
  <c r="T113" i="50" s="1"/>
  <c r="J125" i="50"/>
  <c r="U125" i="50" s="1"/>
  <c r="K24" i="50"/>
  <c r="V24" i="50" s="1"/>
  <c r="H105" i="50"/>
  <c r="S105" i="50" s="1"/>
  <c r="H131" i="50"/>
  <c r="S131" i="50" s="1"/>
  <c r="K131" i="50"/>
  <c r="V131" i="50" s="1"/>
  <c r="F8" i="50"/>
  <c r="Q8" i="50" s="1"/>
  <c r="K3" i="50"/>
  <c r="V3" i="50" s="1"/>
  <c r="K120" i="50"/>
  <c r="V120" i="50" s="1"/>
  <c r="N120" i="50"/>
  <c r="Y120" i="50" s="1"/>
  <c r="I66" i="50"/>
  <c r="T66" i="50" s="1"/>
  <c r="I42" i="50"/>
  <c r="T42" i="50" s="1"/>
  <c r="K112" i="50"/>
  <c r="V112" i="50" s="1"/>
  <c r="I61" i="50"/>
  <c r="T61" i="50" s="1"/>
  <c r="H124" i="50"/>
  <c r="S124" i="50" s="1"/>
  <c r="I93" i="50"/>
  <c r="T93" i="50" s="1"/>
  <c r="I58" i="50"/>
  <c r="T58" i="50" s="1"/>
  <c r="N115" i="50"/>
  <c r="Y115" i="50" s="1"/>
  <c r="N127" i="50"/>
  <c r="Y127" i="50" s="1"/>
  <c r="L58" i="50"/>
  <c r="W58" i="50" s="1"/>
  <c r="H140" i="50"/>
  <c r="S140" i="50" s="1"/>
  <c r="K88" i="50"/>
  <c r="V88" i="50" s="1"/>
  <c r="F127" i="50"/>
  <c r="Q127" i="50" s="1"/>
  <c r="M48" i="50"/>
  <c r="X48" i="50" s="1"/>
  <c r="F14" i="50"/>
  <c r="Q14" i="50" s="1"/>
  <c r="N93" i="50"/>
  <c r="Y93" i="50" s="1"/>
  <c r="O53" i="50"/>
  <c r="Z53" i="50" s="1"/>
  <c r="L115" i="50"/>
  <c r="W115" i="50" s="1"/>
  <c r="O116" i="50"/>
  <c r="Z116" i="50" s="1"/>
  <c r="J28" i="50"/>
  <c r="U28" i="50" s="1"/>
  <c r="I138" i="50"/>
  <c r="T138" i="50" s="1"/>
  <c r="O82" i="50"/>
  <c r="Z82" i="50" s="1"/>
  <c r="N75" i="50"/>
  <c r="Y75" i="50" s="1"/>
  <c r="N128" i="50"/>
  <c r="Y128" i="50" s="1"/>
  <c r="K49" i="50"/>
  <c r="V49" i="50" s="1"/>
  <c r="K81" i="50"/>
  <c r="V81" i="50" s="1"/>
  <c r="L116" i="50"/>
  <c r="W116" i="50" s="1"/>
  <c r="N102" i="50"/>
  <c r="Y102" i="50" s="1"/>
  <c r="I46" i="50"/>
  <c r="T46" i="50" s="1"/>
  <c r="L57" i="50"/>
  <c r="W57" i="50" s="1"/>
  <c r="I52" i="50"/>
  <c r="T52" i="50" s="1"/>
  <c r="I110" i="50"/>
  <c r="T110" i="50" s="1"/>
  <c r="H19" i="50"/>
  <c r="S19" i="50" s="1"/>
  <c r="N116" i="50"/>
  <c r="Y116" i="50" s="1"/>
  <c r="O134" i="50"/>
  <c r="Z134" i="50" s="1"/>
  <c r="H29" i="50"/>
  <c r="S29" i="50" s="1"/>
  <c r="O49" i="50"/>
  <c r="Z49" i="50" s="1"/>
  <c r="L5" i="50"/>
  <c r="W5" i="50" s="1"/>
  <c r="L94" i="50"/>
  <c r="W94" i="50" s="1"/>
  <c r="F19" i="50"/>
  <c r="Q19" i="50" s="1"/>
  <c r="J99" i="50"/>
  <c r="U99" i="50" s="1"/>
  <c r="H37" i="50"/>
  <c r="S37" i="50" s="1"/>
  <c r="I55" i="50"/>
  <c r="T55" i="50" s="1"/>
  <c r="M117" i="50"/>
  <c r="X117" i="50" s="1"/>
  <c r="I132" i="50"/>
  <c r="T132" i="50" s="1"/>
  <c r="H123" i="50"/>
  <c r="S123" i="50" s="1"/>
  <c r="G117" i="50"/>
  <c r="R117" i="50" s="1"/>
  <c r="N99" i="50"/>
  <c r="Y99" i="50" s="1"/>
  <c r="I57" i="50"/>
  <c r="T57" i="50" s="1"/>
  <c r="F23" i="50"/>
  <c r="Q23" i="50" s="1"/>
  <c r="M99" i="50"/>
  <c r="X99" i="50" s="1"/>
  <c r="I32" i="50"/>
  <c r="T32" i="50" s="1"/>
  <c r="L88" i="50"/>
  <c r="W88" i="50" s="1"/>
  <c r="F39" i="50"/>
  <c r="Q39" i="50" s="1"/>
  <c r="F9" i="50"/>
  <c r="Q9" i="50" s="1"/>
  <c r="K125" i="50"/>
  <c r="V125" i="50" s="1"/>
  <c r="G44" i="50"/>
  <c r="R44" i="50" s="1"/>
  <c r="G25" i="50"/>
  <c r="R25" i="50" s="1"/>
  <c r="N35" i="50"/>
  <c r="Y35" i="50" s="1"/>
  <c r="L123" i="50"/>
  <c r="W123" i="50" s="1"/>
  <c r="I62" i="50"/>
  <c r="T62" i="50" s="1"/>
  <c r="F77" i="50"/>
  <c r="Q77" i="50" s="1"/>
  <c r="J105" i="50"/>
  <c r="U105" i="50" s="1"/>
  <c r="I105" i="50"/>
  <c r="T105" i="50" s="1"/>
  <c r="K70" i="50"/>
  <c r="V70" i="50" s="1"/>
  <c r="O94" i="50"/>
  <c r="Z94" i="50" s="1"/>
  <c r="L25" i="50"/>
  <c r="W25" i="50" s="1"/>
  <c r="G57" i="50"/>
  <c r="R57" i="50" s="1"/>
  <c r="F12" i="50"/>
  <c r="Q12" i="50" s="1"/>
  <c r="H70" i="50"/>
  <c r="S70" i="50" s="1"/>
  <c r="H71" i="50"/>
  <c r="S71" i="50" s="1"/>
  <c r="I130" i="50"/>
  <c r="T130" i="50" s="1"/>
  <c r="L27" i="50"/>
  <c r="W27" i="50" s="1"/>
  <c r="I129" i="50"/>
  <c r="T129" i="50" s="1"/>
  <c r="N65" i="50"/>
  <c r="Y65" i="50" s="1"/>
  <c r="M46" i="50"/>
  <c r="X46" i="50" s="1"/>
  <c r="J12" i="50"/>
  <c r="U12" i="50" s="1"/>
  <c r="L7" i="50"/>
  <c r="W7" i="50" s="1"/>
  <c r="I64" i="50"/>
  <c r="T64" i="50" s="1"/>
  <c r="K31" i="50"/>
  <c r="V31" i="50" s="1"/>
  <c r="N121" i="50"/>
  <c r="Y121" i="50" s="1"/>
  <c r="J98" i="50"/>
  <c r="U98" i="50" s="1"/>
  <c r="F106" i="50"/>
  <c r="Q106" i="50" s="1"/>
  <c r="F121" i="50"/>
  <c r="Q121" i="50" s="1"/>
  <c r="O115" i="50"/>
  <c r="Z115" i="50" s="1"/>
  <c r="O5" i="50"/>
  <c r="Z5" i="50" s="1"/>
  <c r="M77" i="50"/>
  <c r="X77" i="50" s="1"/>
  <c r="M111" i="50"/>
  <c r="X111" i="50" s="1"/>
  <c r="K75" i="50"/>
  <c r="V75" i="50" s="1"/>
  <c r="F10" i="50"/>
  <c r="Q10" i="50" s="1"/>
  <c r="K65" i="50"/>
  <c r="V65" i="50" s="1"/>
  <c r="F122" i="50"/>
  <c r="Q122" i="50" s="1"/>
  <c r="F27" i="50"/>
  <c r="Q27" i="50" s="1"/>
  <c r="N79" i="50"/>
  <c r="Y79" i="50" s="1"/>
  <c r="I43" i="50"/>
  <c r="T43" i="50" s="1"/>
  <c r="I59" i="50"/>
  <c r="T59" i="50" s="1"/>
  <c r="L20" i="50"/>
  <c r="W20" i="50" s="1"/>
  <c r="H28" i="50"/>
  <c r="S28" i="50" s="1"/>
  <c r="F95" i="50"/>
  <c r="Q95" i="50" s="1"/>
  <c r="F16" i="50"/>
  <c r="Q16" i="50" s="1"/>
  <c r="G6" i="50"/>
  <c r="R6" i="50" s="1"/>
  <c r="L47" i="50"/>
  <c r="W47" i="50" s="1"/>
  <c r="N19" i="50"/>
  <c r="Y19" i="50" s="1"/>
  <c r="F22" i="50"/>
  <c r="Q22" i="50" s="1"/>
  <c r="I94" i="50"/>
  <c r="T94" i="50" s="1"/>
  <c r="F128" i="50"/>
  <c r="Q128" i="50" s="1"/>
  <c r="O6" i="50"/>
  <c r="Z6" i="50" s="1"/>
  <c r="J27" i="50"/>
  <c r="U27" i="50" s="1"/>
  <c r="M29" i="50"/>
  <c r="X29" i="50" s="1"/>
  <c r="L32" i="50"/>
  <c r="W32" i="50" s="1"/>
  <c r="I37" i="50"/>
  <c r="T37" i="50" s="1"/>
  <c r="K43" i="50"/>
  <c r="V43" i="50" s="1"/>
  <c r="O77" i="50"/>
  <c r="Z77" i="50" s="1"/>
  <c r="M13" i="50"/>
  <c r="X13" i="50" s="1"/>
  <c r="M141" i="50"/>
  <c r="X141" i="50" s="1"/>
  <c r="N59" i="50"/>
  <c r="Y59" i="50" s="1"/>
  <c r="K30" i="50"/>
  <c r="V30" i="50" s="1"/>
  <c r="O14" i="50"/>
  <c r="Z14" i="50" s="1"/>
  <c r="I10" i="50"/>
  <c r="T10" i="50" s="1"/>
  <c r="H27" i="50"/>
  <c r="S27" i="50" s="1"/>
  <c r="H53" i="50"/>
  <c r="S53" i="50" s="1"/>
  <c r="F50" i="50"/>
  <c r="Q50" i="50" s="1"/>
  <c r="M89" i="50"/>
  <c r="X89" i="50" s="1"/>
  <c r="V39" i="50"/>
  <c r="K121" i="50"/>
  <c r="V121" i="50" s="1"/>
  <c r="M119" i="50"/>
  <c r="X119" i="50" s="1"/>
  <c r="G14" i="50"/>
  <c r="R14" i="50" s="1"/>
  <c r="M57" i="50"/>
  <c r="X57" i="50" s="1"/>
  <c r="N90" i="50"/>
  <c r="Y90" i="50" s="1"/>
  <c r="I92" i="50"/>
  <c r="T92" i="50" s="1"/>
  <c r="O130" i="50"/>
  <c r="Z130" i="50" s="1"/>
  <c r="N6" i="50"/>
  <c r="Y6" i="50" s="1"/>
  <c r="L134" i="50"/>
  <c r="W134" i="50" s="1"/>
  <c r="I21" i="50"/>
  <c r="T21" i="50" s="1"/>
  <c r="J48" i="50"/>
  <c r="U48" i="50" s="1"/>
  <c r="N95" i="50"/>
  <c r="Y95" i="50" s="1"/>
  <c r="J40" i="50"/>
  <c r="U40" i="50" s="1"/>
  <c r="I23" i="50"/>
  <c r="T23" i="50" s="1"/>
  <c r="K113" i="50"/>
  <c r="V113" i="50" s="1"/>
  <c r="I40" i="50"/>
  <c r="T40" i="50" s="1"/>
  <c r="I123" i="50"/>
  <c r="T123" i="50" s="1"/>
  <c r="O123" i="50"/>
  <c r="Z123" i="50" s="1"/>
  <c r="O18" i="50"/>
  <c r="Z18" i="50" s="1"/>
  <c r="F5" i="50"/>
  <c r="Q5" i="50" s="1"/>
  <c r="G3" i="50"/>
  <c r="R3" i="50" s="1"/>
  <c r="O127" i="50"/>
  <c r="Z127" i="50" s="1"/>
  <c r="O111" i="50"/>
  <c r="Z111" i="50" s="1"/>
  <c r="I5" i="50"/>
  <c r="T5" i="50" s="1"/>
  <c r="M22" i="50"/>
  <c r="X22" i="50" s="1"/>
  <c r="F58" i="50"/>
  <c r="Q58" i="50" s="1"/>
  <c r="L44" i="50"/>
  <c r="W44" i="50" s="1"/>
  <c r="M93" i="50"/>
  <c r="X93" i="50" s="1"/>
  <c r="M137" i="50"/>
  <c r="X137" i="50" s="1"/>
  <c r="I91" i="50"/>
  <c r="T91" i="50" s="1"/>
  <c r="F3" i="50"/>
  <c r="Q3" i="50" s="1"/>
  <c r="O25" i="50"/>
  <c r="Z25" i="50" s="1"/>
  <c r="J132" i="50"/>
  <c r="U132" i="50" s="1"/>
  <c r="F11" i="50"/>
  <c r="Q11" i="50" s="1"/>
  <c r="L90" i="50"/>
  <c r="W90" i="50" s="1"/>
  <c r="K89" i="50"/>
  <c r="V89" i="50" s="1"/>
  <c r="N46" i="50"/>
  <c r="Y46" i="50" s="1"/>
  <c r="M16" i="50"/>
  <c r="X16" i="50" s="1"/>
  <c r="M88" i="50"/>
  <c r="X88" i="50" s="1"/>
  <c r="J4" i="50"/>
  <c r="U4" i="50" s="1"/>
  <c r="O40" i="50"/>
  <c r="Z40" i="50" s="1"/>
  <c r="G93" i="50"/>
  <c r="R93" i="50" s="1"/>
  <c r="F115" i="50"/>
  <c r="Q115" i="50" s="1"/>
  <c r="N77" i="50"/>
  <c r="Y77" i="50" s="1"/>
  <c r="H40" i="50"/>
  <c r="S40" i="50" s="1"/>
  <c r="O78" i="50"/>
  <c r="Z78" i="50" s="1"/>
  <c r="I118" i="50"/>
  <c r="T118" i="50" s="1"/>
  <c r="O39" i="50"/>
  <c r="Z39" i="50" s="1"/>
  <c r="L52" i="50"/>
  <c r="W52" i="50" s="1"/>
  <c r="G50" i="50"/>
  <c r="R50" i="50" s="1"/>
  <c r="G29" i="50"/>
  <c r="R29" i="50" s="1"/>
  <c r="G17" i="50"/>
  <c r="R17" i="50" s="1"/>
  <c r="N69" i="50"/>
  <c r="Y69" i="50" s="1"/>
  <c r="I53" i="50"/>
  <c r="T53" i="50" s="1"/>
  <c r="M92" i="50"/>
  <c r="X92" i="50" s="1"/>
  <c r="H59" i="50"/>
  <c r="S59" i="50" s="1"/>
  <c r="G45" i="50"/>
  <c r="R45" i="50" s="1"/>
  <c r="L6" i="50"/>
  <c r="W6" i="50" s="1"/>
  <c r="K110" i="50"/>
  <c r="V110" i="50" s="1"/>
  <c r="J90" i="50"/>
  <c r="U90" i="50" s="1"/>
  <c r="G19" i="50"/>
  <c r="R19" i="50" s="1"/>
  <c r="M23" i="50"/>
  <c r="X23" i="50" s="1"/>
  <c r="M132" i="50"/>
  <c r="X132" i="50" s="1"/>
  <c r="O16" i="50"/>
  <c r="Z16" i="50" s="1"/>
  <c r="F93" i="50"/>
  <c r="Q93" i="50" s="1"/>
  <c r="J50" i="50"/>
  <c r="U50" i="50" s="1"/>
  <c r="I6" i="50"/>
  <c r="T6" i="50" s="1"/>
  <c r="F35" i="50"/>
  <c r="Q35" i="50" s="1"/>
  <c r="J55" i="50"/>
  <c r="U55" i="50" s="1"/>
  <c r="M123" i="50"/>
  <c r="X123" i="50" s="1"/>
  <c r="L46" i="50"/>
  <c r="W46" i="50" s="1"/>
  <c r="M37" i="50"/>
  <c r="X37" i="50" s="1"/>
  <c r="K115" i="50"/>
  <c r="V115" i="50" s="1"/>
  <c r="G126" i="50"/>
  <c r="R126" i="50" s="1"/>
  <c r="L89" i="50"/>
  <c r="W89" i="50" s="1"/>
  <c r="K102" i="50"/>
  <c r="V102" i="50" s="1"/>
  <c r="J47" i="50"/>
  <c r="U47" i="50" s="1"/>
  <c r="I102" i="50"/>
  <c r="T102" i="50" s="1"/>
  <c r="G71" i="50"/>
  <c r="R71" i="50" s="1"/>
  <c r="J82" i="50"/>
  <c r="U82" i="50" s="1"/>
  <c r="H6" i="50"/>
  <c r="S6" i="50" s="1"/>
  <c r="K127" i="50"/>
  <c r="V127" i="50" s="1"/>
  <c r="F123" i="50"/>
  <c r="Q123" i="50" s="1"/>
  <c r="M30" i="50"/>
  <c r="X30" i="50" s="1"/>
  <c r="K4" i="50"/>
  <c r="V4" i="50" s="1"/>
  <c r="N105" i="50"/>
  <c r="Y105" i="50" s="1"/>
  <c r="H20" i="50"/>
  <c r="S20" i="50" s="1"/>
  <c r="F102" i="50"/>
  <c r="Q102" i="50" s="1"/>
  <c r="G65" i="50"/>
  <c r="R65" i="50" s="1"/>
  <c r="O76" i="50"/>
  <c r="Z76" i="50" s="1"/>
  <c r="J96" i="50"/>
  <c r="U96" i="50" s="1"/>
  <c r="F134" i="50"/>
  <c r="Q134" i="50" s="1"/>
  <c r="H121" i="50"/>
  <c r="S121" i="50" s="1"/>
  <c r="M28" i="50"/>
  <c r="X28" i="50" s="1"/>
  <c r="J9" i="50"/>
  <c r="U9" i="50" s="1"/>
  <c r="O45" i="50"/>
  <c r="Z45" i="50" s="1"/>
  <c r="F117" i="50"/>
  <c r="Q117" i="50" s="1"/>
  <c r="L72" i="50"/>
  <c r="W72" i="50" s="1"/>
  <c r="K37" i="50"/>
  <c r="V37" i="50" s="1"/>
  <c r="M59" i="50"/>
  <c r="X59" i="50" s="1"/>
  <c r="G11" i="50"/>
  <c r="R11" i="50" s="1"/>
  <c r="H31" i="50"/>
  <c r="S31" i="50" s="1"/>
  <c r="L82" i="50"/>
  <c r="W82" i="50" s="1"/>
  <c r="M134" i="50"/>
  <c r="X134" i="50" s="1"/>
  <c r="M4" i="50"/>
  <c r="X4" i="50" s="1"/>
  <c r="K48" i="50"/>
  <c r="V48" i="50" s="1"/>
  <c r="N106" i="50"/>
  <c r="Y106" i="50" s="1"/>
  <c r="K46" i="50"/>
  <c r="V46" i="50" s="1"/>
  <c r="H26" i="50"/>
  <c r="S26" i="50" s="1"/>
  <c r="M68" i="50"/>
  <c r="X68" i="50" s="1"/>
  <c r="N68" i="50"/>
  <c r="Y68" i="50" s="1"/>
  <c r="M26" i="50"/>
  <c r="X26" i="50" s="1"/>
  <c r="N5" i="50"/>
  <c r="Y5" i="50" s="1"/>
  <c r="H58" i="50"/>
  <c r="S58" i="50" s="1"/>
  <c r="O128" i="50"/>
  <c r="Z128" i="50" s="1"/>
  <c r="I115" i="50"/>
  <c r="T115" i="50" s="1"/>
  <c r="I65" i="50"/>
  <c r="T65" i="50" s="1"/>
  <c r="H141" i="50"/>
  <c r="S141" i="50" s="1"/>
  <c r="O24" i="50"/>
  <c r="Z24" i="50" s="1"/>
  <c r="F129" i="50"/>
  <c r="Q129" i="50" s="1"/>
  <c r="I13" i="50"/>
  <c r="T13" i="50" s="1"/>
  <c r="H72" i="50"/>
  <c r="S72" i="50" s="1"/>
  <c r="N24" i="50"/>
  <c r="Y24" i="50" s="1"/>
  <c r="K134" i="50"/>
  <c r="V134" i="50" s="1"/>
  <c r="K116" i="50"/>
  <c r="V116" i="50" s="1"/>
  <c r="L53" i="50"/>
  <c r="W53" i="50" s="1"/>
  <c r="G9" i="50"/>
  <c r="R9" i="50" s="1"/>
  <c r="J64" i="50"/>
  <c r="U64" i="50" s="1"/>
  <c r="I22" i="50"/>
  <c r="T22" i="50" s="1"/>
  <c r="M19" i="50"/>
  <c r="X19" i="50" s="1"/>
  <c r="O23" i="50"/>
  <c r="Z23" i="50" s="1"/>
  <c r="M64" i="50"/>
  <c r="X64" i="50" s="1"/>
  <c r="I70" i="50"/>
  <c r="T70" i="50" s="1"/>
  <c r="H23" i="50"/>
  <c r="S23" i="50" s="1"/>
  <c r="H82" i="50"/>
  <c r="S82" i="50" s="1"/>
  <c r="H89" i="50"/>
  <c r="S89" i="50" s="1"/>
  <c r="L10" i="50"/>
  <c r="W10" i="50" s="1"/>
  <c r="F46" i="50"/>
  <c r="Q46" i="50" s="1"/>
  <c r="M127" i="50"/>
  <c r="X127" i="50" s="1"/>
  <c r="O55" i="50"/>
  <c r="Z55" i="50" s="1"/>
  <c r="N18" i="50"/>
  <c r="Y18" i="50" s="1"/>
  <c r="M49" i="50"/>
  <c r="X49" i="50" s="1"/>
  <c r="N140" i="50"/>
  <c r="Y140" i="50" s="1"/>
  <c r="K79" i="50"/>
  <c r="V79" i="50" s="1"/>
  <c r="N13" i="50"/>
  <c r="Y13" i="50" s="1"/>
  <c r="O141" i="50"/>
  <c r="Z141" i="50" s="1"/>
  <c r="O93" i="50"/>
  <c r="Z93" i="50" s="1"/>
  <c r="F44" i="50"/>
  <c r="Q44" i="50" s="1"/>
  <c r="O140" i="50"/>
  <c r="Z140" i="50" s="1"/>
  <c r="L93" i="50"/>
  <c r="W93" i="50" s="1"/>
  <c r="H45" i="50"/>
  <c r="S45" i="50" s="1"/>
  <c r="J37" i="50"/>
  <c r="U37" i="50" s="1"/>
  <c r="G13" i="50"/>
  <c r="R13" i="50" s="1"/>
  <c r="L138" i="50"/>
  <c r="W138" i="50" s="1"/>
  <c r="F26" i="50"/>
  <c r="Q26" i="50" s="1"/>
  <c r="M17" i="50"/>
  <c r="X17" i="50" s="1"/>
  <c r="N71" i="50"/>
  <c r="Y71" i="50" s="1"/>
  <c r="H55" i="50"/>
  <c r="S55" i="50" s="1"/>
  <c r="N70" i="50"/>
  <c r="Y70" i="50" s="1"/>
  <c r="J23" i="50"/>
  <c r="U23" i="50" s="1"/>
  <c r="H104" i="50"/>
  <c r="S104" i="50" s="1"/>
  <c r="O70" i="50"/>
  <c r="Z70" i="50" s="1"/>
  <c r="N9" i="50"/>
  <c r="Y9" i="50" s="1"/>
  <c r="J129" i="50"/>
  <c r="U129" i="50" s="1"/>
  <c r="K40" i="50"/>
  <c r="V40" i="50" s="1"/>
  <c r="I121" i="50"/>
  <c r="T121" i="50" s="1"/>
  <c r="N11" i="50"/>
  <c r="Y11" i="50" s="1"/>
  <c r="O11" i="50"/>
  <c r="Z11" i="50" s="1"/>
  <c r="K62" i="50"/>
  <c r="V62" i="50" s="1"/>
  <c r="O71" i="50"/>
  <c r="Z71" i="50" s="1"/>
  <c r="G53" i="50"/>
  <c r="R53" i="50" s="1"/>
  <c r="M98" i="50"/>
  <c r="X98" i="50" s="1"/>
  <c r="H21" i="50"/>
  <c r="S21" i="50" s="1"/>
  <c r="H134" i="50"/>
  <c r="S134" i="50" s="1"/>
  <c r="M25" i="50"/>
  <c r="X25" i="50" s="1"/>
  <c r="I44" i="50"/>
  <c r="T44" i="50" s="1"/>
  <c r="G43" i="50"/>
  <c r="R43" i="50" s="1"/>
  <c r="J52" i="50"/>
  <c r="U52" i="50" s="1"/>
  <c r="J45" i="50"/>
  <c r="U45" i="50" s="1"/>
  <c r="O91" i="50"/>
  <c r="Z91" i="50" s="1"/>
  <c r="G123" i="50"/>
  <c r="R123" i="50" s="1"/>
  <c r="L77" i="50"/>
  <c r="W77" i="50" s="1"/>
  <c r="G81" i="50"/>
  <c r="R81" i="50" s="1"/>
  <c r="H92" i="50"/>
  <c r="S92" i="50" s="1"/>
  <c r="L49" i="50"/>
  <c r="W49" i="50" s="1"/>
  <c r="N137" i="50"/>
  <c r="Y137" i="50" s="1"/>
  <c r="M9" i="50"/>
  <c r="X9" i="50" s="1"/>
  <c r="M76" i="50"/>
  <c r="X76" i="50" s="1"/>
  <c r="L19" i="50"/>
  <c r="W19" i="50" s="1"/>
  <c r="H14" i="50"/>
  <c r="S14" i="50" s="1"/>
  <c r="H102" i="50"/>
  <c r="S102" i="50" s="1"/>
  <c r="J17" i="50"/>
  <c r="U17" i="50" s="1"/>
  <c r="O81" i="50"/>
  <c r="Z81" i="50" s="1"/>
  <c r="F118" i="50"/>
  <c r="Q118" i="50" s="1"/>
  <c r="G96" i="50"/>
  <c r="R96" i="50" s="1"/>
  <c r="L43" i="50"/>
  <c r="W43" i="50" s="1"/>
  <c r="J25" i="50"/>
  <c r="U25" i="50" s="1"/>
  <c r="J118" i="50"/>
  <c r="U118" i="50" s="1"/>
  <c r="M106" i="50"/>
  <c r="X106" i="50" s="1"/>
  <c r="L68" i="50"/>
  <c r="W68" i="50" s="1"/>
  <c r="J19" i="50"/>
  <c r="U19" i="50" s="1"/>
  <c r="K22" i="50"/>
  <c r="V22" i="50" s="1"/>
  <c r="F20" i="50"/>
  <c r="Q20" i="50" s="1"/>
  <c r="I47" i="50"/>
  <c r="T47" i="50" s="1"/>
  <c r="L4" i="50"/>
  <c r="W4" i="50" s="1"/>
  <c r="I79" i="50"/>
  <c r="T79" i="50" s="1"/>
  <c r="L16" i="50"/>
  <c r="W16" i="50" s="1"/>
  <c r="G115" i="50"/>
  <c r="R115" i="50" s="1"/>
  <c r="G69" i="50"/>
  <c r="R69" i="50" s="1"/>
  <c r="F119" i="50"/>
  <c r="Q119" i="50" s="1"/>
  <c r="F79" i="50"/>
  <c r="Q79" i="50" s="1"/>
  <c r="N88" i="50"/>
  <c r="Y88" i="50" s="1"/>
  <c r="F37" i="50"/>
  <c r="Q37" i="50" s="1"/>
  <c r="O26" i="50"/>
  <c r="Z26" i="50" s="1"/>
  <c r="G62" i="50"/>
  <c r="R62" i="50" s="1"/>
  <c r="L14" i="50"/>
  <c r="W14" i="50" s="1"/>
  <c r="H24" i="50"/>
  <c r="S24" i="50" s="1"/>
  <c r="L125" i="50"/>
  <c r="W125" i="50" s="1"/>
  <c r="I77" i="50"/>
  <c r="T77" i="50" s="1"/>
  <c r="L50" i="50"/>
  <c r="W50" i="50" s="1"/>
  <c r="G116" i="50"/>
  <c r="R116" i="50" s="1"/>
  <c r="K119" i="50"/>
  <c r="V119" i="50" s="1"/>
  <c r="H64" i="50"/>
  <c r="S64" i="50" s="1"/>
  <c r="M20" i="50"/>
  <c r="X20" i="50" s="1"/>
  <c r="G127" i="50"/>
  <c r="R127" i="50" s="1"/>
  <c r="H46" i="50"/>
  <c r="S46" i="50" s="1"/>
  <c r="N45" i="50"/>
  <c r="Y45" i="50" s="1"/>
  <c r="I137" i="50"/>
  <c r="T137" i="50" s="1"/>
  <c r="I24" i="50"/>
  <c r="T24" i="50" s="1"/>
  <c r="G102" i="50"/>
  <c r="R102" i="50" s="1"/>
  <c r="F91" i="50"/>
  <c r="Q91" i="50" s="1"/>
  <c r="K32" i="50"/>
  <c r="V32" i="50" s="1"/>
  <c r="O72" i="50"/>
  <c r="Z72" i="50" s="1"/>
  <c r="N57" i="50"/>
  <c r="Y57" i="50" s="1"/>
  <c r="M14" i="50"/>
  <c r="X14" i="50" s="1"/>
  <c r="L99" i="50"/>
  <c r="W99" i="50" s="1"/>
  <c r="M122" i="50"/>
  <c r="X122" i="50" s="1"/>
  <c r="O104" i="50"/>
  <c r="Z104" i="50" s="1"/>
  <c r="O17" i="50"/>
  <c r="Z17" i="50" s="1"/>
  <c r="J24" i="50"/>
  <c r="U24" i="50" s="1"/>
  <c r="G140" i="50"/>
  <c r="R140" i="50" s="1"/>
  <c r="M116" i="50"/>
  <c r="X116" i="50" s="1"/>
  <c r="G122" i="50"/>
  <c r="R122" i="50" s="1"/>
  <c r="I31" i="50"/>
  <c r="T31" i="50" s="1"/>
  <c r="K18" i="50"/>
  <c r="V18" i="50" s="1"/>
  <c r="L110" i="50"/>
  <c r="W110" i="50" s="1"/>
  <c r="J39" i="50"/>
  <c r="U39" i="50" s="1"/>
  <c r="G47" i="50"/>
  <c r="R47" i="50" s="1"/>
  <c r="K82" i="50"/>
  <c r="V82" i="50" s="1"/>
  <c r="F69" i="50"/>
  <c r="Q69" i="50" s="1"/>
  <c r="L26" i="50"/>
  <c r="W26" i="50" s="1"/>
  <c r="F34" i="50"/>
  <c r="Q34" i="50" s="1"/>
  <c r="K29" i="50"/>
  <c r="V29" i="50" s="1"/>
  <c r="K23" i="50"/>
  <c r="V23" i="50" s="1"/>
  <c r="G64" i="50"/>
  <c r="R64" i="50" s="1"/>
  <c r="N126" i="50"/>
  <c r="Y126" i="50" s="1"/>
  <c r="I39" i="50"/>
  <c r="T39" i="50" s="1"/>
  <c r="L59" i="50"/>
  <c r="W59" i="50" s="1"/>
  <c r="M50" i="50"/>
  <c r="X50" i="50" s="1"/>
  <c r="M102" i="50"/>
  <c r="X102" i="50" s="1"/>
  <c r="J13" i="50"/>
  <c r="U13" i="50" s="1"/>
  <c r="I96" i="50"/>
  <c r="T96" i="50" s="1"/>
  <c r="F92" i="50"/>
  <c r="Q92" i="50" s="1"/>
  <c r="L29" i="50"/>
  <c r="W29" i="50" s="1"/>
  <c r="L132" i="50"/>
  <c r="W132" i="50" s="1"/>
  <c r="H76" i="50"/>
  <c r="S76" i="50" s="1"/>
  <c r="G39" i="50"/>
  <c r="R39" i="50" s="1"/>
  <c r="L92" i="50"/>
  <c r="W92" i="50" s="1"/>
  <c r="N129" i="50"/>
  <c r="Y129" i="50" s="1"/>
  <c r="J91" i="50"/>
  <c r="U91" i="50" s="1"/>
  <c r="I4" i="50"/>
  <c r="T4" i="50" s="1"/>
  <c r="L30" i="50"/>
  <c r="W30" i="50" s="1"/>
  <c r="M130" i="50"/>
  <c r="X130" i="50" s="1"/>
  <c r="F29" i="50"/>
  <c r="Q29" i="50" s="1"/>
  <c r="N64" i="50"/>
  <c r="Y64" i="50" s="1"/>
  <c r="I117" i="50"/>
  <c r="T117" i="50" s="1"/>
  <c r="O90" i="50"/>
  <c r="Z90" i="50" s="1"/>
  <c r="H127" i="50"/>
  <c r="S127" i="50" s="1"/>
  <c r="J57" i="50"/>
  <c r="U57" i="50" s="1"/>
  <c r="G99" i="50"/>
  <c r="R99" i="50" s="1"/>
  <c r="J59" i="50"/>
  <c r="U59" i="50" s="1"/>
  <c r="G49" i="50"/>
  <c r="R49" i="50" s="1"/>
  <c r="F59" i="50"/>
  <c r="Q59" i="50" s="1"/>
  <c r="K98" i="50"/>
  <c r="V98" i="50" s="1"/>
  <c r="I48" i="50"/>
  <c r="T48" i="50" s="1"/>
  <c r="F88" i="50"/>
  <c r="Q88" i="50" s="1"/>
  <c r="H81" i="50"/>
  <c r="S81" i="50" s="1"/>
  <c r="J31" i="50"/>
  <c r="U31" i="50" s="1"/>
  <c r="N113" i="50"/>
  <c r="Y113" i="50" s="1"/>
  <c r="I18" i="50"/>
  <c r="T18" i="50" s="1"/>
  <c r="H5" i="50"/>
  <c r="S5" i="50" s="1"/>
  <c r="M128" i="50"/>
  <c r="X128" i="50" s="1"/>
  <c r="I81" i="50"/>
  <c r="T81" i="50" s="1"/>
  <c r="K52" i="50"/>
  <c r="V52" i="50" s="1"/>
  <c r="J93" i="50"/>
  <c r="U93" i="50" s="1"/>
  <c r="J35" i="50"/>
  <c r="U35" i="50" s="1"/>
  <c r="L75" i="50"/>
  <c r="W75" i="50" s="1"/>
  <c r="K130" i="50"/>
  <c r="V130" i="50" s="1"/>
  <c r="H110" i="50"/>
  <c r="S110" i="50" s="1"/>
  <c r="H137" i="50"/>
  <c r="S137" i="50" s="1"/>
  <c r="H17" i="50"/>
  <c r="S17" i="50" s="1"/>
  <c r="L111" i="50"/>
  <c r="W111" i="50" s="1"/>
  <c r="M118" i="50"/>
  <c r="X118" i="50" s="1"/>
  <c r="N62" i="50"/>
  <c r="Y62" i="50" s="1"/>
  <c r="N16" i="50"/>
  <c r="Y16" i="50" s="1"/>
  <c r="H119" i="50"/>
  <c r="S119" i="50" s="1"/>
  <c r="L98" i="50"/>
  <c r="W98" i="50" s="1"/>
  <c r="F71" i="50"/>
  <c r="Q71" i="50" s="1"/>
  <c r="F6" i="50"/>
  <c r="Q6" i="50" s="1"/>
  <c r="K57" i="50"/>
  <c r="V57" i="50" s="1"/>
  <c r="N17" i="50"/>
  <c r="Y17" i="50" s="1"/>
  <c r="O122" i="50"/>
  <c r="Z122" i="50" s="1"/>
  <c r="K72" i="50"/>
  <c r="V72" i="50" s="1"/>
  <c r="I11" i="50"/>
  <c r="T11" i="50" s="1"/>
  <c r="F126" i="50"/>
  <c r="Q126" i="50" s="1"/>
  <c r="L40" i="50"/>
  <c r="W40" i="50" s="1"/>
  <c r="J102" i="50"/>
  <c r="U102" i="50" s="1"/>
  <c r="H115" i="50"/>
  <c r="S115" i="50" s="1"/>
  <c r="O79" i="50"/>
  <c r="Z79" i="50" s="1"/>
  <c r="J123" i="50"/>
  <c r="U123" i="50" s="1"/>
  <c r="G128" i="50"/>
  <c r="R128" i="50" s="1"/>
  <c r="O4" i="50"/>
  <c r="Z4" i="50" s="1"/>
  <c r="K140" i="50"/>
  <c r="V140" i="50" s="1"/>
  <c r="F45" i="50"/>
  <c r="Q45" i="50" s="1"/>
  <c r="L117" i="50"/>
  <c r="W117" i="50" s="1"/>
  <c r="K50" i="50"/>
  <c r="V50" i="50" s="1"/>
  <c r="F76" i="50"/>
  <c r="Q76" i="50" s="1"/>
  <c r="K94" i="50"/>
  <c r="V94" i="50" s="1"/>
  <c r="M91" i="50"/>
  <c r="X91" i="50" s="1"/>
  <c r="J128" i="50"/>
  <c r="U128" i="50" s="1"/>
  <c r="M40" i="50"/>
  <c r="X40" i="50" s="1"/>
  <c r="F113" i="50"/>
  <c r="Q113" i="50" s="1"/>
  <c r="H90" i="50"/>
  <c r="S90" i="50" s="1"/>
  <c r="K68" i="50"/>
  <c r="V68" i="50" s="1"/>
  <c r="N49" i="50"/>
  <c r="Y49" i="50" s="1"/>
  <c r="K126" i="50"/>
  <c r="V126" i="50" s="1"/>
  <c r="K17" i="50"/>
  <c r="V17" i="50" s="1"/>
  <c r="G27" i="50"/>
  <c r="R27" i="50" s="1"/>
  <c r="K11" i="50"/>
  <c r="V11" i="50" s="1"/>
  <c r="H68" i="50"/>
  <c r="S68" i="50" s="1"/>
  <c r="K138" i="50"/>
  <c r="V138" i="50" s="1"/>
  <c r="O29" i="50"/>
  <c r="Z29" i="50" s="1"/>
  <c r="L113" i="50"/>
  <c r="W113" i="50" s="1"/>
  <c r="M11" i="50"/>
  <c r="X11" i="50" s="1"/>
  <c r="H4" i="50"/>
  <c r="S4" i="50" s="1"/>
  <c r="O20" i="50"/>
  <c r="Z20" i="50" s="1"/>
  <c r="F15" i="50"/>
  <c r="Q15" i="50" s="1"/>
  <c r="H48" i="50"/>
  <c r="S48" i="50" s="1"/>
  <c r="H62" i="50"/>
  <c r="S62" i="50" s="1"/>
  <c r="F96" i="50"/>
  <c r="Q96" i="50" s="1"/>
  <c r="O69" i="50"/>
  <c r="Z69" i="50" s="1"/>
  <c r="N21" i="50"/>
  <c r="Y21" i="50" s="1"/>
  <c r="J104" i="50"/>
  <c r="U104" i="50" s="1"/>
  <c r="L17" i="50"/>
  <c r="W17" i="50" s="1"/>
  <c r="K96" i="50"/>
  <c r="V96" i="50" s="1"/>
  <c r="F13" i="50"/>
  <c r="Q13" i="50" s="1"/>
  <c r="M110" i="50"/>
  <c r="X110" i="50" s="1"/>
  <c r="N25" i="50"/>
  <c r="Y25" i="50" s="1"/>
  <c r="I49" i="50"/>
  <c r="T49" i="50" s="1"/>
  <c r="K28" i="50"/>
  <c r="V28" i="50" s="1"/>
  <c r="L64" i="50"/>
  <c r="W64" i="50" s="1"/>
  <c r="H75" i="50"/>
  <c r="S75" i="50" s="1"/>
  <c r="G20" i="50"/>
  <c r="R20" i="50" s="1"/>
  <c r="F65" i="50"/>
  <c r="Q65" i="50" s="1"/>
  <c r="F68" i="50"/>
  <c r="Q68" i="50" s="1"/>
  <c r="M96" i="50"/>
  <c r="X96" i="50" s="1"/>
  <c r="L21" i="50"/>
  <c r="W21" i="50" s="1"/>
  <c r="L96" i="50"/>
  <c r="W96" i="50" s="1"/>
  <c r="N32" i="50"/>
  <c r="Y32" i="50" s="1"/>
  <c r="M138" i="50"/>
  <c r="X138" i="50" s="1"/>
  <c r="N40" i="50"/>
  <c r="Y40" i="50" s="1"/>
  <c r="J134" i="50"/>
  <c r="U134" i="50" s="1"/>
  <c r="O113" i="50"/>
  <c r="Z113" i="50" s="1"/>
  <c r="K77" i="50"/>
  <c r="V77" i="50" s="1"/>
  <c r="L45" i="50"/>
  <c r="W45" i="50" s="1"/>
  <c r="L62" i="50"/>
  <c r="W62" i="50" s="1"/>
  <c r="M47" i="50"/>
  <c r="X47" i="50" s="1"/>
  <c r="L31" i="50"/>
  <c r="W31" i="50" s="1"/>
  <c r="J78" i="50"/>
  <c r="U78" i="50" s="1"/>
  <c r="J58" i="50"/>
  <c r="U58" i="50" s="1"/>
  <c r="I26" i="50"/>
  <c r="T26" i="50" s="1"/>
  <c r="L23" i="50"/>
  <c r="W23" i="50" s="1"/>
  <c r="N123" i="50"/>
  <c r="Y123" i="50" s="1"/>
  <c r="F103" i="50"/>
  <c r="Q103" i="50" s="1"/>
  <c r="F31" i="50"/>
  <c r="Q31" i="50" s="1"/>
  <c r="I30" i="50"/>
  <c r="T30" i="50" s="1"/>
  <c r="O65" i="50"/>
  <c r="Z65" i="50" s="1"/>
  <c r="H18" i="50"/>
  <c r="S18" i="50" s="1"/>
  <c r="J30" i="50"/>
  <c r="U30" i="50" s="1"/>
  <c r="F78" i="50"/>
  <c r="Q78" i="50" s="1"/>
  <c r="H43" i="50"/>
  <c r="S43" i="50" s="1"/>
  <c r="K45" i="50"/>
  <c r="V45" i="50" s="1"/>
  <c r="L91" i="50"/>
  <c r="W91" i="50" s="1"/>
  <c r="I16" i="50"/>
  <c r="T16" i="50" s="1"/>
  <c r="K20" i="50"/>
  <c r="V20" i="50" s="1"/>
  <c r="M39" i="50"/>
  <c r="X39" i="50" s="1"/>
  <c r="F21" i="50"/>
  <c r="Q21" i="50" s="1"/>
  <c r="K44" i="50"/>
  <c r="V44" i="50" s="1"/>
  <c r="L13" i="50"/>
  <c r="W13" i="50" s="1"/>
  <c r="K128" i="50"/>
  <c r="V128" i="50" s="1"/>
  <c r="G75" i="50"/>
  <c r="R75" i="50" s="1"/>
  <c r="J20" i="50"/>
  <c r="U20" i="50" s="1"/>
  <c r="N27" i="50"/>
  <c r="Y27" i="50" s="1"/>
  <c r="N72" i="50"/>
  <c r="Y72" i="50" s="1"/>
  <c r="J140" i="50"/>
  <c r="U140" i="50" s="1"/>
  <c r="M7" i="50"/>
  <c r="X7" i="50" s="1"/>
  <c r="I82" i="50"/>
  <c r="T82" i="50" s="1"/>
  <c r="N14" i="50"/>
  <c r="Y14" i="50" s="1"/>
  <c r="O52" i="50"/>
  <c r="Z52" i="50" s="1"/>
  <c r="J141" i="50"/>
  <c r="U141" i="50" s="1"/>
  <c r="M115" i="50"/>
  <c r="X115" i="50" s="1"/>
  <c r="M52" i="50"/>
  <c r="X52" i="50" s="1"/>
  <c r="O121" i="50"/>
  <c r="Z121" i="50" s="1"/>
  <c r="F139" i="50"/>
  <c r="Q139" i="50" s="1"/>
  <c r="K129" i="50"/>
  <c r="V129" i="50" s="1"/>
  <c r="N34" i="50"/>
  <c r="Y34" i="50" s="1"/>
  <c r="K122" i="50"/>
  <c r="V122" i="50" s="1"/>
  <c r="I25" i="50"/>
  <c r="T25" i="50" s="1"/>
  <c r="J94" i="50"/>
  <c r="U94" i="50" s="1"/>
  <c r="O92" i="50"/>
  <c r="Z92" i="50" s="1"/>
  <c r="O117" i="50"/>
  <c r="Z117" i="50" s="1"/>
  <c r="J69" i="50"/>
  <c r="U69" i="50" s="1"/>
  <c r="O118" i="50"/>
  <c r="Z118" i="50" s="1"/>
  <c r="F70" i="50"/>
  <c r="Q70" i="50" s="1"/>
  <c r="M44" i="50"/>
  <c r="X44" i="50" s="1"/>
  <c r="G5" i="50"/>
  <c r="R5" i="50" s="1"/>
  <c r="G40" i="50"/>
  <c r="R40" i="50" s="1"/>
  <c r="J46" i="50"/>
  <c r="U46" i="50" s="1"/>
  <c r="L65" i="50"/>
  <c r="W65" i="50" s="1"/>
  <c r="G121" i="50"/>
  <c r="R121" i="50" s="1"/>
  <c r="O138" i="50"/>
  <c r="Z138" i="50" s="1"/>
  <c r="I17" i="50"/>
  <c r="T17" i="50" s="1"/>
  <c r="F55" i="50"/>
  <c r="Q55" i="50" s="1"/>
  <c r="K99" i="50"/>
  <c r="V99" i="50" s="1"/>
  <c r="G82" i="50"/>
  <c r="R82" i="50" s="1"/>
  <c r="I99" i="50"/>
  <c r="T99" i="50" s="1"/>
  <c r="G34" i="50"/>
  <c r="R34" i="50" s="1"/>
  <c r="H25" i="50"/>
  <c r="S25" i="50" s="1"/>
  <c r="K6" i="50"/>
  <c r="V6" i="50" s="1"/>
  <c r="N138" i="50"/>
  <c r="Y138" i="50" s="1"/>
  <c r="O48" i="50"/>
  <c r="Z48" i="50" s="1"/>
  <c r="N48" i="50"/>
  <c r="Y48" i="50" s="1"/>
  <c r="G125" i="50"/>
  <c r="R125" i="50" s="1"/>
  <c r="N26" i="50"/>
  <c r="Y26" i="50" s="1"/>
  <c r="J111" i="50"/>
  <c r="U111" i="50" s="1"/>
  <c r="N96" i="50"/>
  <c r="Y96" i="50" s="1"/>
  <c r="L81" i="50"/>
  <c r="W81" i="50" s="1"/>
  <c r="L71" i="50"/>
  <c r="W71" i="50" s="1"/>
  <c r="H129" i="50"/>
  <c r="S129" i="50" s="1"/>
  <c r="H11" i="50"/>
  <c r="S11" i="50" s="1"/>
  <c r="H35" i="50"/>
  <c r="S35" i="50" s="1"/>
  <c r="L102" i="50"/>
  <c r="W102" i="50" s="1"/>
  <c r="F38" i="50"/>
  <c r="Q38" i="50" s="1"/>
  <c r="O68" i="50"/>
  <c r="Z68" i="50" s="1"/>
  <c r="G37" i="50"/>
  <c r="R37" i="50" s="1"/>
  <c r="F64" i="50"/>
  <c r="Q64" i="50" s="1"/>
  <c r="J121" i="50"/>
  <c r="U121" i="50" s="1"/>
  <c r="O126" i="50"/>
  <c r="Z126" i="50" s="1"/>
  <c r="G105" i="50"/>
  <c r="R105" i="50" s="1"/>
  <c r="N76" i="50"/>
  <c r="Y76" i="50" s="1"/>
  <c r="J127" i="50"/>
  <c r="U127" i="50" s="1"/>
  <c r="N92" i="50"/>
  <c r="Y92" i="50" s="1"/>
  <c r="G118" i="50"/>
  <c r="R118" i="50" s="1"/>
  <c r="L34" i="50"/>
  <c r="W34" i="50" s="1"/>
  <c r="G110" i="50"/>
  <c r="R110" i="50" s="1"/>
  <c r="K7" i="50"/>
  <c r="V7" i="50" s="1"/>
  <c r="O99" i="50"/>
  <c r="Z99" i="50" s="1"/>
  <c r="M6" i="50"/>
  <c r="X6" i="50" s="1"/>
  <c r="I125" i="50"/>
  <c r="T125" i="50" s="1"/>
  <c r="J71" i="50"/>
  <c r="U71" i="50" s="1"/>
  <c r="F72" i="50"/>
  <c r="Q72" i="50" s="1"/>
  <c r="G76" i="50"/>
  <c r="R76" i="50" s="1"/>
  <c r="L129" i="50"/>
  <c r="W129" i="50" s="1"/>
  <c r="F30" i="50"/>
  <c r="Q30" i="50" s="1"/>
  <c r="J68" i="50"/>
  <c r="U68" i="50" s="1"/>
  <c r="J116" i="50"/>
  <c r="U116" i="50" s="1"/>
  <c r="N31" i="50"/>
  <c r="Y31" i="50" s="1"/>
  <c r="J6" i="50"/>
  <c r="U6" i="50" s="1"/>
  <c r="F25" i="50"/>
  <c r="Q25" i="50" s="1"/>
  <c r="O95" i="50"/>
  <c r="Z95" i="50" s="1"/>
  <c r="K137" i="50"/>
  <c r="V137" i="50" s="1"/>
  <c r="M18" i="50"/>
  <c r="X18" i="50" s="1"/>
  <c r="L79" i="50"/>
  <c r="W79" i="50" s="1"/>
  <c r="G72" i="50"/>
  <c r="R72" i="50" s="1"/>
  <c r="J18" i="50"/>
  <c r="U18" i="50" s="1"/>
  <c r="I75" i="50"/>
  <c r="T75" i="50" s="1"/>
  <c r="O57" i="50"/>
  <c r="Z57" i="50" s="1"/>
  <c r="G91" i="50"/>
  <c r="R91" i="50" s="1"/>
  <c r="H99" i="50"/>
  <c r="S99" i="50" s="1"/>
  <c r="F33" i="50"/>
  <c r="Q33" i="50" s="1"/>
  <c r="O87" i="50"/>
  <c r="Z87" i="50" s="1"/>
  <c r="I87" i="50"/>
  <c r="T87" i="50" s="1"/>
  <c r="N87" i="50"/>
  <c r="Y87" i="50" s="1"/>
  <c r="H87" i="50"/>
  <c r="S87" i="50" s="1"/>
  <c r="K87" i="50"/>
  <c r="V87" i="50" s="1"/>
  <c r="J87" i="50"/>
  <c r="U87" i="50" s="1"/>
  <c r="L87" i="50"/>
  <c r="W87" i="50" s="1"/>
  <c r="F87" i="50"/>
  <c r="Q87" i="50" s="1"/>
  <c r="G87" i="50"/>
  <c r="R87" i="50" s="1"/>
  <c r="M87" i="50"/>
  <c r="X87" i="50" s="1"/>
  <c r="N86" i="50"/>
  <c r="Y86" i="50" s="1"/>
  <c r="I67" i="50"/>
  <c r="T67" i="50" s="1"/>
  <c r="G67" i="50"/>
  <c r="R67" i="50" s="1"/>
  <c r="O67" i="50"/>
  <c r="Z67" i="50" s="1"/>
  <c r="L67" i="50"/>
  <c r="W67" i="50" s="1"/>
  <c r="M67" i="50"/>
  <c r="X67" i="50" s="1"/>
  <c r="N67" i="50"/>
  <c r="Y67" i="50" s="1"/>
  <c r="F67" i="50"/>
  <c r="Q67" i="50" s="1"/>
  <c r="J67" i="50"/>
  <c r="U67" i="50" s="1"/>
  <c r="K67" i="50"/>
  <c r="V67" i="50" s="1"/>
  <c r="H67" i="50"/>
  <c r="S67" i="50" s="1"/>
  <c r="H86" i="50"/>
  <c r="S86" i="50" s="1"/>
  <c r="L86" i="50"/>
  <c r="W86" i="50" s="1"/>
  <c r="L33" i="50"/>
  <c r="W33" i="50" s="1"/>
  <c r="N101" i="50"/>
  <c r="Y101" i="50" s="1"/>
  <c r="J103" i="50"/>
  <c r="U103" i="50" s="1"/>
  <c r="O103" i="50"/>
  <c r="Z103" i="50" s="1"/>
  <c r="M103" i="50"/>
  <c r="X103" i="50" s="1"/>
  <c r="K103" i="50"/>
  <c r="V103" i="50" s="1"/>
  <c r="H103" i="50"/>
  <c r="S103" i="50" s="1"/>
  <c r="L103" i="50"/>
  <c r="W103" i="50" s="1"/>
  <c r="I103" i="50"/>
  <c r="T103" i="50" s="1"/>
  <c r="N103" i="50"/>
  <c r="Y103" i="50" s="1"/>
  <c r="G103" i="50"/>
  <c r="R103" i="50" s="1"/>
  <c r="J101" i="50"/>
  <c r="U101" i="50" s="1"/>
  <c r="M15" i="50"/>
  <c r="X15" i="50" s="1"/>
  <c r="O139" i="50"/>
  <c r="Z139" i="50" s="1"/>
  <c r="I84" i="50"/>
  <c r="T84" i="50" s="1"/>
  <c r="G84" i="50"/>
  <c r="R84" i="50" s="1"/>
  <c r="K84" i="50"/>
  <c r="V84" i="50" s="1"/>
  <c r="F84" i="50"/>
  <c r="Q84" i="50" s="1"/>
  <c r="M84" i="50"/>
  <c r="X84" i="50" s="1"/>
  <c r="J84" i="50"/>
  <c r="U84" i="50" s="1"/>
  <c r="O84" i="50"/>
  <c r="Z84" i="50" s="1"/>
  <c r="L84" i="50"/>
  <c r="W84" i="50" s="1"/>
  <c r="N84" i="50"/>
  <c r="Y84" i="50" s="1"/>
  <c r="H84" i="50"/>
  <c r="S84" i="50" s="1"/>
  <c r="H133" i="50"/>
  <c r="S133" i="50" s="1"/>
  <c r="K133" i="50"/>
  <c r="V133" i="50" s="1"/>
  <c r="M133" i="50"/>
  <c r="X133" i="50" s="1"/>
  <c r="L133" i="50"/>
  <c r="W133" i="50" s="1"/>
  <c r="I133" i="50"/>
  <c r="T133" i="50" s="1"/>
  <c r="G133" i="50"/>
  <c r="R133" i="50" s="1"/>
  <c r="N133" i="50"/>
  <c r="Y133" i="50" s="1"/>
  <c r="O133" i="50"/>
  <c r="Z133" i="50" s="1"/>
  <c r="F133" i="50"/>
  <c r="Q133" i="50" s="1"/>
  <c r="J133" i="50"/>
  <c r="U133" i="50" s="1"/>
  <c r="I86" i="50"/>
  <c r="T86" i="50" s="1"/>
  <c r="F86" i="50"/>
  <c r="Q86" i="50" s="1"/>
  <c r="O86" i="50"/>
  <c r="Z86" i="50" s="1"/>
  <c r="K86" i="50"/>
  <c r="V86" i="50" s="1"/>
  <c r="J86" i="50"/>
  <c r="U86" i="50" s="1"/>
  <c r="G86" i="50"/>
  <c r="R86" i="50" s="1"/>
  <c r="I38" i="50"/>
  <c r="T38" i="50" s="1"/>
  <c r="N38" i="50"/>
  <c r="Y38" i="50" s="1"/>
  <c r="K38" i="50"/>
  <c r="V38" i="50" s="1"/>
  <c r="H38" i="50"/>
  <c r="S38" i="50" s="1"/>
  <c r="J38" i="50"/>
  <c r="U38" i="50" s="1"/>
  <c r="L38" i="50"/>
  <c r="W38" i="50" s="1"/>
  <c r="G38" i="50"/>
  <c r="R38" i="50" s="1"/>
  <c r="O38" i="50"/>
  <c r="Z38" i="50" s="1"/>
  <c r="M38" i="50"/>
  <c r="X38" i="50" s="1"/>
  <c r="I101" i="50"/>
  <c r="T101" i="50" s="1"/>
  <c r="M101" i="50"/>
  <c r="X101" i="50" s="1"/>
  <c r="O101" i="50"/>
  <c r="Z101" i="50" s="1"/>
  <c r="K101" i="50"/>
  <c r="V101" i="50" s="1"/>
  <c r="H101" i="50"/>
  <c r="S101" i="50" s="1"/>
  <c r="L101" i="50"/>
  <c r="W101" i="50" s="1"/>
  <c r="G101" i="50"/>
  <c r="R101" i="50" s="1"/>
  <c r="F101" i="50"/>
  <c r="Q101" i="50" s="1"/>
  <c r="O60" i="50"/>
  <c r="Z60" i="50" s="1"/>
  <c r="N60" i="50"/>
  <c r="Y60" i="50" s="1"/>
  <c r="H60" i="50"/>
  <c r="S60" i="50" s="1"/>
  <c r="F60" i="50"/>
  <c r="Q60" i="50" s="1"/>
  <c r="K60" i="50"/>
  <c r="V60" i="50" s="1"/>
  <c r="G60" i="50"/>
  <c r="R60" i="50" s="1"/>
  <c r="L60" i="50"/>
  <c r="W60" i="50" s="1"/>
  <c r="I60" i="50"/>
  <c r="T60" i="50" s="1"/>
  <c r="M60" i="50"/>
  <c r="X60" i="50" s="1"/>
  <c r="J60" i="50"/>
  <c r="U60" i="50" s="1"/>
  <c r="H139" i="50"/>
  <c r="S139" i="50" s="1"/>
  <c r="J139" i="50"/>
  <c r="U139" i="50" s="1"/>
  <c r="L139" i="50"/>
  <c r="W139" i="50" s="1"/>
  <c r="I139" i="50"/>
  <c r="T139" i="50" s="1"/>
  <c r="N139" i="50"/>
  <c r="Y139" i="50" s="1"/>
  <c r="G139" i="50"/>
  <c r="R139" i="50" s="1"/>
  <c r="K139" i="50"/>
  <c r="V139" i="50" s="1"/>
  <c r="M139" i="50"/>
  <c r="X139" i="50" s="1"/>
  <c r="G33" i="50"/>
  <c r="R33" i="50" s="1"/>
  <c r="I33" i="50"/>
  <c r="T33" i="50" s="1"/>
  <c r="H33" i="50"/>
  <c r="S33" i="50" s="1"/>
  <c r="J33" i="50"/>
  <c r="U33" i="50" s="1"/>
  <c r="N33" i="50"/>
  <c r="Y33" i="50" s="1"/>
  <c r="M33" i="50"/>
  <c r="X33" i="50" s="1"/>
  <c r="O33" i="50"/>
  <c r="Z33" i="50" s="1"/>
  <c r="K33" i="50"/>
  <c r="V33" i="50" s="1"/>
  <c r="M86" i="50"/>
  <c r="X86" i="50" s="1"/>
  <c r="H74" i="50"/>
  <c r="S74" i="50" s="1"/>
  <c r="M74" i="50"/>
  <c r="X74" i="50" s="1"/>
  <c r="K74" i="50"/>
  <c r="V74" i="50" s="1"/>
  <c r="F74" i="50"/>
  <c r="Q74" i="50" s="1"/>
  <c r="J74" i="50"/>
  <c r="U74" i="50" s="1"/>
  <c r="N74" i="50"/>
  <c r="Y74" i="50" s="1"/>
  <c r="G74" i="50"/>
  <c r="R74" i="50" s="1"/>
  <c r="I74" i="50"/>
  <c r="T74" i="50" s="1"/>
  <c r="L74" i="50"/>
  <c r="W74" i="50" s="1"/>
  <c r="O74" i="50"/>
  <c r="Z74" i="50" s="1"/>
  <c r="O15" i="50"/>
  <c r="Z15" i="50" s="1"/>
  <c r="K15" i="50"/>
  <c r="V15" i="50" s="1"/>
  <c r="G15" i="50"/>
  <c r="R15" i="50" s="1"/>
  <c r="L15" i="50"/>
  <c r="W15" i="50" s="1"/>
  <c r="I15" i="50"/>
  <c r="T15" i="50" s="1"/>
  <c r="H15" i="50"/>
  <c r="S15" i="50" s="1"/>
  <c r="J15" i="50"/>
  <c r="U15" i="50" s="1"/>
  <c r="N15" i="50"/>
  <c r="Y15" i="50" s="1"/>
  <c r="AA21" i="50" l="1"/>
  <c r="AA84" i="50"/>
  <c r="AA7" i="50"/>
  <c r="AA102" i="50"/>
  <c r="AA131" i="50"/>
  <c r="AA39" i="50"/>
  <c r="AA60" i="50"/>
  <c r="AA79" i="50"/>
  <c r="AA22" i="50"/>
  <c r="AA119" i="50"/>
  <c r="AA92" i="50"/>
  <c r="AA82" i="50"/>
  <c r="AA50" i="50"/>
  <c r="AA108" i="50"/>
  <c r="AA20" i="50"/>
  <c r="AA121" i="50"/>
  <c r="AA72" i="50"/>
  <c r="AA45" i="50"/>
  <c r="AA137" i="50"/>
  <c r="AA129" i="50"/>
  <c r="AA99" i="50"/>
  <c r="AA31" i="50"/>
  <c r="AA43" i="50"/>
  <c r="AA90" i="50"/>
  <c r="AA25" i="50"/>
  <c r="AA118" i="50"/>
  <c r="AA29" i="50"/>
  <c r="AA98" i="50"/>
  <c r="AA71" i="50"/>
  <c r="AA64" i="50"/>
  <c r="AA69" i="50"/>
  <c r="AA48" i="50"/>
  <c r="AA96" i="50"/>
  <c r="AA106" i="50"/>
  <c r="AA127" i="50"/>
  <c r="AA47" i="50"/>
  <c r="AA123" i="50"/>
  <c r="AA138" i="50"/>
  <c r="AA35" i="50"/>
  <c r="AA55" i="50"/>
  <c r="AA94" i="50"/>
  <c r="AA17" i="50"/>
  <c r="AA126" i="50"/>
  <c r="AA18" i="50"/>
  <c r="AA74" i="50"/>
  <c r="AA86" i="50"/>
  <c r="AA113" i="50"/>
  <c r="AA141" i="50"/>
  <c r="AA73" i="50"/>
  <c r="AA133" i="50"/>
  <c r="AA67" i="50"/>
  <c r="AA33" i="50"/>
  <c r="AA68" i="50"/>
  <c r="AA15" i="50"/>
  <c r="AA91" i="50"/>
  <c r="AA26" i="50"/>
  <c r="AA75" i="50"/>
  <c r="AA101" i="50"/>
  <c r="AA44" i="50"/>
  <c r="AA124" i="50"/>
  <c r="AA77" i="50"/>
  <c r="AA30" i="50"/>
  <c r="AA38" i="50"/>
  <c r="AA88" i="50"/>
  <c r="AA57" i="50"/>
  <c r="AA105" i="50"/>
  <c r="AA13" i="50"/>
  <c r="AA62" i="50"/>
  <c r="AA89" i="50"/>
  <c r="AA37" i="50"/>
  <c r="AA81" i="50"/>
  <c r="AA5" i="50"/>
  <c r="AA53" i="50"/>
  <c r="AA115" i="50"/>
  <c r="AA140" i="50"/>
  <c r="AA114" i="50"/>
  <c r="AA59" i="50"/>
  <c r="AA117" i="50"/>
  <c r="AA14" i="50"/>
  <c r="AA6" i="50"/>
  <c r="AA139" i="50"/>
  <c r="AA3" i="50"/>
  <c r="AA49" i="50"/>
  <c r="AA24" i="50"/>
  <c r="AA34" i="50"/>
  <c r="AA87" i="50"/>
  <c r="AA65" i="50"/>
  <c r="AA110" i="50"/>
  <c r="AA46" i="50"/>
  <c r="AA42" i="50"/>
  <c r="AA70" i="50"/>
  <c r="AA100" i="50"/>
  <c r="AA130" i="50"/>
  <c r="AA103" i="50"/>
  <c r="AA11" i="50"/>
  <c r="AA132" i="50"/>
  <c r="AA125" i="50"/>
  <c r="AA128" i="50"/>
  <c r="AA27" i="50"/>
  <c r="AA8" i="50"/>
  <c r="AA63" i="50"/>
  <c r="AA104" i="50"/>
  <c r="AA40" i="50"/>
  <c r="AA93" i="50"/>
  <c r="AA16" i="50"/>
  <c r="AA52" i="50"/>
  <c r="AA120" i="50"/>
  <c r="AA4" i="50"/>
  <c r="AA78" i="50"/>
  <c r="AA76" i="50"/>
  <c r="AA95" i="50"/>
  <c r="AA10" i="50"/>
  <c r="AA122" i="50"/>
  <c r="AA23" i="50"/>
  <c r="AA32" i="50"/>
  <c r="AA58" i="50"/>
  <c r="AA19" i="50"/>
  <c r="AA116" i="50"/>
  <c r="AA134" i="50"/>
  <c r="AA9" i="50"/>
  <c r="AA28" i="50"/>
  <c r="AA61" i="50"/>
  <c r="AA136" i="50"/>
  <c r="AA111" i="50"/>
  <c r="AA12" i="50"/>
  <c r="AA112" i="50"/>
  <c r="AA66" i="50"/>
  <c r="AD2" i="50" l="1"/>
  <c r="F9" i="1" s="1"/>
  <c r="H9" i="1" s="1"/>
  <c r="J9" i="1" s="1"/>
  <c r="C35" i="6" s="1"/>
  <c r="R37" i="6" s="1"/>
  <c r="AD3" i="50"/>
  <c r="AD5" i="50" l="1"/>
  <c r="AD74" i="50" s="1"/>
  <c r="T10" i="8"/>
  <c r="F19" i="8" s="1"/>
  <c r="O8" i="2"/>
  <c r="Q17" i="2" s="1"/>
  <c r="N24" i="1"/>
  <c r="AK13" i="5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<sst xmlns="http://schemas.openxmlformats.org/spreadsheetml/2006/main" count="740" uniqueCount="198">
  <si>
    <t>nr. sym</t>
  </si>
  <si>
    <t>Przychody biletów</t>
  </si>
  <si>
    <t>Dofinansowanie miasta</t>
  </si>
  <si>
    <t>Koszty paliwa</t>
  </si>
  <si>
    <t>Koszty pracowników</t>
  </si>
  <si>
    <t>Koszty napraw</t>
  </si>
  <si>
    <t>Inne koszty</t>
  </si>
  <si>
    <t>Koszty Razem</t>
  </si>
  <si>
    <t>Przychody razem</t>
  </si>
  <si>
    <t>Wynik</t>
  </si>
  <si>
    <t xml:space="preserve"> </t>
  </si>
  <si>
    <t xml:space="preserve">  </t>
  </si>
  <si>
    <t>Szacowana ilość sprzedanych biletów</t>
  </si>
  <si>
    <t>Elastyczność</t>
  </si>
  <si>
    <t>jednorazowy</t>
  </si>
  <si>
    <t>dobowy</t>
  </si>
  <si>
    <t>miesięczny</t>
  </si>
  <si>
    <t>karnet</t>
  </si>
  <si>
    <t>0,5/0,7/0,8</t>
  </si>
  <si>
    <t>ulgowy 1</t>
  </si>
  <si>
    <t>ulgowy 1+2</t>
  </si>
  <si>
    <t>normalny 1</t>
  </si>
  <si>
    <t>-</t>
  </si>
  <si>
    <t>normalny 1+2</t>
  </si>
  <si>
    <t>Realna ilość sprzedanych biletów</t>
  </si>
  <si>
    <t>NOWE CENY</t>
  </si>
  <si>
    <t>Ilość sprzedanych biletów z nowymi cenami</t>
  </si>
  <si>
    <t>Przychód</t>
  </si>
  <si>
    <t>min</t>
  </si>
  <si>
    <t>max</t>
  </si>
  <si>
    <t>Nr autobusu</t>
  </si>
  <si>
    <t>Koszty przeglądów</t>
  </si>
  <si>
    <t>Liczba losowa</t>
  </si>
  <si>
    <t>Naprawa 1</t>
  </si>
  <si>
    <t>Naprawa 2</t>
  </si>
  <si>
    <t>Naprawa 3</t>
  </si>
  <si>
    <t>Naprawa 4</t>
  </si>
  <si>
    <t>Naprawa 5</t>
  </si>
  <si>
    <t>Naprawa 6</t>
  </si>
  <si>
    <t>Naprawa 7</t>
  </si>
  <si>
    <t>Naprawa 8</t>
  </si>
  <si>
    <t>Naprawa 9</t>
  </si>
  <si>
    <t>Naprawa 10</t>
  </si>
  <si>
    <t>Koszt naprawy 1</t>
  </si>
  <si>
    <t>Koszt naprawy 2</t>
  </si>
  <si>
    <t>Koszt naprawy 3</t>
  </si>
  <si>
    <t>Koszt naprawy 4</t>
  </si>
  <si>
    <t>Koszt naprawy 5</t>
  </si>
  <si>
    <t>Koszt naprawy 6</t>
  </si>
  <si>
    <t>Koszt naprawy 7</t>
  </si>
  <si>
    <t>Koszt naprawy 8</t>
  </si>
  <si>
    <t>Koszt naprawy 9</t>
  </si>
  <si>
    <t>Koszt naprawy 10</t>
  </si>
  <si>
    <t>Koszty razem</t>
  </si>
  <si>
    <t>F(x)</t>
  </si>
  <si>
    <t xml:space="preserve">Suma kosztów </t>
  </si>
  <si>
    <t>Koszt Naprawy</t>
  </si>
  <si>
    <t>Średnia kosztów autobusu</t>
  </si>
  <si>
    <t>Chi^2</t>
  </si>
  <si>
    <t>Średnia cena szkody</t>
  </si>
  <si>
    <t>Grupa pracownicza</t>
  </si>
  <si>
    <t>I</t>
  </si>
  <si>
    <t>II</t>
  </si>
  <si>
    <t>III</t>
  </si>
  <si>
    <t>IV</t>
  </si>
  <si>
    <t>V</t>
  </si>
  <si>
    <t>VI</t>
  </si>
  <si>
    <t>VII</t>
  </si>
  <si>
    <t>VIII</t>
  </si>
  <si>
    <t>IX</t>
  </si>
  <si>
    <t>X</t>
  </si>
  <si>
    <t>XI</t>
  </si>
  <si>
    <t>XII</t>
  </si>
  <si>
    <t>2024 (średnia)</t>
  </si>
  <si>
    <t>2024 odch</t>
  </si>
  <si>
    <t>miesieczne</t>
  </si>
  <si>
    <t>roczne</t>
  </si>
  <si>
    <t>"+ WYNAGRODZENIE RADY NADZORCZEJ"</t>
  </si>
  <si>
    <t>"+ WYNAGRODZENIE ZARZĄDU"</t>
  </si>
  <si>
    <t>Kierowcy</t>
  </si>
  <si>
    <t>Stacja Obsługi i Zapl. Techn.</t>
  </si>
  <si>
    <t>Stanowiska nierobotnicze</t>
  </si>
  <si>
    <t>OGÓŁEM</t>
  </si>
  <si>
    <t>Wyszczególnienie</t>
  </si>
  <si>
    <t>Kwota (zł)</t>
  </si>
  <si>
    <t>Ogółem</t>
  </si>
  <si>
    <t>na stanowiskach nierobotniczych</t>
  </si>
  <si>
    <t>na stanowiskach robotniczych</t>
  </si>
  <si>
    <t>- w tym: kierowcy</t>
  </si>
  <si>
    <t>- w tym: pozostali SO+ZT</t>
  </si>
  <si>
    <t>Koszta paliwa</t>
  </si>
  <si>
    <t>DIESEL</t>
  </si>
  <si>
    <t>Rodzaje autobusów</t>
  </si>
  <si>
    <t>Płatne</t>
  </si>
  <si>
    <t>Pozostałe (dojazdowe, techniczne)</t>
  </si>
  <si>
    <t>MEGA</t>
  </si>
  <si>
    <t>MAXI</t>
  </si>
  <si>
    <t>MIDI</t>
  </si>
  <si>
    <t>RAZEM</t>
  </si>
  <si>
    <t>Cena przejazdów</t>
  </si>
  <si>
    <t>HYBRYDY</t>
  </si>
  <si>
    <t>sr 2026 rok</t>
  </si>
  <si>
    <t>MEGA_H</t>
  </si>
  <si>
    <t>MAXI_H</t>
  </si>
  <si>
    <t>Oś czasu</t>
  </si>
  <si>
    <t>Wartości</t>
  </si>
  <si>
    <t>Prognoza</t>
  </si>
  <si>
    <t>Dolna granica ufności</t>
  </si>
  <si>
    <t>Górna granica ufności</t>
  </si>
  <si>
    <t>Wzrost wynagrodzeń</t>
  </si>
  <si>
    <t>Przeciętna wartość końcowa</t>
  </si>
  <si>
    <t>Odchylenie standardowe</t>
  </si>
  <si>
    <t>Pół długości 90% przedziału ufności</t>
  </si>
  <si>
    <t>Górna granica</t>
  </si>
  <si>
    <t>Dolna granica</t>
  </si>
  <si>
    <t>VaR</t>
  </si>
  <si>
    <t>Przychody</t>
  </si>
  <si>
    <t>Koszty</t>
  </si>
  <si>
    <t>procent rentowności (Wynik &gt; 0)</t>
  </si>
  <si>
    <t>Liczba pasażerów (rocznie)</t>
  </si>
  <si>
    <t>CENY 2024-2025</t>
  </si>
  <si>
    <t>średnia</t>
  </si>
  <si>
    <t>STAŁA</t>
  </si>
  <si>
    <t>42 754 831,61 zł</t>
  </si>
  <si>
    <t>DLA CEN BILETÓW 100% (2złt)</t>
  </si>
  <si>
    <t>36 341 606,87 zł</t>
  </si>
  <si>
    <t>38 479 348,45 zł</t>
  </si>
  <si>
    <t>40 617 090,03 zł</t>
  </si>
  <si>
    <t>44 892 573,19 zł</t>
  </si>
  <si>
    <t>47 030 314,77 zł</t>
  </si>
  <si>
    <t>49 168 056,35 zł</t>
  </si>
  <si>
    <t>13 817 243,29 zł</t>
  </si>
  <si>
    <t>wynik finansowy</t>
  </si>
  <si>
    <t>procentowy wzrost/spadek kosztów etatów</t>
  </si>
  <si>
    <t>wynik fin.</t>
  </si>
  <si>
    <t>wzrost/spadek cen biletów</t>
  </si>
  <si>
    <t xml:space="preserve">Procent cen z 2024 </t>
  </si>
  <si>
    <t>BAZOWA CENA 2024/2025</t>
  </si>
  <si>
    <t>ANALIZA WRAŻLIWOŚCI CEN BILETÓW ---------------------&gt;</t>
  </si>
  <si>
    <t>Częstość</t>
  </si>
  <si>
    <t>Awaryjność (100% - wartość bazowa)</t>
  </si>
  <si>
    <t>liczba poszczególnych szkód</t>
  </si>
  <si>
    <t>liczba napraw</t>
  </si>
  <si>
    <t>Szkody</t>
  </si>
  <si>
    <t>P(x)</t>
  </si>
  <si>
    <t>Dystr(bazowa)</t>
  </si>
  <si>
    <t>P(x)(bazowe)</t>
  </si>
  <si>
    <t>Dolne progi</t>
  </si>
  <si>
    <t>Przedziały</t>
  </si>
  <si>
    <t>Etykiety osi</t>
  </si>
  <si>
    <t>Wynik fin.</t>
  </si>
  <si>
    <t>Silnik spalinowy</t>
  </si>
  <si>
    <t>Hybrydy</t>
  </si>
  <si>
    <t>2209113 km</t>
  </si>
  <si>
    <t>539625 km</t>
  </si>
  <si>
    <t>6705081 km</t>
  </si>
  <si>
    <t>960693 km</t>
  </si>
  <si>
    <t>41320 km</t>
  </si>
  <si>
    <t>8955514 km</t>
  </si>
  <si>
    <t>1500318 km</t>
  </si>
  <si>
    <t>31,5 - 38,5</t>
  </si>
  <si>
    <t xml:space="preserve">spalanie </t>
  </si>
  <si>
    <t>kilometraż</t>
  </si>
  <si>
    <t>45 - 55</t>
  </si>
  <si>
    <t>25,2 - 30,8</t>
  </si>
  <si>
    <t>27 - 33</t>
  </si>
  <si>
    <t>36 - 44</t>
  </si>
  <si>
    <t xml:space="preserve">Koszty paliwa </t>
  </si>
  <si>
    <t>te</t>
  </si>
  <si>
    <t>Wielokrotność R</t>
  </si>
  <si>
    <t>R kwadrat</t>
  </si>
  <si>
    <t>Dopasowany R kwadrat</t>
  </si>
  <si>
    <t>Błąd standardowy</t>
  </si>
  <si>
    <t>Obserwacje</t>
  </si>
  <si>
    <t>ANALIZA WARIANCJI</t>
  </si>
  <si>
    <t>df</t>
  </si>
  <si>
    <t>SS</t>
  </si>
  <si>
    <t>MS</t>
  </si>
  <si>
    <t>F</t>
  </si>
  <si>
    <t>Istotność F</t>
  </si>
  <si>
    <t>Regresja</t>
  </si>
  <si>
    <t>Resztkowy</t>
  </si>
  <si>
    <t>Razem</t>
  </si>
  <si>
    <t>Współczynniki</t>
  </si>
  <si>
    <t>t Stat</t>
  </si>
  <si>
    <t>Wartość-p</t>
  </si>
  <si>
    <t>Dolne 95%</t>
  </si>
  <si>
    <t>Górne 95%</t>
  </si>
  <si>
    <t>Dolne 95,0%</t>
  </si>
  <si>
    <t>Górne 95,0%</t>
  </si>
  <si>
    <t>Przecięcie</t>
  </si>
  <si>
    <t>Cena paliwa</t>
  </si>
  <si>
    <t>awaryjność</t>
  </si>
  <si>
    <t>Ceny biletów</t>
  </si>
  <si>
    <t>Wynagrodzenia</t>
  </si>
  <si>
    <t>OBLICZENIE MODELU REGRESJI W OSOBNYM SKOROSZYCIE W CELU OPTYMALIZACJI WYDAJNOŚCI</t>
  </si>
  <si>
    <t>Analiza zmiany średniej ilości napraw dla awaryjności 85%</t>
  </si>
  <si>
    <t>Średnia liczba napraw autobusów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</si>
</sst>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_(* #,##0.00_);_(* \(#,##0.00\);_(* &quot;-&quot;??_);_(@_)"/>
    <numFmt numFmtId="165" formatCode="#,##0.00\ [$zł-415]"/>
    <numFmt numFmtId="166" formatCode="#,##0\ [$zł-415]"/>
    <numFmt numFmtId="167" formatCode="mm\.yyyy"/>
    <numFmt numFmtId="168" formatCode="dd\.mm\.yyyy"/>
    <numFmt numFmtId="169" formatCode="mmm\.d"/>
    <numFmt numFmtId="170" formatCode="0.0"/>
  </numFmts>
  <fonts count="44">
    <font>
      <sz val="10"/>
      <color rgb="FF000000"/>
      <name val="Arial"/>
      <scheme val="minor"/>
    </font>
    <font>
      <sz val="10"/>
      <color theme="1"/>
      <name val="Arial"/>
      <family val="2"/>
      <scheme val="minor"/>
    </font>
    <font>
      <b/>
      <sz val="10"/>
      <color theme="1"/>
      <name val="Arial"/>
      <family val="2"/>
      <scheme val="minor"/>
    </font>
    <font>
      <sz val="10"/>
      <color theme="1"/>
      <name val="Arial"/>
      <family val="2"/>
    </font>
    <font>
      <b/>
      <sz val="10"/>
      <color theme="1"/>
      <name val="Google Sans Text"/>
    </font>
    <font>
      <sz val="10"/>
      <color theme="1"/>
      <name val="Google Sans Text"/>
    </font>
    <font>
      <b/>
      <sz val="10"/>
      <color rgb="FF000000"/>
      <name val="&quot;Google Sans Text&quot;"/>
    </font>
    <font>
      <sz val="10"/>
      <color rgb="FF000000"/>
      <name val="&quot;Google Sans Text&quot;"/>
    </font>
    <font>
      <sz val="11"/>
      <color rgb="FF000000"/>
      <name val="&quot;Aptos Narrow&quot;"/>
    </font>
    <font>
      <sz val="10"/>
      <color rgb="FF000000"/>
      <name val="Arial"/>
      <family val="2"/>
      <scheme val="minor"/>
    </font>
    <font>
      <b/>
      <sz val="10"/>
      <color rgb="FF000000"/>
      <name val="Arial"/>
      <family val="2"/>
      <scheme val="minor"/>
    </font>
    <font>
      <b/>
      <sz val="11"/>
      <color theme="1"/>
      <name val="Arial (Body)"/>
    </font>
    <font>
      <b/>
      <sz val="11"/>
      <color rgb="FF000000"/>
      <name val="Arial (Body)"/>
    </font>
    <font>
      <sz val="10"/>
      <color rgb="FF000000"/>
      <name val="Calibri"/>
      <family val="2"/>
    </font>
    <font>
      <sz val="10"/>
      <color theme="1"/>
      <name val="Calibri"/>
      <family val="2"/>
    </font>
    <font>
      <b/>
      <sz val="10"/>
      <color theme="1"/>
      <name val="Calibri"/>
      <family val="2"/>
    </font>
    <font>
      <b/>
      <sz val="11"/>
      <color theme="1"/>
      <name val="Calibri"/>
      <family val="2"/>
    </font>
    <font>
      <b/>
      <sz val="12"/>
      <color theme="1"/>
      <name val="Calibri"/>
      <family val="2"/>
    </font>
    <font>
      <b/>
      <sz val="12"/>
      <color rgb="FF000000"/>
      <name val="Calibri"/>
      <family val="2"/>
    </font>
    <font>
      <b/>
      <sz val="16"/>
      <color theme="1"/>
      <name val="Calibri"/>
      <family val="2"/>
    </font>
    <font>
      <b/>
      <sz val="16"/>
      <color rgb="FF000000"/>
      <name val="Calibri"/>
      <family val="2"/>
    </font>
    <font>
      <sz val="10"/>
      <color rgb="FF000000"/>
      <name val="Arial"/>
      <family val="2"/>
      <charset val="238"/>
      <scheme val="minor"/>
    </font>
    <font>
      <sz val="10"/>
      <color rgb="FF000000"/>
      <name val="Arial"/>
      <family val="2"/>
      <charset val="238"/>
      <scheme val="minor"/>
    </font>
    <font>
      <b/>
      <sz val="11"/>
      <color rgb="FF00B050"/>
      <name val="Arial"/>
      <family val="2"/>
      <scheme val="minor"/>
    </font>
    <font>
      <b/>
      <sz val="11"/>
      <color rgb="FFFF0000"/>
      <name val="Arial"/>
      <family val="2"/>
      <scheme val="minor"/>
    </font>
    <font>
      <b/>
      <sz val="11"/>
      <color rgb="FF000000"/>
      <name val="Arial"/>
      <family val="2"/>
      <scheme val="minor"/>
    </font>
    <font>
      <b/>
      <sz val="12"/>
      <color theme="1"/>
      <name val="Arial"/>
      <family val="2"/>
      <scheme val="minor"/>
    </font>
    <font>
      <sz val="9"/>
      <color rgb="FF000000"/>
      <name val="Arial"/>
      <family val="2"/>
      <scheme val="minor"/>
    </font>
    <font>
      <b/>
      <sz val="12"/>
      <color rgb="FF000000"/>
      <name val="Arial"/>
      <family val="2"/>
      <scheme val="minor"/>
    </font>
    <font>
      <b/>
      <sz val="14"/>
      <color rgb="FFFF0000"/>
      <name val="Calibri"/>
      <family val="2"/>
    </font>
    <font>
      <b/>
      <sz val="11"/>
      <color theme="1"/>
      <name val="&quot;Aptos Narrow&quot;"/>
    </font>
    <font>
      <sz val="9"/>
      <color theme="1"/>
      <name val="Arial"/>
      <family val="2"/>
      <scheme val="minor"/>
    </font>
    <font>
      <b/>
      <sz val="10"/>
      <color theme="1"/>
      <name val="Arial"/>
      <family val="2"/>
      <charset val="238"/>
      <scheme val="minor"/>
    </font>
    <font>
      <b/>
      <sz val="10"/>
      <color rgb="FF000000"/>
      <name val="Arial"/>
      <family val="2"/>
      <charset val="238"/>
      <scheme val="minor"/>
    </font>
    <font>
      <sz val="10"/>
      <color theme="1"/>
      <name val="Arial"/>
      <family val="2"/>
      <scheme val="major"/>
    </font>
    <font>
      <sz val="10"/>
      <color rgb="FF000000"/>
      <name val="Arial"/>
      <family val="2"/>
      <scheme val="major"/>
    </font>
    <font>
      <b/>
      <sz val="10"/>
      <color theme="1"/>
      <name val="Arial"/>
      <family val="2"/>
      <scheme val="major"/>
    </font>
    <font>
      <b/>
      <sz val="10"/>
      <color theme="1"/>
      <name val="Arial"/>
      <family val="2"/>
    </font>
    <font>
      <b/>
      <sz val="14"/>
      <color theme="1"/>
      <name val="Arial"/>
      <family val="2"/>
    </font>
    <font>
      <sz val="9"/>
      <color theme="1"/>
      <name val="Arial (Body)"/>
    </font>
    <font>
      <sz val="9"/>
      <color rgb="FF000000"/>
      <name val="Arial (Body)"/>
    </font>
    <font>
      <i/>
      <sz val="10"/>
      <color rgb="FF000000"/>
      <name val="Arial"/>
      <family val="2"/>
      <charset val="238"/>
      <scheme val="minor"/>
    </font>
    <font>
      <sz val="10"/>
      <color rgb="FFFF0000"/>
      <name val="Arial"/>
      <family val="2"/>
      <charset val="238"/>
      <scheme val="minor"/>
    </font>
    <font>
      <sz val="10"/>
      <name val="Arial"/>
      <family val="2"/>
      <charset val="238"/>
      <scheme val="minor"/>
    </font>
  </fonts>
  <fills count="51">
    <fill>
      <patternFill patternType="none"/>
    </fill>
    <fill>
      <patternFill patternType="gray125"/>
    </fill>
    <fill>
      <patternFill patternType="solid">
        <fgColor rgb="FFB6D7A8"/>
        <bgColor rgb="FFB6D7A8"/>
      </patternFill>
    </fill>
    <fill>
      <patternFill patternType="solid">
        <fgColor rgb="FFCC0000"/>
        <bgColor rgb="FFCC0000"/>
      </patternFill>
    </fill>
    <fill>
      <patternFill patternType="solid">
        <fgColor rgb="FFFFD966"/>
        <bgColor rgb="FFFFD966"/>
      </patternFill>
    </fill>
    <fill>
      <patternFill patternType="solid">
        <fgColor rgb="FFFFFFFF"/>
        <bgColor rgb="FFFFFFFF"/>
      </patternFill>
    </fill>
    <fill>
      <patternFill patternType="solid">
        <fgColor rgb="FF8E7CC3"/>
        <bgColor rgb="FF8E7CC3"/>
      </patternFill>
    </fill>
    <fill>
      <patternFill patternType="solid">
        <fgColor rgb="FF93C47D"/>
        <bgColor rgb="FF93C47D"/>
      </patternFill>
    </fill>
    <fill>
      <patternFill patternType="solid">
        <fgColor rgb="FFF9CB9C"/>
        <bgColor rgb="FFF9CB9C"/>
      </patternFill>
    </fill>
    <fill>
      <patternFill patternType="solid">
        <fgColor rgb="FFEAD1DC"/>
        <bgColor rgb="FFEAD1DC"/>
      </patternFill>
    </fill>
    <fill>
      <patternFill patternType="solid">
        <fgColor rgb="FFFFF2CC"/>
        <bgColor rgb="FFFFF2CC"/>
      </patternFill>
    </fill>
    <fill>
      <patternFill patternType="solid">
        <fgColor rgb="FFFFFF00"/>
        <bgColor rgb="FFFFFF00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rgb="FFCFE2F3"/>
      </patternFill>
    </fill>
    <fill>
      <patternFill patternType="solid">
        <fgColor theme="0"/>
        <bgColor rgb="FFCFE2F3"/>
      </patternFill>
    </fill>
    <fill>
      <patternFill patternType="solid">
        <fgColor rgb="FFFF0000"/>
        <bgColor indexed="64"/>
      </patternFill>
    </fill>
    <fill>
      <patternFill patternType="solid">
        <fgColor theme="8"/>
        <bgColor theme="6"/>
      </patternFill>
    </fill>
    <fill>
      <patternFill patternType="solid">
        <fgColor theme="0"/>
        <bgColor rgb="FF8E7CC3"/>
      </patternFill>
    </fill>
    <fill>
      <patternFill patternType="solid">
        <fgColor theme="0"/>
        <bgColor rgb="FFFFFFFF"/>
      </patternFill>
    </fill>
    <fill>
      <patternFill patternType="solid">
        <fgColor theme="5" tint="0.39997558519241921"/>
        <bgColor rgb="FFFFD966"/>
      </patternFill>
    </fill>
    <fill>
      <patternFill patternType="solid">
        <fgColor rgb="FF00B050"/>
        <bgColor indexed="64"/>
      </patternFill>
    </fill>
    <fill>
      <patternFill patternType="solid">
        <fgColor theme="4" tint="0.39997558519241921"/>
        <bgColor rgb="FFFFD966"/>
      </patternFill>
    </fill>
    <fill>
      <patternFill patternType="solid">
        <fgColor theme="4" tint="0.59999389629810485"/>
        <bgColor rgb="FFFFD966"/>
      </patternFill>
    </fill>
    <fill>
      <patternFill patternType="solid">
        <fgColor rgb="FFFFC000"/>
        <bgColor indexed="64"/>
      </patternFill>
    </fill>
    <fill>
      <patternFill patternType="solid">
        <fgColor rgb="FFFFC000"/>
        <bgColor rgb="FFC9DAF8"/>
      </patternFill>
    </fill>
    <fill>
      <patternFill patternType="solid">
        <fgColor theme="8" tint="0.59999389629810485"/>
        <bgColor rgb="FFFFD966"/>
      </patternFill>
    </fill>
    <fill>
      <patternFill patternType="solid">
        <fgColor theme="6" tint="0.59999389629810485"/>
        <bgColor rgb="FFFFD966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rgb="FFB6D7A8"/>
      </patternFill>
    </fill>
    <fill>
      <patternFill patternType="solid">
        <fgColor theme="5" tint="0.59999389629810485"/>
        <bgColor rgb="FFEA9999"/>
      </patternFill>
    </fill>
    <fill>
      <patternFill patternType="solid">
        <fgColor rgb="FFFFFFFF"/>
        <bgColor rgb="FF000000"/>
      </patternFill>
    </fill>
    <fill>
      <patternFill patternType="solid">
        <fgColor theme="4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4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rgb="FFFFFFFF"/>
      </patternFill>
    </fill>
    <fill>
      <patternFill patternType="solid">
        <fgColor theme="0"/>
        <bgColor rgb="FF156082"/>
      </patternFill>
    </fill>
    <fill>
      <patternFill patternType="solid">
        <fgColor theme="0"/>
        <bgColor rgb="FFC0E6F5"/>
      </patternFill>
    </fill>
    <fill>
      <patternFill patternType="solid">
        <fgColor theme="5" tint="0.39997558519241921"/>
        <bgColor rgb="FFFFFF00"/>
      </patternFill>
    </fill>
    <fill>
      <patternFill patternType="solid">
        <fgColor rgb="FF00B050"/>
        <bgColor rgb="FF6AA84F"/>
      </patternFill>
    </fill>
    <fill>
      <patternFill patternType="solid">
        <fgColor theme="4" tint="0.79998168889431442"/>
        <bgColor rgb="FFCFE2F3"/>
      </patternFill>
    </fill>
    <fill>
      <patternFill patternType="solid">
        <fgColor theme="7" tint="0.79998168889431442"/>
        <bgColor rgb="FFCFE2F3"/>
      </patternFill>
    </fill>
    <fill>
      <patternFill patternType="solid">
        <fgColor theme="0"/>
        <bgColor rgb="FFB6D7A8"/>
      </patternFill>
    </fill>
    <fill>
      <patternFill patternType="solid">
        <fgColor rgb="FFFF0000"/>
        <bgColor rgb="FFFFFFFF"/>
      </patternFill>
    </fill>
    <fill>
      <patternFill patternType="solid">
        <fgColor theme="4"/>
        <bgColor rgb="FFFFFFFF"/>
      </patternFill>
    </fill>
    <fill>
      <patternFill patternType="solid">
        <fgColor theme="9" tint="0.79998168889431442"/>
        <bgColor indexed="64"/>
      </patternFill>
    </fill>
  </fills>
  <borders count="17">
    <border>
      <left/>
      <right/>
      <top/>
      <bottom/>
      <diagonal/>
    </border>
    <border>
      <left style="thin">
        <color rgb="FF44B3E1"/>
      </left>
      <right/>
      <top style="thin">
        <color rgb="FF44B3E1"/>
      </top>
      <bottom style="thin">
        <color rgb="FF44B3E1"/>
      </bottom>
      <diagonal/>
    </border>
    <border>
      <left/>
      <right/>
      <top style="thin">
        <color rgb="FF44B3E1"/>
      </top>
      <bottom style="thin">
        <color rgb="FF44B3E1"/>
      </bottom>
      <diagonal/>
    </border>
    <border>
      <left/>
      <right style="thin">
        <color rgb="FF44B3E1"/>
      </right>
      <top style="thin">
        <color rgb="FF44B3E1"/>
      </top>
      <bottom style="thin">
        <color rgb="FF44B3E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auto="1"/>
      </left>
      <right style="medium">
        <color auto="1"/>
      </right>
      <top/>
      <bottom/>
      <diagonal/>
    </border>
    <border diagonalUp="1">
      <left/>
      <right/>
      <top/>
      <bottom/>
      <diagonal style="thin">
        <color auto="1"/>
      </diagonal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9" fontId="21" fillId="0" borderId="0" applyFont="0" applyFill="0" applyBorder="0" applyAlignment="0" applyProtection="0"/>
    <xf numFmtId="43" fontId="22" fillId="0" borderId="0" applyFont="0" applyFill="0" applyBorder="0" applyAlignment="0" applyProtection="0"/>
  </cellStyleXfs>
  <cellXfs count="217">
    <xf numFmtId="0" fontId="0" fillId="0" borderId="0" xfId="0"/>
    <xf numFmtId="0" fontId="3" fillId="0" borderId="0" xfId="0" applyFont="1"/>
    <xf numFmtId="0" fontId="3" fillId="5" borderId="0" xfId="0" applyFont="1" applyFill="1"/>
    <xf numFmtId="0" fontId="1" fillId="8" borderId="0" xfId="0" applyFont="1" applyFill="1"/>
    <xf numFmtId="10" fontId="1" fillId="8" borderId="0" xfId="0" applyNumberFormat="1" applyFont="1" applyFill="1"/>
    <xf numFmtId="0" fontId="1" fillId="4" borderId="0" xfId="0" applyFont="1" applyFill="1" applyAlignment="1">
      <alignment horizontal="center"/>
    </xf>
    <xf numFmtId="0" fontId="7" fillId="9" borderId="0" xfId="0" applyFont="1" applyFill="1"/>
    <xf numFmtId="0" fontId="1" fillId="9" borderId="0" xfId="0" applyFont="1" applyFill="1"/>
    <xf numFmtId="0" fontId="6" fillId="9" borderId="0" xfId="0" applyFont="1" applyFill="1"/>
    <xf numFmtId="165" fontId="1" fillId="9" borderId="0" xfId="0" applyNumberFormat="1" applyFont="1" applyFill="1"/>
    <xf numFmtId="0" fontId="7" fillId="10" borderId="0" xfId="0" applyFont="1" applyFill="1"/>
    <xf numFmtId="0" fontId="6" fillId="10" borderId="0" xfId="0" applyFont="1" applyFill="1"/>
    <xf numFmtId="0" fontId="3" fillId="2" borderId="0" xfId="0" applyFont="1" applyFill="1"/>
    <xf numFmtId="0" fontId="5" fillId="2" borderId="0" xfId="0" applyFont="1" applyFill="1"/>
    <xf numFmtId="0" fontId="4" fillId="2" borderId="0" xfId="0" applyFont="1" applyFill="1"/>
    <xf numFmtId="0" fontId="5" fillId="2" borderId="0" xfId="0" applyFont="1" applyFill="1" applyAlignment="1">
      <alignment horizontal="right"/>
    </xf>
    <xf numFmtId="167" fontId="3" fillId="11" borderId="0" xfId="0" applyNumberFormat="1" applyFont="1" applyFill="1" applyAlignment="1">
      <alignment horizontal="right"/>
    </xf>
    <xf numFmtId="0" fontId="3" fillId="11" borderId="0" xfId="0" applyFont="1" applyFill="1" applyAlignment="1">
      <alignment horizontal="right"/>
    </xf>
    <xf numFmtId="0" fontId="4" fillId="2" borderId="0" xfId="0" applyFont="1" applyFill="1" applyAlignment="1">
      <alignment horizontal="right"/>
    </xf>
    <xf numFmtId="0" fontId="3" fillId="2" borderId="0" xfId="0" applyFont="1" applyFill="1" applyAlignment="1">
      <alignment horizontal="right"/>
    </xf>
    <xf numFmtId="165" fontId="5" fillId="2" borderId="0" xfId="0" applyNumberFormat="1" applyFont="1" applyFill="1" applyAlignment="1">
      <alignment horizontal="right"/>
    </xf>
    <xf numFmtId="0" fontId="8" fillId="11" borderId="0" xfId="0" applyFont="1" applyFill="1" applyAlignment="1">
      <alignment horizontal="right"/>
    </xf>
    <xf numFmtId="0" fontId="8" fillId="5" borderId="0" xfId="0" applyFont="1" applyFill="1" applyAlignment="1">
      <alignment horizontal="right"/>
    </xf>
    <xf numFmtId="168" fontId="3" fillId="2" borderId="0" xfId="0" applyNumberFormat="1" applyFont="1" applyFill="1"/>
    <xf numFmtId="165" fontId="4" fillId="2" borderId="0" xfId="0" applyNumberFormat="1" applyFont="1" applyFill="1" applyAlignment="1">
      <alignment horizontal="right"/>
    </xf>
    <xf numFmtId="0" fontId="11" fillId="6" borderId="0" xfId="0" applyFont="1" applyFill="1" applyAlignment="1">
      <alignment horizontal="center"/>
    </xf>
    <xf numFmtId="0" fontId="11" fillId="7" borderId="0" xfId="0" applyFont="1" applyFill="1" applyAlignment="1">
      <alignment horizontal="center"/>
    </xf>
    <xf numFmtId="0" fontId="1" fillId="6" borderId="0" xfId="0" applyFont="1" applyFill="1" applyAlignment="1">
      <alignment horizontal="center"/>
    </xf>
    <xf numFmtId="166" fontId="1" fillId="7" borderId="0" xfId="0" applyNumberFormat="1" applyFont="1" applyFill="1" applyAlignment="1">
      <alignment horizontal="center"/>
    </xf>
    <xf numFmtId="0" fontId="11" fillId="12" borderId="0" xfId="0" applyFont="1" applyFill="1" applyAlignment="1">
      <alignment horizontal="center"/>
    </xf>
    <xf numFmtId="0" fontId="2" fillId="12" borderId="0" xfId="0" applyFont="1" applyFill="1" applyAlignment="1">
      <alignment horizontal="center"/>
    </xf>
    <xf numFmtId="0" fontId="11" fillId="13" borderId="0" xfId="0" applyFont="1" applyFill="1" applyAlignment="1">
      <alignment horizontal="center"/>
    </xf>
    <xf numFmtId="4" fontId="1" fillId="13" borderId="0" xfId="0" applyNumberFormat="1" applyFont="1" applyFill="1" applyAlignment="1">
      <alignment horizontal="center"/>
    </xf>
    <xf numFmtId="0" fontId="0" fillId="13" borderId="0" xfId="0" applyFill="1"/>
    <xf numFmtId="0" fontId="11" fillId="14" borderId="0" xfId="0" applyFont="1" applyFill="1" applyAlignment="1">
      <alignment horizontal="center"/>
    </xf>
    <xf numFmtId="0" fontId="1" fillId="14" borderId="0" xfId="0" applyFont="1" applyFill="1" applyAlignment="1">
      <alignment horizontal="center"/>
    </xf>
    <xf numFmtId="0" fontId="11" fillId="15" borderId="0" xfId="0" applyFont="1" applyFill="1" applyAlignment="1">
      <alignment horizontal="center"/>
    </xf>
    <xf numFmtId="0" fontId="1" fillId="15" borderId="0" xfId="0" applyFont="1" applyFill="1" applyAlignment="1">
      <alignment horizontal="center"/>
    </xf>
    <xf numFmtId="0" fontId="11" fillId="16" borderId="0" xfId="0" applyFont="1" applyFill="1" applyAlignment="1">
      <alignment horizontal="center"/>
    </xf>
    <xf numFmtId="0" fontId="1" fillId="16" borderId="0" xfId="0" applyFont="1" applyFill="1" applyAlignment="1">
      <alignment horizontal="center"/>
    </xf>
    <xf numFmtId="0" fontId="11" fillId="18" borderId="0" xfId="0" applyFont="1" applyFill="1" applyAlignment="1">
      <alignment horizontal="center"/>
    </xf>
    <xf numFmtId="166" fontId="1" fillId="18" borderId="0" xfId="0" applyNumberFormat="1" applyFont="1" applyFill="1" applyAlignment="1">
      <alignment horizontal="center"/>
    </xf>
    <xf numFmtId="0" fontId="11" fillId="19" borderId="0" xfId="0" applyFont="1" applyFill="1" applyAlignment="1">
      <alignment horizontal="center"/>
    </xf>
    <xf numFmtId="0" fontId="1" fillId="19" borderId="0" xfId="0" applyFont="1" applyFill="1" applyAlignment="1">
      <alignment horizontal="center"/>
    </xf>
    <xf numFmtId="0" fontId="10" fillId="17" borderId="0" xfId="0" applyFont="1" applyFill="1"/>
    <xf numFmtId="166" fontId="2" fillId="17" borderId="0" xfId="0" applyNumberFormat="1" applyFont="1" applyFill="1" applyAlignment="1">
      <alignment horizontal="center"/>
    </xf>
    <xf numFmtId="170" fontId="7" fillId="9" borderId="0" xfId="0" applyNumberFormat="1" applyFont="1" applyFill="1"/>
    <xf numFmtId="0" fontId="10" fillId="13" borderId="0" xfId="0" applyFont="1" applyFill="1"/>
    <xf numFmtId="0" fontId="21" fillId="29" borderId="0" xfId="0" applyFont="1" applyFill="1"/>
    <xf numFmtId="9" fontId="0" fillId="29" borderId="0" xfId="1" applyFont="1" applyFill="1"/>
    <xf numFmtId="0" fontId="25" fillId="0" borderId="0" xfId="0" applyFont="1" applyAlignment="1">
      <alignment horizontal="center"/>
    </xf>
    <xf numFmtId="9" fontId="10" fillId="32" borderId="0" xfId="1" applyFont="1" applyFill="1" applyAlignment="1">
      <alignment horizontal="center"/>
    </xf>
    <xf numFmtId="165" fontId="23" fillId="30" borderId="0" xfId="0" applyNumberFormat="1" applyFont="1" applyFill="1" applyAlignment="1">
      <alignment horizontal="center"/>
    </xf>
    <xf numFmtId="165" fontId="24" fillId="31" borderId="0" xfId="0" applyNumberFormat="1" applyFont="1" applyFill="1" applyAlignment="1">
      <alignment horizontal="center"/>
    </xf>
    <xf numFmtId="165" fontId="10" fillId="32" borderId="0" xfId="0" applyNumberFormat="1" applyFont="1" applyFill="1" applyAlignment="1">
      <alignment horizontal="center"/>
    </xf>
    <xf numFmtId="165" fontId="23" fillId="30" borderId="4" xfId="0" applyNumberFormat="1" applyFont="1" applyFill="1" applyBorder="1" applyAlignment="1">
      <alignment horizontal="center"/>
    </xf>
    <xf numFmtId="165" fontId="24" fillId="31" borderId="4" xfId="0" applyNumberFormat="1" applyFont="1" applyFill="1" applyBorder="1" applyAlignment="1">
      <alignment horizontal="center"/>
    </xf>
    <xf numFmtId="165" fontId="10" fillId="32" borderId="4" xfId="0" applyNumberFormat="1" applyFont="1" applyFill="1" applyBorder="1" applyAlignment="1">
      <alignment horizontal="center"/>
    </xf>
    <xf numFmtId="0" fontId="2" fillId="33" borderId="0" xfId="0" applyFont="1" applyFill="1" applyAlignment="1">
      <alignment horizontal="center"/>
    </xf>
    <xf numFmtId="0" fontId="2" fillId="34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2" fillId="4" borderId="0" xfId="0" applyFont="1" applyFill="1" applyAlignment="1">
      <alignment horizontal="center"/>
    </xf>
    <xf numFmtId="165" fontId="2" fillId="33" borderId="0" xfId="0" applyNumberFormat="1" applyFont="1" applyFill="1" applyAlignment="1">
      <alignment horizontal="center"/>
    </xf>
    <xf numFmtId="165" fontId="2" fillId="34" borderId="0" xfId="0" applyNumberFormat="1" applyFont="1" applyFill="1" applyAlignment="1">
      <alignment horizontal="center"/>
    </xf>
    <xf numFmtId="166" fontId="2" fillId="34" borderId="0" xfId="0" applyNumberFormat="1" applyFont="1" applyFill="1" applyAlignment="1">
      <alignment horizontal="center"/>
    </xf>
    <xf numFmtId="165" fontId="2" fillId="3" borderId="0" xfId="0" applyNumberFormat="1" applyFont="1" applyFill="1" applyAlignment="1">
      <alignment horizontal="center"/>
    </xf>
    <xf numFmtId="165" fontId="2" fillId="4" borderId="0" xfId="0" applyNumberFormat="1" applyFont="1" applyFill="1" applyAlignment="1">
      <alignment horizontal="center"/>
    </xf>
    <xf numFmtId="0" fontId="1" fillId="13" borderId="0" xfId="0" applyFont="1" applyFill="1"/>
    <xf numFmtId="165" fontId="0" fillId="13" borderId="0" xfId="0" applyNumberFormat="1" applyFill="1" applyAlignment="1">
      <alignment horizontal="center"/>
    </xf>
    <xf numFmtId="0" fontId="0" fillId="13" borderId="0" xfId="0" applyFill="1" applyAlignment="1">
      <alignment horizontal="left"/>
    </xf>
    <xf numFmtId="0" fontId="9" fillId="13" borderId="0" xfId="0" applyFont="1" applyFill="1"/>
    <xf numFmtId="0" fontId="0" fillId="13" borderId="4" xfId="0" applyFill="1" applyBorder="1"/>
    <xf numFmtId="0" fontId="21" fillId="13" borderId="0" xfId="0" applyFont="1" applyFill="1"/>
    <xf numFmtId="164" fontId="19" fillId="22" borderId="0" xfId="2" applyNumberFormat="1" applyFont="1" applyFill="1" applyAlignment="1">
      <alignment horizontal="center"/>
    </xf>
    <xf numFmtId="164" fontId="13" fillId="13" borderId="0" xfId="2" applyNumberFormat="1" applyFont="1" applyFill="1"/>
    <xf numFmtId="164" fontId="14" fillId="20" borderId="0" xfId="2" applyNumberFormat="1" applyFont="1" applyFill="1"/>
    <xf numFmtId="164" fontId="14" fillId="13" borderId="0" xfId="2" applyNumberFormat="1" applyFont="1" applyFill="1"/>
    <xf numFmtId="164" fontId="14" fillId="25" borderId="0" xfId="2" applyNumberFormat="1" applyFont="1" applyFill="1" applyAlignment="1">
      <alignment horizontal="center"/>
    </xf>
    <xf numFmtId="164" fontId="14" fillId="28" borderId="0" xfId="2" applyNumberFormat="1" applyFont="1" applyFill="1" applyAlignment="1">
      <alignment horizontal="center"/>
    </xf>
    <xf numFmtId="164" fontId="14" fillId="24" borderId="0" xfId="2" applyNumberFormat="1" applyFont="1" applyFill="1" applyAlignment="1">
      <alignment horizontal="center"/>
    </xf>
    <xf numFmtId="164" fontId="15" fillId="28" borderId="0" xfId="2" applyNumberFormat="1" applyFont="1" applyFill="1" applyAlignment="1">
      <alignment horizontal="center"/>
    </xf>
    <xf numFmtId="164" fontId="14" fillId="27" borderId="0" xfId="2" applyNumberFormat="1" applyFont="1" applyFill="1" applyAlignment="1">
      <alignment horizontal="center"/>
    </xf>
    <xf numFmtId="164" fontId="14" fillId="23" borderId="0" xfId="2" applyNumberFormat="1" applyFont="1" applyFill="1"/>
    <xf numFmtId="164" fontId="14" fillId="23" borderId="0" xfId="2" applyNumberFormat="1" applyFont="1" applyFill="1" applyAlignment="1">
      <alignment horizontal="right"/>
    </xf>
    <xf numFmtId="164" fontId="14" fillId="21" borderId="0" xfId="2" applyNumberFormat="1" applyFont="1" applyFill="1"/>
    <xf numFmtId="164" fontId="14" fillId="21" borderId="0" xfId="2" applyNumberFormat="1" applyFont="1" applyFill="1" applyAlignment="1">
      <alignment horizontal="right"/>
    </xf>
    <xf numFmtId="164" fontId="14" fillId="13" borderId="0" xfId="2" applyNumberFormat="1" applyFont="1" applyFill="1" applyAlignment="1">
      <alignment horizontal="right"/>
    </xf>
    <xf numFmtId="164" fontId="17" fillId="13" borderId="0" xfId="2" applyNumberFormat="1" applyFont="1" applyFill="1" applyAlignment="1">
      <alignment horizontal="center" vertical="center"/>
    </xf>
    <xf numFmtId="164" fontId="18" fillId="13" borderId="0" xfId="2" applyNumberFormat="1" applyFont="1" applyFill="1" applyAlignment="1">
      <alignment horizontal="center" vertical="center"/>
    </xf>
    <xf numFmtId="164" fontId="20" fillId="22" borderId="0" xfId="2" applyNumberFormat="1" applyFont="1" applyFill="1" applyAlignment="1">
      <alignment horizontal="center"/>
    </xf>
    <xf numFmtId="9" fontId="14" fillId="26" borderId="0" xfId="1" applyFont="1" applyFill="1" applyAlignment="1">
      <alignment horizontal="center"/>
    </xf>
    <xf numFmtId="165" fontId="0" fillId="13" borderId="0" xfId="0" applyNumberFormat="1" applyFill="1"/>
    <xf numFmtId="0" fontId="0" fillId="13" borderId="0" xfId="0" applyFill="1" applyAlignment="1">
      <alignment horizontal="center"/>
    </xf>
    <xf numFmtId="0" fontId="9" fillId="13" borderId="0" xfId="0" applyFont="1" applyFill="1" applyAlignment="1">
      <alignment horizontal="center"/>
    </xf>
    <xf numFmtId="43" fontId="0" fillId="13" borderId="0" xfId="2" applyFont="1" applyFill="1"/>
    <xf numFmtId="9" fontId="0" fillId="0" borderId="0" xfId="0" applyNumberFormat="1"/>
    <xf numFmtId="9" fontId="9" fillId="0" borderId="0" xfId="0" applyNumberFormat="1" applyFont="1"/>
    <xf numFmtId="165" fontId="9" fillId="35" borderId="0" xfId="0" applyNumberFormat="1" applyFont="1" applyFill="1" applyAlignment="1">
      <alignment horizontal="center"/>
    </xf>
    <xf numFmtId="165" fontId="0" fillId="36" borderId="0" xfId="0" applyNumberFormat="1" applyFill="1"/>
    <xf numFmtId="165" fontId="10" fillId="13" borderId="0" xfId="0" applyNumberFormat="1" applyFont="1" applyFill="1"/>
    <xf numFmtId="165" fontId="10" fillId="35" borderId="0" xfId="0" applyNumberFormat="1" applyFont="1" applyFill="1" applyAlignment="1">
      <alignment horizontal="center"/>
    </xf>
    <xf numFmtId="0" fontId="21" fillId="35" borderId="0" xfId="0" applyFont="1" applyFill="1" applyAlignment="1">
      <alignment horizontal="center"/>
    </xf>
    <xf numFmtId="0" fontId="9" fillId="35" borderId="0" xfId="0" applyFont="1" applyFill="1" applyAlignment="1">
      <alignment horizontal="center"/>
    </xf>
    <xf numFmtId="9" fontId="10" fillId="0" borderId="0" xfId="0" applyNumberFormat="1" applyFont="1" applyAlignment="1">
      <alignment horizontal="center"/>
    </xf>
    <xf numFmtId="0" fontId="27" fillId="35" borderId="0" xfId="0" applyFont="1" applyFill="1" applyAlignment="1">
      <alignment horizontal="center"/>
    </xf>
    <xf numFmtId="165" fontId="9" fillId="38" borderId="4" xfId="0" applyNumberFormat="1" applyFont="1" applyFill="1" applyBorder="1" applyAlignment="1">
      <alignment horizontal="center"/>
    </xf>
    <xf numFmtId="165" fontId="10" fillId="35" borderId="4" xfId="0" applyNumberFormat="1" applyFont="1" applyFill="1" applyBorder="1" applyAlignment="1">
      <alignment horizontal="center"/>
    </xf>
    <xf numFmtId="43" fontId="21" fillId="13" borderId="0" xfId="2" applyFont="1" applyFill="1"/>
    <xf numFmtId="0" fontId="1" fillId="13" borderId="0" xfId="0" applyFont="1" applyFill="1" applyAlignment="1">
      <alignment horizontal="right"/>
    </xf>
    <xf numFmtId="9" fontId="10" fillId="13" borderId="0" xfId="0" applyNumberFormat="1" applyFont="1" applyFill="1"/>
    <xf numFmtId="165" fontId="10" fillId="37" borderId="0" xfId="0" applyNumberFormat="1" applyFont="1" applyFill="1" applyAlignment="1">
      <alignment horizontal="center"/>
    </xf>
    <xf numFmtId="0" fontId="27" fillId="13" borderId="0" xfId="0" applyFont="1" applyFill="1"/>
    <xf numFmtId="9" fontId="1" fillId="13" borderId="0" xfId="0" applyNumberFormat="1" applyFont="1" applyFill="1"/>
    <xf numFmtId="43" fontId="27" fillId="13" borderId="0" xfId="2" applyFont="1" applyFill="1" applyAlignment="1">
      <alignment horizontal="center"/>
    </xf>
    <xf numFmtId="0" fontId="1" fillId="13" borderId="0" xfId="0" applyFont="1" applyFill="1" applyAlignment="1">
      <alignment vertical="center"/>
    </xf>
    <xf numFmtId="0" fontId="1" fillId="13" borderId="7" xfId="0" applyFont="1" applyFill="1" applyBorder="1" applyAlignment="1">
      <alignment vertical="center"/>
    </xf>
    <xf numFmtId="9" fontId="10" fillId="13" borderId="5" xfId="0" applyNumberFormat="1" applyFont="1" applyFill="1" applyBorder="1" applyAlignment="1">
      <alignment horizontal="center" vertical="center"/>
    </xf>
    <xf numFmtId="9" fontId="2" fillId="13" borderId="6" xfId="0" applyNumberFormat="1" applyFont="1" applyFill="1" applyBorder="1" applyAlignment="1">
      <alignment horizontal="center"/>
    </xf>
    <xf numFmtId="0" fontId="2" fillId="13" borderId="6" xfId="0" applyFont="1" applyFill="1" applyBorder="1" applyAlignment="1">
      <alignment horizontal="center"/>
    </xf>
    <xf numFmtId="164" fontId="14" fillId="13" borderId="0" xfId="2" applyNumberFormat="1" applyFont="1" applyFill="1" applyAlignment="1">
      <alignment horizontal="center"/>
    </xf>
    <xf numFmtId="9" fontId="13" fillId="13" borderId="0" xfId="1" applyFont="1" applyFill="1"/>
    <xf numFmtId="9" fontId="13" fillId="39" borderId="0" xfId="1" applyFont="1" applyFill="1"/>
    <xf numFmtId="164" fontId="29" fillId="13" borderId="0" xfId="2" applyNumberFormat="1" applyFont="1" applyFill="1"/>
    <xf numFmtId="0" fontId="3" fillId="40" borderId="0" xfId="0" applyFont="1" applyFill="1"/>
    <xf numFmtId="0" fontId="3" fillId="13" borderId="0" xfId="0" applyFont="1" applyFill="1"/>
    <xf numFmtId="0" fontId="3" fillId="13" borderId="0" xfId="0" applyFont="1" applyFill="1" applyAlignment="1">
      <alignment horizontal="right"/>
    </xf>
    <xf numFmtId="0" fontId="3" fillId="20" borderId="0" xfId="0" applyFont="1" applyFill="1"/>
    <xf numFmtId="0" fontId="0" fillId="29" borderId="0" xfId="0" applyFill="1"/>
    <xf numFmtId="43" fontId="0" fillId="29" borderId="0" xfId="2" applyFont="1" applyFill="1"/>
    <xf numFmtId="168" fontId="3" fillId="13" borderId="0" xfId="0" applyNumberFormat="1" applyFont="1" applyFill="1"/>
    <xf numFmtId="0" fontId="8" fillId="20" borderId="0" xfId="0" applyFont="1" applyFill="1" applyAlignment="1">
      <alignment horizontal="right"/>
    </xf>
    <xf numFmtId="0" fontId="1" fillId="20" borderId="0" xfId="0" applyFont="1" applyFill="1"/>
    <xf numFmtId="169" fontId="8" fillId="42" borderId="1" xfId="0" applyNumberFormat="1" applyFont="1" applyFill="1" applyBorder="1" applyAlignment="1">
      <alignment horizontal="right"/>
    </xf>
    <xf numFmtId="0" fontId="8" fillId="42" borderId="2" xfId="0" applyFont="1" applyFill="1" applyBorder="1" applyAlignment="1">
      <alignment horizontal="right"/>
    </xf>
    <xf numFmtId="0" fontId="8" fillId="42" borderId="2" xfId="0" applyFont="1" applyFill="1" applyBorder="1"/>
    <xf numFmtId="0" fontId="8" fillId="42" borderId="3" xfId="0" applyFont="1" applyFill="1" applyBorder="1"/>
    <xf numFmtId="169" fontId="8" fillId="13" borderId="1" xfId="0" applyNumberFormat="1" applyFont="1" applyFill="1" applyBorder="1" applyAlignment="1">
      <alignment horizontal="right"/>
    </xf>
    <xf numFmtId="0" fontId="8" fillId="13" borderId="2" xfId="0" applyFont="1" applyFill="1" applyBorder="1" applyAlignment="1">
      <alignment horizontal="right"/>
    </xf>
    <xf numFmtId="0" fontId="8" fillId="13" borderId="2" xfId="0" applyFont="1" applyFill="1" applyBorder="1"/>
    <xf numFmtId="0" fontId="8" fillId="13" borderId="3" xfId="0" applyFont="1" applyFill="1" applyBorder="1"/>
    <xf numFmtId="0" fontId="8" fillId="13" borderId="3" xfId="0" applyFont="1" applyFill="1" applyBorder="1" applyAlignment="1">
      <alignment horizontal="right"/>
    </xf>
    <xf numFmtId="0" fontId="8" fillId="42" borderId="3" xfId="0" applyFont="1" applyFill="1" applyBorder="1" applyAlignment="1">
      <alignment horizontal="right"/>
    </xf>
    <xf numFmtId="167" fontId="3" fillId="43" borderId="0" xfId="0" applyNumberFormat="1" applyFont="1" applyFill="1" applyAlignment="1">
      <alignment horizontal="right"/>
    </xf>
    <xf numFmtId="0" fontId="8" fillId="43" borderId="0" xfId="0" applyFont="1" applyFill="1" applyAlignment="1">
      <alignment horizontal="right"/>
    </xf>
    <xf numFmtId="0" fontId="30" fillId="41" borderId="1" xfId="0" applyFont="1" applyFill="1" applyBorder="1"/>
    <xf numFmtId="0" fontId="30" fillId="41" borderId="2" xfId="0" applyFont="1" applyFill="1" applyBorder="1"/>
    <xf numFmtId="0" fontId="30" fillId="41" borderId="3" xfId="0" applyFont="1" applyFill="1" applyBorder="1"/>
    <xf numFmtId="165" fontId="31" fillId="13" borderId="0" xfId="0" applyNumberFormat="1" applyFont="1" applyFill="1" applyAlignment="1">
      <alignment horizontal="center"/>
    </xf>
    <xf numFmtId="165" fontId="27" fillId="13" borderId="0" xfId="0" applyNumberFormat="1" applyFont="1" applyFill="1" applyAlignment="1">
      <alignment horizontal="center"/>
    </xf>
    <xf numFmtId="0" fontId="2" fillId="13" borderId="0" xfId="0" applyFont="1" applyFill="1"/>
    <xf numFmtId="0" fontId="2" fillId="44" borderId="0" xfId="0" applyFont="1" applyFill="1" applyAlignment="1">
      <alignment horizontal="center"/>
    </xf>
    <xf numFmtId="165" fontId="2" fillId="44" borderId="0" xfId="0" applyNumberFormat="1" applyFont="1" applyFill="1" applyAlignment="1">
      <alignment horizontal="center"/>
    </xf>
    <xf numFmtId="43" fontId="27" fillId="13" borderId="9" xfId="2" applyFont="1" applyFill="1" applyBorder="1" applyAlignment="1">
      <alignment horizontal="center"/>
    </xf>
    <xf numFmtId="43" fontId="27" fillId="13" borderId="10" xfId="2" applyFont="1" applyFill="1" applyBorder="1" applyAlignment="1">
      <alignment horizontal="center"/>
    </xf>
    <xf numFmtId="43" fontId="27" fillId="13" borderId="11" xfId="2" applyFont="1" applyFill="1" applyBorder="1" applyAlignment="1">
      <alignment horizontal="center"/>
    </xf>
    <xf numFmtId="43" fontId="27" fillId="13" borderId="12" xfId="2" applyFont="1" applyFill="1" applyBorder="1" applyAlignment="1">
      <alignment horizontal="center"/>
    </xf>
    <xf numFmtId="43" fontId="27" fillId="13" borderId="13" xfId="2" applyFont="1" applyFill="1" applyBorder="1" applyAlignment="1">
      <alignment horizontal="center"/>
    </xf>
    <xf numFmtId="43" fontId="27" fillId="13" borderId="14" xfId="2" applyFont="1" applyFill="1" applyBorder="1" applyAlignment="1">
      <alignment horizontal="center"/>
    </xf>
    <xf numFmtId="43" fontId="27" fillId="13" borderId="8" xfId="2" applyFont="1" applyFill="1" applyBorder="1" applyAlignment="1">
      <alignment horizontal="center"/>
    </xf>
    <xf numFmtId="165" fontId="13" fillId="13" borderId="0" xfId="2" applyNumberFormat="1" applyFont="1" applyFill="1"/>
    <xf numFmtId="165" fontId="13" fillId="13" borderId="0" xfId="2" applyNumberFormat="1" applyFont="1" applyFill="1" applyAlignment="1">
      <alignment horizontal="center"/>
    </xf>
    <xf numFmtId="165" fontId="13" fillId="39" borderId="0" xfId="2" applyNumberFormat="1" applyFont="1" applyFill="1" applyAlignment="1">
      <alignment horizontal="center"/>
    </xf>
    <xf numFmtId="166" fontId="1" fillId="13" borderId="0" xfId="0" applyNumberFormat="1" applyFont="1" applyFill="1" applyAlignment="1">
      <alignment horizontal="center"/>
    </xf>
    <xf numFmtId="0" fontId="1" fillId="13" borderId="0" xfId="0" applyFont="1" applyFill="1" applyAlignment="1">
      <alignment horizontal="center"/>
    </xf>
    <xf numFmtId="0" fontId="12" fillId="13" borderId="0" xfId="0" applyFont="1" applyFill="1" applyAlignment="1">
      <alignment horizontal="center"/>
    </xf>
    <xf numFmtId="0" fontId="11" fillId="29" borderId="0" xfId="0" applyFont="1" applyFill="1" applyAlignment="1">
      <alignment horizontal="center"/>
    </xf>
    <xf numFmtId="0" fontId="1" fillId="29" borderId="0" xfId="0" applyFont="1" applyFill="1" applyAlignment="1">
      <alignment horizontal="center"/>
    </xf>
    <xf numFmtId="0" fontId="0" fillId="29" borderId="0" xfId="0" applyFill="1" applyAlignment="1">
      <alignment horizontal="center"/>
    </xf>
    <xf numFmtId="0" fontId="32" fillId="45" borderId="0" xfId="0" applyFont="1" applyFill="1" applyAlignment="1">
      <alignment horizontal="center"/>
    </xf>
    <xf numFmtId="0" fontId="1" fillId="45" borderId="0" xfId="0" applyFont="1" applyFill="1" applyAlignment="1">
      <alignment horizontal="center"/>
    </xf>
    <xf numFmtId="0" fontId="21" fillId="13" borderId="0" xfId="0" applyFont="1" applyFill="1" applyAlignment="1">
      <alignment horizontal="center"/>
    </xf>
    <xf numFmtId="0" fontId="32" fillId="46" borderId="0" xfId="0" applyFont="1" applyFill="1" applyAlignment="1">
      <alignment horizontal="center"/>
    </xf>
    <xf numFmtId="4" fontId="11" fillId="46" borderId="0" xfId="0" applyNumberFormat="1" applyFont="1" applyFill="1" applyAlignment="1">
      <alignment horizontal="center"/>
    </xf>
    <xf numFmtId="0" fontId="1" fillId="46" borderId="0" xfId="0" applyFont="1" applyFill="1" applyAlignment="1">
      <alignment horizontal="center"/>
    </xf>
    <xf numFmtId="0" fontId="33" fillId="29" borderId="0" xfId="0" applyFont="1" applyFill="1"/>
    <xf numFmtId="0" fontId="10" fillId="13" borderId="0" xfId="0" applyFont="1" applyFill="1" applyAlignment="1">
      <alignment horizontal="center"/>
    </xf>
    <xf numFmtId="0" fontId="0" fillId="36" borderId="0" xfId="0" applyFill="1" applyAlignment="1">
      <alignment horizontal="center"/>
    </xf>
    <xf numFmtId="0" fontId="5" fillId="47" borderId="0" xfId="0" applyFont="1" applyFill="1" applyAlignment="1">
      <alignment horizontal="center"/>
    </xf>
    <xf numFmtId="1" fontId="5" fillId="47" borderId="0" xfId="2" applyNumberFormat="1" applyFont="1" applyFill="1" applyAlignment="1">
      <alignment horizontal="right"/>
    </xf>
    <xf numFmtId="1" fontId="0" fillId="13" borderId="0" xfId="2" applyNumberFormat="1" applyFont="1" applyFill="1"/>
    <xf numFmtId="1" fontId="4" fillId="47" borderId="0" xfId="2" applyNumberFormat="1" applyFont="1" applyFill="1" applyAlignment="1">
      <alignment horizontal="right"/>
    </xf>
    <xf numFmtId="0" fontId="34" fillId="47" borderId="0" xfId="0" applyFont="1" applyFill="1" applyAlignment="1">
      <alignment horizontal="center"/>
    </xf>
    <xf numFmtId="0" fontId="35" fillId="13" borderId="0" xfId="0" applyFont="1" applyFill="1" applyAlignment="1">
      <alignment horizontal="center"/>
    </xf>
    <xf numFmtId="0" fontId="36" fillId="47" borderId="0" xfId="0" applyFont="1" applyFill="1" applyAlignment="1">
      <alignment horizontal="center"/>
    </xf>
    <xf numFmtId="1" fontId="34" fillId="47" borderId="0" xfId="2" applyNumberFormat="1" applyFont="1" applyFill="1" applyAlignment="1">
      <alignment horizontal="center"/>
    </xf>
    <xf numFmtId="0" fontId="34" fillId="13" borderId="0" xfId="0" applyFont="1" applyFill="1" applyAlignment="1">
      <alignment horizontal="center"/>
    </xf>
    <xf numFmtId="1" fontId="35" fillId="13" borderId="0" xfId="2" applyNumberFormat="1" applyFont="1" applyFill="1" applyAlignment="1">
      <alignment horizontal="center"/>
    </xf>
    <xf numFmtId="1" fontId="36" fillId="47" borderId="0" xfId="2" applyNumberFormat="1" applyFont="1" applyFill="1" applyAlignment="1">
      <alignment horizontal="center"/>
    </xf>
    <xf numFmtId="165" fontId="1" fillId="13" borderId="0" xfId="0" applyNumberFormat="1" applyFont="1" applyFill="1"/>
    <xf numFmtId="0" fontId="9" fillId="13" borderId="0" xfId="0" applyFont="1" applyFill="1" applyAlignment="1">
      <alignment horizontal="right"/>
    </xf>
    <xf numFmtId="0" fontId="2" fillId="9" borderId="0" xfId="0" applyFont="1" applyFill="1"/>
    <xf numFmtId="165" fontId="2" fillId="9" borderId="0" xfId="0" applyNumberFormat="1" applyFont="1" applyFill="1"/>
    <xf numFmtId="2" fontId="0" fillId="36" borderId="0" xfId="0" applyNumberFormat="1" applyFill="1"/>
    <xf numFmtId="2" fontId="10" fillId="13" borderId="0" xfId="0" applyNumberFormat="1" applyFont="1" applyFill="1"/>
    <xf numFmtId="0" fontId="38" fillId="48" borderId="0" xfId="0" applyFont="1" applyFill="1"/>
    <xf numFmtId="165" fontId="38" fillId="48" borderId="0" xfId="0" applyNumberFormat="1" applyFont="1" applyFill="1" applyAlignment="1">
      <alignment horizontal="right"/>
    </xf>
    <xf numFmtId="43" fontId="3" fillId="5" borderId="0" xfId="2" applyFont="1" applyFill="1"/>
    <xf numFmtId="0" fontId="39" fillId="20" borderId="0" xfId="0" applyFont="1" applyFill="1"/>
    <xf numFmtId="0" fontId="40" fillId="13" borderId="0" xfId="0" applyFont="1" applyFill="1"/>
    <xf numFmtId="43" fontId="3" fillId="49" borderId="0" xfId="0" applyNumberFormat="1" applyFont="1" applyFill="1"/>
    <xf numFmtId="43" fontId="37" fillId="20" borderId="0" xfId="2" applyFont="1" applyFill="1"/>
    <xf numFmtId="43" fontId="3" fillId="20" borderId="0" xfId="2" applyFont="1" applyFill="1"/>
    <xf numFmtId="0" fontId="0" fillId="0" borderId="15" xfId="0" applyBorder="1"/>
    <xf numFmtId="0" fontId="41" fillId="0" borderId="16" xfId="0" applyFont="1" applyBorder="1" applyAlignment="1">
      <alignment horizontal="center"/>
    </xf>
    <xf numFmtId="0" fontId="42" fillId="0" borderId="0" xfId="0" applyFont="1"/>
    <xf numFmtId="0" fontId="28" fillId="13" borderId="0" xfId="0" applyFont="1" applyFill="1" applyAlignment="1">
      <alignment horizontal="center"/>
    </xf>
    <xf numFmtId="0" fontId="26" fillId="13" borderId="0" xfId="0" applyFont="1" applyFill="1" applyAlignment="1">
      <alignment horizontal="center" vertical="center" wrapText="1"/>
    </xf>
    <xf numFmtId="0" fontId="28" fillId="35" borderId="0" xfId="0" applyFont="1" applyFill="1" applyAlignment="1">
      <alignment horizontal="center"/>
    </xf>
    <xf numFmtId="164" fontId="16" fillId="20" borderId="0" xfId="2" applyNumberFormat="1" applyFont="1" applyFill="1" applyAlignment="1">
      <alignment horizontal="center"/>
    </xf>
    <xf numFmtId="164" fontId="17" fillId="13" borderId="0" xfId="2" applyNumberFormat="1" applyFont="1" applyFill="1" applyAlignment="1">
      <alignment horizontal="center"/>
    </xf>
    <xf numFmtId="164" fontId="17" fillId="20" borderId="0" xfId="2" applyNumberFormat="1" applyFont="1" applyFill="1" applyAlignment="1">
      <alignment horizontal="center"/>
    </xf>
    <xf numFmtId="0" fontId="34" fillId="47" borderId="0" xfId="0" applyFont="1" applyFill="1" applyAlignment="1">
      <alignment horizontal="center"/>
    </xf>
    <xf numFmtId="0" fontId="1" fillId="50" borderId="0" xfId="0" applyFont="1" applyFill="1" applyAlignment="1">
      <alignment horizontal="center"/>
    </xf>
    <xf numFmtId="0" fontId="1" fillId="13" borderId="0" xfId="0" applyFont="1" applyFill="1" applyBorder="1" applyAlignment="1">
      <alignment horizontal="center"/>
    </xf>
    <xf numFmtId="0" fontId="0" fillId="13" borderId="0" xfId="0" applyFill="1" applyBorder="1"/>
    <xf numFmtId="0" fontId="0" fillId="13" borderId="0" xfId="0" applyFill="1" applyBorder="1" applyAlignment="1">
      <alignment horizontal="center"/>
    </xf>
    <xf numFmtId="0" fontId="43" fillId="13" borderId="0" xfId="0" applyFont="1" applyFill="1" applyBorder="1" applyAlignment="1">
      <alignment horizontal="center"/>
    </xf>
  </cellXfs>
  <cellStyles count="3">
    <cellStyle name="Dziesiętny" xfId="2" builtinId="3"/>
    <cellStyle name="Normalny" xfId="0" builtinId="0"/>
    <cellStyle name="Procentowy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Podsumowanie!$Z$25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31-4644-8984-7364A860C88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Podsumowanie!$Z$26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29-4346-BB77-0B94511607BB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Podsumowanie!$Z$27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29-4346-BB77-0B94511607BB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Podsumowanie!$Z$28</c:f>
              <c:numCache>
                <c:formatCode>General</c:formatCode>
                <c:ptCount val="1"/>
                <c:pt idx="0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29-4346-BB77-0B94511607BB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Podsumowanie!$Z$29</c:f>
              <c:numCache>
                <c:formatCode>General</c:formatCode>
                <c:ptCount val="1"/>
                <c:pt idx="0">
                  <c:v>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29-4346-BB77-0B94511607BB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val>
            <c:numRef>
              <c:f>Podsumowanie!$Z$30</c:f>
              <c:numCache>
                <c:formatCode>General</c:formatCode>
                <c:ptCount val="1"/>
                <c:pt idx="0">
                  <c:v>166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29-4346-BB77-0B94511607BB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Podsumowanie!$Z$31</c:f>
              <c:numCache>
                <c:formatCode>General</c:formatCode>
                <c:ptCount val="1"/>
                <c:pt idx="0">
                  <c:v>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E29-4346-BB77-0B94511607BB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Podsumowanie!$Z$32</c:f>
              <c:numCache>
                <c:formatCode>General</c:formatCode>
                <c:ptCount val="1"/>
                <c:pt idx="0">
                  <c:v>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E29-4346-BB77-0B94511607BB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Podsumowanie!$Z$33</c:f>
              <c:numCache>
                <c:formatCode>General</c:formatCode>
                <c:ptCount val="1"/>
                <c:pt idx="0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E29-4346-BB77-0B94511607BB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Podsumowanie!$Z$34</c:f>
              <c:numCache>
                <c:formatCode>General</c:formatCode>
                <c:ptCount val="1"/>
                <c:pt idx="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E29-4346-BB77-0B94511607BB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Podsumowanie!$Z$35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E29-4346-BB77-0B94511607BB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Podsumowanie!$Z$36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E29-4346-BB77-0B9451160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7543759"/>
        <c:axId val="127544719"/>
      </c:barChart>
      <c:catAx>
        <c:axId val="12754375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27544719"/>
        <c:crosses val="autoZero"/>
        <c:auto val="1"/>
        <c:lblAlgn val="ctr"/>
        <c:lblOffset val="100"/>
        <c:noMultiLvlLbl val="0"/>
      </c:catAx>
      <c:valAx>
        <c:axId val="1275447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275437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 sz="2400">
                <a:solidFill>
                  <a:schemeClr val="tx1"/>
                </a:solidFill>
              </a:rPr>
              <a:t>Częstość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>
        <c:manualLayout>
          <c:layoutTarget val="inner"/>
          <c:xMode val="edge"/>
          <c:yMode val="edge"/>
          <c:x val="2.9061414514029979E-2"/>
          <c:y val="0.11611853366727329"/>
          <c:w val="0.9476068984242606"/>
          <c:h val="0.7355706859583055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Podsumowanie!$AD$25:$AD$50</c:f>
              <c:numCache>
                <c:formatCode>General</c:formatCode>
                <c:ptCount val="26"/>
                <c:pt idx="0">
                  <c:v>-20</c:v>
                </c:pt>
                <c:pt idx="1">
                  <c:v>-18</c:v>
                </c:pt>
                <c:pt idx="2">
                  <c:v>-16</c:v>
                </c:pt>
                <c:pt idx="3">
                  <c:v>-14</c:v>
                </c:pt>
                <c:pt idx="4">
                  <c:v>-12</c:v>
                </c:pt>
                <c:pt idx="5">
                  <c:v>-10</c:v>
                </c:pt>
                <c:pt idx="6">
                  <c:v>-8</c:v>
                </c:pt>
                <c:pt idx="7">
                  <c:v>-6</c:v>
                </c:pt>
                <c:pt idx="8">
                  <c:v>-4</c:v>
                </c:pt>
                <c:pt idx="9">
                  <c:v>-2</c:v>
                </c:pt>
                <c:pt idx="10">
                  <c:v>0</c:v>
                </c:pt>
                <c:pt idx="11">
                  <c:v>2</c:v>
                </c:pt>
                <c:pt idx="12">
                  <c:v>4</c:v>
                </c:pt>
                <c:pt idx="13">
                  <c:v>6</c:v>
                </c:pt>
                <c:pt idx="14">
                  <c:v>8</c:v>
                </c:pt>
                <c:pt idx="15">
                  <c:v>10</c:v>
                </c:pt>
                <c:pt idx="16">
                  <c:v>12</c:v>
                </c:pt>
                <c:pt idx="17">
                  <c:v>14</c:v>
                </c:pt>
                <c:pt idx="18">
                  <c:v>16</c:v>
                </c:pt>
                <c:pt idx="19">
                  <c:v>18</c:v>
                </c:pt>
                <c:pt idx="20">
                  <c:v>20</c:v>
                </c:pt>
                <c:pt idx="21">
                  <c:v>22</c:v>
                </c:pt>
                <c:pt idx="22">
                  <c:v>24</c:v>
                </c:pt>
                <c:pt idx="23">
                  <c:v>26</c:v>
                </c:pt>
                <c:pt idx="24">
                  <c:v>28</c:v>
                </c:pt>
                <c:pt idx="25">
                  <c:v>30</c:v>
                </c:pt>
              </c:numCache>
            </c:numRef>
          </c:cat>
          <c:val>
            <c:numRef>
              <c:f>Podsumowanie!$AC$25:$AC$50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8</c:v>
                </c:pt>
                <c:pt idx="7">
                  <c:v>16</c:v>
                </c:pt>
                <c:pt idx="8">
                  <c:v>18</c:v>
                </c:pt>
                <c:pt idx="9">
                  <c:v>35</c:v>
                </c:pt>
                <c:pt idx="10">
                  <c:v>45</c:v>
                </c:pt>
                <c:pt idx="11">
                  <c:v>63</c:v>
                </c:pt>
                <c:pt idx="12">
                  <c:v>70</c:v>
                </c:pt>
                <c:pt idx="13">
                  <c:v>67</c:v>
                </c:pt>
                <c:pt idx="14">
                  <c:v>50</c:v>
                </c:pt>
                <c:pt idx="15">
                  <c:v>62</c:v>
                </c:pt>
                <c:pt idx="16">
                  <c:v>31</c:v>
                </c:pt>
                <c:pt idx="17">
                  <c:v>17</c:v>
                </c:pt>
                <c:pt idx="18">
                  <c:v>10</c:v>
                </c:pt>
                <c:pt idx="19">
                  <c:v>3</c:v>
                </c:pt>
                <c:pt idx="20">
                  <c:v>1</c:v>
                </c:pt>
                <c:pt idx="21">
                  <c:v>0</c:v>
                </c:pt>
                <c:pt idx="22">
                  <c:v>3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B1-4419-9286-E8911E9478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87846623"/>
        <c:axId val="1087849983"/>
      </c:barChart>
      <c:catAx>
        <c:axId val="1087846623"/>
        <c:scaling>
          <c:orientation val="minMax"/>
        </c:scaling>
        <c:delete val="0"/>
        <c:axPos val="b"/>
        <c:numFmt formatCode="#,##0&quot;mln&quot;\ [$zł-415]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087849983"/>
        <c:crosses val="autoZero"/>
        <c:auto val="1"/>
        <c:lblAlgn val="ctr"/>
        <c:lblOffset val="100"/>
        <c:noMultiLvlLbl val="0"/>
      </c:catAx>
      <c:valAx>
        <c:axId val="1087849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087846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tx1"/>
                </a:solidFill>
              </a:rPr>
              <a:t>Wynik finansowy wg. cen biletów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pattFill prst="narHorz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/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t" anchorCtr="0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'Przychody z biletów + analiza'!$R$17:$AG$17</c:f>
              <c:numCache>
                <c:formatCode>0%</c:formatCode>
                <c:ptCount val="16"/>
                <c:pt idx="0">
                  <c:v>0.5</c:v>
                </c:pt>
                <c:pt idx="1">
                  <c:v>0.6</c:v>
                </c:pt>
                <c:pt idx="2">
                  <c:v>0.7</c:v>
                </c:pt>
                <c:pt idx="3">
                  <c:v>0.8</c:v>
                </c:pt>
                <c:pt idx="4">
                  <c:v>0.9</c:v>
                </c:pt>
                <c:pt idx="5">
                  <c:v>1</c:v>
                </c:pt>
                <c:pt idx="6">
                  <c:v>1.1000000000000001</c:v>
                </c:pt>
                <c:pt idx="7">
                  <c:v>1.2</c:v>
                </c:pt>
                <c:pt idx="8">
                  <c:v>1.3</c:v>
                </c:pt>
                <c:pt idx="9">
                  <c:v>1.4</c:v>
                </c:pt>
                <c:pt idx="10">
                  <c:v>1.5</c:v>
                </c:pt>
                <c:pt idx="11">
                  <c:v>1.6</c:v>
                </c:pt>
                <c:pt idx="12">
                  <c:v>1.7</c:v>
                </c:pt>
                <c:pt idx="13">
                  <c:v>1.8</c:v>
                </c:pt>
                <c:pt idx="14">
                  <c:v>1.9</c:v>
                </c:pt>
                <c:pt idx="15">
                  <c:v>2</c:v>
                </c:pt>
              </c:numCache>
            </c:numRef>
          </c:cat>
          <c:val>
            <c:numRef>
              <c:f>'Przychody z biletów + analiza'!$R$13:$AG$13</c:f>
              <c:numCache>
                <c:formatCode>#\ ##0.00\ [$zł-415]</c:formatCode>
                <c:ptCount val="16"/>
                <c:pt idx="0">
                  <c:v>-35658613.868472777</c:v>
                </c:pt>
                <c:pt idx="1">
                  <c:v>-24694856.426188163</c:v>
                </c:pt>
                <c:pt idx="2">
                  <c:v>-15905484.589254485</c:v>
                </c:pt>
                <c:pt idx="3">
                  <c:v>-7700183.4695915282</c:v>
                </c:pt>
                <c:pt idx="4">
                  <c:v>-1309649.8757751498</c:v>
                </c:pt>
                <c:pt idx="5">
                  <c:v>3825469.2940571718</c:v>
                </c:pt>
                <c:pt idx="6">
                  <c:v>8445911.5559396669</c:v>
                </c:pt>
                <c:pt idx="7">
                  <c:v>10500499.053262053</c:v>
                </c:pt>
                <c:pt idx="8">
                  <c:v>11462199.420553491</c:v>
                </c:pt>
                <c:pt idx="9">
                  <c:v>11401452.010671396</c:v>
                </c:pt>
                <c:pt idx="10">
                  <c:v>9620863.7273409907</c:v>
                </c:pt>
                <c:pt idx="11">
                  <c:v>6320371.2032147227</c:v>
                </c:pt>
                <c:pt idx="12">
                  <c:v>2674858.2857318865</c:v>
                </c:pt>
                <c:pt idx="13">
                  <c:v>-3641371.5390988505</c:v>
                </c:pt>
                <c:pt idx="14">
                  <c:v>-10437492.533456374</c:v>
                </c:pt>
                <c:pt idx="15">
                  <c:v>-18124595.725310583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DD-1F4A-9BFF-7953CA6994AF}"/>
            </c:ext>
          </c:extLst>
        </c:ser>
        <c:ser>
          <c:idx val="1"/>
          <c:order val="1"/>
          <c:spPr>
            <a:pattFill prst="narHorz">
              <a:fgClr>
                <a:schemeClr val="accent2"/>
              </a:fgClr>
              <a:bgClr>
                <a:schemeClr val="accent2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2"/>
              </a:innerShdw>
            </a:effectLst>
          </c:spPr>
          <c:invertIfNegative val="0"/>
          <c:cat>
            <c:numRef>
              <c:f>'Przychody z biletów + analiza'!$R$17:$AG$17</c:f>
              <c:numCache>
                <c:formatCode>0%</c:formatCode>
                <c:ptCount val="16"/>
                <c:pt idx="0">
                  <c:v>0.5</c:v>
                </c:pt>
                <c:pt idx="1">
                  <c:v>0.6</c:v>
                </c:pt>
                <c:pt idx="2">
                  <c:v>0.7</c:v>
                </c:pt>
                <c:pt idx="3">
                  <c:v>0.8</c:v>
                </c:pt>
                <c:pt idx="4">
                  <c:v>0.9</c:v>
                </c:pt>
                <c:pt idx="5">
                  <c:v>1</c:v>
                </c:pt>
                <c:pt idx="6">
                  <c:v>1.1000000000000001</c:v>
                </c:pt>
                <c:pt idx="7">
                  <c:v>1.2</c:v>
                </c:pt>
                <c:pt idx="8">
                  <c:v>1.3</c:v>
                </c:pt>
                <c:pt idx="9">
                  <c:v>1.4</c:v>
                </c:pt>
                <c:pt idx="10">
                  <c:v>1.5</c:v>
                </c:pt>
                <c:pt idx="11">
                  <c:v>1.6</c:v>
                </c:pt>
                <c:pt idx="12">
                  <c:v>1.7</c:v>
                </c:pt>
                <c:pt idx="13">
                  <c:v>1.8</c:v>
                </c:pt>
                <c:pt idx="14">
                  <c:v>1.9</c:v>
                </c:pt>
                <c:pt idx="15">
                  <c:v>2</c:v>
                </c:pt>
              </c:numCache>
            </c:numRef>
          </c:cat>
          <c:val>
            <c:numRef>
              <c:f>'Przychody z biletów + analiza'!$R$17:$AG$17</c:f>
              <c:numCache>
                <c:formatCode>0%</c:formatCode>
                <c:ptCount val="16"/>
                <c:pt idx="0">
                  <c:v>0.5</c:v>
                </c:pt>
                <c:pt idx="1">
                  <c:v>0.6</c:v>
                </c:pt>
                <c:pt idx="2">
                  <c:v>0.7</c:v>
                </c:pt>
                <c:pt idx="3">
                  <c:v>0.8</c:v>
                </c:pt>
                <c:pt idx="4">
                  <c:v>0.9</c:v>
                </c:pt>
                <c:pt idx="5">
                  <c:v>1</c:v>
                </c:pt>
                <c:pt idx="6">
                  <c:v>1.1000000000000001</c:v>
                </c:pt>
                <c:pt idx="7">
                  <c:v>1.2</c:v>
                </c:pt>
                <c:pt idx="8">
                  <c:v>1.3</c:v>
                </c:pt>
                <c:pt idx="9">
                  <c:v>1.4</c:v>
                </c:pt>
                <c:pt idx="10">
                  <c:v>1.5</c:v>
                </c:pt>
                <c:pt idx="11">
                  <c:v>1.6</c:v>
                </c:pt>
                <c:pt idx="12">
                  <c:v>1.7</c:v>
                </c:pt>
                <c:pt idx="13">
                  <c:v>1.8</c:v>
                </c:pt>
                <c:pt idx="14">
                  <c:v>1.9</c:v>
                </c:pt>
                <c:pt idx="15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ADD-1F4A-9BFF-7953CA6994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64"/>
        <c:overlap val="-22"/>
        <c:axId val="56959008"/>
        <c:axId val="1228320495"/>
      </c:barChart>
      <c:catAx>
        <c:axId val="56959008"/>
        <c:scaling>
          <c:orientation val="minMax"/>
        </c:scaling>
        <c:delete val="0"/>
        <c:axPos val="b"/>
        <c:numFmt formatCode="0%" sourceLinked="1"/>
        <c:majorTickMark val="none"/>
        <c:minorTickMark val="none"/>
        <c:tickLblPos val="nextTo"/>
        <c:spPr>
          <a:pattFill prst="pct5">
            <a:fgClr>
              <a:schemeClr val="accent1"/>
            </a:fgClr>
            <a:bgClr>
              <a:schemeClr val="bg1"/>
            </a:bgClr>
          </a:pattFill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8320495"/>
        <c:crosses val="autoZero"/>
        <c:auto val="1"/>
        <c:lblAlgn val="ctr"/>
        <c:lblOffset val="100"/>
        <c:noMultiLvlLbl val="0"/>
      </c:catAx>
      <c:valAx>
        <c:axId val="1228320495"/>
        <c:scaling>
          <c:orientation val="minMax"/>
        </c:scaling>
        <c:delete val="0"/>
        <c:axPos val="l"/>
        <c:numFmt formatCode="#\ ##0.00\ [$zł-415]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59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b="0">
                <a:solidFill>
                  <a:srgbClr val="757575"/>
                </a:solidFill>
                <a:latin typeface="+mn-lt"/>
              </a:rPr>
              <a:t>ilość poszczególnych szkód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'Koszty napraw'!$AM$1</c:f>
              <c:strCache>
                <c:ptCount val="1"/>
                <c:pt idx="0">
                  <c:v>liczba poszczególnych szkód</c:v>
                </c:pt>
              </c:strCache>
            </c:strRef>
          </c:tx>
          <c:spPr>
            <a:solidFill>
              <a:srgbClr val="4285F4"/>
            </a:solidFill>
            <a:ln cmpd="sng">
              <a:solidFill>
                <a:srgbClr val="000000"/>
              </a:solidFill>
            </a:ln>
          </c:spPr>
          <c:invertIfNegative val="1"/>
          <c:cat>
            <c:numRef>
              <c:f>'Koszty napraw'!$AL$2:$AL$12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'Koszty napraw'!$AM$2:$AM$12</c:f>
              <c:numCache>
                <c:formatCode>General</c:formatCode>
                <c:ptCount val="11"/>
                <c:pt idx="0">
                  <c:v>11</c:v>
                </c:pt>
                <c:pt idx="1">
                  <c:v>15</c:v>
                </c:pt>
                <c:pt idx="2">
                  <c:v>19</c:v>
                </c:pt>
                <c:pt idx="3">
                  <c:v>21</c:v>
                </c:pt>
                <c:pt idx="4">
                  <c:v>20</c:v>
                </c:pt>
                <c:pt idx="5">
                  <c:v>18</c:v>
                </c:pt>
                <c:pt idx="6">
                  <c:v>11</c:v>
                </c:pt>
                <c:pt idx="7">
                  <c:v>5</c:v>
                </c:pt>
                <c:pt idx="8">
                  <c:v>10</c:v>
                </c:pt>
                <c:pt idx="9">
                  <c:v>5</c:v>
                </c:pt>
                <c:pt idx="10">
                  <c:v>5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3DB6-4732-BC31-993AD93B9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64468255"/>
        <c:axId val="593685476"/>
      </c:barChart>
      <c:catAx>
        <c:axId val="19644682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593685476"/>
        <c:crosses val="autoZero"/>
        <c:auto val="1"/>
        <c:lblAlgn val="ctr"/>
        <c:lblOffset val="100"/>
        <c:noMultiLvlLbl val="1"/>
      </c:catAx>
      <c:valAx>
        <c:axId val="593685476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lang="en-US" b="0">
                    <a:solidFill>
                      <a:srgbClr val="000000"/>
                    </a:solidFill>
                    <a:latin typeface="+mn-lt"/>
                  </a:rPr>
                  <a:t>ilość poszczególnych szkód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964468255"/>
        <c:crosses val="autoZero"/>
        <c:crossBetween val="between"/>
      </c:valAx>
    </c:plotArea>
    <c:legend>
      <c:legendPos val="r"/>
      <c:overlay val="0"/>
      <c:txPr>
        <a:bodyPr/>
        <a:lstStyle/>
        <a:p>
          <a:pPr lvl="0" rtl="0">
            <a:defRPr b="0">
              <a:solidFill>
                <a:srgbClr val="1A1A1A"/>
              </a:solidFill>
              <a:latin typeface="+mn-lt"/>
            </a:defRPr>
          </a:pPr>
          <a:endParaRPr lang="en-US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Wykres dystrybuanty</a:t>
            </a:r>
            <a:r>
              <a:rPr lang="en-US" baseline="0"/>
              <a:t> szkód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'Koszty napraw'!$AL$1</c:f>
              <c:strCache>
                <c:ptCount val="1"/>
                <c:pt idx="0">
                  <c:v>Szkody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'Koszty napraw'!$AK$2:$AK$13</c:f>
              <c:numCache>
                <c:formatCode>General</c:formatCode>
                <c:ptCount val="12"/>
                <c:pt idx="0">
                  <c:v>7.0000000000000007E-2</c:v>
                </c:pt>
                <c:pt idx="1">
                  <c:v>0.09</c:v>
                </c:pt>
                <c:pt idx="2">
                  <c:v>0.11</c:v>
                </c:pt>
                <c:pt idx="3">
                  <c:v>0.13</c:v>
                </c:pt>
                <c:pt idx="4">
                  <c:v>0.15</c:v>
                </c:pt>
                <c:pt idx="5">
                  <c:v>0.13</c:v>
                </c:pt>
                <c:pt idx="6">
                  <c:v>0.11</c:v>
                </c:pt>
                <c:pt idx="7">
                  <c:v>7.0000000000000007E-2</c:v>
                </c:pt>
                <c:pt idx="8">
                  <c:v>0.06</c:v>
                </c:pt>
                <c:pt idx="9">
                  <c:v>0.05</c:v>
                </c:pt>
                <c:pt idx="10">
                  <c:v>0.03</c:v>
                </c:pt>
                <c:pt idx="11">
                  <c:v>1.0000000000000002</c:v>
                </c:pt>
              </c:numCache>
            </c:numRef>
          </c:cat>
          <c:val>
            <c:numRef>
              <c:f>'Koszty napraw'!$AL$2:$AL$13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F1-4FA0-A10C-A8BDE0DB5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2147395999"/>
        <c:axId val="637188160"/>
      </c:barChart>
      <c:catAx>
        <c:axId val="214739599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7188160"/>
        <c:crosses val="autoZero"/>
        <c:auto val="1"/>
        <c:lblAlgn val="ctr"/>
        <c:lblOffset val="100"/>
        <c:noMultiLvlLbl val="0"/>
      </c:catAx>
      <c:valAx>
        <c:axId val="637188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73959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 sz="2800">
                <a:solidFill>
                  <a:schemeClr val="tx1"/>
                </a:solidFill>
              </a:rPr>
              <a:t>F(x)</a:t>
            </a:r>
            <a:endParaRPr lang="en-US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'Koszty napraw'!$AI$1</c:f>
              <c:strCache>
                <c:ptCount val="1"/>
                <c:pt idx="0">
                  <c:v>F(x)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'Koszty napraw'!$AL$2:$AL$12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'Koszty napraw'!$AI$2:$AI$12</c:f>
              <c:numCache>
                <c:formatCode>General</c:formatCode>
                <c:ptCount val="11"/>
                <c:pt idx="0">
                  <c:v>7.0000000000000007E-2</c:v>
                </c:pt>
                <c:pt idx="1">
                  <c:v>0.16</c:v>
                </c:pt>
                <c:pt idx="2">
                  <c:v>0.27</c:v>
                </c:pt>
                <c:pt idx="3">
                  <c:v>0.4</c:v>
                </c:pt>
                <c:pt idx="4">
                  <c:v>0.55000000000000004</c:v>
                </c:pt>
                <c:pt idx="5">
                  <c:v>0.68</c:v>
                </c:pt>
                <c:pt idx="6">
                  <c:v>0.79</c:v>
                </c:pt>
                <c:pt idx="7">
                  <c:v>0.8600000000000001</c:v>
                </c:pt>
                <c:pt idx="8">
                  <c:v>0.92000000000000015</c:v>
                </c:pt>
                <c:pt idx="9">
                  <c:v>0.9700000000000002</c:v>
                </c:pt>
                <c:pt idx="10">
                  <c:v>1.0000000000000002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CD-45BA-93C3-F3C4B06509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28277359"/>
        <c:axId val="1328265359"/>
      </c:lineChart>
      <c:catAx>
        <c:axId val="13282773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328265359"/>
        <c:crosses val="autoZero"/>
        <c:auto val="1"/>
        <c:lblAlgn val="ctr"/>
        <c:lblOffset val="100"/>
        <c:noMultiLvlLbl val="0"/>
      </c:catAx>
      <c:valAx>
        <c:axId val="13282653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32827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'Koszty napraw'!$AG$1</c:f>
              <c:strCache>
                <c:ptCount val="1"/>
                <c:pt idx="0">
                  <c:v>P(x)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'Koszty napraw'!$AL$2:$AL$12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'Koszty napraw'!$AG$2:$AG$12</c:f>
              <c:numCache>
                <c:formatCode>General</c:formatCode>
                <c:ptCount val="11"/>
                <c:pt idx="0">
                  <c:v>7.0000000000000007E-2</c:v>
                </c:pt>
                <c:pt idx="1">
                  <c:v>0.09</c:v>
                </c:pt>
                <c:pt idx="2">
                  <c:v>0.11000000000000001</c:v>
                </c:pt>
                <c:pt idx="3">
                  <c:v>0.13</c:v>
                </c:pt>
                <c:pt idx="4">
                  <c:v>0.15000000000000002</c:v>
                </c:pt>
                <c:pt idx="5">
                  <c:v>0.13</c:v>
                </c:pt>
                <c:pt idx="6">
                  <c:v>0.10999999999999999</c:v>
                </c:pt>
                <c:pt idx="7">
                  <c:v>7.0000000000000062E-2</c:v>
                </c:pt>
                <c:pt idx="8">
                  <c:v>6.0000000000000053E-2</c:v>
                </c:pt>
                <c:pt idx="9">
                  <c:v>5.0000000000000044E-2</c:v>
                </c:pt>
                <c:pt idx="10">
                  <c:v>3.0000000000000027E-2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7DD-4CAD-9F02-C1E80847E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28294159"/>
        <c:axId val="1328300399"/>
      </c:lineChart>
      <c:catAx>
        <c:axId val="1328294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328300399"/>
        <c:crosses val="autoZero"/>
        <c:auto val="1"/>
        <c:lblAlgn val="ctr"/>
        <c:lblOffset val="100"/>
        <c:noMultiLvlLbl val="0"/>
      </c:catAx>
      <c:valAx>
        <c:axId val="13283003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328294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4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1037551</xdr:colOff>
      <xdr:row>61</xdr:row>
      <xdr:rowOff>80049</xdr:rowOff>
    </xdr:from>
    <xdr:to>
      <xdr:col>27</xdr:col>
      <xdr:colOff>952885</xdr:colOff>
      <xdr:row>77</xdr:row>
      <xdr:rowOff>166254</xdr:rowOff>
    </xdr:to>
    <xdr:graphicFrame macro="">
      <xdr:nvGraphicFramePr>
        <xdr:cNvPr id="11" name="Wykres 1">
          <a:extLst>
            <a:ext uri="{FF2B5EF4-FFF2-40B4-BE49-F238E27FC236}">
              <a16:creationId xmlns:a16="http://schemas.microsoft.com/office/drawing/2014/main" id="{C139ECD2-6BF3-A101-4D0C-FB506C5E3FD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508000</xdr:colOff>
      <xdr:row>52</xdr:row>
      <xdr:rowOff>193040</xdr:rowOff>
    </xdr:from>
    <xdr:to>
      <xdr:col>36</xdr:col>
      <xdr:colOff>193040</xdr:colOff>
      <xdr:row>78</xdr:row>
      <xdr:rowOff>81280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3F80F102-3BC0-A600-20A7-2E86CD917F2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620888</xdr:colOff>
      <xdr:row>27</xdr:row>
      <xdr:rowOff>138287</xdr:rowOff>
    </xdr:from>
    <xdr:to>
      <xdr:col>15</xdr:col>
      <xdr:colOff>423333</xdr:colOff>
      <xdr:row>60</xdr:row>
      <xdr:rowOff>42333</xdr:rowOff>
    </xdr:to>
    <xdr:graphicFrame macro="">
      <xdr:nvGraphicFramePr>
        <xdr:cNvPr id="2" name="Chart 3">
          <a:extLst>
            <a:ext uri="{FF2B5EF4-FFF2-40B4-BE49-F238E27FC236}">
              <a16:creationId xmlns:a16="http://schemas.microsoft.com/office/drawing/2014/main" id="{C2951FEC-1CB2-871E-F96B-A64B46E1AF5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27</xdr:col>
      <xdr:colOff>155806</xdr:colOff>
      <xdr:row>21</xdr:row>
      <xdr:rowOff>97091</xdr:rowOff>
    </xdr:from>
    <xdr:ext cx="5715000" cy="3533775"/>
    <xdr:graphicFrame macro="">
      <xdr:nvGraphicFramePr>
        <xdr:cNvPr id="5" name="Chart 1" title="Chart">
          <a:extLst>
            <a:ext uri="{FF2B5EF4-FFF2-40B4-BE49-F238E27FC236}">
              <a16:creationId xmlns:a16="http://schemas.microsoft.com/office/drawing/2014/main" id="{190A3A20-8342-4C93-B713-F5588B112C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twoCellAnchor>
    <xdr:from>
      <xdr:col>27</xdr:col>
      <xdr:colOff>110003</xdr:colOff>
      <xdr:row>41</xdr:row>
      <xdr:rowOff>183100</xdr:rowOff>
    </xdr:from>
    <xdr:to>
      <xdr:col>32</xdr:col>
      <xdr:colOff>481641</xdr:colOff>
      <xdr:row>62</xdr:row>
      <xdr:rowOff>164418</xdr:rowOff>
    </xdr:to>
    <xdr:graphicFrame macro="">
      <xdr:nvGraphicFramePr>
        <xdr:cNvPr id="8" name="Chart 3">
          <a:extLst>
            <a:ext uri="{FF2B5EF4-FFF2-40B4-BE49-F238E27FC236}">
              <a16:creationId xmlns:a16="http://schemas.microsoft.com/office/drawing/2014/main" id="{314E74B1-C953-464B-B2A7-3C285E04C5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32</xdr:col>
      <xdr:colOff>620484</xdr:colOff>
      <xdr:row>36</xdr:row>
      <xdr:rowOff>0</xdr:rowOff>
    </xdr:from>
    <xdr:to>
      <xdr:col>38</xdr:col>
      <xdr:colOff>903514</xdr:colOff>
      <xdr:row>55</xdr:row>
      <xdr:rowOff>114300</xdr:rowOff>
    </xdr:to>
    <xdr:graphicFrame macro="">
      <xdr:nvGraphicFramePr>
        <xdr:cNvPr id="20" name="Wykres 1">
          <a:extLst>
            <a:ext uri="{FF2B5EF4-FFF2-40B4-BE49-F238E27FC236}">
              <a16:creationId xmlns:a16="http://schemas.microsoft.com/office/drawing/2014/main" id="{AA922DAF-92B8-D880-3D56-F25B5562F07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32</xdr:col>
      <xdr:colOff>566056</xdr:colOff>
      <xdr:row>16</xdr:row>
      <xdr:rowOff>163286</xdr:rowOff>
    </xdr:from>
    <xdr:to>
      <xdr:col>38</xdr:col>
      <xdr:colOff>751114</xdr:colOff>
      <xdr:row>34</xdr:row>
      <xdr:rowOff>38101</xdr:rowOff>
    </xdr:to>
    <xdr:graphicFrame macro="">
      <xdr:nvGraphicFramePr>
        <xdr:cNvPr id="3" name="Wykres 2">
          <a:extLst>
            <a:ext uri="{FF2B5EF4-FFF2-40B4-BE49-F238E27FC236}">
              <a16:creationId xmlns:a16="http://schemas.microsoft.com/office/drawing/2014/main" id="{96A7C2B6-1F09-4A32-FF46-6EB893E9810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951865</xdr:colOff>
      <xdr:row>3</xdr:row>
      <xdr:rowOff>100330</xdr:rowOff>
    </xdr:from>
    <xdr:ext cx="6048375" cy="2895600"/>
    <xdr:pic>
      <xdr:nvPicPr>
        <xdr:cNvPr id="2" name="image1.png" title="Obraz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0057765" y="671830"/>
          <a:ext cx="6048375" cy="2895600"/>
        </a:xfrm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1">
    <tabColor theme="4"/>
    <outlinePr summaryBelow="0" summaryRight="0"/>
  </sheetPr>
  <dimension ref="A1:AF509"/>
  <sheetViews>
    <sheetView topLeftCell="N7" zoomScale="75" zoomScaleNormal="40" workbookViewId="0">
      <selection activeCell="V26" sqref="V26"/>
    </sheetView>
  </sheetViews>
  <sheetFormatPr defaultColWidth="12.6640625" defaultRowHeight="15.75" customHeight="1"/>
  <cols>
    <col min="2" max="2" width="18.6640625" style="33" bestFit="1" customWidth="1"/>
    <col min="3" max="3" width="19.44140625" style="33" bestFit="1" customWidth="1"/>
    <col min="4" max="4" width="17" style="33" bestFit="1" customWidth="1"/>
    <col min="5" max="5" width="19.33203125" style="33" bestFit="1" customWidth="1"/>
    <col min="6" max="7" width="17" style="33" bestFit="1" customWidth="1"/>
    <col min="8" max="8" width="21.77734375" style="33" customWidth="1"/>
    <col min="9" max="9" width="19.33203125" style="33" customWidth="1"/>
    <col min="10" max="10" width="19.44140625" style="33" customWidth="1"/>
    <col min="11" max="13" width="12.6640625" style="33"/>
    <col min="14" max="14" width="35.109375" style="33" bestFit="1" customWidth="1"/>
    <col min="15" max="16" width="18.33203125" style="33" bestFit="1" customWidth="1"/>
    <col min="17" max="17" width="16.44140625" style="33" bestFit="1" customWidth="1"/>
    <col min="18" max="21" width="14.6640625" style="33" bestFit="1" customWidth="1"/>
    <col min="22" max="22" width="12.6640625" style="33"/>
    <col min="23" max="23" width="14.77734375" style="33" bestFit="1" customWidth="1"/>
    <col min="24" max="24" width="12.6640625" style="33"/>
    <col min="25" max="25" width="14.6640625" style="33" bestFit="1" customWidth="1"/>
    <col min="26" max="27" width="12.6640625" style="33"/>
    <col min="28" max="28" width="13.6640625" style="33" bestFit="1" customWidth="1"/>
    <col min="29" max="16384" width="12.6640625" style="33"/>
  </cols>
  <sheetData>
    <row r="1" spans="1:32" ht="15.75" customHeight="1">
      <c r="A1" s="92"/>
      <c r="B1" s="92"/>
      <c r="C1" s="92"/>
      <c r="D1" s="92"/>
      <c r="E1" s="92"/>
      <c r="F1" s="92"/>
      <c r="G1" s="93" t="s">
        <v>122</v>
      </c>
      <c r="H1" s="92"/>
      <c r="I1" s="92"/>
      <c r="J1" s="92"/>
      <c r="AF1" s="33" t="s">
        <v>54</v>
      </c>
    </row>
    <row r="2" spans="1:32" ht="15.75" customHeight="1">
      <c r="A2" s="93" t="s">
        <v>121</v>
      </c>
      <c r="B2" s="68">
        <f>AVERAGE(B10:B509)</f>
        <v>56532551.571000002</v>
      </c>
      <c r="C2" s="68">
        <f t="shared" ref="C2:J2" si="0">AVERAGE(C10:C509)</f>
        <v>56532551.571000002</v>
      </c>
      <c r="D2" s="68">
        <f t="shared" si="0"/>
        <v>24292432.79472924</v>
      </c>
      <c r="E2" s="68">
        <f t="shared" si="0"/>
        <v>42712007.733333386</v>
      </c>
      <c r="F2" s="68">
        <f t="shared" si="0"/>
        <v>27207242.332279198</v>
      </c>
      <c r="G2" s="68">
        <f t="shared" si="0"/>
        <v>15000000</v>
      </c>
      <c r="H2" s="68">
        <f t="shared" si="0"/>
        <v>109211682.86034165</v>
      </c>
      <c r="I2" s="68">
        <f t="shared" si="0"/>
        <v>113065103.142</v>
      </c>
      <c r="J2" s="68">
        <f t="shared" si="0"/>
        <v>3853420.281658167</v>
      </c>
      <c r="AF2" s="33">
        <v>0</v>
      </c>
    </row>
    <row r="3" spans="1:32" ht="15.75" customHeight="1">
      <c r="A3" s="93" t="s">
        <v>29</v>
      </c>
      <c r="B3" s="68">
        <f>MAX(B10:B509)</f>
        <v>65490469.5</v>
      </c>
      <c r="C3" s="68">
        <f t="shared" ref="C3:I3" si="1">MAX(C10:C509)</f>
        <v>65490469.5</v>
      </c>
      <c r="D3" s="68">
        <f t="shared" si="1"/>
        <v>26589954.338597964</v>
      </c>
      <c r="E3" s="68">
        <f t="shared" si="1"/>
        <v>44526754.036289498</v>
      </c>
      <c r="F3" s="68">
        <f t="shared" si="1"/>
        <v>32594898.088926293</v>
      </c>
      <c r="G3" s="68">
        <f t="shared" si="1"/>
        <v>15000000</v>
      </c>
      <c r="H3" s="68">
        <f t="shared" si="1"/>
        <v>114557332.3799935</v>
      </c>
      <c r="I3" s="68">
        <f t="shared" si="1"/>
        <v>130980939</v>
      </c>
      <c r="J3" s="68">
        <f>MAX(J10:J509)</f>
        <v>22853252.548979774</v>
      </c>
      <c r="AF3" s="33">
        <v>7.0000000000000007E-2</v>
      </c>
    </row>
    <row r="4" spans="1:32" ht="15.75" customHeight="1">
      <c r="A4" s="93" t="s">
        <v>28</v>
      </c>
      <c r="B4" s="68">
        <f>MIN(B10:B509)</f>
        <v>50090531.5</v>
      </c>
      <c r="C4" s="68">
        <f t="shared" ref="C4:J4" si="2">MIN(C10:C509)</f>
        <v>50090531.5</v>
      </c>
      <c r="D4" s="68">
        <f t="shared" si="2"/>
        <v>22032713.296298034</v>
      </c>
      <c r="E4" s="68">
        <f t="shared" si="2"/>
        <v>40568369.535440609</v>
      </c>
      <c r="F4" s="68">
        <f t="shared" si="2"/>
        <v>23240055.885521326</v>
      </c>
      <c r="G4" s="68">
        <f t="shared" si="2"/>
        <v>15000000</v>
      </c>
      <c r="H4" s="68">
        <f t="shared" si="2"/>
        <v>103465585.76813792</v>
      </c>
      <c r="I4" s="68">
        <f t="shared" si="2"/>
        <v>100181063</v>
      </c>
      <c r="J4" s="68">
        <f t="shared" si="2"/>
        <v>-10632715.802163169</v>
      </c>
      <c r="AF4" s="33">
        <v>0.17</v>
      </c>
    </row>
    <row r="5" spans="1:32" ht="15.75" customHeight="1">
      <c r="A5" s="33"/>
      <c r="E5" t="s">
        <v>10</v>
      </c>
      <c r="AF5" s="33">
        <v>0.27</v>
      </c>
    </row>
    <row r="6" spans="1:32" ht="15.75" customHeight="1">
      <c r="A6" s="33"/>
      <c r="C6" t="s">
        <v>10</v>
      </c>
      <c r="D6" t="s">
        <v>10</v>
      </c>
      <c r="E6" t="s">
        <v>10</v>
      </c>
      <c r="W6" s="68"/>
      <c r="AF6" s="33">
        <v>0.39</v>
      </c>
    </row>
    <row r="7" spans="1:32" ht="15.75" customHeight="1">
      <c r="A7" s="33"/>
      <c r="C7" t="s">
        <v>11</v>
      </c>
      <c r="D7" t="s">
        <v>10</v>
      </c>
      <c r="E7" t="s">
        <v>10</v>
      </c>
      <c r="W7" s="68"/>
      <c r="AF7" s="33">
        <v>0.54</v>
      </c>
    </row>
    <row r="8" spans="1:32" ht="15.75" customHeight="1">
      <c r="A8" s="149" t="s">
        <v>0</v>
      </c>
      <c r="B8" s="58" t="s">
        <v>1</v>
      </c>
      <c r="C8" s="58" t="s">
        <v>2</v>
      </c>
      <c r="D8" s="59" t="s">
        <v>3</v>
      </c>
      <c r="E8" s="59" t="s">
        <v>4</v>
      </c>
      <c r="F8" s="59" t="s">
        <v>5</v>
      </c>
      <c r="G8" s="59" t="s">
        <v>6</v>
      </c>
      <c r="H8" s="60" t="s">
        <v>7</v>
      </c>
      <c r="I8" s="150" t="s">
        <v>8</v>
      </c>
      <c r="J8" s="61" t="s">
        <v>9</v>
      </c>
      <c r="K8" s="33" t="s">
        <v>10</v>
      </c>
      <c r="N8" s="70"/>
      <c r="O8" s="50" t="s">
        <v>116</v>
      </c>
      <c r="P8" s="50" t="s">
        <v>117</v>
      </c>
      <c r="Q8" s="50" t="s">
        <v>9</v>
      </c>
      <c r="W8" s="68"/>
      <c r="X8" s="72" t="s">
        <v>139</v>
      </c>
      <c r="AF8" s="33">
        <v>0.69</v>
      </c>
    </row>
    <row r="9" spans="1:32" ht="15.75" customHeight="1">
      <c r="A9" s="149"/>
      <c r="B9" s="62">
        <f ca="1">'Przychody z biletów + analiza'!C31</f>
        <v>56291669</v>
      </c>
      <c r="C9" s="62">
        <f ca="1">B9</f>
        <v>56291669</v>
      </c>
      <c r="D9" s="63">
        <f ca="1">'Koszty paliwa'!C34</f>
        <v>23761782.618483469</v>
      </c>
      <c r="E9" s="63">
        <f ca="1">'Koszty pracowników'!T6</f>
        <v>41609669.372075081</v>
      </c>
      <c r="F9" s="64">
        <f ca="1">'Koszty napraw'!AD2</f>
        <v>25324656.65315108</v>
      </c>
      <c r="G9" s="63">
        <v>15000000</v>
      </c>
      <c r="H9" s="65">
        <f ca="1">SUM(D9:G9)</f>
        <v>105696108.64370963</v>
      </c>
      <c r="I9" s="151">
        <f ca="1">SUM(B9:C9)</f>
        <v>112583338</v>
      </c>
      <c r="J9" s="66">
        <f ca="1">I9-H9</f>
        <v>6887229.3562903702</v>
      </c>
      <c r="K9" s="33" t="s">
        <v>10</v>
      </c>
      <c r="N9" s="69" t="s">
        <v>110</v>
      </c>
      <c r="O9" s="52">
        <f>AVERAGE(I10:I509)</f>
        <v>113065103.142</v>
      </c>
      <c r="P9" s="53">
        <f>AVERAGE(H10:H509)</f>
        <v>109211682.86034165</v>
      </c>
      <c r="Q9" s="54">
        <f>AVERAGE(J10:J509)</f>
        <v>3853420.281658167</v>
      </c>
      <c r="AF9" s="33">
        <v>0.81</v>
      </c>
    </row>
    <row r="10" spans="1:32" ht="15.75" customHeight="1">
      <c r="A10" s="149">
        <v>1</v>
      </c>
      <c r="B10" s="147">
        <f t="dataTable" ref="B10:J509" dt2D="0" dtr="0" r1="L20" ca="1"/>
        <v>56270613</v>
      </c>
      <c r="C10" s="147">
        <v>56270613</v>
      </c>
      <c r="D10" s="148">
        <v>24043560.248922795</v>
      </c>
      <c r="E10" s="148">
        <v>43095760.714277618</v>
      </c>
      <c r="F10" s="148">
        <v>28913184.828416236</v>
      </c>
      <c r="G10" s="147">
        <v>15000000</v>
      </c>
      <c r="H10" s="147">
        <v>111052505.79161665</v>
      </c>
      <c r="I10" s="147">
        <v>112541226</v>
      </c>
      <c r="J10" s="148">
        <v>1488720.2083833516</v>
      </c>
      <c r="K10" s="148" t="s">
        <v>10</v>
      </c>
      <c r="N10" s="33" t="s">
        <v>111</v>
      </c>
      <c r="O10" s="52">
        <f>STDEVA(I10:I509)</f>
        <v>5377295.7082079751</v>
      </c>
      <c r="P10" s="53">
        <f>STDEVA(H10:H509)</f>
        <v>2075735.4088086055</v>
      </c>
      <c r="Q10" s="54">
        <f>STDEVA(J10:J509)</f>
        <v>5680894.0965560684</v>
      </c>
      <c r="AF10" s="33">
        <v>0.87</v>
      </c>
    </row>
    <row r="11" spans="1:32" ht="15.75" customHeight="1">
      <c r="A11" s="149">
        <v>2</v>
      </c>
      <c r="B11" s="148">
        <v>57030257</v>
      </c>
      <c r="C11" s="147">
        <v>57030257</v>
      </c>
      <c r="D11" s="148">
        <v>25244525.615842327</v>
      </c>
      <c r="E11" s="148">
        <v>42178600.961057529</v>
      </c>
      <c r="F11" s="148">
        <v>25532078.849284895</v>
      </c>
      <c r="G11" s="147">
        <v>15000000</v>
      </c>
      <c r="H11" s="147">
        <v>107955205.42618474</v>
      </c>
      <c r="I11" s="147">
        <v>114060514</v>
      </c>
      <c r="J11" s="147">
        <v>6105308.5738152564</v>
      </c>
      <c r="K11" s="148" t="s">
        <v>10</v>
      </c>
      <c r="M11" s="33" t="s">
        <v>10</v>
      </c>
      <c r="N11" s="69" t="s">
        <v>112</v>
      </c>
      <c r="O11" s="52">
        <f>NORMSINV(0.95)*O10/SQRT(200)</f>
        <v>625426.35597374046</v>
      </c>
      <c r="P11" s="53">
        <f>NORMSINV(0.95)*P10/SQRT(200)</f>
        <v>241426.11884170867</v>
      </c>
      <c r="Q11" s="54">
        <f>NORMSINV(0.95)*Q10/SQRT(200)</f>
        <v>660737.49451020139</v>
      </c>
      <c r="AF11" s="33">
        <v>0.92</v>
      </c>
    </row>
    <row r="12" spans="1:32" ht="15.75" customHeight="1">
      <c r="A12" s="149">
        <v>3</v>
      </c>
      <c r="B12" s="148">
        <v>53646874.5</v>
      </c>
      <c r="C12" s="147">
        <v>53646874.5</v>
      </c>
      <c r="D12" s="148">
        <v>24721383.781766098</v>
      </c>
      <c r="E12" s="148">
        <v>43404249.540544137</v>
      </c>
      <c r="F12" s="147">
        <v>29344474.548856948</v>
      </c>
      <c r="G12" s="147">
        <v>15000000</v>
      </c>
      <c r="H12" s="147">
        <v>112470107.87116718</v>
      </c>
      <c r="I12" s="147">
        <v>107293749</v>
      </c>
      <c r="J12" s="147">
        <v>-5176358.8711671829</v>
      </c>
      <c r="K12" s="148" t="s">
        <v>10</v>
      </c>
      <c r="L12" s="33" t="s">
        <v>10</v>
      </c>
      <c r="M12" s="33" t="s">
        <v>10</v>
      </c>
      <c r="N12" s="33" t="s">
        <v>113</v>
      </c>
      <c r="O12" s="52">
        <f>O9+O11</f>
        <v>113690529.49797374</v>
      </c>
      <c r="P12" s="53">
        <f>P9+P11</f>
        <v>109453108.97918336</v>
      </c>
      <c r="Q12" s="54">
        <f>Q9+Q11</f>
        <v>4514157.7761683688</v>
      </c>
      <c r="AF12" s="33">
        <v>0.97</v>
      </c>
    </row>
    <row r="13" spans="1:32" ht="15.75" customHeight="1">
      <c r="A13" s="149">
        <v>4</v>
      </c>
      <c r="B13" s="148">
        <v>52247407.5</v>
      </c>
      <c r="C13" s="147">
        <v>52247407.5</v>
      </c>
      <c r="D13" s="148">
        <v>25791889.854763653</v>
      </c>
      <c r="E13" s="148">
        <v>41640260.759218924</v>
      </c>
      <c r="F13" s="147">
        <v>25826483.56537284</v>
      </c>
      <c r="G13" s="147">
        <v>15000000</v>
      </c>
      <c r="H13" s="147">
        <v>108258634.17935541</v>
      </c>
      <c r="I13" s="147">
        <v>104494815</v>
      </c>
      <c r="J13" s="147">
        <v>-3763819.1793554127</v>
      </c>
      <c r="K13" s="148" t="s">
        <v>10</v>
      </c>
      <c r="L13" s="67" t="s">
        <v>10</v>
      </c>
      <c r="M13" s="70" t="s">
        <v>10</v>
      </c>
      <c r="N13" s="33" t="s">
        <v>114</v>
      </c>
      <c r="O13" s="52">
        <f>O9-O11</f>
        <v>112439676.78602627</v>
      </c>
      <c r="P13" s="53">
        <f>P9-P11</f>
        <v>108970256.74149995</v>
      </c>
      <c r="Q13" s="54">
        <f>Q9-Q11</f>
        <v>3192682.7871479657</v>
      </c>
      <c r="AF13" s="33">
        <v>1</v>
      </c>
    </row>
    <row r="14" spans="1:32" ht="15.75" customHeight="1">
      <c r="A14" s="149">
        <v>5</v>
      </c>
      <c r="B14" s="148">
        <v>56301433.5</v>
      </c>
      <c r="C14" s="148">
        <v>56301433.5</v>
      </c>
      <c r="D14" s="148">
        <v>23648102.547622077</v>
      </c>
      <c r="E14" s="147">
        <v>43174614.663750783</v>
      </c>
      <c r="F14" s="147">
        <v>25275609.893004749</v>
      </c>
      <c r="G14" s="147">
        <v>15000000</v>
      </c>
      <c r="H14" s="147">
        <v>107098327.10437761</v>
      </c>
      <c r="I14" s="147">
        <v>112602867</v>
      </c>
      <c r="J14" s="147">
        <v>5504539.8956223875</v>
      </c>
      <c r="K14" s="148" t="s">
        <v>10</v>
      </c>
      <c r="L14" s="67" t="s">
        <v>10</v>
      </c>
      <c r="M14" s="70" t="s">
        <v>10</v>
      </c>
      <c r="N14" s="71" t="s">
        <v>115</v>
      </c>
      <c r="O14" s="55">
        <f>SMALL(I10:I509,(1-0.95)*200)</f>
        <v>102226276</v>
      </c>
      <c r="P14" s="56">
        <f>SMALL(H10:H509,(1-0.95)*200)</f>
        <v>105146844.27130938</v>
      </c>
      <c r="Q14" s="57">
        <f>SMALL(J10:J509,(1-0.95)*200)</f>
        <v>-7885478.412075758</v>
      </c>
    </row>
    <row r="15" spans="1:32" ht="15.75" customHeight="1">
      <c r="A15" s="149">
        <v>6</v>
      </c>
      <c r="B15" s="148">
        <v>64061570.5</v>
      </c>
      <c r="C15" s="148">
        <v>64061570.5</v>
      </c>
      <c r="D15" s="148">
        <v>26061850.383332059</v>
      </c>
      <c r="E15" s="147">
        <v>41446039.023786187</v>
      </c>
      <c r="F15" s="147">
        <v>27007295.733819343</v>
      </c>
      <c r="G15" s="147">
        <v>15000000</v>
      </c>
      <c r="H15" s="147">
        <v>109515185.1409376</v>
      </c>
      <c r="I15" s="147">
        <v>128123141</v>
      </c>
      <c r="J15" s="147">
        <v>18607955.859062403</v>
      </c>
      <c r="K15" s="148" t="s">
        <v>10</v>
      </c>
      <c r="L15" s="67" t="s">
        <v>10</v>
      </c>
      <c r="M15" s="70" t="s">
        <v>10</v>
      </c>
      <c r="N15" s="33" t="s">
        <v>118</v>
      </c>
      <c r="Q15" s="51">
        <f>COUNTIF(J10:J509,"&gt; 0")/500</f>
        <v>0.754</v>
      </c>
    </row>
    <row r="16" spans="1:32" ht="15.75" customHeight="1">
      <c r="A16" s="149">
        <v>7</v>
      </c>
      <c r="B16" s="148">
        <v>56495078.5</v>
      </c>
      <c r="C16" s="148">
        <v>56495078.5</v>
      </c>
      <c r="D16" s="148">
        <v>23631323.324561488</v>
      </c>
      <c r="E16" s="147">
        <v>43121068.823257066</v>
      </c>
      <c r="F16" s="147">
        <v>28781013.456188165</v>
      </c>
      <c r="G16" s="147">
        <v>15000000</v>
      </c>
      <c r="H16" s="147">
        <v>110533405.60400671</v>
      </c>
      <c r="I16" s="147">
        <v>112990157</v>
      </c>
      <c r="J16" s="147">
        <v>2456751.3959932923</v>
      </c>
      <c r="K16" s="148" t="s">
        <v>10</v>
      </c>
      <c r="L16" s="67" t="s">
        <v>10</v>
      </c>
      <c r="M16" s="70" t="s">
        <v>10</v>
      </c>
    </row>
    <row r="17" spans="1:30" ht="15.75" customHeight="1">
      <c r="A17" s="149">
        <v>8</v>
      </c>
      <c r="B17" s="148">
        <v>55621613.5</v>
      </c>
      <c r="C17" s="148">
        <v>55621613.5</v>
      </c>
      <c r="D17" s="148">
        <v>22833552.941278812</v>
      </c>
      <c r="E17" s="147">
        <v>41963734.19784344</v>
      </c>
      <c r="F17" s="147">
        <v>27253052.064155113</v>
      </c>
      <c r="G17" s="147">
        <v>15000000</v>
      </c>
      <c r="H17" s="147">
        <v>107050339.20327736</v>
      </c>
      <c r="I17" s="147">
        <v>111243227</v>
      </c>
      <c r="J17" s="147">
        <v>4192887.7967226356</v>
      </c>
      <c r="K17" s="148" t="s">
        <v>10</v>
      </c>
      <c r="L17" s="67" t="s">
        <v>10</v>
      </c>
      <c r="O17" s="72" t="s">
        <v>10</v>
      </c>
      <c r="P17" s="70" t="s">
        <v>10</v>
      </c>
    </row>
    <row r="18" spans="1:30" ht="15.75" customHeight="1">
      <c r="A18" s="149">
        <v>9</v>
      </c>
      <c r="B18" s="148">
        <v>56625827</v>
      </c>
      <c r="C18" s="148">
        <v>56625827</v>
      </c>
      <c r="D18" s="147">
        <v>24446461.13200802</v>
      </c>
      <c r="E18" s="147">
        <v>42577941.733606793</v>
      </c>
      <c r="F18" s="147">
        <v>27672716.454164639</v>
      </c>
      <c r="G18" s="147">
        <v>15000000</v>
      </c>
      <c r="H18" s="147">
        <v>109697119.31977946</v>
      </c>
      <c r="I18" s="147">
        <v>113251654</v>
      </c>
      <c r="J18" s="147">
        <v>3554534.6802205443</v>
      </c>
      <c r="K18" s="148" t="s">
        <v>10</v>
      </c>
      <c r="L18" s="67" t="s">
        <v>10</v>
      </c>
      <c r="M18" s="33" t="s">
        <v>10</v>
      </c>
      <c r="N18" s="67" t="s">
        <v>10</v>
      </c>
      <c r="O18" s="72" t="s">
        <v>10</v>
      </c>
      <c r="P18" s="70" t="s">
        <v>10</v>
      </c>
    </row>
    <row r="19" spans="1:30" ht="15.75" customHeight="1">
      <c r="A19" s="149">
        <v>10</v>
      </c>
      <c r="B19" s="148">
        <v>56203795</v>
      </c>
      <c r="C19" s="148">
        <v>56203795</v>
      </c>
      <c r="D19" s="147">
        <v>22572928.453986485</v>
      </c>
      <c r="E19" s="147">
        <v>41838862.430655941</v>
      </c>
      <c r="F19" s="147">
        <v>30869804.334873058</v>
      </c>
      <c r="G19" s="147">
        <v>15000000</v>
      </c>
      <c r="H19" s="147">
        <v>110281595.21951547</v>
      </c>
      <c r="I19" s="147">
        <v>112407590</v>
      </c>
      <c r="J19" s="147">
        <v>2125994.7804845273</v>
      </c>
      <c r="K19" s="148" t="s">
        <v>10</v>
      </c>
      <c r="L19" s="67" t="s">
        <v>10</v>
      </c>
      <c r="N19" s="108" t="s">
        <v>121</v>
      </c>
      <c r="O19" s="107">
        <f>AVERAGE(O25:O224)</f>
        <v>10293335.323102277</v>
      </c>
      <c r="P19" s="107">
        <f t="shared" ref="P19:U19" si="3">AVERAGE(P25:P224)</f>
        <v>7938919.6847249391</v>
      </c>
      <c r="Q19" s="107">
        <f t="shared" si="3"/>
        <v>5734658.853966523</v>
      </c>
      <c r="R19" s="107">
        <f t="shared" si="3"/>
        <v>3945419.579021113</v>
      </c>
      <c r="S19" s="107">
        <f t="shared" si="3"/>
        <v>2257778.4496158487</v>
      </c>
      <c r="T19" s="107">
        <f t="shared" si="3"/>
        <v>-210282.99987175746</v>
      </c>
      <c r="U19" s="107">
        <f t="shared" si="3"/>
        <v>-1728745.7162432384</v>
      </c>
    </row>
    <row r="20" spans="1:30" ht="15.75" customHeight="1">
      <c r="A20" s="149">
        <v>11</v>
      </c>
      <c r="B20" s="148">
        <v>55744655.5</v>
      </c>
      <c r="C20" s="148">
        <v>55744655.5</v>
      </c>
      <c r="D20" s="147">
        <v>24176500.60343961</v>
      </c>
      <c r="E20" s="147">
        <v>42977786.139545359</v>
      </c>
      <c r="F20" s="147">
        <v>27409933.788586106</v>
      </c>
      <c r="G20" s="147">
        <v>15000000</v>
      </c>
      <c r="H20" s="147">
        <v>109564220.53157108</v>
      </c>
      <c r="I20" s="147">
        <v>111489311</v>
      </c>
      <c r="J20" s="147">
        <v>1925090.4684289247</v>
      </c>
      <c r="K20" s="148" t="s">
        <v>10</v>
      </c>
      <c r="L20" s="67" t="s">
        <v>10</v>
      </c>
      <c r="N20" s="67" t="s">
        <v>10</v>
      </c>
      <c r="O20" s="72" t="s">
        <v>10</v>
      </c>
      <c r="P20" s="70" t="s">
        <v>10</v>
      </c>
      <c r="R20" s="33" t="s">
        <v>10</v>
      </c>
    </row>
    <row r="21" spans="1:30" ht="15.75" customHeight="1">
      <c r="A21" s="149">
        <v>12</v>
      </c>
      <c r="B21" s="148">
        <v>56535880</v>
      </c>
      <c r="C21" s="148">
        <v>56535880</v>
      </c>
      <c r="D21" s="147">
        <v>24299222.61502545</v>
      </c>
      <c r="E21" s="147">
        <v>41697017.142895631</v>
      </c>
      <c r="F21" s="147">
        <v>28409413.112680949</v>
      </c>
      <c r="G21" s="147">
        <v>15000000</v>
      </c>
      <c r="H21" s="147">
        <v>109405652.87060204</v>
      </c>
      <c r="I21" s="147">
        <v>113071760</v>
      </c>
      <c r="J21" s="147">
        <v>3666107.1293979585</v>
      </c>
      <c r="K21" s="148" t="s">
        <v>10</v>
      </c>
      <c r="L21" s="67" t="s">
        <v>10</v>
      </c>
      <c r="N21" s="67" t="s">
        <v>10</v>
      </c>
      <c r="P21" s="70" t="s">
        <v>10</v>
      </c>
      <c r="R21" s="33" t="s">
        <v>11</v>
      </c>
    </row>
    <row r="22" spans="1:30" ht="15.75" customHeight="1">
      <c r="A22" s="149">
        <v>13</v>
      </c>
      <c r="B22" s="148">
        <v>55361981</v>
      </c>
      <c r="C22" s="148">
        <v>55361981</v>
      </c>
      <c r="D22" s="147">
        <v>25661430.560841676</v>
      </c>
      <c r="E22" s="147">
        <v>42759135.883034013</v>
      </c>
      <c r="F22" s="147">
        <v>25213346.749846194</v>
      </c>
      <c r="G22" s="147">
        <v>15000000</v>
      </c>
      <c r="H22" s="147">
        <v>108633913.19372188</v>
      </c>
      <c r="I22" s="147">
        <v>110723962</v>
      </c>
      <c r="J22" s="147">
        <v>2090048.8062781245</v>
      </c>
      <c r="K22" s="148" t="s">
        <v>10</v>
      </c>
      <c r="L22" s="67" t="s">
        <v>10</v>
      </c>
      <c r="N22" s="33" t="s">
        <v>10</v>
      </c>
      <c r="O22" s="205" t="s">
        <v>133</v>
      </c>
      <c r="P22" s="205"/>
      <c r="Q22" s="205"/>
      <c r="R22" s="205"/>
      <c r="S22" s="205"/>
      <c r="T22" s="205"/>
      <c r="U22" s="205"/>
    </row>
    <row r="23" spans="1:30" ht="15.75" customHeight="1">
      <c r="A23" s="149">
        <v>14</v>
      </c>
      <c r="B23" s="148">
        <v>56720815</v>
      </c>
      <c r="C23" s="148">
        <v>56720815</v>
      </c>
      <c r="D23" s="147">
        <v>25116253.281963546</v>
      </c>
      <c r="E23" s="147">
        <v>43679794.398450874</v>
      </c>
      <c r="F23" s="147">
        <v>28031959.276467662</v>
      </c>
      <c r="G23" s="147">
        <v>15000000</v>
      </c>
      <c r="H23" s="147">
        <v>111828006.95688209</v>
      </c>
      <c r="I23" s="147">
        <v>113441630</v>
      </c>
      <c r="J23" s="147">
        <v>1613623.0431179106</v>
      </c>
      <c r="K23" s="148" t="s">
        <v>10</v>
      </c>
      <c r="L23" s="67" t="s">
        <v>10</v>
      </c>
      <c r="N23" s="101" t="s">
        <v>10</v>
      </c>
      <c r="O23" s="103">
        <v>-0.15</v>
      </c>
      <c r="P23" s="103">
        <v>-0.1</v>
      </c>
      <c r="Q23" s="103">
        <v>-0.05</v>
      </c>
      <c r="R23" s="103">
        <v>0</v>
      </c>
      <c r="S23" s="103">
        <v>0.05</v>
      </c>
      <c r="T23" s="103">
        <v>0.1</v>
      </c>
      <c r="U23" s="103">
        <v>0.15</v>
      </c>
      <c r="V23" s="95"/>
    </row>
    <row r="24" spans="1:30" ht="15.75" customHeight="1">
      <c r="A24" s="149">
        <v>15</v>
      </c>
      <c r="B24" s="148">
        <v>56531370</v>
      </c>
      <c r="C24" s="148">
        <v>56531370</v>
      </c>
      <c r="D24" s="147">
        <v>24041373.288879588</v>
      </c>
      <c r="E24" s="147">
        <v>43297271.520460665</v>
      </c>
      <c r="F24" s="147">
        <v>24271283.346339662</v>
      </c>
      <c r="G24" s="147">
        <v>15000000</v>
      </c>
      <c r="H24" s="147">
        <v>106609928.15567991</v>
      </c>
      <c r="I24" s="147">
        <v>113062740</v>
      </c>
      <c r="J24" s="147">
        <v>6452811.8443200886</v>
      </c>
      <c r="K24" s="148" t="s">
        <v>10</v>
      </c>
      <c r="L24" s="67" t="s">
        <v>10</v>
      </c>
      <c r="M24" s="70" t="s">
        <v>134</v>
      </c>
      <c r="N24" s="105">
        <f ca="1">J9</f>
        <v>6887229.3562903702</v>
      </c>
      <c r="O24" s="106">
        <f>$R$24*0.85</f>
        <v>36341606.868500002</v>
      </c>
      <c r="P24" s="106">
        <f>$R$24*0.9</f>
        <v>38479348.449000001</v>
      </c>
      <c r="Q24" s="106">
        <f>$R$24*0.95</f>
        <v>40617090.0295</v>
      </c>
      <c r="R24" s="106">
        <v>42754831.609999999</v>
      </c>
      <c r="S24" s="106">
        <f>$R$24*1.05</f>
        <v>44892573.190499999</v>
      </c>
      <c r="T24" s="106">
        <f>$R$24*1.1</f>
        <v>47030314.771000005</v>
      </c>
      <c r="U24" s="106">
        <f>$R$24*1.15</f>
        <v>49168056.351499997</v>
      </c>
      <c r="X24" s="48" t="s">
        <v>139</v>
      </c>
      <c r="Y24" s="127"/>
      <c r="Z24" s="127"/>
      <c r="AB24" s="174" t="s">
        <v>148</v>
      </c>
      <c r="AC24" s="174" t="s">
        <v>139</v>
      </c>
      <c r="AD24" s="174" t="s">
        <v>149</v>
      </c>
    </row>
    <row r="25" spans="1:30" ht="15.75" customHeight="1">
      <c r="A25" s="149">
        <v>16</v>
      </c>
      <c r="B25" s="148">
        <v>58631959.5</v>
      </c>
      <c r="C25" s="148">
        <v>58631959.5</v>
      </c>
      <c r="D25" s="147">
        <v>24979527.208463594</v>
      </c>
      <c r="E25" s="147">
        <v>43372638.218594328</v>
      </c>
      <c r="F25" s="147">
        <v>26512919.138569724</v>
      </c>
      <c r="G25" s="147">
        <v>15000000</v>
      </c>
      <c r="H25" s="147">
        <v>109865084.56562765</v>
      </c>
      <c r="I25" s="147">
        <v>117263919</v>
      </c>
      <c r="J25" s="147">
        <v>7398834.4343723506</v>
      </c>
      <c r="K25" s="148" t="s">
        <v>10</v>
      </c>
      <c r="L25" s="67" t="s">
        <v>10</v>
      </c>
      <c r="N25" s="102">
        <v>1</v>
      </c>
      <c r="O25" s="104">
        <f t="dataTable" ref="O25:U224" dt2D="1" dtr="1" r1="E9" r2="L29" ca="1"/>
        <v>9599347.8264893591</v>
      </c>
      <c r="P25" s="104">
        <v>7365067.27222009</v>
      </c>
      <c r="Q25" s="104">
        <v>-4436167.3251534998</v>
      </c>
      <c r="R25" s="104">
        <v>7168535.2207427174</v>
      </c>
      <c r="S25" s="104">
        <v>5540885.3030035943</v>
      </c>
      <c r="T25" s="104">
        <v>7617513.7570783198</v>
      </c>
      <c r="U25" s="104">
        <v>-6861393.3878123611</v>
      </c>
      <c r="X25" s="127"/>
      <c r="Y25" s="128">
        <v>-20000000</v>
      </c>
      <c r="Z25" s="127" cm="1">
        <f t="array" ref="Z25:Z36">FREQUENCY(J10:J509,Y25:Y35)</f>
        <v>0</v>
      </c>
      <c r="AB25" s="128">
        <v>-20000000</v>
      </c>
      <c r="AC25" s="48" cm="1">
        <f t="array" ref="AC25:AC51">FREQUENCY(J10:J509,AB25:AB50)</f>
        <v>0</v>
      </c>
      <c r="AD25" s="48">
        <v>-20</v>
      </c>
    </row>
    <row r="26" spans="1:30" ht="15.75" customHeight="1">
      <c r="A26" s="149">
        <v>17</v>
      </c>
      <c r="B26" s="148">
        <v>52870436.5</v>
      </c>
      <c r="C26" s="148">
        <v>52870436.5</v>
      </c>
      <c r="D26" s="147">
        <v>24583775.406611245</v>
      </c>
      <c r="E26" s="147">
        <v>42351917.579611681</v>
      </c>
      <c r="F26" s="147">
        <v>26809285.598720722</v>
      </c>
      <c r="G26" s="147">
        <v>15000000</v>
      </c>
      <c r="H26" s="147">
        <v>108744978.58494365</v>
      </c>
      <c r="I26" s="147">
        <v>105740873</v>
      </c>
      <c r="J26" s="147">
        <v>-3004105.5849436522</v>
      </c>
      <c r="K26" s="148" t="s">
        <v>10</v>
      </c>
      <c r="L26" s="67" t="s">
        <v>10</v>
      </c>
      <c r="N26" s="102">
        <v>2</v>
      </c>
      <c r="O26" s="104">
        <v>22035873.06831333</v>
      </c>
      <c r="P26" s="104">
        <v>10930815.546441734</v>
      </c>
      <c r="Q26" s="104">
        <v>4374746.1636956036</v>
      </c>
      <c r="R26" s="104">
        <v>6816496.7484536469</v>
      </c>
      <c r="S26" s="104">
        <v>-5591950.2286136895</v>
      </c>
      <c r="T26" s="104">
        <v>9219657.3421969265</v>
      </c>
      <c r="U26" s="104">
        <v>-1201497.1125179827</v>
      </c>
      <c r="X26" s="127"/>
      <c r="Y26" s="128">
        <v>-15000000</v>
      </c>
      <c r="Z26" s="127">
        <v>0</v>
      </c>
      <c r="AB26" s="128">
        <v>-18000000</v>
      </c>
      <c r="AC26" s="48">
        <v>0</v>
      </c>
      <c r="AD26" s="48">
        <v>-18</v>
      </c>
    </row>
    <row r="27" spans="1:30" ht="15.75" customHeight="1">
      <c r="A27" s="149">
        <v>18</v>
      </c>
      <c r="B27" s="148">
        <v>50627664</v>
      </c>
      <c r="C27" s="148">
        <v>50627664</v>
      </c>
      <c r="D27" s="147">
        <v>23378436.119605303</v>
      </c>
      <c r="E27" s="147">
        <v>44263458.78745427</v>
      </c>
      <c r="F27" s="147">
        <v>26089929.55476528</v>
      </c>
      <c r="G27" s="147">
        <v>15000000</v>
      </c>
      <c r="H27" s="147">
        <v>108731824.46182486</v>
      </c>
      <c r="I27" s="147">
        <v>101255328</v>
      </c>
      <c r="J27" s="147">
        <v>-7476496.4618248641</v>
      </c>
      <c r="K27" s="148" t="s">
        <v>10</v>
      </c>
      <c r="L27" s="67" t="s">
        <v>10</v>
      </c>
      <c r="N27" s="102">
        <v>3</v>
      </c>
      <c r="O27" s="104">
        <v>12560826.439083695</v>
      </c>
      <c r="P27" s="104">
        <v>13567574.988039076</v>
      </c>
      <c r="Q27" s="104">
        <v>14018003.90181306</v>
      </c>
      <c r="R27" s="104">
        <v>3582308.7907944918</v>
      </c>
      <c r="S27" s="104">
        <v>6897234.7051200122</v>
      </c>
      <c r="T27" s="104">
        <v>-1072602.7635439783</v>
      </c>
      <c r="U27" s="104">
        <v>-4612727.3772387803</v>
      </c>
      <c r="X27" s="127"/>
      <c r="Y27" s="128">
        <v>-10000000</v>
      </c>
      <c r="Z27" s="127">
        <v>1</v>
      </c>
      <c r="AB27" s="128">
        <v>-16000000</v>
      </c>
      <c r="AC27" s="48">
        <v>0</v>
      </c>
      <c r="AD27" s="48">
        <v>-16</v>
      </c>
    </row>
    <row r="28" spans="1:30" ht="15.75" customHeight="1">
      <c r="A28" s="149">
        <v>19</v>
      </c>
      <c r="B28" s="148">
        <v>58943303</v>
      </c>
      <c r="C28" s="148">
        <v>58943303</v>
      </c>
      <c r="D28" s="147">
        <v>23771118.659759548</v>
      </c>
      <c r="E28" s="147">
        <v>42921692.128097147</v>
      </c>
      <c r="F28" s="148">
        <v>27095901.634214837</v>
      </c>
      <c r="G28" s="147">
        <v>15000000</v>
      </c>
      <c r="H28" s="147">
        <v>108788712.42207153</v>
      </c>
      <c r="I28" s="147">
        <v>117886606</v>
      </c>
      <c r="J28" s="147">
        <v>9097893.5779284686</v>
      </c>
      <c r="K28" s="148" t="s">
        <v>10</v>
      </c>
      <c r="L28" s="67" t="s">
        <v>10</v>
      </c>
      <c r="N28" s="102">
        <v>4</v>
      </c>
      <c r="O28" s="104">
        <v>511073.82891306281</v>
      </c>
      <c r="P28" s="104">
        <v>11094920.950889081</v>
      </c>
      <c r="Q28" s="104">
        <v>-4478025.55393897</v>
      </c>
      <c r="R28" s="104">
        <v>6252032.0796669871</v>
      </c>
      <c r="S28" s="104">
        <v>5973205.1171935201</v>
      </c>
      <c r="T28" s="104">
        <v>1808208.8848135173</v>
      </c>
      <c r="U28" s="104">
        <v>-1526519.728878051</v>
      </c>
      <c r="X28" s="127"/>
      <c r="Y28" s="128">
        <v>-5000000</v>
      </c>
      <c r="Z28" s="127">
        <v>31</v>
      </c>
      <c r="AB28" s="128">
        <v>-14000000</v>
      </c>
      <c r="AC28" s="48">
        <v>0</v>
      </c>
      <c r="AD28" s="48">
        <v>-14</v>
      </c>
    </row>
    <row r="29" spans="1:30" ht="15.75" customHeight="1">
      <c r="A29" s="149">
        <v>20</v>
      </c>
      <c r="B29" s="148">
        <v>54520364</v>
      </c>
      <c r="C29" s="148">
        <v>54520364</v>
      </c>
      <c r="D29" s="148">
        <v>23240533.643898811</v>
      </c>
      <c r="E29" s="147">
        <v>42968271.637400873</v>
      </c>
      <c r="F29" s="148">
        <v>28638089.821296666</v>
      </c>
      <c r="G29" s="147">
        <v>15000000</v>
      </c>
      <c r="H29" s="147">
        <v>109846895.10259634</v>
      </c>
      <c r="I29" s="147">
        <v>109040728</v>
      </c>
      <c r="J29" s="147">
        <v>-806167.10259634256</v>
      </c>
      <c r="K29" s="148" t="s">
        <v>10</v>
      </c>
      <c r="L29" s="67"/>
      <c r="N29" s="102">
        <v>5</v>
      </c>
      <c r="O29" s="104">
        <v>11447504.789189607</v>
      </c>
      <c r="P29" s="104">
        <v>1749219.1160529554</v>
      </c>
      <c r="Q29" s="104">
        <v>417466.28623977304</v>
      </c>
      <c r="R29" s="104">
        <v>-834602.6114076376</v>
      </c>
      <c r="S29" s="104">
        <v>5949116.4061656594</v>
      </c>
      <c r="T29" s="104">
        <v>6299181.5338330269</v>
      </c>
      <c r="U29" s="104">
        <v>-15049433.544892669</v>
      </c>
      <c r="X29" s="127"/>
      <c r="Y29" s="128">
        <v>0</v>
      </c>
      <c r="Z29" s="127">
        <v>91</v>
      </c>
      <c r="AB29" s="128">
        <v>-12000000</v>
      </c>
      <c r="AC29" s="48">
        <v>0</v>
      </c>
      <c r="AD29" s="48">
        <v>-12</v>
      </c>
    </row>
    <row r="30" spans="1:30" ht="15.75" customHeight="1">
      <c r="A30" s="149">
        <v>21</v>
      </c>
      <c r="B30" s="148">
        <v>59853641.5</v>
      </c>
      <c r="C30" s="148">
        <v>59853641.5</v>
      </c>
      <c r="D30" s="148">
        <v>22703387.747908466</v>
      </c>
      <c r="E30" s="147">
        <v>43346945.335944191</v>
      </c>
      <c r="F30" s="148">
        <v>30696746.60048778</v>
      </c>
      <c r="G30" s="147">
        <v>15000000</v>
      </c>
      <c r="H30" s="147">
        <v>111747079.68434043</v>
      </c>
      <c r="I30" s="147">
        <v>119707283</v>
      </c>
      <c r="J30" s="147">
        <v>7960203.3156595677</v>
      </c>
      <c r="K30" s="148" t="s">
        <v>10</v>
      </c>
      <c r="L30" s="67" t="s">
        <v>10</v>
      </c>
      <c r="N30" s="102">
        <v>6</v>
      </c>
      <c r="O30" s="104">
        <v>9218858.0550994277</v>
      </c>
      <c r="P30" s="104">
        <v>18476950.808596447</v>
      </c>
      <c r="Q30" s="104">
        <v>10644024.286344945</v>
      </c>
      <c r="R30" s="104">
        <v>-3508676.2898423225</v>
      </c>
      <c r="S30" s="104">
        <v>1192027.7638039291</v>
      </c>
      <c r="T30" s="104">
        <v>-425355.87507416308</v>
      </c>
      <c r="U30" s="104">
        <v>4859464.6387538612</v>
      </c>
      <c r="X30" s="127"/>
      <c r="Y30" s="128">
        <v>5000000</v>
      </c>
      <c r="Z30" s="127">
        <v>166</v>
      </c>
      <c r="AB30" s="128">
        <v>-10000000</v>
      </c>
      <c r="AC30" s="48">
        <v>1</v>
      </c>
      <c r="AD30" s="48">
        <v>-10</v>
      </c>
    </row>
    <row r="31" spans="1:30" ht="15.75" customHeight="1">
      <c r="A31" s="149">
        <v>22</v>
      </c>
      <c r="B31" s="148">
        <v>56578381.5</v>
      </c>
      <c r="C31" s="148">
        <v>56578381.5</v>
      </c>
      <c r="D31" s="148">
        <v>23915876.116147283</v>
      </c>
      <c r="E31" s="147">
        <v>44147599.970902033</v>
      </c>
      <c r="F31" s="148">
        <v>27519585.352358941</v>
      </c>
      <c r="G31" s="147">
        <v>15000000</v>
      </c>
      <c r="H31" s="147">
        <v>110583061.43940826</v>
      </c>
      <c r="I31" s="147">
        <v>113156763</v>
      </c>
      <c r="J31" s="147">
        <v>2573701.5605917424</v>
      </c>
      <c r="K31" s="148" t="s">
        <v>10</v>
      </c>
      <c r="L31" s="67" t="s">
        <v>10</v>
      </c>
      <c r="N31" s="102">
        <v>7</v>
      </c>
      <c r="O31" s="104">
        <v>8793695.7436077297</v>
      </c>
      <c r="P31" s="104">
        <v>12064709.670622975</v>
      </c>
      <c r="Q31" s="104">
        <v>6374841.9162020385</v>
      </c>
      <c r="R31" s="104">
        <v>12528848.626427501</v>
      </c>
      <c r="S31" s="104">
        <v>3752126.8761773705</v>
      </c>
      <c r="T31" s="104">
        <v>-674290.1520113349</v>
      </c>
      <c r="U31" s="104">
        <v>-5083367.8059546947</v>
      </c>
      <c r="X31" s="127"/>
      <c r="Y31" s="128">
        <v>10000000</v>
      </c>
      <c r="Z31" s="127">
        <v>146</v>
      </c>
      <c r="AB31" s="128">
        <v>-8000000</v>
      </c>
      <c r="AC31" s="48">
        <v>8</v>
      </c>
      <c r="AD31" s="48">
        <v>-8</v>
      </c>
    </row>
    <row r="32" spans="1:30" ht="15.75" customHeight="1">
      <c r="A32" s="149">
        <v>23</v>
      </c>
      <c r="B32" s="148">
        <v>60909854</v>
      </c>
      <c r="C32" s="148">
        <v>60909854</v>
      </c>
      <c r="D32" s="148">
        <v>22975535.236520074</v>
      </c>
      <c r="E32" s="147">
        <v>42308045.628868446</v>
      </c>
      <c r="F32" s="147">
        <v>27174676.236573257</v>
      </c>
      <c r="G32" s="147">
        <v>15000000</v>
      </c>
      <c r="H32" s="147">
        <v>107458257.10196178</v>
      </c>
      <c r="I32" s="147">
        <v>121819708</v>
      </c>
      <c r="J32" s="147">
        <v>14361450.898038223</v>
      </c>
      <c r="K32" s="148" t="s">
        <v>10</v>
      </c>
      <c r="L32" s="67" t="s">
        <v>10</v>
      </c>
      <c r="N32" s="102">
        <v>8</v>
      </c>
      <c r="O32" s="104">
        <v>16252552.589078262</v>
      </c>
      <c r="P32" s="104">
        <v>9005531.2576645017</v>
      </c>
      <c r="Q32" s="104">
        <v>7190286.1130853444</v>
      </c>
      <c r="R32" s="104">
        <v>-9185031.1086741686</v>
      </c>
      <c r="S32" s="104">
        <v>6575696.4459831715</v>
      </c>
      <c r="T32" s="104">
        <v>-2054526.5758482516</v>
      </c>
      <c r="U32" s="104">
        <v>6022579.4683111608</v>
      </c>
      <c r="X32" s="127"/>
      <c r="Y32" s="128">
        <v>15000000</v>
      </c>
      <c r="Z32" s="127">
        <v>54</v>
      </c>
      <c r="AB32" s="128">
        <v>-6000000</v>
      </c>
      <c r="AC32" s="48">
        <v>16</v>
      </c>
      <c r="AD32" s="48">
        <v>-6</v>
      </c>
    </row>
    <row r="33" spans="1:30" ht="15.75" customHeight="1">
      <c r="A33" s="149">
        <v>24</v>
      </c>
      <c r="B33" s="148">
        <v>57189690.5</v>
      </c>
      <c r="C33" s="148">
        <v>57189690.5</v>
      </c>
      <c r="D33" s="148">
        <v>22980497.357709751</v>
      </c>
      <c r="E33" s="147">
        <v>41857623.950644426</v>
      </c>
      <c r="F33" s="147">
        <v>26378100.733392645</v>
      </c>
      <c r="G33" s="147">
        <v>15000000</v>
      </c>
      <c r="H33" s="147">
        <v>106216222.04174682</v>
      </c>
      <c r="I33" s="147">
        <v>114379381</v>
      </c>
      <c r="J33" s="147">
        <v>8163158.958253175</v>
      </c>
      <c r="K33" s="148" t="s">
        <v>10</v>
      </c>
      <c r="L33" s="67" t="s">
        <v>10</v>
      </c>
      <c r="N33" s="102">
        <v>9</v>
      </c>
      <c r="O33" s="104">
        <v>11801345.850590527</v>
      </c>
      <c r="P33" s="104">
        <v>5040816.0619835556</v>
      </c>
      <c r="Q33" s="104">
        <v>11696129.530768648</v>
      </c>
      <c r="R33" s="104">
        <v>6459771.9109757096</v>
      </c>
      <c r="S33" s="104">
        <v>5987938.7750944495</v>
      </c>
      <c r="T33" s="104">
        <v>-7138260.9497937709</v>
      </c>
      <c r="U33" s="104">
        <v>-6331913.8581985533</v>
      </c>
      <c r="X33" s="127"/>
      <c r="Y33" s="128">
        <v>20000000</v>
      </c>
      <c r="Z33" s="127">
        <v>8</v>
      </c>
      <c r="AB33" s="128">
        <v>-4000000</v>
      </c>
      <c r="AC33" s="48">
        <v>18</v>
      </c>
      <c r="AD33" s="48">
        <v>-4</v>
      </c>
    </row>
    <row r="34" spans="1:30" ht="15.75" customHeight="1">
      <c r="A34" s="149">
        <v>25</v>
      </c>
      <c r="B34" s="148">
        <v>54613986.5</v>
      </c>
      <c r="C34" s="148">
        <v>54613986.5</v>
      </c>
      <c r="D34" s="148">
        <v>25386507.91108359</v>
      </c>
      <c r="E34" s="147">
        <v>43645243.76037015</v>
      </c>
      <c r="F34" s="147">
        <v>25821922.475805279</v>
      </c>
      <c r="G34" s="147">
        <v>15000000</v>
      </c>
      <c r="H34" s="147">
        <v>109853674.14725903</v>
      </c>
      <c r="I34" s="147">
        <v>109227973</v>
      </c>
      <c r="J34" s="147">
        <v>-625701.14725902677</v>
      </c>
      <c r="K34" s="148" t="s">
        <v>10</v>
      </c>
      <c r="N34" s="102">
        <v>10</v>
      </c>
      <c r="O34" s="104">
        <v>9076582.0499814004</v>
      </c>
      <c r="P34" s="104">
        <v>13455627.677485377</v>
      </c>
      <c r="Q34" s="104">
        <v>4140152.1307190955</v>
      </c>
      <c r="R34" s="104">
        <v>-6156376.4547765553</v>
      </c>
      <c r="S34" s="104">
        <v>-4851630.4752119482</v>
      </c>
      <c r="T34" s="104">
        <v>-2102944.3031498641</v>
      </c>
      <c r="U34" s="104">
        <v>432163.19421330094</v>
      </c>
      <c r="X34" s="127"/>
      <c r="Y34" s="128">
        <v>25000000</v>
      </c>
      <c r="Z34" s="127">
        <v>3</v>
      </c>
      <c r="AB34" s="128">
        <v>-2000000</v>
      </c>
      <c r="AC34" s="48">
        <v>35</v>
      </c>
      <c r="AD34" s="48">
        <v>-2</v>
      </c>
    </row>
    <row r="35" spans="1:30" ht="15.75" customHeight="1">
      <c r="A35" s="149">
        <v>26</v>
      </c>
      <c r="B35" s="148">
        <v>57297982</v>
      </c>
      <c r="C35" s="148">
        <v>57297982</v>
      </c>
      <c r="D35" s="148">
        <v>26577549.035623781</v>
      </c>
      <c r="E35" s="147">
        <v>41378730.352885589</v>
      </c>
      <c r="F35" s="147">
        <v>26700064.234263472</v>
      </c>
      <c r="G35" s="147">
        <v>15000000</v>
      </c>
      <c r="H35" s="147">
        <v>109656343.62277284</v>
      </c>
      <c r="I35" s="147">
        <v>114595964</v>
      </c>
      <c r="J35" s="147">
        <v>4939620.3772271574</v>
      </c>
      <c r="K35" s="148" t="s">
        <v>10</v>
      </c>
      <c r="L35" s="70" t="s">
        <v>10</v>
      </c>
      <c r="M35" s="33" t="s">
        <v>10</v>
      </c>
      <c r="N35" s="102">
        <v>11</v>
      </c>
      <c r="O35" s="104">
        <v>8981818.9482606351</v>
      </c>
      <c r="P35" s="104">
        <v>10444705.850016862</v>
      </c>
      <c r="Q35" s="104">
        <v>8019903.9666182697</v>
      </c>
      <c r="R35" s="104">
        <v>3611137.9420150369</v>
      </c>
      <c r="S35" s="104">
        <v>4385198.1813589633</v>
      </c>
      <c r="T35" s="104">
        <v>-184830.24929440022</v>
      </c>
      <c r="U35" s="104">
        <v>1882472.7194331437</v>
      </c>
      <c r="X35" s="127"/>
      <c r="Y35" s="128">
        <v>30000000</v>
      </c>
      <c r="Z35" s="127">
        <v>0</v>
      </c>
      <c r="AB35" s="128">
        <v>0</v>
      </c>
      <c r="AC35" s="48">
        <v>45</v>
      </c>
      <c r="AD35" s="48">
        <v>0</v>
      </c>
    </row>
    <row r="36" spans="1:30" ht="15.75" customHeight="1">
      <c r="A36" s="149">
        <v>27</v>
      </c>
      <c r="B36" s="148">
        <v>57052864</v>
      </c>
      <c r="C36" s="148">
        <v>57052864</v>
      </c>
      <c r="D36" s="148">
        <v>22032713.296298034</v>
      </c>
      <c r="E36" s="147">
        <v>42107375.608904019</v>
      </c>
      <c r="F36" s="147">
        <v>26006755.36610733</v>
      </c>
      <c r="G36" s="147">
        <v>15000000</v>
      </c>
      <c r="H36" s="147">
        <v>105146844.27130938</v>
      </c>
      <c r="I36" s="147">
        <v>114105728</v>
      </c>
      <c r="J36" s="147">
        <v>8958883.7286906242</v>
      </c>
      <c r="K36" s="148" t="s">
        <v>10</v>
      </c>
      <c r="M36" s="33" t="s">
        <v>10</v>
      </c>
      <c r="N36" s="102">
        <v>12</v>
      </c>
      <c r="O36" s="104">
        <v>20978266.831472963</v>
      </c>
      <c r="P36" s="104">
        <v>9988371.6649527401</v>
      </c>
      <c r="Q36" s="104">
        <v>3090930.9040345401</v>
      </c>
      <c r="R36" s="104">
        <v>4580388.2683328688</v>
      </c>
      <c r="S36" s="104">
        <v>1009013.2943670452</v>
      </c>
      <c r="T36" s="104">
        <v>-2819224.0276069343</v>
      </c>
      <c r="U36" s="104">
        <v>6080627.3145760298</v>
      </c>
      <c r="X36" s="127"/>
      <c r="Y36" s="127"/>
      <c r="Z36" s="127">
        <v>0</v>
      </c>
      <c r="AB36" s="128">
        <v>2000000</v>
      </c>
      <c r="AC36" s="48">
        <v>63</v>
      </c>
      <c r="AD36" s="48">
        <v>2</v>
      </c>
    </row>
    <row r="37" spans="1:30" ht="15.75" customHeight="1">
      <c r="A37" s="149">
        <v>28</v>
      </c>
      <c r="B37" s="148">
        <v>53895606.5</v>
      </c>
      <c r="C37" s="148">
        <v>53895606.5</v>
      </c>
      <c r="D37" s="148">
        <v>24576920.425930001</v>
      </c>
      <c r="E37" s="147">
        <v>43344723.956815086</v>
      </c>
      <c r="F37" s="147">
        <v>26258662.479267273</v>
      </c>
      <c r="G37" s="148">
        <v>15000000</v>
      </c>
      <c r="H37" s="148">
        <v>109180306.86201236</v>
      </c>
      <c r="I37" s="148">
        <v>107791213</v>
      </c>
      <c r="J37" s="147">
        <v>-1389093.8620123565</v>
      </c>
      <c r="K37" s="148"/>
      <c r="N37" s="102">
        <v>13</v>
      </c>
      <c r="O37" s="104">
        <v>13141280.011853933</v>
      </c>
      <c r="P37" s="104">
        <v>6397673.2957750857</v>
      </c>
      <c r="Q37" s="104">
        <v>-281744.91334064305</v>
      </c>
      <c r="R37" s="104">
        <v>-7959352.4945588559</v>
      </c>
      <c r="S37" s="104">
        <v>3062916.7767257094</v>
      </c>
      <c r="T37" s="104">
        <v>1855969.7808957696</v>
      </c>
      <c r="U37" s="104">
        <v>-1500766.4216241539</v>
      </c>
      <c r="AB37" s="128">
        <v>4000000</v>
      </c>
      <c r="AC37" s="48">
        <v>70</v>
      </c>
      <c r="AD37" s="48">
        <v>4</v>
      </c>
    </row>
    <row r="38" spans="1:30" ht="15.75" customHeight="1">
      <c r="A38" s="149">
        <v>29</v>
      </c>
      <c r="B38" s="148">
        <v>59251119.5</v>
      </c>
      <c r="C38" s="148">
        <v>59251119.5</v>
      </c>
      <c r="D38" s="148">
        <v>22838515.062468488</v>
      </c>
      <c r="E38" s="147">
        <v>42860075.28509973</v>
      </c>
      <c r="F38" s="147">
        <v>27323270.988705706</v>
      </c>
      <c r="G38" s="148">
        <v>15000000</v>
      </c>
      <c r="H38" s="148">
        <v>108021861.33627392</v>
      </c>
      <c r="I38" s="148">
        <v>118502239</v>
      </c>
      <c r="J38" s="147">
        <v>10480377.663726076</v>
      </c>
      <c r="K38" s="148"/>
      <c r="N38" s="102">
        <v>14</v>
      </c>
      <c r="O38" s="104">
        <v>10740284.929285482</v>
      </c>
      <c r="P38" s="104">
        <v>4873612.2210873216</v>
      </c>
      <c r="Q38" s="104">
        <v>-1000332.7741508931</v>
      </c>
      <c r="R38" s="104">
        <v>8019622.3336039782</v>
      </c>
      <c r="S38" s="104">
        <v>-4004157.2880007774</v>
      </c>
      <c r="T38" s="104">
        <v>-6197963.9382916987</v>
      </c>
      <c r="U38" s="104">
        <v>-1226000.0207134783</v>
      </c>
      <c r="AB38" s="128">
        <v>6000000</v>
      </c>
      <c r="AC38" s="48">
        <v>67</v>
      </c>
      <c r="AD38" s="48">
        <v>6</v>
      </c>
    </row>
    <row r="39" spans="1:30" ht="15.75" customHeight="1">
      <c r="A39" s="149">
        <v>30</v>
      </c>
      <c r="B39" s="148">
        <v>54906723</v>
      </c>
      <c r="C39" s="148">
        <v>54906723</v>
      </c>
      <c r="D39" s="148">
        <v>25256342.717713244</v>
      </c>
      <c r="E39" s="147">
        <v>41852963.551522888</v>
      </c>
      <c r="F39" s="147">
        <v>28203377.020691965</v>
      </c>
      <c r="G39" s="148">
        <v>15000000</v>
      </c>
      <c r="H39" s="148">
        <v>110312683.28992809</v>
      </c>
      <c r="I39" s="148">
        <v>109813446</v>
      </c>
      <c r="J39" s="148">
        <v>-499237.28992809355</v>
      </c>
      <c r="K39" s="148"/>
      <c r="N39" s="102">
        <v>15</v>
      </c>
      <c r="O39" s="104">
        <v>-1181143.0924847424</v>
      </c>
      <c r="P39" s="104">
        <v>9416086.0713963062</v>
      </c>
      <c r="Q39" s="104">
        <v>3359042.3730851412</v>
      </c>
      <c r="R39" s="104">
        <v>-2587722.2824657708</v>
      </c>
      <c r="S39" s="104">
        <v>874731.16387374699</v>
      </c>
      <c r="T39" s="104">
        <v>-15459487.738535151</v>
      </c>
      <c r="U39" s="104">
        <v>-2005364.6138734519</v>
      </c>
      <c r="AB39" s="128">
        <v>8000000</v>
      </c>
      <c r="AC39" s="48">
        <v>50</v>
      </c>
      <c r="AD39" s="48">
        <v>8</v>
      </c>
    </row>
    <row r="40" spans="1:30" ht="15.75" customHeight="1">
      <c r="A40" s="149">
        <v>31</v>
      </c>
      <c r="B40" s="148">
        <v>58471956</v>
      </c>
      <c r="C40" s="148">
        <v>58471956</v>
      </c>
      <c r="D40" s="148">
        <v>25649319.35841912</v>
      </c>
      <c r="E40" s="147">
        <v>43829954.140149198</v>
      </c>
      <c r="F40" s="147">
        <v>27180859.21542884</v>
      </c>
      <c r="G40" s="148">
        <v>15000000</v>
      </c>
      <c r="H40" s="148">
        <v>111660132.71399717</v>
      </c>
      <c r="I40" s="148">
        <v>116943912</v>
      </c>
      <c r="J40" s="148">
        <v>5283779.2860028297</v>
      </c>
      <c r="K40" s="148"/>
      <c r="N40" s="102">
        <v>16</v>
      </c>
      <c r="O40" s="104">
        <v>7800429.6738690287</v>
      </c>
      <c r="P40" s="104">
        <v>19274089.619500339</v>
      </c>
      <c r="Q40" s="104">
        <v>7666355.0038158894</v>
      </c>
      <c r="R40" s="104">
        <v>1141532.4683411121</v>
      </c>
      <c r="S40" s="104">
        <v>9811481.8055396229</v>
      </c>
      <c r="T40" s="104">
        <v>-4805216.078307271</v>
      </c>
      <c r="U40" s="104">
        <v>-8176366.0418799371</v>
      </c>
      <c r="AB40" s="128">
        <v>10000000</v>
      </c>
      <c r="AC40" s="48">
        <v>62</v>
      </c>
      <c r="AD40" s="48">
        <v>10</v>
      </c>
    </row>
    <row r="41" spans="1:30" ht="15.75" customHeight="1">
      <c r="A41" s="149">
        <v>32</v>
      </c>
      <c r="B41" s="148">
        <v>60131203.5</v>
      </c>
      <c r="C41" s="148">
        <v>60131203.5</v>
      </c>
      <c r="D41" s="148">
        <v>25518860.064497139</v>
      </c>
      <c r="E41" s="147">
        <v>43134856.063542396</v>
      </c>
      <c r="F41" s="147">
        <v>27669836.363706194</v>
      </c>
      <c r="G41" s="148">
        <v>15000000</v>
      </c>
      <c r="H41" s="148">
        <v>111323552.49174574</v>
      </c>
      <c r="I41" s="148">
        <v>120262407</v>
      </c>
      <c r="J41" s="148">
        <v>8938854.5082542598</v>
      </c>
      <c r="K41" s="148"/>
      <c r="N41" s="102">
        <v>17</v>
      </c>
      <c r="O41" s="104">
        <v>13327629.162191436</v>
      </c>
      <c r="P41" s="104">
        <v>6502123.8598036915</v>
      </c>
      <c r="Q41" s="104">
        <v>13806552.890798181</v>
      </c>
      <c r="R41" s="104">
        <v>-5538930.0318226218</v>
      </c>
      <c r="S41" s="104">
        <v>-3861573.3045369983</v>
      </c>
      <c r="T41" s="104">
        <v>4765813.5365989804</v>
      </c>
      <c r="U41" s="104">
        <v>3947933.3896561265</v>
      </c>
      <c r="AB41" s="128">
        <v>12000000</v>
      </c>
      <c r="AC41" s="48">
        <v>31</v>
      </c>
      <c r="AD41" s="48">
        <v>12</v>
      </c>
    </row>
    <row r="42" spans="1:30" ht="15.75" customHeight="1">
      <c r="A42" s="149">
        <v>33</v>
      </c>
      <c r="B42" s="148">
        <v>57583549.5</v>
      </c>
      <c r="C42" s="148">
        <v>57583549.5</v>
      </c>
      <c r="D42" s="148">
        <v>22040156.478082545</v>
      </c>
      <c r="E42" s="148">
        <v>42989113.577947408</v>
      </c>
      <c r="F42" s="147">
        <v>27542448.789175458</v>
      </c>
      <c r="G42" s="148">
        <v>15000000</v>
      </c>
      <c r="H42" s="148">
        <v>107571718.84520541</v>
      </c>
      <c r="I42" s="148">
        <v>115167099</v>
      </c>
      <c r="J42" s="148">
        <v>7595380.1547945887</v>
      </c>
      <c r="K42" s="148"/>
      <c r="N42" s="102">
        <v>18</v>
      </c>
      <c r="O42" s="104">
        <v>8725905.0669114143</v>
      </c>
      <c r="P42" s="104">
        <v>12755255.092522994</v>
      </c>
      <c r="Q42" s="104">
        <v>8222101.7342613935</v>
      </c>
      <c r="R42" s="104">
        <v>8842758.2996824682</v>
      </c>
      <c r="S42" s="104">
        <v>-2308800.5826676488</v>
      </c>
      <c r="T42" s="104">
        <v>-2222949.3128381073</v>
      </c>
      <c r="U42" s="104">
        <v>-377052.77687674761</v>
      </c>
      <c r="AB42" s="128">
        <v>14000000</v>
      </c>
      <c r="AC42" s="48">
        <v>17</v>
      </c>
      <c r="AD42" s="48">
        <v>14</v>
      </c>
    </row>
    <row r="43" spans="1:30" ht="15.75" customHeight="1">
      <c r="A43" s="149">
        <v>34</v>
      </c>
      <c r="B43" s="148">
        <v>52949898.5</v>
      </c>
      <c r="C43" s="148">
        <v>52949898.5</v>
      </c>
      <c r="D43" s="148">
        <v>24708978.478791915</v>
      </c>
      <c r="E43" s="148">
        <v>42897210.563095137</v>
      </c>
      <c r="F43" s="147">
        <v>29564022.272065077</v>
      </c>
      <c r="G43" s="148">
        <v>15000000</v>
      </c>
      <c r="H43" s="148">
        <v>112170211.31395212</v>
      </c>
      <c r="I43" s="148">
        <v>105899797</v>
      </c>
      <c r="J43" s="148">
        <v>-6270414.3139521182</v>
      </c>
      <c r="K43" s="148"/>
      <c r="N43" s="102">
        <v>19</v>
      </c>
      <c r="O43" s="104">
        <v>8808766.157960251</v>
      </c>
      <c r="P43" s="104">
        <v>8933769.1784321368</v>
      </c>
      <c r="Q43" s="104">
        <v>8097385.1668750793</v>
      </c>
      <c r="R43" s="104">
        <v>-1318749.930929631</v>
      </c>
      <c r="S43" s="104">
        <v>1994377.2251843512</v>
      </c>
      <c r="T43" s="104">
        <v>2153635.020822078</v>
      </c>
      <c r="U43" s="104">
        <v>-1730094.4666336179</v>
      </c>
      <c r="AB43" s="128">
        <v>16000000</v>
      </c>
      <c r="AC43" s="48">
        <v>10</v>
      </c>
      <c r="AD43" s="48">
        <v>16</v>
      </c>
    </row>
    <row r="44" spans="1:30" ht="15.75" customHeight="1">
      <c r="A44" s="149">
        <v>35</v>
      </c>
      <c r="B44" s="148">
        <v>55252352</v>
      </c>
      <c r="C44" s="148">
        <v>55252352</v>
      </c>
      <c r="D44" s="148">
        <v>22845370.043149728</v>
      </c>
      <c r="E44" s="148">
        <v>40906637.338002473</v>
      </c>
      <c r="F44" s="147">
        <v>24713578.386985723</v>
      </c>
      <c r="G44" s="148">
        <v>15000000</v>
      </c>
      <c r="H44" s="148">
        <v>103465585.76813792</v>
      </c>
      <c r="I44" s="148">
        <v>110504704</v>
      </c>
      <c r="J44" s="148">
        <v>7039118.2318620831</v>
      </c>
      <c r="K44" s="148"/>
      <c r="N44" s="102">
        <v>20</v>
      </c>
      <c r="O44" s="104">
        <v>19719060.000263602</v>
      </c>
      <c r="P44" s="104">
        <v>12993028.551890567</v>
      </c>
      <c r="Q44" s="104">
        <v>396012.91224552691</v>
      </c>
      <c r="R44" s="104">
        <v>13633631.38325876</v>
      </c>
      <c r="S44" s="104">
        <v>4266236.2382277399</v>
      </c>
      <c r="T44" s="104">
        <v>-415925.504764691</v>
      </c>
      <c r="U44" s="104">
        <v>-11233975.726835862</v>
      </c>
      <c r="AB44" s="128">
        <v>18000000</v>
      </c>
      <c r="AC44" s="48">
        <v>3</v>
      </c>
      <c r="AD44" s="48">
        <v>18</v>
      </c>
    </row>
    <row r="45" spans="1:30" ht="15.75" customHeight="1">
      <c r="A45" s="149">
        <v>36</v>
      </c>
      <c r="B45" s="148">
        <v>58647302</v>
      </c>
      <c r="C45" s="148">
        <v>58647302</v>
      </c>
      <c r="D45" s="148">
        <v>24721383.781766098</v>
      </c>
      <c r="E45" s="148">
        <v>44377124.16318579</v>
      </c>
      <c r="F45" s="148">
        <v>29645708.768756375</v>
      </c>
      <c r="G45" s="148">
        <v>15000000</v>
      </c>
      <c r="H45" s="148">
        <v>113744216.71370827</v>
      </c>
      <c r="I45" s="148">
        <v>117294604</v>
      </c>
      <c r="J45" s="148">
        <v>3550387.2862917334</v>
      </c>
      <c r="K45" s="148"/>
      <c r="N45" s="102">
        <v>21</v>
      </c>
      <c r="O45" s="104">
        <v>6665049.4153508991</v>
      </c>
      <c r="P45" s="104">
        <v>15676477.812669724</v>
      </c>
      <c r="Q45" s="104">
        <v>9706571.9722179025</v>
      </c>
      <c r="R45" s="104">
        <v>4948498.3574299514</v>
      </c>
      <c r="S45" s="104">
        <v>3505537.5678695142</v>
      </c>
      <c r="T45" s="104">
        <v>9411106.918770507</v>
      </c>
      <c r="U45" s="104">
        <v>-5860403.969614923</v>
      </c>
      <c r="AB45" s="128">
        <v>20000000</v>
      </c>
      <c r="AC45" s="48">
        <v>1</v>
      </c>
      <c r="AD45" s="48">
        <v>20</v>
      </c>
    </row>
    <row r="46" spans="1:30" ht="15.75" customHeight="1">
      <c r="A46" s="149">
        <v>37</v>
      </c>
      <c r="B46" s="148">
        <v>54166212.5</v>
      </c>
      <c r="C46" s="148">
        <v>54166212.5</v>
      </c>
      <c r="D46" s="148">
        <v>23110956.651631732</v>
      </c>
      <c r="E46" s="148">
        <v>43927889.047954179</v>
      </c>
      <c r="F46" s="148">
        <v>26923797.898824885</v>
      </c>
      <c r="G46" s="148">
        <v>15000000</v>
      </c>
      <c r="H46" s="148">
        <v>108962643.5984108</v>
      </c>
      <c r="I46" s="148">
        <v>108332425</v>
      </c>
      <c r="J46" s="148">
        <v>-630218.5984108001</v>
      </c>
      <c r="K46" s="148"/>
      <c r="N46" s="102">
        <v>22</v>
      </c>
      <c r="O46" s="104">
        <v>11293123.663477331</v>
      </c>
      <c r="P46" s="104">
        <v>4033827.9106110632</v>
      </c>
      <c r="Q46" s="104">
        <v>14983315.094037071</v>
      </c>
      <c r="R46" s="104">
        <v>16701690.244514719</v>
      </c>
      <c r="S46" s="104">
        <v>-4967062.7505761981</v>
      </c>
      <c r="T46" s="104">
        <v>6123365.8659583926</v>
      </c>
      <c r="U46" s="104">
        <v>-5915453.984236598</v>
      </c>
      <c r="AB46" s="128">
        <v>22000000</v>
      </c>
      <c r="AC46" s="48">
        <v>0</v>
      </c>
      <c r="AD46" s="48">
        <v>22</v>
      </c>
    </row>
    <row r="47" spans="1:30" ht="15.75" customHeight="1">
      <c r="A47" s="149">
        <v>38</v>
      </c>
      <c r="B47" s="148">
        <v>55991582</v>
      </c>
      <c r="C47" s="148">
        <v>55991582</v>
      </c>
      <c r="D47" s="148">
        <v>23370698.837269161</v>
      </c>
      <c r="E47" s="148">
        <v>42272267.475189507</v>
      </c>
      <c r="F47" s="148">
        <v>25531514.231849246</v>
      </c>
      <c r="G47" s="148">
        <v>15000000</v>
      </c>
      <c r="H47" s="148">
        <v>106174480.54430792</v>
      </c>
      <c r="I47" s="148">
        <v>111983164</v>
      </c>
      <c r="J47" s="148">
        <v>5808683.4556920826</v>
      </c>
      <c r="K47" s="148"/>
      <c r="N47" s="102">
        <v>23</v>
      </c>
      <c r="O47" s="104">
        <v>12325575.654579431</v>
      </c>
      <c r="P47" s="104">
        <v>16345911.840892255</v>
      </c>
      <c r="Q47" s="104">
        <v>5641973.3989300132</v>
      </c>
      <c r="R47" s="104">
        <v>5203543.1990024447</v>
      </c>
      <c r="S47" s="104">
        <v>-4630387.0609405488</v>
      </c>
      <c r="T47" s="104">
        <v>610287.6502494961</v>
      </c>
      <c r="U47" s="104">
        <v>-7953261.4712567329</v>
      </c>
      <c r="AB47" s="128">
        <v>24000000</v>
      </c>
      <c r="AC47" s="48">
        <v>3</v>
      </c>
      <c r="AD47" s="48">
        <v>24</v>
      </c>
    </row>
    <row r="48" spans="1:30" ht="15.75" customHeight="1">
      <c r="A48" s="149">
        <v>39</v>
      </c>
      <c r="B48" s="148">
        <v>57947429.5</v>
      </c>
      <c r="C48" s="148">
        <v>57947429.5</v>
      </c>
      <c r="D48" s="148">
        <v>23233678.663217571</v>
      </c>
      <c r="E48" s="148">
        <v>42531930.522842512</v>
      </c>
      <c r="F48" s="148">
        <v>26427863.478008702</v>
      </c>
      <c r="G48" s="148">
        <v>15000000</v>
      </c>
      <c r="H48" s="148">
        <v>107193472.66406879</v>
      </c>
      <c r="I48" s="148">
        <v>115894859</v>
      </c>
      <c r="J48" s="148">
        <v>8701386.3359312117</v>
      </c>
      <c r="K48" s="148"/>
      <c r="N48" s="102">
        <v>24</v>
      </c>
      <c r="O48" s="104">
        <v>1162312.1755920947</v>
      </c>
      <c r="P48" s="104">
        <v>3610827.5459849983</v>
      </c>
      <c r="Q48" s="104">
        <v>12531115.010807246</v>
      </c>
      <c r="R48" s="104">
        <v>864828.0625962764</v>
      </c>
      <c r="S48" s="104">
        <v>2096086.6730168462</v>
      </c>
      <c r="T48" s="104">
        <v>1593732.9729278386</v>
      </c>
      <c r="U48" s="104">
        <v>-1923384.5174990147</v>
      </c>
      <c r="AB48" s="128">
        <v>26000000</v>
      </c>
      <c r="AC48" s="48">
        <v>0</v>
      </c>
      <c r="AD48" s="48">
        <v>26</v>
      </c>
    </row>
    <row r="49" spans="1:30" ht="15.75" customHeight="1">
      <c r="A49" s="149">
        <v>40</v>
      </c>
      <c r="B49" s="148">
        <v>56790390.5</v>
      </c>
      <c r="C49" s="148">
        <v>56790390.5</v>
      </c>
      <c r="D49" s="148">
        <v>25256636.818264872</v>
      </c>
      <c r="E49" s="148">
        <v>42905984.528016359</v>
      </c>
      <c r="F49" s="148">
        <v>27916665.598388437</v>
      </c>
      <c r="G49" s="148">
        <v>15000000</v>
      </c>
      <c r="H49" s="148">
        <v>111079286.94466966</v>
      </c>
      <c r="I49" s="148">
        <v>113580781</v>
      </c>
      <c r="J49" s="148">
        <v>2501494.0553303361</v>
      </c>
      <c r="K49" s="148"/>
      <c r="N49" s="102">
        <v>25</v>
      </c>
      <c r="O49" s="104">
        <v>9731629.6778934002</v>
      </c>
      <c r="P49" s="104">
        <v>7330833.9759858549</v>
      </c>
      <c r="Q49" s="104">
        <v>10950686.624536633</v>
      </c>
      <c r="R49" s="104">
        <v>3873557.3706490397</v>
      </c>
      <c r="S49" s="104">
        <v>-10957783.549466506</v>
      </c>
      <c r="T49" s="104">
        <v>589819.34632247686</v>
      </c>
      <c r="U49" s="104">
        <v>1778463.1692921817</v>
      </c>
      <c r="AB49" s="128">
        <v>28000000</v>
      </c>
      <c r="AC49" s="48">
        <v>0</v>
      </c>
      <c r="AD49" s="48">
        <v>28</v>
      </c>
    </row>
    <row r="50" spans="1:30" ht="15.75" customHeight="1">
      <c r="A50" s="149">
        <v>41</v>
      </c>
      <c r="B50" s="148">
        <v>53691592.5</v>
      </c>
      <c r="C50" s="148">
        <v>53691592.5</v>
      </c>
      <c r="D50" s="148">
        <v>23235865.62326077</v>
      </c>
      <c r="E50" s="148">
        <v>43493691.296723574</v>
      </c>
      <c r="F50" s="148">
        <v>26959661.108193774</v>
      </c>
      <c r="G50" s="148">
        <v>15000000</v>
      </c>
      <c r="H50" s="148">
        <v>108689218.02817811</v>
      </c>
      <c r="I50" s="148">
        <v>107383185</v>
      </c>
      <c r="J50" s="148">
        <v>-1306033.0281781107</v>
      </c>
      <c r="K50" s="148"/>
      <c r="N50" s="102">
        <v>26</v>
      </c>
      <c r="O50" s="104">
        <v>13062957.177807793</v>
      </c>
      <c r="P50" s="104">
        <v>7829255.0964144468</v>
      </c>
      <c r="Q50" s="104">
        <v>-3871817.8707998991</v>
      </c>
      <c r="R50" s="104">
        <v>5372461.580487743</v>
      </c>
      <c r="S50" s="104">
        <v>4683304.811629504</v>
      </c>
      <c r="T50" s="104">
        <v>8389515.572088182</v>
      </c>
      <c r="U50" s="104">
        <v>-679680.13552683592</v>
      </c>
      <c r="AB50" s="128">
        <v>30000000</v>
      </c>
      <c r="AC50" s="48">
        <v>0</v>
      </c>
      <c r="AD50" s="48">
        <v>30</v>
      </c>
    </row>
    <row r="51" spans="1:30" ht="15.75" customHeight="1">
      <c r="A51" s="149">
        <v>42</v>
      </c>
      <c r="B51" s="148">
        <v>62334051</v>
      </c>
      <c r="C51" s="148">
        <v>62334051</v>
      </c>
      <c r="D51" s="148">
        <v>23915876.116147283</v>
      </c>
      <c r="E51" s="148">
        <v>41763176.768001035</v>
      </c>
      <c r="F51" s="148">
        <v>27204270.825780597</v>
      </c>
      <c r="G51" s="148">
        <v>15000000</v>
      </c>
      <c r="H51" s="148">
        <v>107883323.70992891</v>
      </c>
      <c r="I51" s="148">
        <v>124668102</v>
      </c>
      <c r="J51" s="148">
        <v>16784778.290071085</v>
      </c>
      <c r="K51" s="148"/>
      <c r="N51" s="102">
        <v>27</v>
      </c>
      <c r="O51" s="104">
        <v>5348920.9169577658</v>
      </c>
      <c r="P51" s="104">
        <v>20619011.130712777</v>
      </c>
      <c r="Q51" s="104">
        <v>7321556.0082421005</v>
      </c>
      <c r="R51" s="104">
        <v>12513949.967262477</v>
      </c>
      <c r="S51" s="104">
        <v>1486004.7655338347</v>
      </c>
      <c r="T51" s="104">
        <v>2154853.4357367456</v>
      </c>
      <c r="U51" s="104">
        <v>-2475479.6555431187</v>
      </c>
      <c r="AC51" s="33">
        <v>0</v>
      </c>
    </row>
    <row r="52" spans="1:30" ht="15.75" customHeight="1">
      <c r="A52" s="149">
        <v>43</v>
      </c>
      <c r="B52" s="148">
        <v>51599389</v>
      </c>
      <c r="C52" s="148">
        <v>51599389</v>
      </c>
      <c r="D52" s="148">
        <v>25369728.688023001</v>
      </c>
      <c r="E52" s="148">
        <v>41362500.821894035</v>
      </c>
      <c r="F52" s="148">
        <v>27146470.281204276</v>
      </c>
      <c r="G52" s="148">
        <v>15000000</v>
      </c>
      <c r="H52" s="148">
        <v>108878699.7911213</v>
      </c>
      <c r="I52" s="148">
        <v>103198778</v>
      </c>
      <c r="J52" s="148">
        <v>-5679921.791121304</v>
      </c>
      <c r="K52" s="148"/>
      <c r="N52" s="102">
        <v>28</v>
      </c>
      <c r="O52" s="104">
        <v>9833518.0275863111</v>
      </c>
      <c r="P52" s="104">
        <v>12165517.590375006</v>
      </c>
      <c r="Q52" s="104">
        <v>4890107.6404316723</v>
      </c>
      <c r="R52" s="104">
        <v>6029857.2342716604</v>
      </c>
      <c r="S52" s="104">
        <v>3312983.8751461059</v>
      </c>
      <c r="T52" s="104">
        <v>1394508.5144962072</v>
      </c>
      <c r="U52" s="104">
        <v>2242234.9242035747</v>
      </c>
    </row>
    <row r="53" spans="1:30" ht="15.75" customHeight="1">
      <c r="A53" s="149">
        <v>44</v>
      </c>
      <c r="B53" s="148">
        <v>58813706.5</v>
      </c>
      <c r="C53" s="148">
        <v>58813706.5</v>
      </c>
      <c r="D53" s="148">
        <v>23635991.345199529</v>
      </c>
      <c r="E53" s="148">
        <v>43848587.966401383</v>
      </c>
      <c r="F53" s="148">
        <v>27183593.11572434</v>
      </c>
      <c r="G53" s="148">
        <v>15000000</v>
      </c>
      <c r="H53" s="148">
        <v>109668172.42732525</v>
      </c>
      <c r="I53" s="148">
        <v>117627413</v>
      </c>
      <c r="J53" s="148">
        <v>7959240.5726747513</v>
      </c>
      <c r="K53" s="148"/>
      <c r="N53" s="102">
        <v>29</v>
      </c>
      <c r="O53" s="104">
        <v>2897701.8704607636</v>
      </c>
      <c r="P53" s="104">
        <v>4728457.1913354695</v>
      </c>
      <c r="Q53" s="104">
        <v>2322139.6689683795</v>
      </c>
      <c r="R53" s="104">
        <v>10508091.451464891</v>
      </c>
      <c r="S53" s="104">
        <v>4472778.7394644022</v>
      </c>
      <c r="T53" s="104">
        <v>3639351.7233178467</v>
      </c>
      <c r="U53" s="104">
        <v>-1774333.9201535285</v>
      </c>
      <c r="X53" t="s">
        <v>10</v>
      </c>
    </row>
    <row r="54" spans="1:30" ht="15.75" customHeight="1">
      <c r="A54" s="149">
        <v>45</v>
      </c>
      <c r="B54" s="148">
        <v>55298678.5</v>
      </c>
      <c r="C54" s="148">
        <v>55298678.5</v>
      </c>
      <c r="D54" s="148">
        <v>25924536.108728837</v>
      </c>
      <c r="E54" s="148">
        <v>42768712.580840707</v>
      </c>
      <c r="F54" s="148">
        <v>27801762.853146844</v>
      </c>
      <c r="G54" s="148">
        <v>15000000</v>
      </c>
      <c r="H54" s="148">
        <v>111495011.54271638</v>
      </c>
      <c r="I54" s="148">
        <v>110597357</v>
      </c>
      <c r="J54" s="148">
        <v>-897654.54271638393</v>
      </c>
      <c r="K54" s="148"/>
      <c r="N54" s="102">
        <v>30</v>
      </c>
      <c r="O54" s="104">
        <v>17562036.806754395</v>
      </c>
      <c r="P54" s="104">
        <v>8214527.4510347545</v>
      </c>
      <c r="Q54" s="104">
        <v>10963850.990712255</v>
      </c>
      <c r="R54" s="104">
        <v>-3448481.9643214196</v>
      </c>
      <c r="S54" s="104">
        <v>-5008088.0221553147</v>
      </c>
      <c r="T54" s="104">
        <v>-5588255.6870952845</v>
      </c>
      <c r="U54" s="104">
        <v>-4971791.677025944</v>
      </c>
      <c r="X54" t="s">
        <v>10</v>
      </c>
    </row>
    <row r="55" spans="1:30" ht="13.2">
      <c r="A55" s="149">
        <v>46</v>
      </c>
      <c r="B55" s="148">
        <v>54867995</v>
      </c>
      <c r="C55" s="148">
        <v>54867995</v>
      </c>
      <c r="D55" s="148">
        <v>25786927.733573981</v>
      </c>
      <c r="E55" s="148">
        <v>42583969.327336639</v>
      </c>
      <c r="F55" s="148">
        <v>24157016.053992759</v>
      </c>
      <c r="G55" s="148">
        <v>15000000</v>
      </c>
      <c r="H55" s="148">
        <v>107527913.11490338</v>
      </c>
      <c r="I55" s="148">
        <v>109735990</v>
      </c>
      <c r="J55" s="148">
        <v>2208076.8850966245</v>
      </c>
      <c r="K55" s="148"/>
      <c r="N55" s="102">
        <v>31</v>
      </c>
      <c r="O55" s="104">
        <v>7539427.1872654259</v>
      </c>
      <c r="P55" s="104">
        <v>5809707.0470282286</v>
      </c>
      <c r="Q55" s="104">
        <v>15057295.060335368</v>
      </c>
      <c r="R55" s="104">
        <v>2585305.1673796326</v>
      </c>
      <c r="S55" s="104">
        <v>5809394.5346495509</v>
      </c>
      <c r="T55" s="104">
        <v>-760471.68146166205</v>
      </c>
      <c r="U55" s="104">
        <v>-4596089.985632211</v>
      </c>
      <c r="X55" t="s">
        <v>10</v>
      </c>
    </row>
    <row r="56" spans="1:30" ht="13.2">
      <c r="A56" s="149">
        <v>47</v>
      </c>
      <c r="B56" s="148">
        <v>59878293.5</v>
      </c>
      <c r="C56" s="148">
        <v>59878293.5</v>
      </c>
      <c r="D56" s="148">
        <v>23505826.151829179</v>
      </c>
      <c r="E56" s="148">
        <v>43960977.194994099</v>
      </c>
      <c r="F56" s="148">
        <v>27732423.145201448</v>
      </c>
      <c r="G56" s="148">
        <v>15000000</v>
      </c>
      <c r="H56" s="148">
        <v>110199226.49202472</v>
      </c>
      <c r="I56" s="148">
        <v>119756587</v>
      </c>
      <c r="J56" s="148">
        <v>9557360.5079752803</v>
      </c>
      <c r="K56" s="148"/>
      <c r="N56" s="102">
        <v>32</v>
      </c>
      <c r="O56" s="104">
        <v>14983414.861912489</v>
      </c>
      <c r="P56" s="104">
        <v>9719251.7286704332</v>
      </c>
      <c r="Q56" s="104">
        <v>-8464136.7036629319</v>
      </c>
      <c r="R56" s="104">
        <v>1325952.8399186283</v>
      </c>
      <c r="S56" s="104">
        <v>2077361.9241722971</v>
      </c>
      <c r="T56" s="104">
        <v>11034970.31299302</v>
      </c>
      <c r="U56" s="104">
        <v>2549795.4091003537</v>
      </c>
    </row>
    <row r="57" spans="1:30" ht="13.2">
      <c r="A57" s="149">
        <v>48</v>
      </c>
      <c r="B57" s="148">
        <v>50101126</v>
      </c>
      <c r="C57" s="148">
        <v>50101126</v>
      </c>
      <c r="D57" s="148">
        <v>23769225.80026798</v>
      </c>
      <c r="E57" s="148">
        <v>42396435.776135206</v>
      </c>
      <c r="F57" s="148">
        <v>29669306.225759983</v>
      </c>
      <c r="G57" s="148">
        <v>15000000</v>
      </c>
      <c r="H57" s="148">
        <v>110834967.80216317</v>
      </c>
      <c r="I57" s="148">
        <v>100202252</v>
      </c>
      <c r="J57" s="148">
        <v>-10632715.802163169</v>
      </c>
      <c r="K57" s="148"/>
      <c r="N57" s="102">
        <v>33</v>
      </c>
      <c r="O57" s="104">
        <v>4494354.7831224352</v>
      </c>
      <c r="P57" s="104">
        <v>9882149.7583672106</v>
      </c>
      <c r="Q57" s="104">
        <v>8478723.5569671243</v>
      </c>
      <c r="R57" s="104">
        <v>8607952.1935244203</v>
      </c>
      <c r="S57" s="104">
        <v>9275855.3848071694</v>
      </c>
      <c r="T57" s="104">
        <v>-2567953.3373205662</v>
      </c>
      <c r="U57" s="104">
        <v>-2923243.8960936368</v>
      </c>
    </row>
    <row r="58" spans="1:30" ht="13.2">
      <c r="A58" s="149">
        <v>49</v>
      </c>
      <c r="B58" s="148">
        <v>55187201.5</v>
      </c>
      <c r="C58" s="148">
        <v>55187201.5</v>
      </c>
      <c r="D58" s="148">
        <v>23764263.679078307</v>
      </c>
      <c r="E58" s="148">
        <v>43912368.66883079</v>
      </c>
      <c r="F58" s="148">
        <v>28106514.732156273</v>
      </c>
      <c r="G58" s="148">
        <v>15000000</v>
      </c>
      <c r="H58" s="148">
        <v>110783147.08006537</v>
      </c>
      <c r="I58" s="148">
        <v>110374403</v>
      </c>
      <c r="J58" s="148">
        <v>-408744.08006536961</v>
      </c>
      <c r="K58" s="148"/>
      <c r="N58" s="102">
        <v>34</v>
      </c>
      <c r="O58" s="104">
        <v>19404493.90137057</v>
      </c>
      <c r="P58" s="104">
        <v>13845033.760759965</v>
      </c>
      <c r="Q58" s="104">
        <v>2075450.8307658732</v>
      </c>
      <c r="R58" s="104">
        <v>3588025.6656383872</v>
      </c>
      <c r="S58" s="104">
        <v>-1124728.7251548171</v>
      </c>
      <c r="T58" s="104">
        <v>8915211.8301768303</v>
      </c>
      <c r="U58" s="104">
        <v>-12492725.354059309</v>
      </c>
    </row>
    <row r="59" spans="1:30" ht="13.2">
      <c r="A59" s="149">
        <v>50</v>
      </c>
      <c r="B59" s="148">
        <v>55918422.5</v>
      </c>
      <c r="C59" s="148">
        <v>55918422.5</v>
      </c>
      <c r="D59" s="148">
        <v>25509524.023221061</v>
      </c>
      <c r="E59" s="148">
        <v>43049365.397794753</v>
      </c>
      <c r="F59" s="148">
        <v>30034771.68404834</v>
      </c>
      <c r="G59" s="148">
        <v>15000000</v>
      </c>
      <c r="H59" s="148">
        <v>113593661.10506415</v>
      </c>
      <c r="I59" s="148">
        <v>111836845</v>
      </c>
      <c r="J59" s="148">
        <v>-1756816.1050641537</v>
      </c>
      <c r="K59" s="148"/>
      <c r="N59" s="102">
        <v>35</v>
      </c>
      <c r="O59" s="104">
        <v>15923171.244642407</v>
      </c>
      <c r="P59" s="104">
        <v>10150671.206867084</v>
      </c>
      <c r="Q59" s="104">
        <v>11068297.712343797</v>
      </c>
      <c r="R59" s="104">
        <v>8794970.3517274261</v>
      </c>
      <c r="S59" s="104">
        <v>-3274998.1258680373</v>
      </c>
      <c r="T59" s="104">
        <v>-5871221.3394085467</v>
      </c>
      <c r="U59" s="104">
        <v>-9674786.0862679631</v>
      </c>
    </row>
    <row r="60" spans="1:30" ht="13.2">
      <c r="A60" s="149">
        <v>51</v>
      </c>
      <c r="B60" s="148">
        <v>57024291</v>
      </c>
      <c r="C60" s="148">
        <v>57024291</v>
      </c>
      <c r="D60" s="148">
        <v>23376249.1595621</v>
      </c>
      <c r="E60" s="148">
        <v>42268986.075339474</v>
      </c>
      <c r="F60" s="148">
        <v>23424700.948586024</v>
      </c>
      <c r="G60" s="148">
        <v>15000000</v>
      </c>
      <c r="H60" s="148">
        <v>104069936.18348759</v>
      </c>
      <c r="I60" s="148">
        <v>114048582</v>
      </c>
      <c r="J60" s="148">
        <v>9978645.8165124059</v>
      </c>
      <c r="K60" s="148"/>
      <c r="N60" s="102">
        <v>36</v>
      </c>
      <c r="O60" s="104">
        <v>16746843.201507226</v>
      </c>
      <c r="P60" s="104">
        <v>16627489.331988692</v>
      </c>
      <c r="Q60" s="104">
        <v>5519146.1707915813</v>
      </c>
      <c r="R60" s="104">
        <v>634745.95947179198</v>
      </c>
      <c r="S60" s="104">
        <v>69003.468137472868</v>
      </c>
      <c r="T60" s="104">
        <v>-6751332.9509229958</v>
      </c>
      <c r="U60" s="104">
        <v>1944638.4692829698</v>
      </c>
    </row>
    <row r="61" spans="1:30" ht="13.2">
      <c r="A61" s="149">
        <v>52</v>
      </c>
      <c r="B61" s="148">
        <v>53831130.5</v>
      </c>
      <c r="C61" s="148">
        <v>53831130.5</v>
      </c>
      <c r="D61" s="148">
        <v>25531265.367471322</v>
      </c>
      <c r="E61" s="148">
        <v>40929426.541933745</v>
      </c>
      <c r="F61" s="148">
        <v>26521415.085306142</v>
      </c>
      <c r="G61" s="148">
        <v>15000000</v>
      </c>
      <c r="H61" s="148">
        <v>107982106.99471121</v>
      </c>
      <c r="I61" s="148">
        <v>107662261</v>
      </c>
      <c r="J61" s="148">
        <v>-319845.99471120536</v>
      </c>
      <c r="K61" s="148"/>
      <c r="N61" s="102">
        <v>37</v>
      </c>
      <c r="O61" s="104">
        <v>5448628.8038971722</v>
      </c>
      <c r="P61" s="104">
        <v>10041989.360484421</v>
      </c>
      <c r="Q61" s="104">
        <v>7505228.3853426129</v>
      </c>
      <c r="R61" s="104">
        <v>-6291150.4361331016</v>
      </c>
      <c r="S61" s="104">
        <v>1605960.2205922604</v>
      </c>
      <c r="T61" s="104">
        <v>4584847.2568894774</v>
      </c>
      <c r="U61" s="104">
        <v>47730.959766387939</v>
      </c>
    </row>
    <row r="62" spans="1:30" ht="13.2">
      <c r="A62" s="149">
        <v>53</v>
      </c>
      <c r="B62" s="148">
        <v>54723718</v>
      </c>
      <c r="C62" s="148">
        <v>54723718</v>
      </c>
      <c r="D62" s="148">
        <v>24308852.756853163</v>
      </c>
      <c r="E62" s="148">
        <v>43087585.170567393</v>
      </c>
      <c r="F62" s="148">
        <v>28885226.370112371</v>
      </c>
      <c r="G62" s="148">
        <v>15000000</v>
      </c>
      <c r="H62" s="148">
        <v>111281664.29753293</v>
      </c>
      <c r="I62" s="148">
        <v>109447436</v>
      </c>
      <c r="J62" s="148">
        <v>-1834228.297532931</v>
      </c>
      <c r="K62" s="148"/>
      <c r="N62" s="102">
        <v>38</v>
      </c>
      <c r="O62" s="104">
        <v>10084923.741859943</v>
      </c>
      <c r="P62" s="104">
        <v>3572408.4360893816</v>
      </c>
      <c r="Q62" s="104">
        <v>5069089.8304056823</v>
      </c>
      <c r="R62" s="104">
        <v>435789.12787801027</v>
      </c>
      <c r="S62" s="104">
        <v>4809383.6039195359</v>
      </c>
      <c r="T62" s="104">
        <v>2733263.9457094669</v>
      </c>
      <c r="U62" s="104">
        <v>-2134023.5442283303</v>
      </c>
    </row>
    <row r="63" spans="1:30" ht="13.2">
      <c r="A63" s="149">
        <v>54</v>
      </c>
      <c r="B63" s="148">
        <v>55726498</v>
      </c>
      <c r="C63" s="148">
        <v>55726498</v>
      </c>
      <c r="D63" s="148">
        <v>26194496.637297247</v>
      </c>
      <c r="E63" s="148">
        <v>41428136.396951847</v>
      </c>
      <c r="F63" s="148">
        <v>27321644.835786298</v>
      </c>
      <c r="G63" s="148">
        <v>15000000</v>
      </c>
      <c r="H63" s="148">
        <v>109944277.8700354</v>
      </c>
      <c r="I63" s="148">
        <v>111452996</v>
      </c>
      <c r="J63" s="148">
        <v>1508718.129964605</v>
      </c>
      <c r="K63" s="148"/>
      <c r="N63" s="102">
        <v>39</v>
      </c>
      <c r="O63" s="104">
        <v>3926891.0957958698</v>
      </c>
      <c r="P63" s="104">
        <v>9866951.6251244396</v>
      </c>
      <c r="Q63" s="104">
        <v>9251751.2273658514</v>
      </c>
      <c r="R63" s="104">
        <v>4085985.5432897955</v>
      </c>
      <c r="S63" s="104">
        <v>8863067.8854540288</v>
      </c>
      <c r="T63" s="104">
        <v>-2751155.2087494284</v>
      </c>
      <c r="U63" s="104">
        <v>-4059229.096323207</v>
      </c>
    </row>
    <row r="64" spans="1:30" ht="13.2">
      <c r="A64" s="149">
        <v>55</v>
      </c>
      <c r="B64" s="148">
        <v>53961349.5</v>
      </c>
      <c r="C64" s="148">
        <v>53961349.5</v>
      </c>
      <c r="D64" s="148">
        <v>22042637.538677383</v>
      </c>
      <c r="E64" s="148">
        <v>43044401.487352669</v>
      </c>
      <c r="F64" s="148">
        <v>26845035.243826013</v>
      </c>
      <c r="G64" s="148">
        <v>15000000</v>
      </c>
      <c r="H64" s="148">
        <v>106932074.26985607</v>
      </c>
      <c r="I64" s="148">
        <v>107922699</v>
      </c>
      <c r="J64" s="148">
        <v>990624.73014393449</v>
      </c>
      <c r="K64" s="148"/>
      <c r="N64" s="102">
        <v>40</v>
      </c>
      <c r="O64" s="104">
        <v>10020787.240912527</v>
      </c>
      <c r="P64" s="104">
        <v>7247056.1451513767</v>
      </c>
      <c r="Q64" s="104">
        <v>6022588.9762310386</v>
      </c>
      <c r="R64" s="104">
        <v>4610775.635259375</v>
      </c>
      <c r="S64" s="104">
        <v>-4645181.7231279165</v>
      </c>
      <c r="T64" s="104">
        <v>-7853370.10637483</v>
      </c>
      <c r="U64" s="104">
        <v>1014992.2903428227</v>
      </c>
    </row>
    <row r="65" spans="1:21" ht="13.2">
      <c r="A65" s="149">
        <v>56</v>
      </c>
      <c r="B65" s="148">
        <v>58157281</v>
      </c>
      <c r="C65" s="148">
        <v>58157281</v>
      </c>
      <c r="D65" s="148">
        <v>24041079.188327957</v>
      </c>
      <c r="E65" s="148">
        <v>42573464.442635253</v>
      </c>
      <c r="F65" s="148">
        <v>27320095.3304318</v>
      </c>
      <c r="G65" s="148">
        <v>15000000</v>
      </c>
      <c r="H65" s="148">
        <v>108934638.96139501</v>
      </c>
      <c r="I65" s="148">
        <v>116314562</v>
      </c>
      <c r="J65" s="148">
        <v>7379923.0386049896</v>
      </c>
      <c r="K65" s="148"/>
      <c r="N65" s="102">
        <v>41</v>
      </c>
      <c r="O65" s="104">
        <v>12056497.293097034</v>
      </c>
      <c r="P65" s="104">
        <v>12730528.403782353</v>
      </c>
      <c r="Q65" s="104">
        <v>6290774.5881924331</v>
      </c>
      <c r="R65" s="104">
        <v>2945255.114628613</v>
      </c>
      <c r="S65" s="104">
        <v>1561776.4943661392</v>
      </c>
      <c r="T65" s="104">
        <v>-4316352.3680529147</v>
      </c>
      <c r="U65" s="104">
        <v>6546253.3960493207</v>
      </c>
    </row>
    <row r="66" spans="1:21" ht="13.2">
      <c r="A66" s="149">
        <v>57</v>
      </c>
      <c r="B66" s="148">
        <v>57128755</v>
      </c>
      <c r="C66" s="148">
        <v>57128755</v>
      </c>
      <c r="D66" s="148">
        <v>25393656.992316466</v>
      </c>
      <c r="E66" s="148">
        <v>43063290.774774939</v>
      </c>
      <c r="F66" s="148">
        <v>29742462.750767495</v>
      </c>
      <c r="G66" s="148">
        <v>15000000</v>
      </c>
      <c r="H66" s="148">
        <v>113199410.51785891</v>
      </c>
      <c r="I66" s="148">
        <v>114257510</v>
      </c>
      <c r="J66" s="148">
        <v>1058099.4821410924</v>
      </c>
      <c r="K66" s="148"/>
      <c r="N66" s="102">
        <v>42</v>
      </c>
      <c r="O66" s="104">
        <v>8254910.1214869916</v>
      </c>
      <c r="P66" s="104">
        <v>9785734.5087094158</v>
      </c>
      <c r="Q66" s="104">
        <v>-3781905.3283638209</v>
      </c>
      <c r="R66" s="104">
        <v>2191985.425424844</v>
      </c>
      <c r="S66" s="104">
        <v>5118305.0746927261</v>
      </c>
      <c r="T66" s="104">
        <v>7770929.6042727977</v>
      </c>
      <c r="U66" s="104">
        <v>-2288007.7553277612</v>
      </c>
    </row>
    <row r="67" spans="1:21" ht="13.2">
      <c r="A67" s="149">
        <v>58</v>
      </c>
      <c r="B67" s="148">
        <v>52261253.5</v>
      </c>
      <c r="C67" s="148">
        <v>52261253.5</v>
      </c>
      <c r="D67" s="148">
        <v>25121215.403153218</v>
      </c>
      <c r="E67" s="148">
        <v>42880465.962896109</v>
      </c>
      <c r="F67" s="148">
        <v>27537418.083469085</v>
      </c>
      <c r="G67" s="148">
        <v>15000000</v>
      </c>
      <c r="H67" s="148">
        <v>110539099.44951841</v>
      </c>
      <c r="I67" s="148">
        <v>104522507</v>
      </c>
      <c r="J67" s="148">
        <v>-6016592.4495184124</v>
      </c>
      <c r="K67" s="148"/>
      <c r="N67" s="102">
        <v>43</v>
      </c>
      <c r="O67" s="104">
        <v>13080144.619634911</v>
      </c>
      <c r="P67" s="104">
        <v>15508266.965567484</v>
      </c>
      <c r="Q67" s="104">
        <v>-1139628.6331266165</v>
      </c>
      <c r="R67" s="104">
        <v>-3190105.3375240117</v>
      </c>
      <c r="S67" s="104">
        <v>2168361.1607244611</v>
      </c>
      <c r="T67" s="104">
        <v>-8406244.2531941831</v>
      </c>
      <c r="U67" s="104">
        <v>-4103792.381333217</v>
      </c>
    </row>
    <row r="68" spans="1:21" ht="13.2">
      <c r="A68" s="149">
        <v>59</v>
      </c>
      <c r="B68" s="148">
        <v>56881380.5</v>
      </c>
      <c r="C68" s="148">
        <v>56881380.5</v>
      </c>
      <c r="D68" s="148">
        <v>22443057.36116777</v>
      </c>
      <c r="E68" s="148">
        <v>41843234.009419739</v>
      </c>
      <c r="F68" s="148">
        <v>28542270.867768716</v>
      </c>
      <c r="G68" s="148">
        <v>15000000</v>
      </c>
      <c r="H68" s="148">
        <v>107828562.23835623</v>
      </c>
      <c r="I68" s="148">
        <v>113762761</v>
      </c>
      <c r="J68" s="148">
        <v>5934198.7616437674</v>
      </c>
      <c r="K68" s="148"/>
      <c r="N68" s="102">
        <v>44</v>
      </c>
      <c r="O68" s="104">
        <v>13397951.106476903</v>
      </c>
      <c r="P68" s="104">
        <v>12813862.261119172</v>
      </c>
      <c r="Q68" s="104">
        <v>-731946.31928172708</v>
      </c>
      <c r="R68" s="104">
        <v>6880606.0526281297</v>
      </c>
      <c r="S68" s="104">
        <v>-157448.75956508517</v>
      </c>
      <c r="T68" s="104">
        <v>-2267008.878726542</v>
      </c>
      <c r="U68" s="104">
        <v>5276677.9860474616</v>
      </c>
    </row>
    <row r="69" spans="1:21" ht="13.2">
      <c r="A69" s="149">
        <v>60</v>
      </c>
      <c r="B69" s="148">
        <v>59377401.5</v>
      </c>
      <c r="C69" s="148">
        <v>59377401.5</v>
      </c>
      <c r="D69" s="148">
        <v>23101326.509804018</v>
      </c>
      <c r="E69" s="148">
        <v>43037259.42098093</v>
      </c>
      <c r="F69" s="148">
        <v>28712886.711634036</v>
      </c>
      <c r="G69" s="148">
        <v>15000000</v>
      </c>
      <c r="H69" s="148">
        <v>109851472.64241898</v>
      </c>
      <c r="I69" s="148">
        <v>118754803</v>
      </c>
      <c r="J69" s="148">
        <v>8903330.3575810194</v>
      </c>
      <c r="K69" s="148"/>
      <c r="N69" s="102">
        <v>45</v>
      </c>
      <c r="O69" s="104">
        <v>10662525.839307174</v>
      </c>
      <c r="P69" s="104">
        <v>10100737.131978825</v>
      </c>
      <c r="Q69" s="104">
        <v>14975486.050116196</v>
      </c>
      <c r="R69" s="104">
        <v>15528893.105568856</v>
      </c>
      <c r="S69" s="104">
        <v>3663456.9594748914</v>
      </c>
      <c r="T69" s="104">
        <v>-51247.158270061016</v>
      </c>
      <c r="U69" s="104">
        <v>1720008.5797711611</v>
      </c>
    </row>
    <row r="70" spans="1:21" ht="13.2">
      <c r="A70" s="149">
        <v>61</v>
      </c>
      <c r="B70" s="148">
        <v>53856755.5</v>
      </c>
      <c r="C70" s="148">
        <v>53856755.5</v>
      </c>
      <c r="D70" s="148">
        <v>24443685.970861547</v>
      </c>
      <c r="E70" s="148">
        <v>42551776.013534412</v>
      </c>
      <c r="F70" s="148">
        <v>28040887.681572076</v>
      </c>
      <c r="G70" s="148">
        <v>15000000</v>
      </c>
      <c r="H70" s="148">
        <v>110036349.66596803</v>
      </c>
      <c r="I70" s="148">
        <v>107713511</v>
      </c>
      <c r="J70" s="148">
        <v>-2322838.6659680307</v>
      </c>
      <c r="K70" s="148"/>
      <c r="N70" s="102">
        <v>46</v>
      </c>
      <c r="O70" s="104">
        <v>9287763.1747978479</v>
      </c>
      <c r="P70" s="104">
        <v>7331375.3635553569</v>
      </c>
      <c r="Q70" s="104">
        <v>9205722.679353863</v>
      </c>
      <c r="R70" s="104">
        <v>-959301.14554606378</v>
      </c>
      <c r="S70" s="104">
        <v>4745671.6153995097</v>
      </c>
      <c r="T70" s="104">
        <v>-615417.57226756215</v>
      </c>
      <c r="U70" s="104">
        <v>9355013.2490517795</v>
      </c>
    </row>
    <row r="71" spans="1:21" ht="13.2">
      <c r="A71" s="149">
        <v>62</v>
      </c>
      <c r="B71" s="148">
        <v>51163329.5</v>
      </c>
      <c r="C71" s="148">
        <v>51163329.5</v>
      </c>
      <c r="D71" s="148">
        <v>24846292.75339514</v>
      </c>
      <c r="E71" s="148">
        <v>41710359.370237626</v>
      </c>
      <c r="F71" s="148">
        <v>28264000.726429217</v>
      </c>
      <c r="G71" s="148">
        <v>15000000</v>
      </c>
      <c r="H71" s="148">
        <v>109820652.85006198</v>
      </c>
      <c r="I71" s="148">
        <v>102326659</v>
      </c>
      <c r="J71" s="148">
        <v>-7493993.8500619829</v>
      </c>
      <c r="K71" s="148"/>
      <c r="N71" s="102">
        <v>47</v>
      </c>
      <c r="O71" s="104">
        <v>-1701774.7569455653</v>
      </c>
      <c r="P71" s="104">
        <v>15060968.003789008</v>
      </c>
      <c r="Q71" s="104">
        <v>-3777005.5230522305</v>
      </c>
      <c r="R71" s="104">
        <v>11975666.053702146</v>
      </c>
      <c r="S71" s="104">
        <v>475655.35458022356</v>
      </c>
      <c r="T71" s="104">
        <v>-1035898.1048620045</v>
      </c>
      <c r="U71" s="104">
        <v>-1103266.2307400107</v>
      </c>
    </row>
    <row r="72" spans="1:21" ht="13.2">
      <c r="A72" s="149">
        <v>63</v>
      </c>
      <c r="B72" s="148">
        <v>52964837</v>
      </c>
      <c r="C72" s="148">
        <v>52964837</v>
      </c>
      <c r="D72" s="148">
        <v>25919279.886987533</v>
      </c>
      <c r="E72" s="148">
        <v>42534583.839776114</v>
      </c>
      <c r="F72" s="148">
        <v>24750703.402275342</v>
      </c>
      <c r="G72" s="148">
        <v>15000000</v>
      </c>
      <c r="H72" s="148">
        <v>108204567.12903899</v>
      </c>
      <c r="I72" s="148">
        <v>105929674</v>
      </c>
      <c r="J72" s="148">
        <v>-2274893.1290389895</v>
      </c>
      <c r="K72" s="148"/>
      <c r="N72" s="102">
        <v>48</v>
      </c>
      <c r="O72" s="104">
        <v>13409784.304489464</v>
      </c>
      <c r="P72" s="104">
        <v>7443496.3686364889</v>
      </c>
      <c r="Q72" s="104">
        <v>-6458619.6876332462</v>
      </c>
      <c r="R72" s="104">
        <v>-2044156.1585080773</v>
      </c>
      <c r="S72" s="104">
        <v>5639255.1480675489</v>
      </c>
      <c r="T72" s="104">
        <v>-27306.837800294161</v>
      </c>
      <c r="U72" s="104">
        <v>7084616.5924229473</v>
      </c>
    </row>
    <row r="73" spans="1:21" ht="13.2">
      <c r="A73" s="149">
        <v>64</v>
      </c>
      <c r="B73" s="148">
        <v>51484500</v>
      </c>
      <c r="C73" s="148">
        <v>51484500</v>
      </c>
      <c r="D73" s="148">
        <v>25116253.281963546</v>
      </c>
      <c r="E73" s="148">
        <v>42047746.280619487</v>
      </c>
      <c r="F73" s="148">
        <v>26997958.499885205</v>
      </c>
      <c r="G73" s="148">
        <v>15000000</v>
      </c>
      <c r="H73" s="148">
        <v>109161958.06246823</v>
      </c>
      <c r="I73" s="148">
        <v>102969000</v>
      </c>
      <c r="J73" s="148">
        <v>-6192958.0624682307</v>
      </c>
      <c r="K73" s="148"/>
      <c r="N73" s="102">
        <v>49</v>
      </c>
      <c r="O73" s="104">
        <v>5297387.9828092754</v>
      </c>
      <c r="P73" s="104">
        <v>4904014.5616189837</v>
      </c>
      <c r="Q73" s="104">
        <v>9368412.4537893683</v>
      </c>
      <c r="R73" s="104">
        <v>879405.95289810002</v>
      </c>
      <c r="S73" s="104">
        <v>-117698.24116410315</v>
      </c>
      <c r="T73" s="104">
        <v>11138419.06420365</v>
      </c>
      <c r="U73" s="104">
        <v>-12114894.986231536</v>
      </c>
    </row>
    <row r="74" spans="1:21" ht="13.2">
      <c r="A74" s="149">
        <v>65</v>
      </c>
      <c r="B74" s="148">
        <v>59827196</v>
      </c>
      <c r="C74" s="148">
        <v>59827196</v>
      </c>
      <c r="D74" s="148">
        <v>23370698.837269161</v>
      </c>
      <c r="E74" s="148">
        <v>43267307.253477886</v>
      </c>
      <c r="F74" s="148">
        <v>25744638.773869675</v>
      </c>
      <c r="G74" s="148">
        <v>15000000</v>
      </c>
      <c r="H74" s="148">
        <v>107382644.86461672</v>
      </c>
      <c r="I74" s="148">
        <v>119654392</v>
      </c>
      <c r="J74" s="148">
        <v>12271747.135383278</v>
      </c>
      <c r="K74" s="148"/>
      <c r="N74" s="102">
        <v>50</v>
      </c>
      <c r="O74" s="104">
        <v>2601872.6049375683</v>
      </c>
      <c r="P74" s="104">
        <v>3784039.499373883</v>
      </c>
      <c r="Q74" s="104">
        <v>4152153.7351440936</v>
      </c>
      <c r="R74" s="104">
        <v>1114115.8357025385</v>
      </c>
      <c r="S74" s="104">
        <v>2095760.525589779</v>
      </c>
      <c r="T74" s="104">
        <v>7878102.5866133571</v>
      </c>
      <c r="U74" s="104">
        <v>-1269785.3303089887</v>
      </c>
    </row>
    <row r="75" spans="1:21" ht="13.2">
      <c r="A75" s="149">
        <v>66</v>
      </c>
      <c r="B75" s="148">
        <v>56859045</v>
      </c>
      <c r="C75" s="148">
        <v>56859045</v>
      </c>
      <c r="D75" s="148">
        <v>25114066.321920346</v>
      </c>
      <c r="E75" s="148">
        <v>42792972.920118041</v>
      </c>
      <c r="F75" s="148">
        <v>27466637.461385686</v>
      </c>
      <c r="G75" s="148">
        <v>15000000</v>
      </c>
      <c r="H75" s="148">
        <v>110373676.70342407</v>
      </c>
      <c r="I75" s="148">
        <v>113718090</v>
      </c>
      <c r="J75" s="148">
        <v>3344413.2965759337</v>
      </c>
      <c r="K75" s="148"/>
      <c r="N75" s="102">
        <v>51</v>
      </c>
      <c r="O75" s="104">
        <v>3736258.5937197506</v>
      </c>
      <c r="P75" s="104">
        <v>6915586.11594823</v>
      </c>
      <c r="Q75" s="104">
        <v>2176375.3289804161</v>
      </c>
      <c r="R75" s="104">
        <v>-1179790.8906903863</v>
      </c>
      <c r="S75" s="104">
        <v>7189085.0647430122</v>
      </c>
      <c r="T75" s="104">
        <v>-2728063.4580034912</v>
      </c>
      <c r="U75" s="104">
        <v>7236844.7207517326</v>
      </c>
    </row>
    <row r="76" spans="1:21" ht="13.2">
      <c r="A76" s="149">
        <v>67</v>
      </c>
      <c r="B76" s="148">
        <v>65116126</v>
      </c>
      <c r="C76" s="148">
        <v>65116126</v>
      </c>
      <c r="D76" s="148">
        <v>25656762.540203631</v>
      </c>
      <c r="E76" s="148">
        <v>42701648.480296671</v>
      </c>
      <c r="F76" s="148">
        <v>30686013.57024762</v>
      </c>
      <c r="G76" s="148">
        <v>15000000</v>
      </c>
      <c r="H76" s="148">
        <v>114044424.59074792</v>
      </c>
      <c r="I76" s="148">
        <v>130232252</v>
      </c>
      <c r="J76" s="148">
        <v>16187827.409252077</v>
      </c>
      <c r="K76" s="148"/>
      <c r="N76" s="102">
        <v>52</v>
      </c>
      <c r="O76" s="104">
        <v>7412660.1353229731</v>
      </c>
      <c r="P76" s="104">
        <v>1945279.6244859695</v>
      </c>
      <c r="Q76" s="104">
        <v>333659.59397226572</v>
      </c>
      <c r="R76" s="104">
        <v>1844662.182846114</v>
      </c>
      <c r="S76" s="104">
        <v>2789143.604257226</v>
      </c>
      <c r="T76" s="104">
        <v>1553322.528715387</v>
      </c>
      <c r="U76" s="104">
        <v>6864405.8630434275</v>
      </c>
    </row>
    <row r="77" spans="1:21" ht="13.2">
      <c r="A77" s="149">
        <v>68</v>
      </c>
      <c r="B77" s="148">
        <v>56793220.5</v>
      </c>
      <c r="C77" s="148">
        <v>56793220.5</v>
      </c>
      <c r="D77" s="148">
        <v>25531265.367471322</v>
      </c>
      <c r="E77" s="148">
        <v>42969044.204388499</v>
      </c>
      <c r="F77" s="148">
        <v>27909440.002902403</v>
      </c>
      <c r="G77" s="148">
        <v>15000000</v>
      </c>
      <c r="H77" s="148">
        <v>111409749.57476223</v>
      </c>
      <c r="I77" s="148">
        <v>113586441</v>
      </c>
      <c r="J77" s="148">
        <v>2176691.4252377748</v>
      </c>
      <c r="K77" s="148"/>
      <c r="N77" s="102">
        <v>53</v>
      </c>
      <c r="O77" s="104">
        <v>13206682.951368228</v>
      </c>
      <c r="P77" s="104">
        <v>7267834.9941464067</v>
      </c>
      <c r="Q77" s="104">
        <v>7302856.994302243</v>
      </c>
      <c r="R77" s="104">
        <v>-1869290.7498446107</v>
      </c>
      <c r="S77" s="104">
        <v>1884828.2913826704</v>
      </c>
      <c r="T77" s="104">
        <v>-8367736.4774674475</v>
      </c>
      <c r="U77" s="104">
        <v>-4655374.4516576827</v>
      </c>
    </row>
    <row r="78" spans="1:21" ht="13.2">
      <c r="A78" s="149">
        <v>69</v>
      </c>
      <c r="B78" s="148">
        <v>57167098.5</v>
      </c>
      <c r="C78" s="148">
        <v>57167098.5</v>
      </c>
      <c r="D78" s="148">
        <v>25784152.572427511</v>
      </c>
      <c r="E78" s="148">
        <v>41277982.843537986</v>
      </c>
      <c r="F78" s="148">
        <v>29329389.847988397</v>
      </c>
      <c r="G78" s="148">
        <v>15000000</v>
      </c>
      <c r="H78" s="148">
        <v>111391525.26395389</v>
      </c>
      <c r="I78" s="148">
        <v>114334197</v>
      </c>
      <c r="J78" s="148">
        <v>2942671.7360461056</v>
      </c>
      <c r="K78" s="148"/>
      <c r="N78" s="102">
        <v>54</v>
      </c>
      <c r="O78" s="104">
        <v>8523614.9300223887</v>
      </c>
      <c r="P78" s="104">
        <v>12236357.218255445</v>
      </c>
      <c r="Q78" s="104">
        <v>8820566.7171696723</v>
      </c>
      <c r="R78" s="104">
        <v>-8901457.4761468619</v>
      </c>
      <c r="S78" s="104">
        <v>-7858388.9177249521</v>
      </c>
      <c r="T78" s="104">
        <v>-6593264.4330105782</v>
      </c>
      <c r="U78" s="104">
        <v>-3119553.8013527989</v>
      </c>
    </row>
    <row r="79" spans="1:21" ht="13.2">
      <c r="A79" s="149">
        <v>70</v>
      </c>
      <c r="B79" s="148">
        <v>56837628</v>
      </c>
      <c r="C79" s="148">
        <v>56837628</v>
      </c>
      <c r="D79" s="148">
        <v>25251380.596523572</v>
      </c>
      <c r="E79" s="148">
        <v>42148704.760573521</v>
      </c>
      <c r="F79" s="148">
        <v>27924100.989874333</v>
      </c>
      <c r="G79" s="148">
        <v>15000000</v>
      </c>
      <c r="H79" s="148">
        <v>110324186.34697142</v>
      </c>
      <c r="I79" s="148">
        <v>113675256</v>
      </c>
      <c r="J79" s="148">
        <v>3351069.6530285776</v>
      </c>
      <c r="K79" s="148"/>
      <c r="N79" s="102">
        <v>55</v>
      </c>
      <c r="O79" s="104">
        <v>9235504.2030093074</v>
      </c>
      <c r="P79" s="104">
        <v>4330401.6659164578</v>
      </c>
      <c r="Q79" s="104">
        <v>3525669.8189845234</v>
      </c>
      <c r="R79" s="104">
        <v>5040716.1380105913</v>
      </c>
      <c r="S79" s="104">
        <v>18464917.895552367</v>
      </c>
      <c r="T79" s="104">
        <v>5161351.5331202596</v>
      </c>
      <c r="U79" s="104">
        <v>-5940090.059676379</v>
      </c>
    </row>
    <row r="80" spans="1:21" ht="13.2">
      <c r="A80" s="149">
        <v>71</v>
      </c>
      <c r="B80" s="148">
        <v>55114400</v>
      </c>
      <c r="C80" s="148">
        <v>55114400</v>
      </c>
      <c r="D80" s="148">
        <v>24564515.122955818</v>
      </c>
      <c r="E80" s="148">
        <v>41819271.923016533</v>
      </c>
      <c r="F80" s="148">
        <v>26493101.602499064</v>
      </c>
      <c r="G80" s="148">
        <v>15000000</v>
      </c>
      <c r="H80" s="148">
        <v>107876888.64847142</v>
      </c>
      <c r="I80" s="148">
        <v>110228800</v>
      </c>
      <c r="J80" s="148">
        <v>2351911.351528585</v>
      </c>
      <c r="K80" s="148"/>
      <c r="N80" s="102">
        <v>56</v>
      </c>
      <c r="O80" s="104">
        <v>9884882.6910639554</v>
      </c>
      <c r="P80" s="104">
        <v>10603398.038801298</v>
      </c>
      <c r="Q80" s="104">
        <v>4422193.1072919369</v>
      </c>
      <c r="R80" s="104">
        <v>1124369.3401661813</v>
      </c>
      <c r="S80" s="104">
        <v>4864403.9787074327</v>
      </c>
      <c r="T80" s="104">
        <v>-355903.48590892553</v>
      </c>
      <c r="U80" s="104">
        <v>1377492.934534058</v>
      </c>
    </row>
    <row r="81" spans="1:21" ht="13.2">
      <c r="A81" s="149">
        <v>72</v>
      </c>
      <c r="B81" s="148">
        <v>56900579</v>
      </c>
      <c r="C81" s="148">
        <v>56900579</v>
      </c>
      <c r="D81" s="148">
        <v>23380917.180200137</v>
      </c>
      <c r="E81" s="148">
        <v>42028219.782861464</v>
      </c>
      <c r="F81" s="148">
        <v>29659385.729799334</v>
      </c>
      <c r="G81" s="148">
        <v>15000000</v>
      </c>
      <c r="H81" s="148">
        <v>110068522.69286093</v>
      </c>
      <c r="I81" s="148">
        <v>113801158</v>
      </c>
      <c r="J81" s="148">
        <v>3732635.3071390688</v>
      </c>
      <c r="K81" s="148"/>
      <c r="N81" s="102">
        <v>57</v>
      </c>
      <c r="O81" s="104">
        <v>18402114.069845617</v>
      </c>
      <c r="P81" s="104">
        <v>11425160.36204505</v>
      </c>
      <c r="Q81" s="104">
        <v>-2231715.7987908125</v>
      </c>
      <c r="R81" s="104">
        <v>-3817702.3562609404</v>
      </c>
      <c r="S81" s="104">
        <v>-2444471.1116535813</v>
      </c>
      <c r="T81" s="104">
        <v>-7455879.1898963451</v>
      </c>
      <c r="U81" s="104">
        <v>-4691158.4843210578</v>
      </c>
    </row>
    <row r="82" spans="1:21" ht="13.2">
      <c r="A82" s="149">
        <v>73</v>
      </c>
      <c r="B82" s="148">
        <v>60468339</v>
      </c>
      <c r="C82" s="148">
        <v>60468339</v>
      </c>
      <c r="D82" s="148">
        <v>23771706.860862818</v>
      </c>
      <c r="E82" s="148">
        <v>42739809.55685579</v>
      </c>
      <c r="F82" s="148">
        <v>27457362.206111342</v>
      </c>
      <c r="G82" s="148">
        <v>15000000</v>
      </c>
      <c r="H82" s="148">
        <v>108968878.62382995</v>
      </c>
      <c r="I82" s="148">
        <v>120936678</v>
      </c>
      <c r="J82" s="148">
        <v>11967799.376170054</v>
      </c>
      <c r="K82" s="148"/>
      <c r="N82" s="102">
        <v>58</v>
      </c>
      <c r="O82" s="104">
        <v>10099567.055844128</v>
      </c>
      <c r="P82" s="104">
        <v>2807272.1079618037</v>
      </c>
      <c r="Q82" s="104">
        <v>-1771344.5340729654</v>
      </c>
      <c r="R82" s="104">
        <v>7319233.6242054552</v>
      </c>
      <c r="S82" s="104">
        <v>-4925749.1214801073</v>
      </c>
      <c r="T82" s="104">
        <v>1932298.5189186782</v>
      </c>
      <c r="U82" s="104">
        <v>10276998.079446793</v>
      </c>
    </row>
    <row r="83" spans="1:21" ht="13.2">
      <c r="A83" s="149">
        <v>74</v>
      </c>
      <c r="B83" s="148">
        <v>52629807</v>
      </c>
      <c r="C83" s="148">
        <v>52629807</v>
      </c>
      <c r="D83" s="148">
        <v>23901577.953681529</v>
      </c>
      <c r="E83" s="148">
        <v>43171147.856841348</v>
      </c>
      <c r="F83" s="148">
        <v>28297906.969374739</v>
      </c>
      <c r="G83" s="148">
        <v>15000000</v>
      </c>
      <c r="H83" s="148">
        <v>110370632.77989762</v>
      </c>
      <c r="I83" s="148">
        <v>105259614</v>
      </c>
      <c r="J83" s="148">
        <v>-5111018.7798976153</v>
      </c>
      <c r="K83" s="148"/>
      <c r="N83" s="102">
        <v>59</v>
      </c>
      <c r="O83" s="104">
        <v>8296760.8643716872</v>
      </c>
      <c r="P83" s="104">
        <v>12070306.90340136</v>
      </c>
      <c r="Q83" s="104">
        <v>1900621.285428822</v>
      </c>
      <c r="R83" s="104">
        <v>-4082028.3540693223</v>
      </c>
      <c r="S83" s="104">
        <v>-3005757.008356899</v>
      </c>
      <c r="T83" s="104">
        <v>3334728.9250921607</v>
      </c>
      <c r="U83" s="104">
        <v>999075.72733442485</v>
      </c>
    </row>
    <row r="84" spans="1:21" ht="13.2">
      <c r="A84" s="149">
        <v>75</v>
      </c>
      <c r="B84" s="148">
        <v>59996078</v>
      </c>
      <c r="C84" s="148">
        <v>59996078</v>
      </c>
      <c r="D84" s="148">
        <v>22973642.377028506</v>
      </c>
      <c r="E84" s="148">
        <v>42954167.419457145</v>
      </c>
      <c r="F84" s="148">
        <v>25456275.70902133</v>
      </c>
      <c r="G84" s="148">
        <v>15000000</v>
      </c>
      <c r="H84" s="148">
        <v>106384085.50550698</v>
      </c>
      <c r="I84" s="148">
        <v>119992156</v>
      </c>
      <c r="J84" s="148">
        <v>13608070.494493023</v>
      </c>
      <c r="K84" s="148"/>
      <c r="N84" s="102">
        <v>60</v>
      </c>
      <c r="O84" s="104">
        <v>11420060.781309918</v>
      </c>
      <c r="P84" s="104">
        <v>5887542.9800779521</v>
      </c>
      <c r="Q84" s="104">
        <v>1837075.0987947583</v>
      </c>
      <c r="R84" s="104">
        <v>8888409.4183275402</v>
      </c>
      <c r="S84" s="104">
        <v>2995346.1113601029</v>
      </c>
      <c r="T84" s="104">
        <v>-4617568.7065224946</v>
      </c>
      <c r="U84" s="104">
        <v>361231.06202945113</v>
      </c>
    </row>
    <row r="85" spans="1:21" ht="13.2">
      <c r="A85" s="149">
        <v>76</v>
      </c>
      <c r="B85" s="148">
        <v>54665977</v>
      </c>
      <c r="C85" s="148">
        <v>54665977</v>
      </c>
      <c r="D85" s="148">
        <v>23231491.703174368</v>
      </c>
      <c r="E85" s="148">
        <v>41491241.096058711</v>
      </c>
      <c r="F85" s="148">
        <v>30090182.820464276</v>
      </c>
      <c r="G85" s="148">
        <v>15000000</v>
      </c>
      <c r="H85" s="148">
        <v>109812915.61969736</v>
      </c>
      <c r="I85" s="148">
        <v>109331954</v>
      </c>
      <c r="J85" s="148">
        <v>-480961.61969736218</v>
      </c>
      <c r="K85" s="148"/>
      <c r="N85" s="102">
        <v>61</v>
      </c>
      <c r="O85" s="104">
        <v>19651341.57320416</v>
      </c>
      <c r="P85" s="104">
        <v>10847619.331446826</v>
      </c>
      <c r="Q85" s="104">
        <v>8440059.0929141194</v>
      </c>
      <c r="R85" s="104">
        <v>2594421.7388602793</v>
      </c>
      <c r="S85" s="104">
        <v>-1113473.5609755665</v>
      </c>
      <c r="T85" s="104">
        <v>3652945.8425285518</v>
      </c>
      <c r="U85" s="104">
        <v>-1995169.7072124779</v>
      </c>
    </row>
    <row r="86" spans="1:21" ht="13.2">
      <c r="A86" s="149">
        <v>77</v>
      </c>
      <c r="B86" s="148">
        <v>54524898</v>
      </c>
      <c r="C86" s="148">
        <v>54524898</v>
      </c>
      <c r="D86" s="148">
        <v>24299222.61502545</v>
      </c>
      <c r="E86" s="148">
        <v>43072666.852167204</v>
      </c>
      <c r="F86" s="148">
        <v>26438460.324499805</v>
      </c>
      <c r="G86" s="148">
        <v>15000000</v>
      </c>
      <c r="H86" s="148">
        <v>108810349.79169245</v>
      </c>
      <c r="I86" s="148">
        <v>109049796</v>
      </c>
      <c r="J86" s="148">
        <v>239446.20830754936</v>
      </c>
      <c r="K86" s="148"/>
      <c r="N86" s="102">
        <v>62</v>
      </c>
      <c r="O86" s="104">
        <v>-1513748.4933364391</v>
      </c>
      <c r="P86" s="104">
        <v>17020889.677938178</v>
      </c>
      <c r="Q86" s="104">
        <v>3537307.1286196262</v>
      </c>
      <c r="R86" s="104">
        <v>2440203.6133607924</v>
      </c>
      <c r="S86" s="104">
        <v>3433161.7257555425</v>
      </c>
      <c r="T86" s="104">
        <v>-8348213.4892457724</v>
      </c>
      <c r="U86" s="104">
        <v>-9564923.1161077619</v>
      </c>
    </row>
    <row r="87" spans="1:21" ht="13.2">
      <c r="A87" s="149">
        <v>78</v>
      </c>
      <c r="B87" s="148">
        <v>57253886</v>
      </c>
      <c r="C87" s="148">
        <v>57253886</v>
      </c>
      <c r="D87" s="148">
        <v>23776080.78094922</v>
      </c>
      <c r="E87" s="148">
        <v>43062414.904067829</v>
      </c>
      <c r="F87" s="148">
        <v>28856757.893862691</v>
      </c>
      <c r="G87" s="148">
        <v>15000000</v>
      </c>
      <c r="H87" s="148">
        <v>110695253.57887974</v>
      </c>
      <c r="I87" s="148">
        <v>114507772</v>
      </c>
      <c r="J87" s="148">
        <v>3812518.4211202562</v>
      </c>
      <c r="K87" s="148"/>
      <c r="N87" s="102">
        <v>63</v>
      </c>
      <c r="O87" s="104">
        <v>12575810.985839486</v>
      </c>
      <c r="P87" s="104">
        <v>5166363.1001650542</v>
      </c>
      <c r="Q87" s="104">
        <v>-310668.56209564209</v>
      </c>
      <c r="R87" s="104">
        <v>2465263.9022973478</v>
      </c>
      <c r="S87" s="104">
        <v>11647774.130109861</v>
      </c>
      <c r="T87" s="104">
        <v>-6895063.0463776588</v>
      </c>
      <c r="U87" s="104">
        <v>3560318.7761972845</v>
      </c>
    </row>
    <row r="88" spans="1:21" ht="13.2">
      <c r="A88" s="149">
        <v>79</v>
      </c>
      <c r="B88" s="148">
        <v>60488616.5</v>
      </c>
      <c r="C88" s="148">
        <v>60488616.5</v>
      </c>
      <c r="D88" s="148">
        <v>24304184.736215122</v>
      </c>
      <c r="E88" s="148">
        <v>42686169.419711821</v>
      </c>
      <c r="F88" s="148">
        <v>24771160.971902121</v>
      </c>
      <c r="G88" s="148">
        <v>15000000</v>
      </c>
      <c r="H88" s="148">
        <v>106761515.12782906</v>
      </c>
      <c r="I88" s="148">
        <v>120977233</v>
      </c>
      <c r="J88" s="148">
        <v>14215717.87217094</v>
      </c>
      <c r="K88" s="148"/>
      <c r="N88" s="102">
        <v>64</v>
      </c>
      <c r="O88" s="104">
        <v>2106497.1145173013</v>
      </c>
      <c r="P88" s="104">
        <v>3341524.1504134834</v>
      </c>
      <c r="Q88" s="104">
        <v>2824644.7205952108</v>
      </c>
      <c r="R88" s="104">
        <v>4894389.3464546055</v>
      </c>
      <c r="S88" s="104">
        <v>5161871.6131944954</v>
      </c>
      <c r="T88" s="104">
        <v>-3622098.7412906289</v>
      </c>
      <c r="U88" s="104">
        <v>1863300.2342730761</v>
      </c>
    </row>
    <row r="89" spans="1:21" ht="13.2">
      <c r="A89" s="149">
        <v>80</v>
      </c>
      <c r="B89" s="148">
        <v>58936506</v>
      </c>
      <c r="C89" s="148">
        <v>58936506</v>
      </c>
      <c r="D89" s="148">
        <v>25246712.575885527</v>
      </c>
      <c r="E89" s="148">
        <v>40926884.553271338</v>
      </c>
      <c r="F89" s="148">
        <v>30468612.462603662</v>
      </c>
      <c r="G89" s="148">
        <v>15000000</v>
      </c>
      <c r="H89" s="148">
        <v>111642209.59176053</v>
      </c>
      <c r="I89" s="148">
        <v>117873012</v>
      </c>
      <c r="J89" s="148">
        <v>6230802.4082394689</v>
      </c>
      <c r="K89" s="148"/>
      <c r="N89" s="102">
        <v>65</v>
      </c>
      <c r="O89" s="104">
        <v>13744464.829450369</v>
      </c>
      <c r="P89" s="104">
        <v>9178103.5278465599</v>
      </c>
      <c r="Q89" s="104">
        <v>-3405468.5252332091</v>
      </c>
      <c r="R89" s="104">
        <v>4361960.2186143845</v>
      </c>
      <c r="S89" s="104">
        <v>6934417.7829404771</v>
      </c>
      <c r="T89" s="104">
        <v>-4174072.9180054516</v>
      </c>
      <c r="U89" s="104">
        <v>-4319273.9944809377</v>
      </c>
    </row>
    <row r="90" spans="1:21" ht="13.2">
      <c r="A90" s="149">
        <v>81</v>
      </c>
      <c r="B90" s="148">
        <v>56595367.5</v>
      </c>
      <c r="C90" s="148">
        <v>56595367.5</v>
      </c>
      <c r="D90" s="148">
        <v>25386213.810531955</v>
      </c>
      <c r="E90" s="148">
        <v>43456677.249084085</v>
      </c>
      <c r="F90" s="148">
        <v>27790365.42712573</v>
      </c>
      <c r="G90" s="148">
        <v>15000000</v>
      </c>
      <c r="H90" s="148">
        <v>111633256.48674178</v>
      </c>
      <c r="I90" s="148">
        <v>113190735</v>
      </c>
      <c r="J90" s="148">
        <v>1557478.5132582188</v>
      </c>
      <c r="K90" s="148"/>
      <c r="N90" s="102">
        <v>66</v>
      </c>
      <c r="O90" s="104">
        <v>11606367.486080259</v>
      </c>
      <c r="P90" s="104">
        <v>13217208.860657558</v>
      </c>
      <c r="Q90" s="104">
        <v>6926451.850925684</v>
      </c>
      <c r="R90" s="104">
        <v>8694234.1586503834</v>
      </c>
      <c r="S90" s="104">
        <v>8994861.1589065045</v>
      </c>
      <c r="T90" s="104">
        <v>11638141.921098948</v>
      </c>
      <c r="U90" s="104">
        <v>660255.23160508275</v>
      </c>
    </row>
    <row r="91" spans="1:21" ht="13.2">
      <c r="A91" s="149">
        <v>82</v>
      </c>
      <c r="B91" s="148">
        <v>54205072.5</v>
      </c>
      <c r="C91" s="148">
        <v>54205072.5</v>
      </c>
      <c r="D91" s="148">
        <v>25244525.615842327</v>
      </c>
      <c r="E91" s="148">
        <v>43081428.889799722</v>
      </c>
      <c r="F91" s="148">
        <v>29063773.184320804</v>
      </c>
      <c r="G91" s="148">
        <v>15000000</v>
      </c>
      <c r="H91" s="148">
        <v>112389727.68996286</v>
      </c>
      <c r="I91" s="148">
        <v>108410145</v>
      </c>
      <c r="J91" s="148">
        <v>-3979582.6899628639</v>
      </c>
      <c r="K91" s="148"/>
      <c r="N91" s="102">
        <v>67</v>
      </c>
      <c r="O91" s="104">
        <v>3456357.7469209433</v>
      </c>
      <c r="P91" s="104">
        <v>13182806.730023995</v>
      </c>
      <c r="Q91" s="104">
        <v>6913889.8524869978</v>
      </c>
      <c r="R91" s="104">
        <v>-993737.81578591466</v>
      </c>
      <c r="S91" s="104">
        <v>-2676294.8060189933</v>
      </c>
      <c r="T91" s="104">
        <v>1735095.4791096151</v>
      </c>
      <c r="U91" s="104">
        <v>-1921229.4698641598</v>
      </c>
    </row>
    <row r="92" spans="1:21" ht="13.2">
      <c r="A92" s="149">
        <v>83</v>
      </c>
      <c r="B92" s="148">
        <v>57411323.5</v>
      </c>
      <c r="C92" s="148">
        <v>57411323.5</v>
      </c>
      <c r="D92" s="148">
        <v>24844399.893903572</v>
      </c>
      <c r="E92" s="148">
        <v>42767313.604484513</v>
      </c>
      <c r="F92" s="148">
        <v>27122318.827240672</v>
      </c>
      <c r="G92" s="148">
        <v>15000000</v>
      </c>
      <c r="H92" s="148">
        <v>109734032.32562876</v>
      </c>
      <c r="I92" s="148">
        <v>114822647</v>
      </c>
      <c r="J92" s="148">
        <v>5088614.6743712425</v>
      </c>
      <c r="K92" s="148"/>
      <c r="N92" s="102">
        <v>68</v>
      </c>
      <c r="O92" s="104">
        <v>13976656.684319466</v>
      </c>
      <c r="P92" s="104">
        <v>5258128.2082412243</v>
      </c>
      <c r="Q92" s="104">
        <v>1448242.9465207607</v>
      </c>
      <c r="R92" s="104">
        <v>7992789.3826298416</v>
      </c>
      <c r="S92" s="104">
        <v>649319.99647480249</v>
      </c>
      <c r="T92" s="104">
        <v>-3976388.8538119495</v>
      </c>
      <c r="U92" s="104">
        <v>-654343.42691588402</v>
      </c>
    </row>
    <row r="93" spans="1:21" ht="13.2">
      <c r="A93" s="149">
        <v>84</v>
      </c>
      <c r="B93" s="148">
        <v>57853225.5</v>
      </c>
      <c r="C93" s="148">
        <v>57853225.5</v>
      </c>
      <c r="D93" s="148">
        <v>24576332.224826735</v>
      </c>
      <c r="E93" s="148">
        <v>41821102.809659079</v>
      </c>
      <c r="F93" s="148">
        <v>27600333.341922037</v>
      </c>
      <c r="G93" s="148">
        <v>15000000</v>
      </c>
      <c r="H93" s="148">
        <v>108997768.37640786</v>
      </c>
      <c r="I93" s="148">
        <v>115706451</v>
      </c>
      <c r="J93" s="148">
        <v>6708682.6235921383</v>
      </c>
      <c r="K93" s="148"/>
      <c r="N93" s="102">
        <v>69</v>
      </c>
      <c r="O93" s="104">
        <v>19015688.139749154</v>
      </c>
      <c r="P93" s="104">
        <v>7499671.4729546309</v>
      </c>
      <c r="Q93" s="104">
        <v>10192602.60263285</v>
      </c>
      <c r="R93" s="104">
        <v>1529017.6563126743</v>
      </c>
      <c r="S93" s="104">
        <v>-1527918.544275865</v>
      </c>
      <c r="T93" s="104">
        <v>2202168.234087795</v>
      </c>
      <c r="U93" s="104">
        <v>4091051.1978343874</v>
      </c>
    </row>
    <row r="94" spans="1:21" ht="13.2">
      <c r="A94" s="149">
        <v>85</v>
      </c>
      <c r="B94" s="148">
        <v>55686203</v>
      </c>
      <c r="C94" s="148">
        <v>55686203</v>
      </c>
      <c r="D94" s="148">
        <v>24983901.128549997</v>
      </c>
      <c r="E94" s="148">
        <v>43894850.542225331</v>
      </c>
      <c r="F94" s="148">
        <v>30678580.709218174</v>
      </c>
      <c r="G94" s="148">
        <v>15000000</v>
      </c>
      <c r="H94" s="148">
        <v>114557332.3799935</v>
      </c>
      <c r="I94" s="148">
        <v>111372406</v>
      </c>
      <c r="J94" s="148">
        <v>-3184926.3799934983</v>
      </c>
      <c r="K94" s="148"/>
      <c r="N94" s="102">
        <v>70</v>
      </c>
      <c r="O94" s="104">
        <v>9162839.4948770404</v>
      </c>
      <c r="P94" s="104">
        <v>12739145.95544517</v>
      </c>
      <c r="Q94" s="104">
        <v>-2619743.2510807663</v>
      </c>
      <c r="R94" s="104">
        <v>-12251249.295460969</v>
      </c>
      <c r="S94" s="104">
        <v>-7793867.5863977671</v>
      </c>
      <c r="T94" s="104">
        <v>6560810.6481063068</v>
      </c>
      <c r="U94" s="104">
        <v>-2483489.5895753503</v>
      </c>
    </row>
    <row r="95" spans="1:21" ht="13.2">
      <c r="A95" s="149">
        <v>86</v>
      </c>
      <c r="B95" s="148">
        <v>55539543</v>
      </c>
      <c r="C95" s="148">
        <v>55539543</v>
      </c>
      <c r="D95" s="148">
        <v>25377171.869807508</v>
      </c>
      <c r="E95" s="148">
        <v>42162757.409896724</v>
      </c>
      <c r="F95" s="148">
        <v>26798378.53888347</v>
      </c>
      <c r="G95" s="148">
        <v>15000000</v>
      </c>
      <c r="H95" s="148">
        <v>109338307.81858769</v>
      </c>
      <c r="I95" s="148">
        <v>111079086</v>
      </c>
      <c r="J95" s="148">
        <v>1740778.1814123094</v>
      </c>
      <c r="K95" s="148"/>
      <c r="N95" s="102">
        <v>71</v>
      </c>
      <c r="O95" s="104">
        <v>4241771.0777789354</v>
      </c>
      <c r="P95" s="104">
        <v>4177477.0948683619</v>
      </c>
      <c r="Q95" s="104">
        <v>9870976.7666727155</v>
      </c>
      <c r="R95" s="104">
        <v>6894020.1095297188</v>
      </c>
      <c r="S95" s="104">
        <v>-12669853.782373995</v>
      </c>
      <c r="T95" s="104">
        <v>510678.2213127166</v>
      </c>
      <c r="U95" s="104">
        <v>-12125858.936627686</v>
      </c>
    </row>
    <row r="96" spans="1:21" ht="13.2">
      <c r="A96" s="149">
        <v>87</v>
      </c>
      <c r="B96" s="148">
        <v>57412984.5</v>
      </c>
      <c r="C96" s="148">
        <v>57412984.5</v>
      </c>
      <c r="D96" s="148">
        <v>23108475.591036897</v>
      </c>
      <c r="E96" s="148">
        <v>42909742.027963653</v>
      </c>
      <c r="F96" s="148">
        <v>30768704.238719761</v>
      </c>
      <c r="G96" s="148">
        <v>15000000</v>
      </c>
      <c r="H96" s="148">
        <v>111786921.85772032</v>
      </c>
      <c r="I96" s="148">
        <v>114825969</v>
      </c>
      <c r="J96" s="148">
        <v>3039047.1422796845</v>
      </c>
      <c r="K96" s="148"/>
      <c r="N96" s="102">
        <v>72</v>
      </c>
      <c r="O96" s="104">
        <v>13397813.176525697</v>
      </c>
      <c r="P96" s="104">
        <v>4546478.6777982563</v>
      </c>
      <c r="Q96" s="104">
        <v>10543654.386072144</v>
      </c>
      <c r="R96" s="104">
        <v>1839356.7376357913</v>
      </c>
      <c r="S96" s="104">
        <v>7761302.3204945177</v>
      </c>
      <c r="T96" s="104">
        <v>-14176173.552565873</v>
      </c>
      <c r="U96" s="104">
        <v>-2367851.669392094</v>
      </c>
    </row>
    <row r="97" spans="1:21" ht="13.2">
      <c r="A97" s="149">
        <v>88</v>
      </c>
      <c r="B97" s="148">
        <v>54856392.5</v>
      </c>
      <c r="C97" s="148">
        <v>54856392.5</v>
      </c>
      <c r="D97" s="148">
        <v>23110662.551080097</v>
      </c>
      <c r="E97" s="148">
        <v>42871145.060004979</v>
      </c>
      <c r="F97" s="148">
        <v>28024449.66155668</v>
      </c>
      <c r="G97" s="148">
        <v>15000000</v>
      </c>
      <c r="H97" s="148">
        <v>109006257.27264175</v>
      </c>
      <c r="I97" s="148">
        <v>109712785</v>
      </c>
      <c r="J97" s="148">
        <v>706527.72735825181</v>
      </c>
      <c r="K97" s="148"/>
      <c r="N97" s="102">
        <v>73</v>
      </c>
      <c r="O97" s="104">
        <v>17001000.225684851</v>
      </c>
      <c r="P97" s="104">
        <v>10675339.614020467</v>
      </c>
      <c r="Q97" s="104">
        <v>16760028.845245972</v>
      </c>
      <c r="R97" s="104">
        <v>5931631.698980093</v>
      </c>
      <c r="S97" s="104">
        <v>4854589.5300509036</v>
      </c>
      <c r="T97" s="104">
        <v>-4162707.718113184</v>
      </c>
      <c r="U97" s="104">
        <v>-6403801.765072614</v>
      </c>
    </row>
    <row r="98" spans="1:21" ht="13.2">
      <c r="A98" s="149">
        <v>89</v>
      </c>
      <c r="B98" s="148">
        <v>55779519.5</v>
      </c>
      <c r="C98" s="148">
        <v>55779519.5</v>
      </c>
      <c r="D98" s="148">
        <v>22170321.671452891</v>
      </c>
      <c r="E98" s="148">
        <v>43040216.685249455</v>
      </c>
      <c r="F98" s="148">
        <v>27608860.805718753</v>
      </c>
      <c r="G98" s="148">
        <v>15000000</v>
      </c>
      <c r="H98" s="148">
        <v>107819399.16242109</v>
      </c>
      <c r="I98" s="148">
        <v>111559039</v>
      </c>
      <c r="J98" s="148">
        <v>3739639.8375789076</v>
      </c>
      <c r="K98" s="148"/>
      <c r="N98" s="102">
        <v>74</v>
      </c>
      <c r="O98" s="104">
        <v>8330593.914658621</v>
      </c>
      <c r="P98" s="104">
        <v>1871849.1220970601</v>
      </c>
      <c r="Q98" s="104">
        <v>13731377.819082618</v>
      </c>
      <c r="R98" s="104">
        <v>-1232830.0511458814</v>
      </c>
      <c r="S98" s="104">
        <v>3165438.6472661942</v>
      </c>
      <c r="T98" s="104">
        <v>4730345.1808181852</v>
      </c>
      <c r="U98" s="104">
        <v>7219534.9363284111</v>
      </c>
    </row>
    <row r="99" spans="1:21" ht="13.2">
      <c r="A99" s="149">
        <v>90</v>
      </c>
      <c r="B99" s="148">
        <v>57874832.5</v>
      </c>
      <c r="C99" s="148">
        <v>57874832.5</v>
      </c>
      <c r="D99" s="148">
        <v>24436536.889628675</v>
      </c>
      <c r="E99" s="148">
        <v>42798208.559973836</v>
      </c>
      <c r="F99" s="148">
        <v>26089415.47931698</v>
      </c>
      <c r="G99" s="148">
        <v>15000000</v>
      </c>
      <c r="H99" s="148">
        <v>108324160.92891949</v>
      </c>
      <c r="I99" s="148">
        <v>115749665</v>
      </c>
      <c r="J99" s="148">
        <v>7425504.0710805058</v>
      </c>
      <c r="K99" s="148"/>
      <c r="N99" s="102">
        <v>75</v>
      </c>
      <c r="O99" s="104">
        <v>8967674.0794717222</v>
      </c>
      <c r="P99" s="104">
        <v>1707126.2103940696</v>
      </c>
      <c r="Q99" s="104">
        <v>4902969.6839449257</v>
      </c>
      <c r="R99" s="104">
        <v>5424625.9005253762</v>
      </c>
      <c r="S99" s="104">
        <v>4624428.7991991788</v>
      </c>
      <c r="T99" s="104">
        <v>5384504.7284894586</v>
      </c>
      <c r="U99" s="104">
        <v>-6206270.5402611792</v>
      </c>
    </row>
    <row r="100" spans="1:21" ht="13.2">
      <c r="A100" s="149">
        <v>91</v>
      </c>
      <c r="B100" s="148">
        <v>58045799.5</v>
      </c>
      <c r="C100" s="148">
        <v>58045799.5</v>
      </c>
      <c r="D100" s="148">
        <v>24058152.511940178</v>
      </c>
      <c r="E100" s="148">
        <v>43817506.049196914</v>
      </c>
      <c r="F100" s="148">
        <v>27741975.787886072</v>
      </c>
      <c r="G100" s="148">
        <v>15000000</v>
      </c>
      <c r="H100" s="148">
        <v>110617634.34902316</v>
      </c>
      <c r="I100" s="148">
        <v>116091599</v>
      </c>
      <c r="J100" s="148">
        <v>5473964.6509768367</v>
      </c>
      <c r="K100" s="148"/>
      <c r="N100" s="102">
        <v>76</v>
      </c>
      <c r="O100" s="104">
        <v>12890135.656806856</v>
      </c>
      <c r="P100" s="104">
        <v>8686838.9749564677</v>
      </c>
      <c r="Q100" s="104">
        <v>11556545.612592652</v>
      </c>
      <c r="R100" s="104">
        <v>7877738.2885879576</v>
      </c>
      <c r="S100" s="104">
        <v>3077821.288927272</v>
      </c>
      <c r="T100" s="104">
        <v>14393771.217113182</v>
      </c>
      <c r="U100" s="104">
        <v>1024296.6354599297</v>
      </c>
    </row>
    <row r="101" spans="1:21" ht="13.2">
      <c r="A101" s="149">
        <v>92</v>
      </c>
      <c r="B101" s="148">
        <v>55159004</v>
      </c>
      <c r="C101" s="148">
        <v>55159004</v>
      </c>
      <c r="D101" s="148">
        <v>24706497.41819708</v>
      </c>
      <c r="E101" s="148">
        <v>43010378.278806329</v>
      </c>
      <c r="F101" s="148">
        <v>26576968.615613133</v>
      </c>
      <c r="G101" s="148">
        <v>15000000</v>
      </c>
      <c r="H101" s="148">
        <v>109293844.31261654</v>
      </c>
      <c r="I101" s="148">
        <v>110318008</v>
      </c>
      <c r="J101" s="148">
        <v>1024163.687383458</v>
      </c>
      <c r="K101" s="148"/>
      <c r="N101" s="102">
        <v>77</v>
      </c>
      <c r="O101" s="104">
        <v>2201263.4632578194</v>
      </c>
      <c r="P101" s="104">
        <v>3367738.5954782963</v>
      </c>
      <c r="Q101" s="104">
        <v>5367686.8485687673</v>
      </c>
      <c r="R101" s="104">
        <v>949073.27074463665</v>
      </c>
      <c r="S101" s="104">
        <v>630230.20171511173</v>
      </c>
      <c r="T101" s="104">
        <v>-3804279.7063474506</v>
      </c>
      <c r="U101" s="104">
        <v>7748436.4323612154</v>
      </c>
    </row>
    <row r="102" spans="1:21" ht="13.2">
      <c r="A102" s="149">
        <v>93</v>
      </c>
      <c r="B102" s="148">
        <v>56434108.5</v>
      </c>
      <c r="C102" s="148">
        <v>56434108.5</v>
      </c>
      <c r="D102" s="148">
        <v>23361656.896544714</v>
      </c>
      <c r="E102" s="148">
        <v>43228107.060180962</v>
      </c>
      <c r="F102" s="148">
        <v>25021541.230041057</v>
      </c>
      <c r="G102" s="148">
        <v>15000000</v>
      </c>
      <c r="H102" s="148">
        <v>106611305.18676673</v>
      </c>
      <c r="I102" s="148">
        <v>112868217</v>
      </c>
      <c r="J102" s="148">
        <v>6256911.8132332712</v>
      </c>
      <c r="K102" s="148"/>
      <c r="N102" s="102">
        <v>78</v>
      </c>
      <c r="O102" s="104">
        <v>15660537.090498596</v>
      </c>
      <c r="P102" s="104">
        <v>12235994.226293564</v>
      </c>
      <c r="Q102" s="104">
        <v>3715371.0542934239</v>
      </c>
      <c r="R102" s="104">
        <v>7293383.1025500596</v>
      </c>
      <c r="S102" s="104">
        <v>2982333.8922814429</v>
      </c>
      <c r="T102" s="104">
        <v>-7753588.5766341984</v>
      </c>
      <c r="U102" s="104">
        <v>10181741.826994851</v>
      </c>
    </row>
    <row r="103" spans="1:21" ht="13.2">
      <c r="A103" s="149">
        <v>94</v>
      </c>
      <c r="B103" s="148">
        <v>52818436.5</v>
      </c>
      <c r="C103" s="148">
        <v>52818436.5</v>
      </c>
      <c r="D103" s="148">
        <v>23911208.095509242</v>
      </c>
      <c r="E103" s="148">
        <v>42011108.255659953</v>
      </c>
      <c r="F103" s="148">
        <v>28961491.350353222</v>
      </c>
      <c r="G103" s="148">
        <v>15000000</v>
      </c>
      <c r="H103" s="148">
        <v>109883807.70152242</v>
      </c>
      <c r="I103" s="148">
        <v>105636873</v>
      </c>
      <c r="J103" s="148">
        <v>-4246934.7015224248</v>
      </c>
      <c r="K103" s="148"/>
      <c r="N103" s="102">
        <v>79</v>
      </c>
      <c r="O103" s="104">
        <v>15828181.810488999</v>
      </c>
      <c r="P103" s="104">
        <v>4517125.6302820593</v>
      </c>
      <c r="Q103" s="104">
        <v>2304553.3729956001</v>
      </c>
      <c r="R103" s="104">
        <v>7764413.4405290186</v>
      </c>
      <c r="S103" s="104">
        <v>4384572.5090266764</v>
      </c>
      <c r="T103" s="104">
        <v>-4205476.111349389</v>
      </c>
      <c r="U103" s="104">
        <v>5622256.9510559887</v>
      </c>
    </row>
    <row r="104" spans="1:21" ht="13.2">
      <c r="A104" s="149">
        <v>95</v>
      </c>
      <c r="B104" s="148">
        <v>58711251</v>
      </c>
      <c r="C104" s="148">
        <v>58711251</v>
      </c>
      <c r="D104" s="148">
        <v>25914611.866349492</v>
      </c>
      <c r="E104" s="148">
        <v>42719705.411687046</v>
      </c>
      <c r="F104" s="148">
        <v>28950582.948155738</v>
      </c>
      <c r="G104" s="148">
        <v>15000000</v>
      </c>
      <c r="H104" s="148">
        <v>112584900.22619227</v>
      </c>
      <c r="I104" s="148">
        <v>117422502</v>
      </c>
      <c r="J104" s="148">
        <v>4837601.7738077343</v>
      </c>
      <c r="K104" s="148"/>
      <c r="N104" s="102">
        <v>80</v>
      </c>
      <c r="O104" s="104">
        <v>9674544.5673203617</v>
      </c>
      <c r="P104" s="104">
        <v>11395608.5257653</v>
      </c>
      <c r="Q104" s="104">
        <v>6185527.6443518996</v>
      </c>
      <c r="R104" s="104">
        <v>2246947.8063169867</v>
      </c>
      <c r="S104" s="104">
        <v>-2276188.1026747674</v>
      </c>
      <c r="T104" s="104">
        <v>2442290.4273780286</v>
      </c>
      <c r="U104" s="104">
        <v>-5312339.5122579336</v>
      </c>
    </row>
    <row r="105" spans="1:21" ht="13.2">
      <c r="A105" s="149">
        <v>96</v>
      </c>
      <c r="B105" s="148">
        <v>55594785.5</v>
      </c>
      <c r="C105" s="148">
        <v>55594785.5</v>
      </c>
      <c r="D105" s="148">
        <v>24048816.470664099</v>
      </c>
      <c r="E105" s="148">
        <v>42767295.643597543</v>
      </c>
      <c r="F105" s="148">
        <v>26335199.732251622</v>
      </c>
      <c r="G105" s="148">
        <v>15000000</v>
      </c>
      <c r="H105" s="148">
        <v>108151311.84651327</v>
      </c>
      <c r="I105" s="148">
        <v>111189571</v>
      </c>
      <c r="J105" s="148">
        <v>3038259.1534867287</v>
      </c>
      <c r="K105" s="148"/>
      <c r="N105" s="102">
        <v>81</v>
      </c>
      <c r="O105" s="104">
        <v>-1619337.5335220993</v>
      </c>
      <c r="P105" s="104">
        <v>4781801.7694080174</v>
      </c>
      <c r="Q105" s="104">
        <v>12963910.137229949</v>
      </c>
      <c r="R105" s="104">
        <v>-393680.69477146864</v>
      </c>
      <c r="S105" s="104">
        <v>11122399.800638795</v>
      </c>
      <c r="T105" s="104">
        <v>-250187.92732787132</v>
      </c>
      <c r="U105" s="104">
        <v>-5444446.6245782822</v>
      </c>
    </row>
    <row r="106" spans="1:21" ht="13.2">
      <c r="A106" s="149">
        <v>97</v>
      </c>
      <c r="B106" s="148">
        <v>54453092.5</v>
      </c>
      <c r="C106" s="148">
        <v>54453092.5</v>
      </c>
      <c r="D106" s="148">
        <v>25781965.612384308</v>
      </c>
      <c r="E106" s="148">
        <v>42976278.57140328</v>
      </c>
      <c r="F106" s="148">
        <v>24524290.560216989</v>
      </c>
      <c r="G106" s="148">
        <v>15000000</v>
      </c>
      <c r="H106" s="148">
        <v>108282534.74400458</v>
      </c>
      <c r="I106" s="148">
        <v>108906185</v>
      </c>
      <c r="J106" s="148">
        <v>623650.2559954226</v>
      </c>
      <c r="K106" s="148"/>
      <c r="N106" s="102">
        <v>82</v>
      </c>
      <c r="O106" s="104">
        <v>17250128.75062035</v>
      </c>
      <c r="P106" s="104">
        <v>8545321.3003899157</v>
      </c>
      <c r="Q106" s="104">
        <v>9576974.1921076179</v>
      </c>
      <c r="R106" s="104">
        <v>3431698.0410424918</v>
      </c>
      <c r="S106" s="104">
        <v>-2220722.163101092</v>
      </c>
      <c r="T106" s="104">
        <v>-4915354.8376644552</v>
      </c>
      <c r="U106" s="104">
        <v>413670.7981095314</v>
      </c>
    </row>
    <row r="107" spans="1:21" ht="13.2">
      <c r="A107" s="149">
        <v>98</v>
      </c>
      <c r="B107" s="148">
        <v>58382286</v>
      </c>
      <c r="C107" s="148">
        <v>58382286</v>
      </c>
      <c r="D107" s="148">
        <v>25119322.54366165</v>
      </c>
      <c r="E107" s="148">
        <v>43146605.470562771</v>
      </c>
      <c r="F107" s="148">
        <v>25334386.177464414</v>
      </c>
      <c r="G107" s="148">
        <v>15000000</v>
      </c>
      <c r="H107" s="148">
        <v>108600314.19168884</v>
      </c>
      <c r="I107" s="148">
        <v>116764572</v>
      </c>
      <c r="J107" s="148">
        <v>8164257.8083111644</v>
      </c>
      <c r="K107" s="148"/>
      <c r="N107" s="102">
        <v>83</v>
      </c>
      <c r="O107" s="104">
        <v>10092189.08972466</v>
      </c>
      <c r="P107" s="104">
        <v>5856009.5377328992</v>
      </c>
      <c r="Q107" s="104">
        <v>1764522.3491243869</v>
      </c>
      <c r="R107" s="104">
        <v>2488172.5071135163</v>
      </c>
      <c r="S107" s="104">
        <v>-6314732.3980560601</v>
      </c>
      <c r="T107" s="104">
        <v>7661015.5827193558</v>
      </c>
      <c r="U107" s="104">
        <v>-62225.844392478466</v>
      </c>
    </row>
    <row r="108" spans="1:21" ht="13.2">
      <c r="A108" s="149">
        <v>99</v>
      </c>
      <c r="B108" s="148">
        <v>60651718</v>
      </c>
      <c r="C108" s="148">
        <v>60651718</v>
      </c>
      <c r="D108" s="148">
        <v>25514192.043859102</v>
      </c>
      <c r="E108" s="148">
        <v>43258395.983288899</v>
      </c>
      <c r="F108" s="148">
        <v>26998798.692427311</v>
      </c>
      <c r="G108" s="148">
        <v>15000000</v>
      </c>
      <c r="H108" s="148">
        <v>110771386.71957532</v>
      </c>
      <c r="I108" s="148">
        <v>121303436</v>
      </c>
      <c r="J108" s="148">
        <v>10532049.280424684</v>
      </c>
      <c r="K108" s="148"/>
      <c r="N108" s="102">
        <v>84</v>
      </c>
      <c r="O108" s="104">
        <v>15004995.848586619</v>
      </c>
      <c r="P108" s="104">
        <v>4946926.6423390061</v>
      </c>
      <c r="Q108" s="104">
        <v>9184878.0593288839</v>
      </c>
      <c r="R108" s="104">
        <v>-1330905.032304585</v>
      </c>
      <c r="S108" s="104">
        <v>2048122.2398699522</v>
      </c>
      <c r="T108" s="104">
        <v>7274378.8710218072</v>
      </c>
      <c r="U108" s="104">
        <v>-14272322.989245489</v>
      </c>
    </row>
    <row r="109" spans="1:21" ht="13.2">
      <c r="A109" s="149">
        <v>100</v>
      </c>
      <c r="B109" s="148">
        <v>58154955.5</v>
      </c>
      <c r="C109" s="148">
        <v>58154955.5</v>
      </c>
      <c r="D109" s="148">
        <v>22298005.804228403</v>
      </c>
      <c r="E109" s="148">
        <v>42248144.446141556</v>
      </c>
      <c r="F109" s="148">
        <v>27898973.439158935</v>
      </c>
      <c r="G109" s="148">
        <v>15000000</v>
      </c>
      <c r="H109" s="148">
        <v>107445123.6895289</v>
      </c>
      <c r="I109" s="148">
        <v>116309911</v>
      </c>
      <c r="J109" s="148">
        <v>8864787.3104711026</v>
      </c>
      <c r="K109" s="148"/>
      <c r="N109" s="102">
        <v>85</v>
      </c>
      <c r="O109" s="104">
        <v>9151368.1274535805</v>
      </c>
      <c r="P109" s="104">
        <v>8598968.6422538161</v>
      </c>
      <c r="Q109" s="104">
        <v>5273960.673669219</v>
      </c>
      <c r="R109" s="104">
        <v>6117638.447059229</v>
      </c>
      <c r="S109" s="104">
        <v>10647445.652322158</v>
      </c>
      <c r="T109" s="104">
        <v>-1942884.8299880922</v>
      </c>
      <c r="U109" s="104">
        <v>-3516172.093408823</v>
      </c>
    </row>
    <row r="110" spans="1:21" ht="13.2">
      <c r="A110" s="149">
        <v>101</v>
      </c>
      <c r="B110" s="148">
        <v>58031221</v>
      </c>
      <c r="C110" s="148">
        <v>58031221</v>
      </c>
      <c r="D110" s="148">
        <v>24718902.721171264</v>
      </c>
      <c r="E110" s="148">
        <v>43275866.359513015</v>
      </c>
      <c r="F110" s="148">
        <v>27001311.340235159</v>
      </c>
      <c r="G110" s="148">
        <v>15000000</v>
      </c>
      <c r="H110" s="148">
        <v>109996080.42091943</v>
      </c>
      <c r="I110" s="148">
        <v>116062442</v>
      </c>
      <c r="J110" s="148">
        <v>6066361.5790805668</v>
      </c>
      <c r="K110" s="148"/>
      <c r="N110" s="102">
        <v>86</v>
      </c>
      <c r="O110" s="104">
        <v>3475114.7079143673</v>
      </c>
      <c r="P110" s="104">
        <v>4749603.1902521849</v>
      </c>
      <c r="Q110" s="104">
        <v>9837362.5654397905</v>
      </c>
      <c r="R110" s="104">
        <v>6919115.7943330109</v>
      </c>
      <c r="S110" s="104">
        <v>5648386.5255798399</v>
      </c>
      <c r="T110" s="104">
        <v>-2022481.4515304714</v>
      </c>
      <c r="U110" s="104">
        <v>-5311469.3926420808</v>
      </c>
    </row>
    <row r="111" spans="1:21" ht="13.2">
      <c r="A111" s="149">
        <v>102</v>
      </c>
      <c r="B111" s="148">
        <v>53465412.5</v>
      </c>
      <c r="C111" s="148">
        <v>53465412.5</v>
      </c>
      <c r="D111" s="148">
        <v>25786633.633022349</v>
      </c>
      <c r="E111" s="148">
        <v>42519011.440832712</v>
      </c>
      <c r="F111" s="148">
        <v>25907231.485438131</v>
      </c>
      <c r="G111" s="148">
        <v>15000000</v>
      </c>
      <c r="H111" s="148">
        <v>109212876.55929318</v>
      </c>
      <c r="I111" s="148">
        <v>106930825</v>
      </c>
      <c r="J111" s="148">
        <v>-2282051.5592931807</v>
      </c>
      <c r="K111" s="148"/>
      <c r="N111" s="102">
        <v>87</v>
      </c>
      <c r="O111" s="104">
        <v>18670067.493411288</v>
      </c>
      <c r="P111" s="104">
        <v>10454764.895904332</v>
      </c>
      <c r="Q111" s="104">
        <v>7723837.7855443358</v>
      </c>
      <c r="R111" s="104">
        <v>375261.81503145397</v>
      </c>
      <c r="S111" s="104">
        <v>1805644.1808104813</v>
      </c>
      <c r="T111" s="104">
        <v>-10337108.433768392</v>
      </c>
      <c r="U111" s="104">
        <v>-6652536.2041126937</v>
      </c>
    </row>
    <row r="112" spans="1:21" ht="13.2">
      <c r="A112" s="149">
        <v>103</v>
      </c>
      <c r="B112" s="148">
        <v>60180786.5</v>
      </c>
      <c r="C112" s="148">
        <v>60180786.5</v>
      </c>
      <c r="D112" s="148">
        <v>24299222.61502545</v>
      </c>
      <c r="E112" s="148">
        <v>42604230.334696703</v>
      </c>
      <c r="F112" s="148">
        <v>27417619.812903751</v>
      </c>
      <c r="G112" s="148">
        <v>15000000</v>
      </c>
      <c r="H112" s="148">
        <v>109321072.7626259</v>
      </c>
      <c r="I112" s="148">
        <v>120361573</v>
      </c>
      <c r="J112" s="148">
        <v>11040500.237374097</v>
      </c>
      <c r="K112" s="148"/>
      <c r="N112" s="102">
        <v>88</v>
      </c>
      <c r="O112" s="104">
        <v>18717720.466047689</v>
      </c>
      <c r="P112" s="104">
        <v>3405767.4523244351</v>
      </c>
      <c r="Q112" s="104">
        <v>6426064.6959936321</v>
      </c>
      <c r="R112" s="104">
        <v>2707057.2348929644</v>
      </c>
      <c r="S112" s="104">
        <v>-7474726.0883658826</v>
      </c>
      <c r="T112" s="104">
        <v>391130.25602601469</v>
      </c>
      <c r="U112" s="104">
        <v>1800056.2638115287</v>
      </c>
    </row>
    <row r="113" spans="1:21" ht="13.2">
      <c r="A113" s="149">
        <v>104</v>
      </c>
      <c r="B113" s="148">
        <v>51731784.5</v>
      </c>
      <c r="C113" s="148">
        <v>51731784.5</v>
      </c>
      <c r="D113" s="148">
        <v>24576332.224826735</v>
      </c>
      <c r="E113" s="148">
        <v>42240578.465254836</v>
      </c>
      <c r="F113" s="148">
        <v>25026351.456603277</v>
      </c>
      <c r="G113" s="148">
        <v>15000000</v>
      </c>
      <c r="H113" s="148">
        <v>106843262.14668484</v>
      </c>
      <c r="I113" s="148">
        <v>103463569</v>
      </c>
      <c r="J113" s="148">
        <v>-3379693.1466848403</v>
      </c>
      <c r="K113" s="148"/>
      <c r="N113" s="102">
        <v>89</v>
      </c>
      <c r="O113" s="104">
        <v>15499773.396688133</v>
      </c>
      <c r="P113" s="104">
        <v>4266695.4554232955</v>
      </c>
      <c r="Q113" s="104">
        <v>4134406.8488754183</v>
      </c>
      <c r="R113" s="104">
        <v>3441026.6475475132</v>
      </c>
      <c r="S113" s="104">
        <v>-7927730.9613143802</v>
      </c>
      <c r="T113" s="104">
        <v>-2442863.4327389002</v>
      </c>
      <c r="U113" s="104">
        <v>2586895.668325901</v>
      </c>
    </row>
    <row r="114" spans="1:21" ht="13.2">
      <c r="A114" s="149">
        <v>105</v>
      </c>
      <c r="B114" s="148">
        <v>54191619.5</v>
      </c>
      <c r="C114" s="148">
        <v>54191619.5</v>
      </c>
      <c r="D114" s="148">
        <v>24038598.127733123</v>
      </c>
      <c r="E114" s="148">
        <v>41215451.743308328</v>
      </c>
      <c r="F114" s="148">
        <v>27561766.027817506</v>
      </c>
      <c r="G114" s="148">
        <v>15000000</v>
      </c>
      <c r="H114" s="148">
        <v>107815815.89885895</v>
      </c>
      <c r="I114" s="148">
        <v>108383239</v>
      </c>
      <c r="J114" s="148">
        <v>567423.10114105046</v>
      </c>
      <c r="K114" s="148"/>
      <c r="N114" s="102">
        <v>90</v>
      </c>
      <c r="O114" s="104">
        <v>12122072.663856879</v>
      </c>
      <c r="P114" s="104">
        <v>3429966.909717232</v>
      </c>
      <c r="Q114" s="104">
        <v>21223066.709343597</v>
      </c>
      <c r="R114" s="104">
        <v>9362434.8058653772</v>
      </c>
      <c r="S114" s="104">
        <v>4568685.6249091923</v>
      </c>
      <c r="T114" s="104">
        <v>2975422.8120187223</v>
      </c>
      <c r="U114" s="104">
        <v>1271503.9903262407</v>
      </c>
    </row>
    <row r="115" spans="1:21" ht="13.2">
      <c r="A115" s="149">
        <v>106</v>
      </c>
      <c r="B115" s="148">
        <v>59846392.5</v>
      </c>
      <c r="C115" s="148">
        <v>59846392.5</v>
      </c>
      <c r="D115" s="148">
        <v>22830777.780132346</v>
      </c>
      <c r="E115" s="148">
        <v>42787620.129110694</v>
      </c>
      <c r="F115" s="148">
        <v>29786899.047419492</v>
      </c>
      <c r="G115" s="148">
        <v>15000000</v>
      </c>
      <c r="H115" s="148">
        <v>110405296.95666254</v>
      </c>
      <c r="I115" s="148">
        <v>119692785</v>
      </c>
      <c r="J115" s="148">
        <v>9287488.0433374643</v>
      </c>
      <c r="K115" s="148"/>
      <c r="N115" s="102">
        <v>91</v>
      </c>
      <c r="O115" s="104">
        <v>6798859.2273036838</v>
      </c>
      <c r="P115" s="104">
        <v>3342014.9955617338</v>
      </c>
      <c r="Q115" s="104">
        <v>17632747.217351392</v>
      </c>
      <c r="R115" s="104">
        <v>7349748.1866333485</v>
      </c>
      <c r="S115" s="104">
        <v>5288208.1341495216</v>
      </c>
      <c r="T115" s="104">
        <v>5215074.2335397303</v>
      </c>
      <c r="U115" s="104">
        <v>3314876.5825625509</v>
      </c>
    </row>
    <row r="116" spans="1:21" ht="13.2">
      <c r="A116" s="149">
        <v>107</v>
      </c>
      <c r="B116" s="148">
        <v>56232617</v>
      </c>
      <c r="C116" s="148">
        <v>56232617</v>
      </c>
      <c r="D116" s="148">
        <v>22575703.615132958</v>
      </c>
      <c r="E116" s="148">
        <v>41403407.703366503</v>
      </c>
      <c r="F116" s="148">
        <v>29042117.613572974</v>
      </c>
      <c r="G116" s="148">
        <v>15000000</v>
      </c>
      <c r="H116" s="148">
        <v>108021228.93207243</v>
      </c>
      <c r="I116" s="148">
        <v>112465234</v>
      </c>
      <c r="J116" s="148">
        <v>4444005.0679275692</v>
      </c>
      <c r="K116" s="148"/>
      <c r="N116" s="102">
        <v>92</v>
      </c>
      <c r="O116" s="104">
        <v>17717689.321360216</v>
      </c>
      <c r="P116" s="104">
        <v>8607496.8396022618</v>
      </c>
      <c r="Q116" s="104">
        <v>6624107.5647669137</v>
      </c>
      <c r="R116" s="104">
        <v>1290480.7086376995</v>
      </c>
      <c r="S116" s="104">
        <v>6083699.8254863322</v>
      </c>
      <c r="T116" s="104">
        <v>-5674944.4337067306</v>
      </c>
      <c r="U116" s="104">
        <v>-2728085.6528156251</v>
      </c>
    </row>
    <row r="117" spans="1:21" ht="13.2">
      <c r="A117" s="149">
        <v>108</v>
      </c>
      <c r="B117" s="148">
        <v>56652294</v>
      </c>
      <c r="C117" s="148">
        <v>56652294</v>
      </c>
      <c r="D117" s="148">
        <v>23910913.994957611</v>
      </c>
      <c r="E117" s="148">
        <v>43625357.80290208</v>
      </c>
      <c r="F117" s="148">
        <v>26467620.068277583</v>
      </c>
      <c r="G117" s="148">
        <v>15000000</v>
      </c>
      <c r="H117" s="148">
        <v>109003891.86613728</v>
      </c>
      <c r="I117" s="148">
        <v>113304588</v>
      </c>
      <c r="J117" s="148">
        <v>4300696.1338627189</v>
      </c>
      <c r="K117" s="148"/>
      <c r="N117" s="102">
        <v>93</v>
      </c>
      <c r="O117" s="104">
        <v>19654342.661113769</v>
      </c>
      <c r="P117" s="104">
        <v>-267251.65355373919</v>
      </c>
      <c r="Q117" s="104">
        <v>3299903.7573313713</v>
      </c>
      <c r="R117" s="104">
        <v>2420329.9109084606</v>
      </c>
      <c r="S117" s="104">
        <v>3062984.1026761234</v>
      </c>
      <c r="T117" s="104">
        <v>-5186632.0149312615</v>
      </c>
      <c r="U117" s="104">
        <v>3214960.5983462036</v>
      </c>
    </row>
    <row r="118" spans="1:21" ht="13.2">
      <c r="A118" s="149">
        <v>109</v>
      </c>
      <c r="B118" s="148">
        <v>58438850.5</v>
      </c>
      <c r="C118" s="148">
        <v>58438850.5</v>
      </c>
      <c r="D118" s="148">
        <v>24038892.228284754</v>
      </c>
      <c r="E118" s="148">
        <v>42198706.441275641</v>
      </c>
      <c r="F118" s="148">
        <v>27467219.790578205</v>
      </c>
      <c r="G118" s="148">
        <v>15000000</v>
      </c>
      <c r="H118" s="148">
        <v>108704818.4601386</v>
      </c>
      <c r="I118" s="148">
        <v>116877701</v>
      </c>
      <c r="J118" s="148">
        <v>8172882.539861396</v>
      </c>
      <c r="K118" s="148"/>
      <c r="N118" s="102">
        <v>94</v>
      </c>
      <c r="O118" s="104">
        <v>19086088.087326571</v>
      </c>
      <c r="P118" s="104">
        <v>6594717.8457332253</v>
      </c>
      <c r="Q118" s="104">
        <v>5941787.219980821</v>
      </c>
      <c r="R118" s="104">
        <v>9463569.9555954188</v>
      </c>
      <c r="S118" s="104">
        <v>4070205.036872685</v>
      </c>
      <c r="T118" s="104">
        <v>-630363.51061460376</v>
      </c>
      <c r="U118" s="104">
        <v>-3711375.8707323223</v>
      </c>
    </row>
    <row r="119" spans="1:21" ht="13.2">
      <c r="A119" s="149">
        <v>110</v>
      </c>
      <c r="B119" s="148">
        <v>57790892.5</v>
      </c>
      <c r="C119" s="148">
        <v>57790892.5</v>
      </c>
      <c r="D119" s="148">
        <v>22695944.566123955</v>
      </c>
      <c r="E119" s="148">
        <v>43813858.724252358</v>
      </c>
      <c r="F119" s="148">
        <v>24953107.780907799</v>
      </c>
      <c r="G119" s="148">
        <v>15000000</v>
      </c>
      <c r="H119" s="148">
        <v>106462911.07128412</v>
      </c>
      <c r="I119" s="148">
        <v>115581785</v>
      </c>
      <c r="J119" s="148">
        <v>9118873.9287158847</v>
      </c>
      <c r="K119" s="148"/>
      <c r="N119" s="102">
        <v>95</v>
      </c>
      <c r="O119" s="104">
        <v>5763865.4898654968</v>
      </c>
      <c r="P119" s="104">
        <v>14320893.540941343</v>
      </c>
      <c r="Q119" s="104">
        <v>825966.64008750021</v>
      </c>
      <c r="R119" s="104">
        <v>4302255.9657380581</v>
      </c>
      <c r="S119" s="104">
        <v>-1551202.5644922853</v>
      </c>
      <c r="T119" s="104">
        <v>-4644992.2782536149</v>
      </c>
      <c r="U119" s="104">
        <v>-3452395.160081774</v>
      </c>
    </row>
    <row r="120" spans="1:21" ht="13.2">
      <c r="A120" s="149">
        <v>111</v>
      </c>
      <c r="B120" s="148">
        <v>58921338.5</v>
      </c>
      <c r="C120" s="148">
        <v>58921338.5</v>
      </c>
      <c r="D120" s="148">
        <v>24316001.838086035</v>
      </c>
      <c r="E120" s="148">
        <v>42241547.448440783</v>
      </c>
      <c r="F120" s="148">
        <v>23699846.01287159</v>
      </c>
      <c r="G120" s="148">
        <v>15000000</v>
      </c>
      <c r="H120" s="148">
        <v>105257395.29939841</v>
      </c>
      <c r="I120" s="148">
        <v>117842677</v>
      </c>
      <c r="J120" s="148">
        <v>12585281.700601593</v>
      </c>
      <c r="K120" s="148"/>
      <c r="N120" s="102">
        <v>96</v>
      </c>
      <c r="O120" s="104">
        <v>11153891.804777175</v>
      </c>
      <c r="P120" s="104">
        <v>17343604.865644738</v>
      </c>
      <c r="Q120" s="104">
        <v>1926601.3009359837</v>
      </c>
      <c r="R120" s="104">
        <v>2925862.6545744538</v>
      </c>
      <c r="S120" s="104">
        <v>2244463.794805944</v>
      </c>
      <c r="T120" s="104">
        <v>-535767.24836343527</v>
      </c>
      <c r="U120" s="104">
        <v>-1746619.4569136649</v>
      </c>
    </row>
    <row r="121" spans="1:21" ht="13.2">
      <c r="A121" s="149">
        <v>112</v>
      </c>
      <c r="B121" s="148">
        <v>56158812.5</v>
      </c>
      <c r="C121" s="148">
        <v>56158812.5</v>
      </c>
      <c r="D121" s="148">
        <v>24858698.056369323</v>
      </c>
      <c r="E121" s="148">
        <v>43284044.946704738</v>
      </c>
      <c r="F121" s="148">
        <v>26776441.567737397</v>
      </c>
      <c r="G121" s="148">
        <v>15000000</v>
      </c>
      <c r="H121" s="148">
        <v>109919184.57081147</v>
      </c>
      <c r="I121" s="148">
        <v>112317625</v>
      </c>
      <c r="J121" s="148">
        <v>2398440.4291885346</v>
      </c>
      <c r="K121" s="148"/>
      <c r="N121" s="102">
        <v>97</v>
      </c>
      <c r="O121" s="104">
        <v>8724482.9999447763</v>
      </c>
      <c r="P121" s="104">
        <v>7189945.6480629444</v>
      </c>
      <c r="Q121" s="104">
        <v>9487918.6782862246</v>
      </c>
      <c r="R121" s="104">
        <v>-878677.31258550286</v>
      </c>
      <c r="S121" s="104">
        <v>5348324.0050954819</v>
      </c>
      <c r="T121" s="104">
        <v>3855775.1025116146</v>
      </c>
      <c r="U121" s="104">
        <v>-2876349.43728441</v>
      </c>
    </row>
    <row r="122" spans="1:21" ht="13.2">
      <c r="A122" s="149">
        <v>113</v>
      </c>
      <c r="B122" s="148">
        <v>53060877</v>
      </c>
      <c r="C122" s="148">
        <v>53060877</v>
      </c>
      <c r="D122" s="148">
        <v>23905951.873767938</v>
      </c>
      <c r="E122" s="148">
        <v>43854788.995590344</v>
      </c>
      <c r="F122" s="148">
        <v>27028908.124577567</v>
      </c>
      <c r="G122" s="148">
        <v>15000000</v>
      </c>
      <c r="H122" s="148">
        <v>109789648.99393585</v>
      </c>
      <c r="I122" s="148">
        <v>106121754</v>
      </c>
      <c r="J122" s="148">
        <v>-3667894.9939358532</v>
      </c>
      <c r="K122" s="148"/>
      <c r="N122" s="102">
        <v>98</v>
      </c>
      <c r="O122" s="104">
        <v>10108310.735720068</v>
      </c>
      <c r="P122" s="104">
        <v>13418797.597588539</v>
      </c>
      <c r="Q122" s="104">
        <v>16551972.053293452</v>
      </c>
      <c r="R122" s="104">
        <v>15878940.41486536</v>
      </c>
      <c r="S122" s="104">
        <v>7243051.6906772256</v>
      </c>
      <c r="T122" s="104">
        <v>-5077188.1092166156</v>
      </c>
      <c r="U122" s="104">
        <v>-4565679.7695754766</v>
      </c>
    </row>
    <row r="123" spans="1:21" ht="13.2">
      <c r="A123" s="149">
        <v>114</v>
      </c>
      <c r="B123" s="148">
        <v>56990981.5</v>
      </c>
      <c r="C123" s="148">
        <v>56990981.5</v>
      </c>
      <c r="D123" s="148">
        <v>23508895.413527284</v>
      </c>
      <c r="E123" s="148">
        <v>42878730.267443687</v>
      </c>
      <c r="F123" s="148">
        <v>27329729.027371343</v>
      </c>
      <c r="G123" s="148">
        <v>15000000</v>
      </c>
      <c r="H123" s="148">
        <v>108717354.70834231</v>
      </c>
      <c r="I123" s="148">
        <v>113981963</v>
      </c>
      <c r="J123" s="148">
        <v>5264608.2916576862</v>
      </c>
      <c r="K123" s="148"/>
      <c r="N123" s="102">
        <v>99</v>
      </c>
      <c r="O123" s="104">
        <v>14125696.239446938</v>
      </c>
      <c r="P123" s="104">
        <v>18576073.00273338</v>
      </c>
      <c r="Q123" s="104">
        <v>8957149.0073349327</v>
      </c>
      <c r="R123" s="104">
        <v>4748469.8678314537</v>
      </c>
      <c r="S123" s="104">
        <v>-714402.66551038623</v>
      </c>
      <c r="T123" s="104">
        <v>3299869.647003293</v>
      </c>
      <c r="U123" s="104">
        <v>2521741.1176089346</v>
      </c>
    </row>
    <row r="124" spans="1:21" ht="13.2">
      <c r="A124" s="149">
        <v>115</v>
      </c>
      <c r="B124" s="148">
        <v>58881573</v>
      </c>
      <c r="C124" s="148">
        <v>58881573</v>
      </c>
      <c r="D124" s="148">
        <v>24571664.204188693</v>
      </c>
      <c r="E124" s="148">
        <v>42337345.804015383</v>
      </c>
      <c r="F124" s="148">
        <v>28161493.315161977</v>
      </c>
      <c r="G124" s="148">
        <v>15000000</v>
      </c>
      <c r="H124" s="148">
        <v>110070503.32336605</v>
      </c>
      <c r="I124" s="148">
        <v>117763146</v>
      </c>
      <c r="J124" s="148">
        <v>7692642.676633954</v>
      </c>
      <c r="K124" s="148"/>
      <c r="N124" s="102">
        <v>100</v>
      </c>
      <c r="O124" s="104">
        <v>9982995.9834474772</v>
      </c>
      <c r="P124" s="104">
        <v>1030555.2789319456</v>
      </c>
      <c r="Q124" s="104">
        <v>4364504.1128926575</v>
      </c>
      <c r="R124" s="104">
        <v>4410481.5882299542</v>
      </c>
      <c r="S124" s="104">
        <v>-2807656.3454470336</v>
      </c>
      <c r="T124" s="104">
        <v>6415068.0496771336</v>
      </c>
      <c r="U124" s="104">
        <v>-6116527.956443727</v>
      </c>
    </row>
    <row r="125" spans="1:21" ht="13.2">
      <c r="A125" s="149">
        <v>116</v>
      </c>
      <c r="B125" s="148">
        <v>55270073</v>
      </c>
      <c r="C125" s="148">
        <v>55270073</v>
      </c>
      <c r="D125" s="148">
        <v>25521635.225643612</v>
      </c>
      <c r="E125" s="148">
        <v>43907635.382214606</v>
      </c>
      <c r="F125" s="148">
        <v>28785368.88643267</v>
      </c>
      <c r="G125" s="148">
        <v>15000000</v>
      </c>
      <c r="H125" s="148">
        <v>113214639.49429089</v>
      </c>
      <c r="I125" s="148">
        <v>110540146</v>
      </c>
      <c r="J125" s="148">
        <v>-2674493.4942908883</v>
      </c>
      <c r="K125" s="148"/>
      <c r="N125" s="102">
        <v>101</v>
      </c>
      <c r="O125" s="104">
        <v>4927645.9354973882</v>
      </c>
      <c r="P125" s="104">
        <v>-747300.03395774961</v>
      </c>
      <c r="Q125" s="104">
        <v>-5323125.4135335684</v>
      </c>
      <c r="R125" s="104">
        <v>7391859.6499319822</v>
      </c>
      <c r="S125" s="104">
        <v>-112838.17358805239</v>
      </c>
      <c r="T125" s="104">
        <v>-2362178.7147384286</v>
      </c>
      <c r="U125" s="104">
        <v>-1423458.7189041376</v>
      </c>
    </row>
    <row r="126" spans="1:21" ht="13.2">
      <c r="A126" s="149">
        <v>117</v>
      </c>
      <c r="B126" s="148">
        <v>58264705</v>
      </c>
      <c r="C126" s="148">
        <v>58264705</v>
      </c>
      <c r="D126" s="148">
        <v>23498677.070596304</v>
      </c>
      <c r="E126" s="148">
        <v>43473218.895960599</v>
      </c>
      <c r="F126" s="148">
        <v>26458861.094221063</v>
      </c>
      <c r="G126" s="148">
        <v>15000000</v>
      </c>
      <c r="H126" s="148">
        <v>108430757.06077796</v>
      </c>
      <c r="I126" s="148">
        <v>116529410</v>
      </c>
      <c r="J126" s="148">
        <v>8098652.9392220378</v>
      </c>
      <c r="K126" s="148"/>
      <c r="N126" s="102">
        <v>102</v>
      </c>
      <c r="O126" s="104">
        <v>15986987.037082106</v>
      </c>
      <c r="P126" s="104">
        <v>4867542.6262169927</v>
      </c>
      <c r="Q126" s="104">
        <v>6123904.9057386518</v>
      </c>
      <c r="R126" s="104">
        <v>2914010.2404130995</v>
      </c>
      <c r="S126" s="104">
        <v>7781051.0357501358</v>
      </c>
      <c r="T126" s="104">
        <v>-5744811.2171717882</v>
      </c>
      <c r="U126" s="104">
        <v>5558070.908568114</v>
      </c>
    </row>
    <row r="127" spans="1:21" ht="13.2">
      <c r="A127" s="149">
        <v>118</v>
      </c>
      <c r="B127" s="148">
        <v>60403256.5</v>
      </c>
      <c r="C127" s="148">
        <v>60403256.5</v>
      </c>
      <c r="D127" s="148">
        <v>25644357.237229448</v>
      </c>
      <c r="E127" s="148">
        <v>41086180.323740825</v>
      </c>
      <c r="F127" s="148">
        <v>27617949.130509146</v>
      </c>
      <c r="G127" s="148">
        <v>15000000</v>
      </c>
      <c r="H127" s="148">
        <v>109348486.69147941</v>
      </c>
      <c r="I127" s="148">
        <v>120806513</v>
      </c>
      <c r="J127" s="148">
        <v>11458026.308520585</v>
      </c>
      <c r="K127" s="148"/>
      <c r="N127" s="102">
        <v>103</v>
      </c>
      <c r="O127" s="104">
        <v>6808385.9010333866</v>
      </c>
      <c r="P127" s="104">
        <v>1999226.8735570908</v>
      </c>
      <c r="Q127" s="104">
        <v>2419234.2506179363</v>
      </c>
      <c r="R127" s="104">
        <v>-205879.47556838393</v>
      </c>
      <c r="S127" s="104">
        <v>-1132999.0885447562</v>
      </c>
      <c r="T127" s="104">
        <v>-1640589.9622079283</v>
      </c>
      <c r="U127" s="104">
        <v>-3121948.8588179797</v>
      </c>
    </row>
    <row r="128" spans="1:21" ht="13.2">
      <c r="A128" s="149">
        <v>119</v>
      </c>
      <c r="B128" s="148">
        <v>58577951.5</v>
      </c>
      <c r="C128" s="148">
        <v>58577951.5</v>
      </c>
      <c r="D128" s="148">
        <v>23243014.704493649</v>
      </c>
      <c r="E128" s="148">
        <v>42860205.392585531</v>
      </c>
      <c r="F128" s="148">
        <v>26298594.540355623</v>
      </c>
      <c r="G128" s="148">
        <v>15000000</v>
      </c>
      <c r="H128" s="148">
        <v>107401814.63743481</v>
      </c>
      <c r="I128" s="148">
        <v>117155903</v>
      </c>
      <c r="J128" s="148">
        <v>9754088.3625651896</v>
      </c>
      <c r="K128" s="148"/>
      <c r="N128" s="102">
        <v>104</v>
      </c>
      <c r="O128" s="104">
        <v>14780933.41937241</v>
      </c>
      <c r="P128" s="104">
        <v>7738401.2198056579</v>
      </c>
      <c r="Q128" s="104">
        <v>2153918.4686419815</v>
      </c>
      <c r="R128" s="104">
        <v>9791671.282075718</v>
      </c>
      <c r="S128" s="104">
        <v>-4615602.3720633239</v>
      </c>
      <c r="T128" s="104">
        <v>2108928.3525672853</v>
      </c>
      <c r="U128" s="104">
        <v>-103353.18382528424</v>
      </c>
    </row>
    <row r="129" spans="1:21" ht="13.2">
      <c r="A129" s="149">
        <v>120</v>
      </c>
      <c r="B129" s="148">
        <v>55524258</v>
      </c>
      <c r="C129" s="148">
        <v>55524258</v>
      </c>
      <c r="D129" s="148">
        <v>24593405.548438951</v>
      </c>
      <c r="E129" s="148">
        <v>43412528.760428458</v>
      </c>
      <c r="F129" s="148">
        <v>27211994.488613948</v>
      </c>
      <c r="G129" s="148">
        <v>15000000</v>
      </c>
      <c r="H129" s="148">
        <v>110217928.79748136</v>
      </c>
      <c r="I129" s="148">
        <v>111048516</v>
      </c>
      <c r="J129" s="148">
        <v>830587.20251864195</v>
      </c>
      <c r="K129" s="148"/>
      <c r="N129" s="102">
        <v>105</v>
      </c>
      <c r="O129" s="104">
        <v>9513023.1503279209</v>
      </c>
      <c r="P129" s="104">
        <v>5036541.6725370586</v>
      </c>
      <c r="Q129" s="104">
        <v>-3518118.3136626929</v>
      </c>
      <c r="R129" s="104">
        <v>12470199.880528569</v>
      </c>
      <c r="S129" s="104">
        <v>9753937.6820501685</v>
      </c>
      <c r="T129" s="104">
        <v>-1254950.8402057737</v>
      </c>
      <c r="U129" s="104">
        <v>390574.74184837937</v>
      </c>
    </row>
    <row r="130" spans="1:21" ht="13.2">
      <c r="A130" s="149">
        <v>121</v>
      </c>
      <c r="B130" s="148">
        <v>57012777</v>
      </c>
      <c r="C130" s="148">
        <v>57012777</v>
      </c>
      <c r="D130" s="148">
        <v>24169351.522206731</v>
      </c>
      <c r="E130" s="148">
        <v>43386009.752697006</v>
      </c>
      <c r="F130" s="148">
        <v>28834294.221516907</v>
      </c>
      <c r="G130" s="148">
        <v>15000000</v>
      </c>
      <c r="H130" s="148">
        <v>111389655.49642065</v>
      </c>
      <c r="I130" s="148">
        <v>114025554</v>
      </c>
      <c r="J130" s="148">
        <v>2635898.5035793483</v>
      </c>
      <c r="K130" s="148"/>
      <c r="N130" s="102">
        <v>106</v>
      </c>
      <c r="O130" s="104">
        <v>-1635397.6436402053</v>
      </c>
      <c r="P130" s="104">
        <v>7838287.0600755811</v>
      </c>
      <c r="Q130" s="104">
        <v>14657341.054053441</v>
      </c>
      <c r="R130" s="104">
        <v>10096432.502038062</v>
      </c>
      <c r="S130" s="104">
        <v>-3706282.7129903734</v>
      </c>
      <c r="T130" s="104">
        <v>4792834.3138810396</v>
      </c>
      <c r="U130" s="104">
        <v>8632560.6313604414</v>
      </c>
    </row>
    <row r="131" spans="1:21" ht="13.2">
      <c r="A131" s="149">
        <v>122</v>
      </c>
      <c r="B131" s="148">
        <v>56853652.5</v>
      </c>
      <c r="C131" s="148">
        <v>56853652.5</v>
      </c>
      <c r="D131" s="148">
        <v>23513563.434165321</v>
      </c>
      <c r="E131" s="148">
        <v>43013596.602820694</v>
      </c>
      <c r="F131" s="148">
        <v>28310552.198296867</v>
      </c>
      <c r="G131" s="148">
        <v>15000000</v>
      </c>
      <c r="H131" s="148">
        <v>109837712.23528288</v>
      </c>
      <c r="I131" s="148">
        <v>113707305</v>
      </c>
      <c r="J131" s="148">
        <v>3869592.764717117</v>
      </c>
      <c r="K131" s="148"/>
      <c r="N131" s="102">
        <v>107</v>
      </c>
      <c r="O131" s="104">
        <v>11664816.52602312</v>
      </c>
      <c r="P131" s="104">
        <v>10478094.595876768</v>
      </c>
      <c r="Q131" s="104">
        <v>16087595.621855989</v>
      </c>
      <c r="R131" s="104">
        <v>12025992.443608716</v>
      </c>
      <c r="S131" s="104">
        <v>-13550760.795097008</v>
      </c>
      <c r="T131" s="104">
        <v>60516.637297436595</v>
      </c>
      <c r="U131" s="104">
        <v>-9505395.3818034679</v>
      </c>
    </row>
    <row r="132" spans="1:21" ht="13.2">
      <c r="A132" s="149">
        <v>123</v>
      </c>
      <c r="B132" s="148">
        <v>57830803.5</v>
      </c>
      <c r="C132" s="148">
        <v>57830803.5</v>
      </c>
      <c r="D132" s="148">
        <v>24311627.917999633</v>
      </c>
      <c r="E132" s="148">
        <v>43445697.847754039</v>
      </c>
      <c r="F132" s="148">
        <v>24750249.388969857</v>
      </c>
      <c r="G132" s="148">
        <v>15000000</v>
      </c>
      <c r="H132" s="148">
        <v>107507575.15472353</v>
      </c>
      <c r="I132" s="148">
        <v>115661607</v>
      </c>
      <c r="J132" s="148">
        <v>8154031.845276475</v>
      </c>
      <c r="K132" s="148"/>
      <c r="N132" s="102">
        <v>108</v>
      </c>
      <c r="O132" s="104">
        <v>16941924.623276144</v>
      </c>
      <c r="P132" s="104">
        <v>13034358.615873352</v>
      </c>
      <c r="Q132" s="104">
        <v>4321255.4498627037</v>
      </c>
      <c r="R132" s="104">
        <v>5842897.2558219433</v>
      </c>
      <c r="S132" s="104">
        <v>7299249.5433649868</v>
      </c>
      <c r="T132" s="104">
        <v>6891082.5720029026</v>
      </c>
      <c r="U132" s="104">
        <v>2447134.4594813883</v>
      </c>
    </row>
    <row r="133" spans="1:21" ht="13.2">
      <c r="A133" s="149">
        <v>124</v>
      </c>
      <c r="B133" s="148">
        <v>55019628.5</v>
      </c>
      <c r="C133" s="148">
        <v>55019628.5</v>
      </c>
      <c r="D133" s="148">
        <v>22708349.869098138</v>
      </c>
      <c r="E133" s="148">
        <v>42845634.075510032</v>
      </c>
      <c r="F133" s="148">
        <v>28143664.090875734</v>
      </c>
      <c r="G133" s="148">
        <v>15000000</v>
      </c>
      <c r="H133" s="148">
        <v>108697648.0354839</v>
      </c>
      <c r="I133" s="148">
        <v>110039257</v>
      </c>
      <c r="J133" s="148">
        <v>1341608.9645161033</v>
      </c>
      <c r="K133" s="148"/>
      <c r="N133" s="102">
        <v>109</v>
      </c>
      <c r="O133" s="104">
        <v>11929675.936353058</v>
      </c>
      <c r="P133" s="104">
        <v>10493468.428762138</v>
      </c>
      <c r="Q133" s="104">
        <v>4349114.8902186751</v>
      </c>
      <c r="R133" s="104">
        <v>3182193.4371138215</v>
      </c>
      <c r="S133" s="104">
        <v>4915941.5513494611</v>
      </c>
      <c r="T133" s="104">
        <v>2141267.8367409557</v>
      </c>
      <c r="U133" s="104">
        <v>6140198.3271488696</v>
      </c>
    </row>
    <row r="134" spans="1:21" ht="13.2">
      <c r="A134" s="149">
        <v>125</v>
      </c>
      <c r="B134" s="148">
        <v>59142065</v>
      </c>
      <c r="C134" s="148">
        <v>59142065</v>
      </c>
      <c r="D134" s="148">
        <v>23371287.038372427</v>
      </c>
      <c r="E134" s="148">
        <v>43860858.29444956</v>
      </c>
      <c r="F134" s="148">
        <v>28250667.172182657</v>
      </c>
      <c r="G134" s="148">
        <v>15000000</v>
      </c>
      <c r="H134" s="148">
        <v>110482812.50500464</v>
      </c>
      <c r="I134" s="148">
        <v>118284130</v>
      </c>
      <c r="J134" s="148">
        <v>7801317.4949953556</v>
      </c>
      <c r="K134" s="148"/>
      <c r="N134" s="102">
        <v>110</v>
      </c>
      <c r="O134" s="104">
        <v>30018726.64907752</v>
      </c>
      <c r="P134" s="104">
        <v>3080879.0203490406</v>
      </c>
      <c r="Q134" s="104">
        <v>7984704.9567142725</v>
      </c>
      <c r="R134" s="104">
        <v>5833272.6846276075</v>
      </c>
      <c r="S134" s="104">
        <v>-5867669.52891168</v>
      </c>
      <c r="T134" s="104">
        <v>3266880.1956219077</v>
      </c>
      <c r="U134" s="104">
        <v>-4503451.3939329237</v>
      </c>
    </row>
    <row r="135" spans="1:21" ht="13.2">
      <c r="A135" s="149">
        <v>126</v>
      </c>
      <c r="B135" s="148">
        <v>50090531.5</v>
      </c>
      <c r="C135" s="148">
        <v>50090531.5</v>
      </c>
      <c r="D135" s="148">
        <v>25518860.064497139</v>
      </c>
      <c r="E135" s="148">
        <v>42950303.780394651</v>
      </c>
      <c r="F135" s="148">
        <v>26129955.737669364</v>
      </c>
      <c r="G135" s="148">
        <v>15000000</v>
      </c>
      <c r="H135" s="148">
        <v>109599119.58256115</v>
      </c>
      <c r="I135" s="148">
        <v>100181063</v>
      </c>
      <c r="J135" s="148">
        <v>-9418056.5825611502</v>
      </c>
      <c r="K135" s="148"/>
      <c r="N135" s="102">
        <v>111</v>
      </c>
      <c r="O135" s="104">
        <v>4648912.5403175056</v>
      </c>
      <c r="P135" s="104">
        <v>4989338.1256246418</v>
      </c>
      <c r="Q135" s="104">
        <v>2883621.9488742054</v>
      </c>
      <c r="R135" s="104">
        <v>7735086.5080720186</v>
      </c>
      <c r="S135" s="104">
        <v>8097669.9719782621</v>
      </c>
      <c r="T135" s="104">
        <v>-4371421.8498618603</v>
      </c>
      <c r="U135" s="104">
        <v>1302600.8753299415</v>
      </c>
    </row>
    <row r="136" spans="1:21" ht="13.2">
      <c r="A136" s="149">
        <v>127</v>
      </c>
      <c r="B136" s="148">
        <v>51066820.5</v>
      </c>
      <c r="C136" s="148">
        <v>51066820.5</v>
      </c>
      <c r="D136" s="148">
        <v>25372209.748617835</v>
      </c>
      <c r="E136" s="148">
        <v>41716815.147348784</v>
      </c>
      <c r="F136" s="148">
        <v>29413544.393138327</v>
      </c>
      <c r="G136" s="148">
        <v>15000000</v>
      </c>
      <c r="H136" s="148">
        <v>111502569.28910494</v>
      </c>
      <c r="I136" s="148">
        <v>102133641</v>
      </c>
      <c r="J136" s="148">
        <v>-9368928.2891049385</v>
      </c>
      <c r="K136" s="148"/>
      <c r="N136" s="102">
        <v>112</v>
      </c>
      <c r="O136" s="104">
        <v>10020588.847944289</v>
      </c>
      <c r="P136" s="104">
        <v>7432419.837717846</v>
      </c>
      <c r="Q136" s="104">
        <v>9655721.296013549</v>
      </c>
      <c r="R136" s="104">
        <v>8315026.0603247285</v>
      </c>
      <c r="S136" s="104">
        <v>5431732.0249914527</v>
      </c>
      <c r="T136" s="104">
        <v>-6905656.3734979331</v>
      </c>
      <c r="U136" s="104">
        <v>-8818984.8356795013</v>
      </c>
    </row>
    <row r="137" spans="1:21" ht="13.2">
      <c r="A137" s="149">
        <v>128</v>
      </c>
      <c r="B137" s="148">
        <v>56311976.5</v>
      </c>
      <c r="C137" s="148">
        <v>56311976.5</v>
      </c>
      <c r="D137" s="148">
        <v>24451423.253197692</v>
      </c>
      <c r="E137" s="148">
        <v>43561458.09407644</v>
      </c>
      <c r="F137" s="148">
        <v>27285251.358878709</v>
      </c>
      <c r="G137" s="148">
        <v>15000000</v>
      </c>
      <c r="H137" s="148">
        <v>110298132.70615283</v>
      </c>
      <c r="I137" s="148">
        <v>112623953</v>
      </c>
      <c r="J137" s="148">
        <v>2325820.2938471735</v>
      </c>
      <c r="K137" s="148"/>
      <c r="N137" s="102">
        <v>113</v>
      </c>
      <c r="O137" s="104">
        <v>13582153.699326187</v>
      </c>
      <c r="P137" s="104">
        <v>8888961.0145865828</v>
      </c>
      <c r="Q137" s="104">
        <v>11191816.302304924</v>
      </c>
      <c r="R137" s="104">
        <v>7436618.2591643631</v>
      </c>
      <c r="S137" s="104">
        <v>-401066.6457554549</v>
      </c>
      <c r="T137" s="104">
        <v>-10584766.837859079</v>
      </c>
      <c r="U137" s="104">
        <v>-10111907.537011683</v>
      </c>
    </row>
    <row r="138" spans="1:21" ht="13.2">
      <c r="A138" s="149">
        <v>129</v>
      </c>
      <c r="B138" s="148">
        <v>55940980.5</v>
      </c>
      <c r="C138" s="148">
        <v>55940980.5</v>
      </c>
      <c r="D138" s="148">
        <v>25649613.458970755</v>
      </c>
      <c r="E138" s="148">
        <v>44366164.533337571</v>
      </c>
      <c r="F138" s="148">
        <v>27854223.72842709</v>
      </c>
      <c r="G138" s="148">
        <v>15000000</v>
      </c>
      <c r="H138" s="148">
        <v>112870001.7207354</v>
      </c>
      <c r="I138" s="148">
        <v>111881961</v>
      </c>
      <c r="J138" s="148">
        <v>-988040.72073540092</v>
      </c>
      <c r="K138" s="148"/>
      <c r="N138" s="102">
        <v>114</v>
      </c>
      <c r="O138" s="104">
        <v>7954327.7293385863</v>
      </c>
      <c r="P138" s="104">
        <v>3042604.021014303</v>
      </c>
      <c r="Q138" s="104">
        <v>16603997.976828367</v>
      </c>
      <c r="R138" s="104">
        <v>-6406542.7303262353</v>
      </c>
      <c r="S138" s="104">
        <v>3066761.83692801</v>
      </c>
      <c r="T138" s="104">
        <v>-10909102.333166957</v>
      </c>
      <c r="U138" s="104">
        <v>-648504.99843016267</v>
      </c>
    </row>
    <row r="139" spans="1:21" ht="13.2">
      <c r="A139" s="149">
        <v>130</v>
      </c>
      <c r="B139" s="148">
        <v>51811052.5</v>
      </c>
      <c r="C139" s="148">
        <v>51811052.5</v>
      </c>
      <c r="D139" s="148">
        <v>23105994.530442059</v>
      </c>
      <c r="E139" s="148">
        <v>41910105.054258004</v>
      </c>
      <c r="F139" s="148">
        <v>26987829.203946389</v>
      </c>
      <c r="G139" s="148">
        <v>15000000</v>
      </c>
      <c r="H139" s="148">
        <v>107003928.78864646</v>
      </c>
      <c r="I139" s="148">
        <v>103622105</v>
      </c>
      <c r="J139" s="148">
        <v>-3381823.7886464596</v>
      </c>
      <c r="K139" s="148"/>
      <c r="N139" s="102">
        <v>115</v>
      </c>
      <c r="O139" s="104">
        <v>5269025.3723913729</v>
      </c>
      <c r="P139" s="104">
        <v>4657826.8071082085</v>
      </c>
      <c r="Q139" s="104">
        <v>2788091.9947458208</v>
      </c>
      <c r="R139" s="104">
        <v>4125119.2700206637</v>
      </c>
      <c r="S139" s="104">
        <v>-515907.67946946621</v>
      </c>
      <c r="T139" s="104">
        <v>3230502.6507999301</v>
      </c>
      <c r="U139" s="104">
        <v>-1220514.057256937</v>
      </c>
    </row>
    <row r="140" spans="1:21" ht="13.2">
      <c r="A140" s="149">
        <v>131</v>
      </c>
      <c r="B140" s="148">
        <v>55590843</v>
      </c>
      <c r="C140" s="148">
        <v>55590843</v>
      </c>
      <c r="D140" s="148">
        <v>22971161.316433672</v>
      </c>
      <c r="E140" s="148">
        <v>44203815.250831336</v>
      </c>
      <c r="F140" s="148">
        <v>29351513.507159151</v>
      </c>
      <c r="G140" s="148">
        <v>15000000</v>
      </c>
      <c r="H140" s="148">
        <v>111526490.07442415</v>
      </c>
      <c r="I140" s="148">
        <v>111181686</v>
      </c>
      <c r="J140" s="148">
        <v>-344804.07442414761</v>
      </c>
      <c r="K140" s="148"/>
      <c r="N140" s="102">
        <v>116</v>
      </c>
      <c r="O140" s="104">
        <v>8193979.4537384808</v>
      </c>
      <c r="P140" s="104">
        <v>10011547.136708021</v>
      </c>
      <c r="Q140" s="104">
        <v>11228827.657256931</v>
      </c>
      <c r="R140" s="104">
        <v>6279503.3253016472</v>
      </c>
      <c r="S140" s="104">
        <v>-861648.69103956223</v>
      </c>
      <c r="T140" s="104">
        <v>-2415546.5570399165</v>
      </c>
      <c r="U140" s="104">
        <v>3676027.0928589404</v>
      </c>
    </row>
    <row r="141" spans="1:21" ht="13.2">
      <c r="A141" s="149">
        <v>132</v>
      </c>
      <c r="B141" s="148">
        <v>53018395.5</v>
      </c>
      <c r="C141" s="148">
        <v>53018395.5</v>
      </c>
      <c r="D141" s="148">
        <v>22971161.316433672</v>
      </c>
      <c r="E141" s="148">
        <v>41826986.857871845</v>
      </c>
      <c r="F141" s="148">
        <v>24817195.372022338</v>
      </c>
      <c r="G141" s="148">
        <v>15000000</v>
      </c>
      <c r="H141" s="148">
        <v>104615343.54632786</v>
      </c>
      <c r="I141" s="148">
        <v>106036791</v>
      </c>
      <c r="J141" s="148">
        <v>1421447.4536721408</v>
      </c>
      <c r="K141" s="148"/>
      <c r="N141" s="102">
        <v>117</v>
      </c>
      <c r="O141" s="104">
        <v>7295127.3489418477</v>
      </c>
      <c r="P141" s="104">
        <v>1944802.7457294464</v>
      </c>
      <c r="Q141" s="104">
        <v>6117365.0762335956</v>
      </c>
      <c r="R141" s="104">
        <v>2444313.9195198268</v>
      </c>
      <c r="S141" s="104">
        <v>3598155.1478798091</v>
      </c>
      <c r="T141" s="104">
        <v>-1956569.3513530195</v>
      </c>
      <c r="U141" s="104">
        <v>1196337.7794956118</v>
      </c>
    </row>
    <row r="142" spans="1:21" ht="13.2">
      <c r="A142" s="149">
        <v>133</v>
      </c>
      <c r="B142" s="148">
        <v>55288570</v>
      </c>
      <c r="C142" s="148">
        <v>55288570</v>
      </c>
      <c r="D142" s="148">
        <v>25912130.805754654</v>
      </c>
      <c r="E142" s="148">
        <v>42117354.835298143</v>
      </c>
      <c r="F142" s="148">
        <v>28054231.57061984</v>
      </c>
      <c r="G142" s="148">
        <v>15000000</v>
      </c>
      <c r="H142" s="148">
        <v>111083717.21167263</v>
      </c>
      <c r="I142" s="148">
        <v>110577140</v>
      </c>
      <c r="J142" s="148">
        <v>-506577.21167263389</v>
      </c>
      <c r="K142" s="148"/>
      <c r="N142" s="102">
        <v>118</v>
      </c>
      <c r="O142" s="104">
        <v>13462504.114864185</v>
      </c>
      <c r="P142" s="104">
        <v>321697.76294666529</v>
      </c>
      <c r="Q142" s="104">
        <v>3654936.3429080695</v>
      </c>
      <c r="R142" s="104">
        <v>5217936.5354818106</v>
      </c>
      <c r="S142" s="104">
        <v>2078243.3851430118</v>
      </c>
      <c r="T142" s="104">
        <v>1333882.8765065521</v>
      </c>
      <c r="U142" s="104">
        <v>-4797200.2680730522</v>
      </c>
    </row>
    <row r="143" spans="1:21" ht="13.2">
      <c r="A143" s="149">
        <v>134</v>
      </c>
      <c r="B143" s="148">
        <v>61040514</v>
      </c>
      <c r="C143" s="148">
        <v>61040514</v>
      </c>
      <c r="D143" s="148">
        <v>25379064.729299083</v>
      </c>
      <c r="E143" s="148">
        <v>42917451.909376189</v>
      </c>
      <c r="F143" s="148">
        <v>24989440.646204308</v>
      </c>
      <c r="G143" s="148">
        <v>15000000</v>
      </c>
      <c r="H143" s="148">
        <v>108285957.28487958</v>
      </c>
      <c r="I143" s="148">
        <v>122081028</v>
      </c>
      <c r="J143" s="148">
        <v>13795070.71512042</v>
      </c>
      <c r="K143" s="148"/>
      <c r="N143" s="102">
        <v>119</v>
      </c>
      <c r="O143" s="104">
        <v>11931818.637963399</v>
      </c>
      <c r="P143" s="104">
        <v>15324995.041848168</v>
      </c>
      <c r="Q143" s="104">
        <v>7162994.6436273158</v>
      </c>
      <c r="R143" s="104">
        <v>5038980.2122058123</v>
      </c>
      <c r="S143" s="104">
        <v>-2871765.6963604391</v>
      </c>
      <c r="T143" s="104">
        <v>10078823.410920575</v>
      </c>
      <c r="U143" s="104">
        <v>-4578602.0820812285</v>
      </c>
    </row>
    <row r="144" spans="1:21" ht="13.2">
      <c r="A144" s="149">
        <v>135</v>
      </c>
      <c r="B144" s="148">
        <v>51281292</v>
      </c>
      <c r="C144" s="148">
        <v>51281292</v>
      </c>
      <c r="D144" s="148">
        <v>24854030.035731282</v>
      </c>
      <c r="E144" s="148">
        <v>42875211.041113511</v>
      </c>
      <c r="F144" s="148">
        <v>28359118.912923146</v>
      </c>
      <c r="G144" s="148">
        <v>15000000</v>
      </c>
      <c r="H144" s="148">
        <v>111088359.98976794</v>
      </c>
      <c r="I144" s="148">
        <v>102562584</v>
      </c>
      <c r="J144" s="148">
        <v>-8525775.9897679389</v>
      </c>
      <c r="K144" s="148"/>
      <c r="N144" s="102">
        <v>120</v>
      </c>
      <c r="O144" s="104">
        <v>18455583.675446674</v>
      </c>
      <c r="P144" s="104">
        <v>770275.43281957507</v>
      </c>
      <c r="Q144" s="104">
        <v>-7699928.3674689531</v>
      </c>
      <c r="R144" s="104">
        <v>5620550.1753932238</v>
      </c>
      <c r="S144" s="104">
        <v>3923990.6560119092</v>
      </c>
      <c r="T144" s="104">
        <v>5981527.3901448697</v>
      </c>
      <c r="U144" s="104">
        <v>-7069292.4062189162</v>
      </c>
    </row>
    <row r="145" spans="1:21" ht="13.2">
      <c r="A145" s="149">
        <v>136</v>
      </c>
      <c r="B145" s="148">
        <v>55364228.5</v>
      </c>
      <c r="C145" s="148">
        <v>55364228.5</v>
      </c>
      <c r="D145" s="148">
        <v>25386802.011635225</v>
      </c>
      <c r="E145" s="148">
        <v>44121978.526392579</v>
      </c>
      <c r="F145" s="148">
        <v>25360561.101499915</v>
      </c>
      <c r="G145" s="148">
        <v>15000000</v>
      </c>
      <c r="H145" s="148">
        <v>109869341.63952772</v>
      </c>
      <c r="I145" s="148">
        <v>110728457</v>
      </c>
      <c r="J145" s="148">
        <v>859115.36047227681</v>
      </c>
      <c r="K145" s="148"/>
      <c r="N145" s="102">
        <v>121</v>
      </c>
      <c r="O145" s="104">
        <v>13344248.630944073</v>
      </c>
      <c r="P145" s="104">
        <v>5063625.5090481043</v>
      </c>
      <c r="Q145" s="104">
        <v>18773728.944984674</v>
      </c>
      <c r="R145" s="104">
        <v>6317035.9384483099</v>
      </c>
      <c r="S145" s="104">
        <v>376696.46303384006</v>
      </c>
      <c r="T145" s="104">
        <v>-1888584.3123820126</v>
      </c>
      <c r="U145" s="104">
        <v>-8034931.8270261288</v>
      </c>
    </row>
    <row r="146" spans="1:21" ht="13.2">
      <c r="A146" s="149">
        <v>137</v>
      </c>
      <c r="B146" s="148">
        <v>57290733.5</v>
      </c>
      <c r="C146" s="148">
        <v>57290733.5</v>
      </c>
      <c r="D146" s="148">
        <v>23645915.587578874</v>
      </c>
      <c r="E146" s="148">
        <v>42706536.946233869</v>
      </c>
      <c r="F146" s="148">
        <v>24696964.081410505</v>
      </c>
      <c r="G146" s="148">
        <v>15000000</v>
      </c>
      <c r="H146" s="148">
        <v>106049416.61522326</v>
      </c>
      <c r="I146" s="148">
        <v>114581467</v>
      </c>
      <c r="J146" s="148">
        <v>8532050.3847767413</v>
      </c>
      <c r="K146" s="148"/>
      <c r="N146" s="102">
        <v>122</v>
      </c>
      <c r="O146" s="104">
        <v>9283308.0154906064</v>
      </c>
      <c r="P146" s="104">
        <v>9069049.2445594072</v>
      </c>
      <c r="Q146" s="104">
        <v>3244271.3686345965</v>
      </c>
      <c r="R146" s="104">
        <v>11243294.839029536</v>
      </c>
      <c r="S146" s="104">
        <v>2857396.6737005711</v>
      </c>
      <c r="T146" s="104">
        <v>-1940365.5544975549</v>
      </c>
      <c r="U146" s="104">
        <v>-7151214.4885761738</v>
      </c>
    </row>
    <row r="147" spans="1:21" ht="13.2">
      <c r="A147" s="149">
        <v>138</v>
      </c>
      <c r="B147" s="148">
        <v>58236376</v>
      </c>
      <c r="C147" s="148">
        <v>58236376</v>
      </c>
      <c r="D147" s="148">
        <v>25372209.748617835</v>
      </c>
      <c r="E147" s="148">
        <v>42115778.168636777</v>
      </c>
      <c r="F147" s="148">
        <v>26981310.881389346</v>
      </c>
      <c r="G147" s="148">
        <v>15000000</v>
      </c>
      <c r="H147" s="148">
        <v>109469298.79864396</v>
      </c>
      <c r="I147" s="148">
        <v>116472752</v>
      </c>
      <c r="J147" s="148">
        <v>7003453.2013560385</v>
      </c>
      <c r="K147" s="148"/>
      <c r="N147" s="102">
        <v>123</v>
      </c>
      <c r="O147" s="104">
        <v>14786805.525205225</v>
      </c>
      <c r="P147" s="104">
        <v>6623749.2159635425</v>
      </c>
      <c r="Q147" s="104">
        <v>6090262.3458130956</v>
      </c>
      <c r="R147" s="104">
        <v>6527553.8960183561</v>
      </c>
      <c r="S147" s="104">
        <v>-2244667.9881087244</v>
      </c>
      <c r="T147" s="104">
        <v>3246564.319310829</v>
      </c>
      <c r="U147" s="104">
        <v>5405776.8355077356</v>
      </c>
    </row>
    <row r="148" spans="1:21" ht="13.2">
      <c r="A148" s="149">
        <v>139</v>
      </c>
      <c r="B148" s="148">
        <v>59220654.5</v>
      </c>
      <c r="C148" s="148">
        <v>59220654.5</v>
      </c>
      <c r="D148" s="148">
        <v>24309146.857404795</v>
      </c>
      <c r="E148" s="148">
        <v>44015789.764055073</v>
      </c>
      <c r="F148" s="148">
        <v>27176806.64836967</v>
      </c>
      <c r="G148" s="148">
        <v>15000000</v>
      </c>
      <c r="H148" s="148">
        <v>110501743.26982954</v>
      </c>
      <c r="I148" s="148">
        <v>118441309</v>
      </c>
      <c r="J148" s="148">
        <v>7939565.7301704586</v>
      </c>
      <c r="K148" s="148"/>
      <c r="N148" s="102">
        <v>124</v>
      </c>
      <c r="O148" s="104">
        <v>17070762.367381752</v>
      </c>
      <c r="P148" s="104">
        <v>95577.338439241052</v>
      </c>
      <c r="Q148" s="104">
        <v>2486390.8328667283</v>
      </c>
      <c r="R148" s="104">
        <v>6178297.7121795416</v>
      </c>
      <c r="S148" s="104">
        <v>-1201037.910743475</v>
      </c>
      <c r="T148" s="104">
        <v>7687313.7983902842</v>
      </c>
      <c r="U148" s="104">
        <v>3024137.6287614107</v>
      </c>
    </row>
    <row r="149" spans="1:21" ht="13.2">
      <c r="A149" s="149">
        <v>140</v>
      </c>
      <c r="B149" s="148">
        <v>51117807</v>
      </c>
      <c r="C149" s="148">
        <v>51117807</v>
      </c>
      <c r="D149" s="148">
        <v>24716127.56002479</v>
      </c>
      <c r="E149" s="148">
        <v>42800647.002668247</v>
      </c>
      <c r="F149" s="148">
        <v>25492504.869316574</v>
      </c>
      <c r="G149" s="148">
        <v>15000000</v>
      </c>
      <c r="H149" s="148">
        <v>108009279.43200961</v>
      </c>
      <c r="I149" s="148">
        <v>102235614</v>
      </c>
      <c r="J149" s="148">
        <v>-5773665.4320096076</v>
      </c>
      <c r="K149" s="148"/>
      <c r="N149" s="102">
        <v>125</v>
      </c>
      <c r="O149" s="104">
        <v>5758224.8488735855</v>
      </c>
      <c r="P149" s="104">
        <v>11790226.833446994</v>
      </c>
      <c r="Q149" s="104">
        <v>6938621.9752415866</v>
      </c>
      <c r="R149" s="104">
        <v>4137797.6594762653</v>
      </c>
      <c r="S149" s="104">
        <v>2494849.844435364</v>
      </c>
      <c r="T149" s="104">
        <v>637860.56029467285</v>
      </c>
      <c r="U149" s="104">
        <v>-3092844.4967794269</v>
      </c>
    </row>
    <row r="150" spans="1:21" ht="13.2">
      <c r="A150" s="149">
        <v>141</v>
      </c>
      <c r="B150" s="148">
        <v>56142239</v>
      </c>
      <c r="C150" s="148">
        <v>56142239</v>
      </c>
      <c r="D150" s="148">
        <v>22568260.433348447</v>
      </c>
      <c r="E150" s="148">
        <v>43434227.538523301</v>
      </c>
      <c r="F150" s="148">
        <v>25953320.804136299</v>
      </c>
      <c r="G150" s="148">
        <v>15000000</v>
      </c>
      <c r="H150" s="148">
        <v>106955808.77600804</v>
      </c>
      <c r="I150" s="148">
        <v>112284478</v>
      </c>
      <c r="J150" s="148">
        <v>5328669.2239919603</v>
      </c>
      <c r="K150" s="148"/>
      <c r="N150" s="102">
        <v>126</v>
      </c>
      <c r="O150" s="104">
        <v>-268105.77742135525</v>
      </c>
      <c r="P150" s="104">
        <v>15723615.700032324</v>
      </c>
      <c r="Q150" s="104">
        <v>10561010.075339064</v>
      </c>
      <c r="R150" s="104">
        <v>2401715.1186997294</v>
      </c>
      <c r="S150" s="104">
        <v>988906.29369595647</v>
      </c>
      <c r="T150" s="104">
        <v>3711525.4923630655</v>
      </c>
      <c r="U150" s="104">
        <v>-3211.1512141227722</v>
      </c>
    </row>
    <row r="151" spans="1:21" ht="13.2">
      <c r="A151" s="149">
        <v>142</v>
      </c>
      <c r="B151" s="148">
        <v>56837741</v>
      </c>
      <c r="C151" s="148">
        <v>56837741</v>
      </c>
      <c r="D151" s="148">
        <v>22828590.820089139</v>
      </c>
      <c r="E151" s="148">
        <v>42627910.214492075</v>
      </c>
      <c r="F151" s="148">
        <v>25670219.023679275</v>
      </c>
      <c r="G151" s="148">
        <v>15000000</v>
      </c>
      <c r="H151" s="148">
        <v>106126720.05826049</v>
      </c>
      <c r="I151" s="148">
        <v>113675482</v>
      </c>
      <c r="J151" s="148">
        <v>7548761.9417395145</v>
      </c>
      <c r="K151" s="148"/>
      <c r="N151" s="102">
        <v>127</v>
      </c>
      <c r="O151" s="104">
        <v>-899657.67571498454</v>
      </c>
      <c r="P151" s="104">
        <v>16332225.528158829</v>
      </c>
      <c r="Q151" s="104">
        <v>7102124.4143545479</v>
      </c>
      <c r="R151" s="104">
        <v>3728376.7641747445</v>
      </c>
      <c r="S151" s="104">
        <v>8768188.4259411991</v>
      </c>
      <c r="T151" s="104">
        <v>-1578293.5372332931</v>
      </c>
      <c r="U151" s="104">
        <v>384746.14565451443</v>
      </c>
    </row>
    <row r="152" spans="1:21" ht="13.2">
      <c r="A152" s="149">
        <v>143</v>
      </c>
      <c r="B152" s="148">
        <v>58663305.5</v>
      </c>
      <c r="C152" s="148">
        <v>58663305.5</v>
      </c>
      <c r="D152" s="148">
        <v>24844105.793351937</v>
      </c>
      <c r="E152" s="148">
        <v>43307814.149374098</v>
      </c>
      <c r="F152" s="148">
        <v>25406735.660643421</v>
      </c>
      <c r="G152" s="148">
        <v>15000000</v>
      </c>
      <c r="H152" s="148">
        <v>108558655.60336944</v>
      </c>
      <c r="I152" s="148">
        <v>117326611</v>
      </c>
      <c r="J152" s="148">
        <v>8767955.3966305554</v>
      </c>
      <c r="K152" s="148"/>
      <c r="N152" s="102">
        <v>128</v>
      </c>
      <c r="O152" s="104">
        <v>14501088.265220702</v>
      </c>
      <c r="P152" s="104">
        <v>306282.82862758636</v>
      </c>
      <c r="Q152" s="104">
        <v>10993204.297679052</v>
      </c>
      <c r="R152" s="104">
        <v>3684360.8041153997</v>
      </c>
      <c r="S152" s="104">
        <v>-2034299.5925284624</v>
      </c>
      <c r="T152" s="104">
        <v>-7216111.5119569302</v>
      </c>
      <c r="U152" s="104">
        <v>1941323.3294545561</v>
      </c>
    </row>
    <row r="153" spans="1:21" ht="13.2">
      <c r="A153" s="149">
        <v>144</v>
      </c>
      <c r="B153" s="148">
        <v>58328830</v>
      </c>
      <c r="C153" s="148">
        <v>58328830</v>
      </c>
      <c r="D153" s="148">
        <v>22437801.139426466</v>
      </c>
      <c r="E153" s="148">
        <v>44030882.459103122</v>
      </c>
      <c r="F153" s="148">
        <v>27747269.007009815</v>
      </c>
      <c r="G153" s="148">
        <v>15000000</v>
      </c>
      <c r="H153" s="148">
        <v>109215952.60553941</v>
      </c>
      <c r="I153" s="148">
        <v>116657660</v>
      </c>
      <c r="J153" s="148">
        <v>7441707.3944605887</v>
      </c>
      <c r="K153" s="148"/>
      <c r="N153" s="102">
        <v>129</v>
      </c>
      <c r="O153" s="104">
        <v>11515997.294633329</v>
      </c>
      <c r="P153" s="104">
        <v>10998466.310837775</v>
      </c>
      <c r="Q153" s="104">
        <v>4061752.3939818442</v>
      </c>
      <c r="R153" s="104">
        <v>6300569.7399396598</v>
      </c>
      <c r="S153" s="104">
        <v>6904811.4602357745</v>
      </c>
      <c r="T153" s="104">
        <v>5774706.7641753554</v>
      </c>
      <c r="U153" s="104">
        <v>-3579021.8869614899</v>
      </c>
    </row>
    <row r="154" spans="1:21" ht="13.2">
      <c r="A154" s="149">
        <v>145</v>
      </c>
      <c r="B154" s="148">
        <v>55387636</v>
      </c>
      <c r="C154" s="148">
        <v>55387636</v>
      </c>
      <c r="D154" s="148">
        <v>23103513.469847221</v>
      </c>
      <c r="E154" s="148">
        <v>42236037.088663064</v>
      </c>
      <c r="F154" s="148">
        <v>28856806.362555608</v>
      </c>
      <c r="G154" s="148">
        <v>15000000</v>
      </c>
      <c r="H154" s="148">
        <v>109196356.9210659</v>
      </c>
      <c r="I154" s="148">
        <v>110775272</v>
      </c>
      <c r="J154" s="148">
        <v>1578915.0789341033</v>
      </c>
      <c r="K154" s="148"/>
      <c r="N154" s="102">
        <v>130</v>
      </c>
      <c r="O154" s="104">
        <v>15242503.958533809</v>
      </c>
      <c r="P154" s="104">
        <v>13653105.565972582</v>
      </c>
      <c r="Q154" s="104">
        <v>8614409.6282865107</v>
      </c>
      <c r="R154" s="104">
        <v>1547005.7739937007</v>
      </c>
      <c r="S154" s="104">
        <v>2690891.5001315325</v>
      </c>
      <c r="T154" s="104">
        <v>4675757.4332991242</v>
      </c>
      <c r="U154" s="104">
        <v>-9986531.538992703</v>
      </c>
    </row>
    <row r="155" spans="1:21" ht="13.2">
      <c r="A155" s="149">
        <v>146</v>
      </c>
      <c r="B155" s="148">
        <v>57314397</v>
      </c>
      <c r="C155" s="148">
        <v>57314397</v>
      </c>
      <c r="D155" s="148">
        <v>25646838.297824282</v>
      </c>
      <c r="E155" s="148">
        <v>42518631.455045059</v>
      </c>
      <c r="F155" s="148">
        <v>28895420.604896497</v>
      </c>
      <c r="G155" s="148">
        <v>15000000</v>
      </c>
      <c r="H155" s="148">
        <v>112060890.35776584</v>
      </c>
      <c r="I155" s="148">
        <v>114628794</v>
      </c>
      <c r="J155" s="148">
        <v>2567903.6422341615</v>
      </c>
      <c r="K155" s="148"/>
      <c r="N155" s="102">
        <v>131</v>
      </c>
      <c r="O155" s="104">
        <v>1630721.505956322</v>
      </c>
      <c r="P155" s="104">
        <v>6642203.5849694312</v>
      </c>
      <c r="Q155" s="104">
        <v>12971198.769906193</v>
      </c>
      <c r="R155" s="104">
        <v>5377667.3152050823</v>
      </c>
      <c r="S155" s="104">
        <v>-6601977.6248161048</v>
      </c>
      <c r="T155" s="104">
        <v>877892.19065912068</v>
      </c>
      <c r="U155" s="104">
        <v>4007867.5330538452</v>
      </c>
    </row>
    <row r="156" spans="1:21" ht="13.2">
      <c r="A156" s="149">
        <v>147</v>
      </c>
      <c r="B156" s="148">
        <v>51170694</v>
      </c>
      <c r="C156" s="148">
        <v>51170694</v>
      </c>
      <c r="D156" s="148">
        <v>22447725.381805811</v>
      </c>
      <c r="E156" s="148">
        <v>42882834.571469277</v>
      </c>
      <c r="F156" s="148">
        <v>28021581.352135327</v>
      </c>
      <c r="G156" s="148">
        <v>15000000</v>
      </c>
      <c r="H156" s="148">
        <v>108352141.30541041</v>
      </c>
      <c r="I156" s="148">
        <v>102341388</v>
      </c>
      <c r="J156" s="148">
        <v>-6010753.3054104149</v>
      </c>
      <c r="K156" s="148"/>
      <c r="N156" s="102">
        <v>132</v>
      </c>
      <c r="O156" s="104">
        <v>5942065.9627521038</v>
      </c>
      <c r="P156" s="104">
        <v>5626187.067274034</v>
      </c>
      <c r="Q156" s="104">
        <v>10457830.879777074</v>
      </c>
      <c r="R156" s="104">
        <v>8280752.4842693806</v>
      </c>
      <c r="S156" s="104">
        <v>8434814.0232418925</v>
      </c>
      <c r="T156" s="104">
        <v>13048034.902044773</v>
      </c>
      <c r="U156" s="104">
        <v>-7541767.6154694706</v>
      </c>
    </row>
    <row r="157" spans="1:21" ht="13.2">
      <c r="A157" s="149">
        <v>148</v>
      </c>
      <c r="B157" s="148">
        <v>53357774.5</v>
      </c>
      <c r="C157" s="148">
        <v>53357774.5</v>
      </c>
      <c r="D157" s="148">
        <v>25121215.403153218</v>
      </c>
      <c r="E157" s="148">
        <v>42758346.299427517</v>
      </c>
      <c r="F157" s="148">
        <v>28139233.176072169</v>
      </c>
      <c r="G157" s="148">
        <v>15000000</v>
      </c>
      <c r="H157" s="148">
        <v>111018794.8786529</v>
      </c>
      <c r="I157" s="148">
        <v>106715549</v>
      </c>
      <c r="J157" s="148">
        <v>-4303245.8786529005</v>
      </c>
      <c r="K157" s="148"/>
      <c r="N157" s="102">
        <v>133</v>
      </c>
      <c r="O157" s="104">
        <v>1198807.8529522121</v>
      </c>
      <c r="P157" s="104">
        <v>1459342.9116945714</v>
      </c>
      <c r="Q157" s="104">
        <v>12156404.502571627</v>
      </c>
      <c r="R157" s="104">
        <v>13190346.187259287</v>
      </c>
      <c r="S157" s="104">
        <v>-3532722.7406326234</v>
      </c>
      <c r="T157" s="104">
        <v>5611626.2383669317</v>
      </c>
      <c r="U157" s="104">
        <v>-10671389.38778688</v>
      </c>
    </row>
    <row r="158" spans="1:21" ht="13.2">
      <c r="A158" s="149">
        <v>149</v>
      </c>
      <c r="B158" s="148">
        <v>60189406.5</v>
      </c>
      <c r="C158" s="148">
        <v>60189406.5</v>
      </c>
      <c r="D158" s="148">
        <v>25114360.422471978</v>
      </c>
      <c r="E158" s="148">
        <v>42990348.838155843</v>
      </c>
      <c r="F158" s="148">
        <v>26547687.213839907</v>
      </c>
      <c r="G158" s="148">
        <v>15000000</v>
      </c>
      <c r="H158" s="148">
        <v>109652396.47446772</v>
      </c>
      <c r="I158" s="148">
        <v>120378813</v>
      </c>
      <c r="J158" s="148">
        <v>10726416.525532275</v>
      </c>
      <c r="K158" s="148"/>
      <c r="N158" s="102">
        <v>134</v>
      </c>
      <c r="O158" s="104">
        <v>12526022.027439639</v>
      </c>
      <c r="P158" s="104">
        <v>6209884.1679405421</v>
      </c>
      <c r="Q158" s="104">
        <v>514109.27718475461</v>
      </c>
      <c r="R158" s="104">
        <v>1896839.5989022404</v>
      </c>
      <c r="S158" s="104">
        <v>3024262.9444164932</v>
      </c>
      <c r="T158" s="104">
        <v>-3459422.5396300852</v>
      </c>
      <c r="U158" s="104">
        <v>1584613.6442065835</v>
      </c>
    </row>
    <row r="159" spans="1:21" ht="13.2">
      <c r="A159" s="149">
        <v>150</v>
      </c>
      <c r="B159" s="148">
        <v>52793618</v>
      </c>
      <c r="C159" s="148">
        <v>52793618</v>
      </c>
      <c r="D159" s="148">
        <v>23506120.252380811</v>
      </c>
      <c r="E159" s="148">
        <v>42740581.186740853</v>
      </c>
      <c r="F159" s="148">
        <v>28530668.154751379</v>
      </c>
      <c r="G159" s="148">
        <v>15000000</v>
      </c>
      <c r="H159" s="148">
        <v>109777369.59387304</v>
      </c>
      <c r="I159" s="148">
        <v>105587236</v>
      </c>
      <c r="J159" s="148">
        <v>-4190133.5938730389</v>
      </c>
      <c r="K159" s="148"/>
      <c r="N159" s="102">
        <v>135</v>
      </c>
      <c r="O159" s="104">
        <v>4840450.1383754611</v>
      </c>
      <c r="P159" s="104">
        <v>15177287.898293257</v>
      </c>
      <c r="Q159" s="104">
        <v>-5911353.1484948546</v>
      </c>
      <c r="R159" s="104">
        <v>6933841.970901981</v>
      </c>
      <c r="S159" s="104">
        <v>-538607.22187209129</v>
      </c>
      <c r="T159" s="104">
        <v>3625919.2209647149</v>
      </c>
      <c r="U159" s="104">
        <v>2434986.6636659652</v>
      </c>
    </row>
    <row r="160" spans="1:21" ht="13.2">
      <c r="A160" s="149">
        <v>151</v>
      </c>
      <c r="B160" s="148">
        <v>57419756.5</v>
      </c>
      <c r="C160" s="148">
        <v>57419756.5</v>
      </c>
      <c r="D160" s="148">
        <v>23359175.835949875</v>
      </c>
      <c r="E160" s="148">
        <v>41962674.199463546</v>
      </c>
      <c r="F160" s="148">
        <v>26389255.277362827</v>
      </c>
      <c r="G160" s="148">
        <v>15000000</v>
      </c>
      <c r="H160" s="148">
        <v>106711105.31277625</v>
      </c>
      <c r="I160" s="148">
        <v>114839513</v>
      </c>
      <c r="J160" s="148">
        <v>8128407.6872237474</v>
      </c>
      <c r="K160" s="148"/>
      <c r="N160" s="102">
        <v>136</v>
      </c>
      <c r="O160" s="104">
        <v>13768139.198639274</v>
      </c>
      <c r="P160" s="104">
        <v>8545816.7077108026</v>
      </c>
      <c r="Q160" s="104">
        <v>7937721.6130003333</v>
      </c>
      <c r="R160" s="104">
        <v>21196477.758421779</v>
      </c>
      <c r="S160" s="104">
        <v>3355163.6138040572</v>
      </c>
      <c r="T160" s="104">
        <v>2433788.3763301969</v>
      </c>
      <c r="U160" s="104">
        <v>-5265821.585753724</v>
      </c>
    </row>
    <row r="161" spans="1:21" ht="13.2">
      <c r="A161" s="149">
        <v>152</v>
      </c>
      <c r="B161" s="148">
        <v>55711284.5</v>
      </c>
      <c r="C161" s="148">
        <v>55711284.5</v>
      </c>
      <c r="D161" s="148">
        <v>23634098.485707961</v>
      </c>
      <c r="E161" s="148">
        <v>43145238.482261255</v>
      </c>
      <c r="F161" s="148">
        <v>24684321.126707904</v>
      </c>
      <c r="G161" s="148">
        <v>15000000</v>
      </c>
      <c r="H161" s="148">
        <v>106463658.09467712</v>
      </c>
      <c r="I161" s="148">
        <v>111422569</v>
      </c>
      <c r="J161" s="148">
        <v>4958910.9053228796</v>
      </c>
      <c r="K161" s="148"/>
      <c r="N161" s="102">
        <v>137</v>
      </c>
      <c r="O161" s="104">
        <v>9499191.9346243292</v>
      </c>
      <c r="P161" s="104">
        <v>706887.67511746287</v>
      </c>
      <c r="Q161" s="104">
        <v>13256018.881759644</v>
      </c>
      <c r="R161" s="104">
        <v>-2495447.6293648332</v>
      </c>
      <c r="S161" s="104">
        <v>-4452957.5567727238</v>
      </c>
      <c r="T161" s="104">
        <v>-239251.20065975189</v>
      </c>
      <c r="U161" s="104">
        <v>6432623.0865908265</v>
      </c>
    </row>
    <row r="162" spans="1:21" ht="13.2">
      <c r="A162" s="149">
        <v>153</v>
      </c>
      <c r="B162" s="148">
        <v>53378275</v>
      </c>
      <c r="C162" s="148">
        <v>53378275</v>
      </c>
      <c r="D162" s="148">
        <v>24046041.309517629</v>
      </c>
      <c r="E162" s="148">
        <v>43482416.60839761</v>
      </c>
      <c r="F162" s="148">
        <v>26549354.331761643</v>
      </c>
      <c r="G162" s="148">
        <v>15000000</v>
      </c>
      <c r="H162" s="148">
        <v>109077812.24967688</v>
      </c>
      <c r="I162" s="148">
        <v>106756550</v>
      </c>
      <c r="J162" s="148">
        <v>-2321262.2496768832</v>
      </c>
      <c r="K162" s="148"/>
      <c r="N162" s="102">
        <v>138</v>
      </c>
      <c r="O162" s="104">
        <v>20868369.160717651</v>
      </c>
      <c r="P162" s="104">
        <v>15623904.414953128</v>
      </c>
      <c r="Q162" s="104">
        <v>13324394.097847685</v>
      </c>
      <c r="R162" s="104">
        <v>2345075.3286176324</v>
      </c>
      <c r="S162" s="104">
        <v>-8342632.3538235128</v>
      </c>
      <c r="T162" s="104">
        <v>964231.01891437173</v>
      </c>
      <c r="U162" s="104">
        <v>-6484079.3498857468</v>
      </c>
    </row>
    <row r="163" spans="1:21" ht="13.2">
      <c r="A163" s="149">
        <v>154</v>
      </c>
      <c r="B163" s="148">
        <v>61069704.5</v>
      </c>
      <c r="C163" s="148">
        <v>61069704.5</v>
      </c>
      <c r="D163" s="148">
        <v>25524116.286238451</v>
      </c>
      <c r="E163" s="148">
        <v>42342144.110632762</v>
      </c>
      <c r="F163" s="148">
        <v>27993034.126964528</v>
      </c>
      <c r="G163" s="148">
        <v>15000000</v>
      </c>
      <c r="H163" s="148">
        <v>110859294.52383573</v>
      </c>
      <c r="I163" s="148">
        <v>122139409</v>
      </c>
      <c r="J163" s="148">
        <v>11280114.476164266</v>
      </c>
      <c r="K163" s="148"/>
      <c r="N163" s="102">
        <v>139</v>
      </c>
      <c r="O163" s="104">
        <v>7570473.8134851754</v>
      </c>
      <c r="P163" s="104">
        <v>485940.00764080882</v>
      </c>
      <c r="Q163" s="104">
        <v>-3452141.0409335643</v>
      </c>
      <c r="R163" s="104">
        <v>2439008.386085555</v>
      </c>
      <c r="S163" s="104">
        <v>-4459081.6339187026</v>
      </c>
      <c r="T163" s="104">
        <v>-11957439.816705868</v>
      </c>
      <c r="U163" s="104">
        <v>-4039464.6426625401</v>
      </c>
    </row>
    <row r="164" spans="1:21" ht="13.2">
      <c r="A164" s="149">
        <v>155</v>
      </c>
      <c r="B164" s="148">
        <v>64517351</v>
      </c>
      <c r="C164" s="148">
        <v>64517351</v>
      </c>
      <c r="D164" s="148">
        <v>23238640.784407243</v>
      </c>
      <c r="E164" s="148">
        <v>42302840.398164935</v>
      </c>
      <c r="F164" s="148">
        <v>25646711.502199125</v>
      </c>
      <c r="G164" s="148">
        <v>15000000</v>
      </c>
      <c r="H164" s="148">
        <v>106188192.6847713</v>
      </c>
      <c r="I164" s="148">
        <v>129034702</v>
      </c>
      <c r="J164" s="148">
        <v>22846509.315228701</v>
      </c>
      <c r="K164" s="148"/>
      <c r="N164" s="102">
        <v>140</v>
      </c>
      <c r="O164" s="104">
        <v>7858067.4192192554</v>
      </c>
      <c r="P164" s="104">
        <v>9212180.1323370337</v>
      </c>
      <c r="Q164" s="104">
        <v>18603732.733916327</v>
      </c>
      <c r="R164" s="104">
        <v>11111710.431037113</v>
      </c>
      <c r="S164" s="104">
        <v>7719532.7205284536</v>
      </c>
      <c r="T164" s="104">
        <v>-1077109.6390213519</v>
      </c>
      <c r="U164" s="104">
        <v>-2256254.9048558474</v>
      </c>
    </row>
    <row r="165" spans="1:21" ht="13.2">
      <c r="A165" s="149">
        <v>156</v>
      </c>
      <c r="B165" s="148">
        <v>58192549</v>
      </c>
      <c r="C165" s="148">
        <v>58192549</v>
      </c>
      <c r="D165" s="148">
        <v>22698131.526167162</v>
      </c>
      <c r="E165" s="148">
        <v>43104204.802717008</v>
      </c>
      <c r="F165" s="148">
        <v>24578025.20588715</v>
      </c>
      <c r="G165" s="148">
        <v>15000000</v>
      </c>
      <c r="H165" s="148">
        <v>105380361.53477132</v>
      </c>
      <c r="I165" s="148">
        <v>116385098</v>
      </c>
      <c r="J165" s="148">
        <v>11004736.465228677</v>
      </c>
      <c r="K165" s="148"/>
      <c r="N165" s="102">
        <v>141</v>
      </c>
      <c r="O165" s="104">
        <v>9217417.8291130215</v>
      </c>
      <c r="P165" s="104">
        <v>10404745.72548914</v>
      </c>
      <c r="Q165" s="104">
        <v>1442611.0448517501</v>
      </c>
      <c r="R165" s="104">
        <v>11004069.963485897</v>
      </c>
      <c r="S165" s="104">
        <v>4132418.3707208037</v>
      </c>
      <c r="T165" s="104">
        <v>2808422.0293312073</v>
      </c>
      <c r="U165" s="104">
        <v>953723.68126475811</v>
      </c>
    </row>
    <row r="166" spans="1:21" ht="13.2">
      <c r="A166" s="149">
        <v>157</v>
      </c>
      <c r="B166" s="148">
        <v>55935272.5</v>
      </c>
      <c r="C166" s="148">
        <v>55935272.5</v>
      </c>
      <c r="D166" s="148">
        <v>23910913.994957611</v>
      </c>
      <c r="E166" s="148">
        <v>41663379.650760278</v>
      </c>
      <c r="F166" s="148">
        <v>27634806.871200494</v>
      </c>
      <c r="G166" s="148">
        <v>15000000</v>
      </c>
      <c r="H166" s="148">
        <v>108209100.51691839</v>
      </c>
      <c r="I166" s="148">
        <v>111870545</v>
      </c>
      <c r="J166" s="148">
        <v>3661444.483081609</v>
      </c>
      <c r="K166" s="148"/>
      <c r="N166" s="102">
        <v>142</v>
      </c>
      <c r="O166" s="104">
        <v>2649092.1362511516</v>
      </c>
      <c r="P166" s="104">
        <v>493712.0302093327</v>
      </c>
      <c r="Q166" s="104">
        <v>10032700.515972525</v>
      </c>
      <c r="R166" s="104">
        <v>5675410.0008312166</v>
      </c>
      <c r="S166" s="104">
        <v>1023514.166350767</v>
      </c>
      <c r="T166" s="104">
        <v>-1598754.7605924755</v>
      </c>
      <c r="U166" s="104">
        <v>1547356.2831231952</v>
      </c>
    </row>
    <row r="167" spans="1:21" ht="13.2">
      <c r="A167" s="149">
        <v>158</v>
      </c>
      <c r="B167" s="148">
        <v>54710027.5</v>
      </c>
      <c r="C167" s="148">
        <v>54710027.5</v>
      </c>
      <c r="D167" s="148">
        <v>26189828.616659205</v>
      </c>
      <c r="E167" s="148">
        <v>42363900.706520148</v>
      </c>
      <c r="F167" s="148">
        <v>24658220.798107207</v>
      </c>
      <c r="G167" s="148">
        <v>15000000</v>
      </c>
      <c r="H167" s="148">
        <v>108211950.12128656</v>
      </c>
      <c r="I167" s="148">
        <v>109420055</v>
      </c>
      <c r="J167" s="148">
        <v>1208104.8787134439</v>
      </c>
      <c r="K167" s="148"/>
      <c r="N167" s="102">
        <v>143</v>
      </c>
      <c r="O167" s="104">
        <v>12257940.976961508</v>
      </c>
      <c r="P167" s="104">
        <v>9315479.1152044535</v>
      </c>
      <c r="Q167" s="104">
        <v>6662976.8163068295</v>
      </c>
      <c r="R167" s="104">
        <v>16354955.108679608</v>
      </c>
      <c r="S167" s="104">
        <v>1383165.9128344953</v>
      </c>
      <c r="T167" s="104">
        <v>-10569787.116987646</v>
      </c>
      <c r="U167" s="104">
        <v>5336992.118183285</v>
      </c>
    </row>
    <row r="168" spans="1:21" ht="13.2">
      <c r="A168" s="149">
        <v>159</v>
      </c>
      <c r="B168" s="148">
        <v>55009721.5</v>
      </c>
      <c r="C168" s="148">
        <v>55009721.5</v>
      </c>
      <c r="D168" s="148">
        <v>24846586.853946771</v>
      </c>
      <c r="E168" s="148">
        <v>42752428.033876039</v>
      </c>
      <c r="F168" s="148">
        <v>27136316.548386388</v>
      </c>
      <c r="G168" s="148">
        <v>15000000</v>
      </c>
      <c r="H168" s="148">
        <v>109735331.4362092</v>
      </c>
      <c r="I168" s="148">
        <v>110019443</v>
      </c>
      <c r="J168" s="148">
        <v>284111.56379079819</v>
      </c>
      <c r="K168" s="148"/>
      <c r="N168" s="102">
        <v>144</v>
      </c>
      <c r="O168" s="104">
        <v>9301282.3291184008</v>
      </c>
      <c r="P168" s="104">
        <v>-6693744.3093920499</v>
      </c>
      <c r="Q168" s="104">
        <v>2810241.1349789947</v>
      </c>
      <c r="R168" s="104">
        <v>-2717341.2851571143</v>
      </c>
      <c r="S168" s="104">
        <v>-2596991.4278902411</v>
      </c>
      <c r="T168" s="104">
        <v>-1751012.3709579855</v>
      </c>
      <c r="U168" s="104">
        <v>1248921.3840730488</v>
      </c>
    </row>
    <row r="169" spans="1:21" ht="13.2">
      <c r="A169" s="149">
        <v>160</v>
      </c>
      <c r="B169" s="148">
        <v>56211428.5</v>
      </c>
      <c r="C169" s="148">
        <v>56211428.5</v>
      </c>
      <c r="D169" s="148">
        <v>24571664.204188693</v>
      </c>
      <c r="E169" s="148">
        <v>43505354.096798748</v>
      </c>
      <c r="F169" s="148">
        <v>25408484.674908824</v>
      </c>
      <c r="G169" s="148">
        <v>15000000</v>
      </c>
      <c r="H169" s="148">
        <v>108485502.97589627</v>
      </c>
      <c r="I169" s="148">
        <v>112422857</v>
      </c>
      <c r="J169" s="148">
        <v>3937354.0241037309</v>
      </c>
      <c r="K169" s="148"/>
      <c r="N169" s="102">
        <v>145</v>
      </c>
      <c r="O169" s="104">
        <v>11382948.813788772</v>
      </c>
      <c r="P169" s="104">
        <v>16620152.162948281</v>
      </c>
      <c r="Q169" s="104">
        <v>10234366.137652576</v>
      </c>
      <c r="R169" s="104">
        <v>4030818.7382886708</v>
      </c>
      <c r="S169" s="104">
        <v>3888959.5457969308</v>
      </c>
      <c r="T169" s="104">
        <v>-2148601.5290288925</v>
      </c>
      <c r="U169" s="104">
        <v>-3383115.7235724926</v>
      </c>
    </row>
    <row r="170" spans="1:21" ht="13.2">
      <c r="A170" s="149">
        <v>161</v>
      </c>
      <c r="B170" s="148">
        <v>54622636</v>
      </c>
      <c r="C170" s="148">
        <v>54622636</v>
      </c>
      <c r="D170" s="148">
        <v>26042295.999125004</v>
      </c>
      <c r="E170" s="148">
        <v>42500133.628473021</v>
      </c>
      <c r="F170" s="148">
        <v>26462455.3087295</v>
      </c>
      <c r="G170" s="148">
        <v>15000000</v>
      </c>
      <c r="H170" s="148">
        <v>110004884.93632752</v>
      </c>
      <c r="I170" s="148">
        <v>109245272</v>
      </c>
      <c r="J170" s="148">
        <v>-759612.93632751703</v>
      </c>
      <c r="K170" s="148"/>
      <c r="N170" s="102">
        <v>146</v>
      </c>
      <c r="O170" s="104">
        <v>4540701.044652015</v>
      </c>
      <c r="P170" s="104">
        <v>11729995.755253375</v>
      </c>
      <c r="Q170" s="104">
        <v>849379.93256834149</v>
      </c>
      <c r="R170" s="104">
        <v>992149.14246799052</v>
      </c>
      <c r="S170" s="104">
        <v>-5184231.5401125401</v>
      </c>
      <c r="T170" s="104">
        <v>1773142.115582481</v>
      </c>
      <c r="U170" s="104">
        <v>-6094312.7179595381</v>
      </c>
    </row>
    <row r="171" spans="1:21" ht="13.2">
      <c r="A171" s="149">
        <v>162</v>
      </c>
      <c r="B171" s="148">
        <v>55105294.5</v>
      </c>
      <c r="C171" s="148">
        <v>55105294.5</v>
      </c>
      <c r="D171" s="148">
        <v>25372209.748617835</v>
      </c>
      <c r="E171" s="148">
        <v>43345782.407921061</v>
      </c>
      <c r="F171" s="148">
        <v>28718826.861812104</v>
      </c>
      <c r="G171" s="148">
        <v>15000000</v>
      </c>
      <c r="H171" s="148">
        <v>112436819.018351</v>
      </c>
      <c r="I171" s="148">
        <v>110210589</v>
      </c>
      <c r="J171" s="148">
        <v>-2226230.0183510035</v>
      </c>
      <c r="K171" s="148"/>
      <c r="N171" s="102">
        <v>147</v>
      </c>
      <c r="O171" s="104">
        <v>1249310.1405529678</v>
      </c>
      <c r="P171" s="104">
        <v>5860700.6168320626</v>
      </c>
      <c r="Q171" s="104">
        <v>1925810.9333481342</v>
      </c>
      <c r="R171" s="104">
        <v>9256446.8684654832</v>
      </c>
      <c r="S171" s="104">
        <v>4014532.7177397311</v>
      </c>
      <c r="T171" s="104">
        <v>-6570997.3242805451</v>
      </c>
      <c r="U171" s="104">
        <v>-1517337.7924710661</v>
      </c>
    </row>
    <row r="172" spans="1:21" ht="13.2">
      <c r="A172" s="149">
        <v>163</v>
      </c>
      <c r="B172" s="148">
        <v>54024773</v>
      </c>
      <c r="C172" s="148">
        <v>54024773</v>
      </c>
      <c r="D172" s="148">
        <v>22968386.155287206</v>
      </c>
      <c r="E172" s="148">
        <v>41248515.574571416</v>
      </c>
      <c r="F172" s="148">
        <v>27139634.318695385</v>
      </c>
      <c r="G172" s="148">
        <v>15000000</v>
      </c>
      <c r="H172" s="148">
        <v>106356536.048554</v>
      </c>
      <c r="I172" s="148">
        <v>108049546</v>
      </c>
      <c r="J172" s="148">
        <v>1693009.9514459968</v>
      </c>
      <c r="K172" s="148"/>
      <c r="N172" s="102">
        <v>148</v>
      </c>
      <c r="O172" s="104">
        <v>9938352.1247488558</v>
      </c>
      <c r="P172" s="104">
        <v>14595080.769293353</v>
      </c>
      <c r="Q172" s="104">
        <v>5290252.7549230903</v>
      </c>
      <c r="R172" s="104">
        <v>1095825.9630502164</v>
      </c>
      <c r="S172" s="104">
        <v>3578040.4602393806</v>
      </c>
      <c r="T172" s="104">
        <v>4016511.9646099061</v>
      </c>
      <c r="U172" s="104">
        <v>-6245429.2114292383</v>
      </c>
    </row>
    <row r="173" spans="1:21" ht="13.2">
      <c r="A173" s="149">
        <v>164</v>
      </c>
      <c r="B173" s="148">
        <v>59992088</v>
      </c>
      <c r="C173" s="148">
        <v>59992088</v>
      </c>
      <c r="D173" s="148">
        <v>24983607.027998362</v>
      </c>
      <c r="E173" s="148">
        <v>43273469.93043796</v>
      </c>
      <c r="F173" s="148">
        <v>26203538.641522992</v>
      </c>
      <c r="G173" s="148">
        <v>15000000</v>
      </c>
      <c r="H173" s="148">
        <v>109460615.59995931</v>
      </c>
      <c r="I173" s="148">
        <v>119984176</v>
      </c>
      <c r="J173" s="148">
        <v>10523560.400040686</v>
      </c>
      <c r="K173" s="148"/>
      <c r="N173" s="102">
        <v>149</v>
      </c>
      <c r="O173" s="104">
        <v>15167812.149890214</v>
      </c>
      <c r="P173" s="104">
        <v>3937266.4607866108</v>
      </c>
      <c r="Q173" s="104">
        <v>1724665.1027574539</v>
      </c>
      <c r="R173" s="104">
        <v>7393281.022578001</v>
      </c>
      <c r="S173" s="104">
        <v>14249433.559603021</v>
      </c>
      <c r="T173" s="104">
        <v>-748611.1762945056</v>
      </c>
      <c r="U173" s="104">
        <v>111331.53008289635</v>
      </c>
    </row>
    <row r="174" spans="1:21" ht="13.2">
      <c r="A174" s="149">
        <v>165</v>
      </c>
      <c r="B174" s="148">
        <v>57292003</v>
      </c>
      <c r="C174" s="148">
        <v>57292003</v>
      </c>
      <c r="D174" s="148">
        <v>23506120.252380811</v>
      </c>
      <c r="E174" s="148">
        <v>43479874.925664984</v>
      </c>
      <c r="F174" s="148">
        <v>29015310.972197123</v>
      </c>
      <c r="G174" s="148">
        <v>15000000</v>
      </c>
      <c r="H174" s="148">
        <v>111001306.15024292</v>
      </c>
      <c r="I174" s="148">
        <v>114584006</v>
      </c>
      <c r="J174" s="148">
        <v>3582699.8497570753</v>
      </c>
      <c r="K174" s="148"/>
      <c r="N174" s="102">
        <v>150</v>
      </c>
      <c r="O174" s="104">
        <v>6512045.3039439768</v>
      </c>
      <c r="P174" s="104">
        <v>1186036.1099140346</v>
      </c>
      <c r="Q174" s="104">
        <v>1808489.0774737746</v>
      </c>
      <c r="R174" s="104">
        <v>4177004.6955360621</v>
      </c>
      <c r="S174" s="104">
        <v>-2573257.6152293533</v>
      </c>
      <c r="T174" s="104">
        <v>934120.51446548104</v>
      </c>
      <c r="U174" s="104">
        <v>-5643262.1304419935</v>
      </c>
    </row>
    <row r="175" spans="1:21" ht="13.2">
      <c r="A175" s="149">
        <v>166</v>
      </c>
      <c r="B175" s="148">
        <v>57446537.5</v>
      </c>
      <c r="C175" s="148">
        <v>57446537.5</v>
      </c>
      <c r="D175" s="148">
        <v>24726051.802404135</v>
      </c>
      <c r="E175" s="148">
        <v>41654323.075211361</v>
      </c>
      <c r="F175" s="148">
        <v>27425387.36387537</v>
      </c>
      <c r="G175" s="148">
        <v>15000000</v>
      </c>
      <c r="H175" s="148">
        <v>108805762.24149087</v>
      </c>
      <c r="I175" s="148">
        <v>114893075</v>
      </c>
      <c r="J175" s="148">
        <v>6087312.7585091293</v>
      </c>
      <c r="K175" s="148"/>
      <c r="N175" s="102">
        <v>151</v>
      </c>
      <c r="O175" s="104">
        <v>2786423.4662005007</v>
      </c>
      <c r="P175" s="104">
        <v>2556232.3029093146</v>
      </c>
      <c r="Q175" s="104">
        <v>7002175.5332400054</v>
      </c>
      <c r="R175" s="104">
        <v>4849932.2406917065</v>
      </c>
      <c r="S175" s="104">
        <v>1201701.1667697877</v>
      </c>
      <c r="T175" s="104">
        <v>-3305822.2125939429</v>
      </c>
      <c r="U175" s="104">
        <v>-3977209.1701566577</v>
      </c>
    </row>
    <row r="176" spans="1:21" ht="13.2">
      <c r="A176" s="149">
        <v>167</v>
      </c>
      <c r="B176" s="148">
        <v>58969134.5</v>
      </c>
      <c r="C176" s="148">
        <v>58969134.5</v>
      </c>
      <c r="D176" s="148">
        <v>24173725.442293141</v>
      </c>
      <c r="E176" s="148">
        <v>42049837.900021121</v>
      </c>
      <c r="F176" s="148">
        <v>29435795.284872435</v>
      </c>
      <c r="G176" s="148">
        <v>15000000</v>
      </c>
      <c r="H176" s="148">
        <v>110659358.62718669</v>
      </c>
      <c r="I176" s="148">
        <v>117938269</v>
      </c>
      <c r="J176" s="148">
        <v>7278910.3728133142</v>
      </c>
      <c r="K176" s="148"/>
      <c r="N176" s="102">
        <v>152</v>
      </c>
      <c r="O176" s="104">
        <v>13885369.494091794</v>
      </c>
      <c r="P176" s="104">
        <v>10418986.989273757</v>
      </c>
      <c r="Q176" s="104">
        <v>-4115680.9742542505</v>
      </c>
      <c r="R176" s="104">
        <v>15770746.662126333</v>
      </c>
      <c r="S176" s="104">
        <v>-7358376.1556650996</v>
      </c>
      <c r="T176" s="104">
        <v>-4265713.0914347172</v>
      </c>
      <c r="U176" s="104">
        <v>-5882404.6491702199</v>
      </c>
    </row>
    <row r="177" spans="1:21" ht="13.2">
      <c r="A177" s="149">
        <v>168</v>
      </c>
      <c r="B177" s="148">
        <v>63809079</v>
      </c>
      <c r="C177" s="148">
        <v>63809079</v>
      </c>
      <c r="D177" s="148">
        <v>24581000.245464768</v>
      </c>
      <c r="E177" s="148">
        <v>43382518.758701429</v>
      </c>
      <c r="F177" s="148">
        <v>28677524.071268696</v>
      </c>
      <c r="G177" s="148">
        <v>15000000</v>
      </c>
      <c r="H177" s="148">
        <v>111641043.07543489</v>
      </c>
      <c r="I177" s="148">
        <v>127618158</v>
      </c>
      <c r="J177" s="148">
        <v>15977114.924565107</v>
      </c>
      <c r="K177" s="148"/>
      <c r="N177" s="102">
        <v>153</v>
      </c>
      <c r="O177" s="104">
        <v>10188942.220258221</v>
      </c>
      <c r="P177" s="104">
        <v>4665829.7208136916</v>
      </c>
      <c r="Q177" s="104">
        <v>2161275.2597202957</v>
      </c>
      <c r="R177" s="104">
        <v>4239966.7403821647</v>
      </c>
      <c r="S177" s="104">
        <v>2564133.2831209898</v>
      </c>
      <c r="T177" s="104">
        <v>2282810.1015244275</v>
      </c>
      <c r="U177" s="104">
        <v>147973.10315050185</v>
      </c>
    </row>
    <row r="178" spans="1:21" ht="13.2">
      <c r="A178" s="149">
        <v>169</v>
      </c>
      <c r="B178" s="148">
        <v>59531469.5</v>
      </c>
      <c r="C178" s="148">
        <v>59531469.5</v>
      </c>
      <c r="D178" s="148">
        <v>23641541.667492472</v>
      </c>
      <c r="E178" s="148">
        <v>43028807.628109828</v>
      </c>
      <c r="F178" s="148">
        <v>27957847.252601475</v>
      </c>
      <c r="G178" s="148">
        <v>15000000</v>
      </c>
      <c r="H178" s="148">
        <v>109628196.54820377</v>
      </c>
      <c r="I178" s="148">
        <v>119062939</v>
      </c>
      <c r="J178" s="148">
        <v>9434742.4517962337</v>
      </c>
      <c r="K178" s="148"/>
      <c r="N178" s="102">
        <v>154</v>
      </c>
      <c r="O178" s="104">
        <v>15202504.153782532</v>
      </c>
      <c r="P178" s="104">
        <v>5254449.1323194504</v>
      </c>
      <c r="Q178" s="104">
        <v>-2751727.9382185489</v>
      </c>
      <c r="R178" s="104">
        <v>-15157131.310064539</v>
      </c>
      <c r="S178" s="104">
        <v>6476898.949040398</v>
      </c>
      <c r="T178" s="104">
        <v>-1985287.3752174079</v>
      </c>
      <c r="U178" s="104">
        <v>-3812156.5648996234</v>
      </c>
    </row>
    <row r="179" spans="1:21" ht="13.2">
      <c r="A179" s="149">
        <v>170</v>
      </c>
      <c r="B179" s="148">
        <v>55913165</v>
      </c>
      <c r="C179" s="148">
        <v>55913165</v>
      </c>
      <c r="D179" s="148">
        <v>23785710.922776937</v>
      </c>
      <c r="E179" s="148">
        <v>42722202.468772873</v>
      </c>
      <c r="F179" s="148">
        <v>28372395.911977384</v>
      </c>
      <c r="G179" s="148">
        <v>15000000</v>
      </c>
      <c r="H179" s="148">
        <v>109880309.30352719</v>
      </c>
      <c r="I179" s="148">
        <v>111826330</v>
      </c>
      <c r="J179" s="148">
        <v>1946020.6964728087</v>
      </c>
      <c r="K179" s="148"/>
      <c r="N179" s="102">
        <v>155</v>
      </c>
      <c r="O179" s="104">
        <v>12092375.934920162</v>
      </c>
      <c r="P179" s="104">
        <v>4250599.0810254216</v>
      </c>
      <c r="Q179" s="104">
        <v>13371031.957762092</v>
      </c>
      <c r="R179" s="104">
        <v>13557700.265243769</v>
      </c>
      <c r="S179" s="104">
        <v>12787498.585618645</v>
      </c>
      <c r="T179" s="104">
        <v>-804564.28887945414</v>
      </c>
      <c r="U179" s="104">
        <v>-10332038.839237705</v>
      </c>
    </row>
    <row r="180" spans="1:21" ht="13.2">
      <c r="A180" s="149">
        <v>171</v>
      </c>
      <c r="B180" s="148">
        <v>51275619</v>
      </c>
      <c r="C180" s="148">
        <v>51275619</v>
      </c>
      <c r="D180" s="148">
        <v>22703387.747908466</v>
      </c>
      <c r="E180" s="148">
        <v>41602902.889186576</v>
      </c>
      <c r="F180" s="148">
        <v>27599677.84840133</v>
      </c>
      <c r="G180" s="148">
        <v>15000000</v>
      </c>
      <c r="H180" s="148">
        <v>106905968.48549637</v>
      </c>
      <c r="I180" s="148">
        <v>102551238</v>
      </c>
      <c r="J180" s="148">
        <v>-4354730.485496372</v>
      </c>
      <c r="K180" s="148"/>
      <c r="N180" s="102">
        <v>156</v>
      </c>
      <c r="O180" s="104">
        <v>5848025.3350265622</v>
      </c>
      <c r="P180" s="104">
        <v>11891254.9440936</v>
      </c>
      <c r="Q180" s="104">
        <v>3687387.0609704256</v>
      </c>
      <c r="R180" s="104">
        <v>9547405.3963581771</v>
      </c>
      <c r="S180" s="104">
        <v>14206980.67507942</v>
      </c>
      <c r="T180" s="104">
        <v>2789661.6950968802</v>
      </c>
      <c r="U180" s="104">
        <v>-265995.52769529819</v>
      </c>
    </row>
    <row r="181" spans="1:21" ht="13.2">
      <c r="A181" s="149">
        <v>172</v>
      </c>
      <c r="B181" s="148">
        <v>58571709</v>
      </c>
      <c r="C181" s="148">
        <v>58571709</v>
      </c>
      <c r="D181" s="148">
        <v>25258529.677756444</v>
      </c>
      <c r="E181" s="148">
        <v>43273611.6053489</v>
      </c>
      <c r="F181" s="148">
        <v>29001813.75424061</v>
      </c>
      <c r="G181" s="148">
        <v>15000000</v>
      </c>
      <c r="H181" s="148">
        <v>112533955.03734595</v>
      </c>
      <c r="I181" s="148">
        <v>117143418</v>
      </c>
      <c r="J181" s="148">
        <v>4609462.9626540542</v>
      </c>
      <c r="K181" s="148"/>
      <c r="N181" s="102">
        <v>157</v>
      </c>
      <c r="O181" s="104">
        <v>7582797.216275081</v>
      </c>
      <c r="P181" s="104">
        <v>12232129.747836724</v>
      </c>
      <c r="Q181" s="104">
        <v>13715212.262338206</v>
      </c>
      <c r="R181" s="104">
        <v>565478.27080559731</v>
      </c>
      <c r="S181" s="104">
        <v>7584970.4041658342</v>
      </c>
      <c r="T181" s="104">
        <v>2115924.6157381088</v>
      </c>
      <c r="U181" s="104">
        <v>1542904.5338701457</v>
      </c>
    </row>
    <row r="182" spans="1:21" ht="13.2">
      <c r="A182" s="149">
        <v>173</v>
      </c>
      <c r="B182" s="148">
        <v>53304527.5</v>
      </c>
      <c r="C182" s="148">
        <v>53304527.5</v>
      </c>
      <c r="D182" s="148">
        <v>25114360.422471978</v>
      </c>
      <c r="E182" s="148">
        <v>43021284.905991815</v>
      </c>
      <c r="F182" s="148">
        <v>26048937.919218373</v>
      </c>
      <c r="G182" s="148">
        <v>15000000</v>
      </c>
      <c r="H182" s="148">
        <v>109184583.24768217</v>
      </c>
      <c r="I182" s="148">
        <v>106609055</v>
      </c>
      <c r="J182" s="148">
        <v>-2575528.2476821691</v>
      </c>
      <c r="K182" s="148"/>
      <c r="N182" s="102">
        <v>158</v>
      </c>
      <c r="O182" s="104">
        <v>11840836.641829297</v>
      </c>
      <c r="P182" s="104">
        <v>958354.26011735201</v>
      </c>
      <c r="Q182" s="104">
        <v>9924594.2921846658</v>
      </c>
      <c r="R182" s="104">
        <v>-5516598.8605495989</v>
      </c>
      <c r="S182" s="104">
        <v>718850.05787569284</v>
      </c>
      <c r="T182" s="104">
        <v>4304011.3985595405</v>
      </c>
      <c r="U182" s="104">
        <v>-1977660.3445313275</v>
      </c>
    </row>
    <row r="183" spans="1:21" ht="13.2">
      <c r="A183" s="149">
        <v>174</v>
      </c>
      <c r="B183" s="148">
        <v>57291086</v>
      </c>
      <c r="C183" s="148">
        <v>57291086</v>
      </c>
      <c r="D183" s="148">
        <v>24848773.813989978</v>
      </c>
      <c r="E183" s="148">
        <v>42419997.906844556</v>
      </c>
      <c r="F183" s="148">
        <v>26831313.561875708</v>
      </c>
      <c r="G183" s="148">
        <v>15000000</v>
      </c>
      <c r="H183" s="148">
        <v>109100085.28271025</v>
      </c>
      <c r="I183" s="148">
        <v>114582172</v>
      </c>
      <c r="J183" s="148">
        <v>5482086.7172897458</v>
      </c>
      <c r="K183" s="148"/>
      <c r="N183" s="102">
        <v>159</v>
      </c>
      <c r="O183" s="104">
        <v>13330913.547525197</v>
      </c>
      <c r="P183" s="104">
        <v>6118974.3091745973</v>
      </c>
      <c r="Q183" s="104">
        <v>8035344.2725576609</v>
      </c>
      <c r="R183" s="104">
        <v>-47648.28786303103</v>
      </c>
      <c r="S183" s="104">
        <v>6054980.891050294</v>
      </c>
      <c r="T183" s="104">
        <v>5687365.1978626251</v>
      </c>
      <c r="U183" s="104">
        <v>-5994295.9876487553</v>
      </c>
    </row>
    <row r="184" spans="1:21" ht="13.2">
      <c r="A184" s="149">
        <v>175</v>
      </c>
      <c r="B184" s="148">
        <v>56158919.5</v>
      </c>
      <c r="C184" s="148">
        <v>56158919.5</v>
      </c>
      <c r="D184" s="148">
        <v>25787221.834125612</v>
      </c>
      <c r="E184" s="148">
        <v>41679112.835592538</v>
      </c>
      <c r="F184" s="148">
        <v>27873640.29882117</v>
      </c>
      <c r="G184" s="148">
        <v>15000000</v>
      </c>
      <c r="H184" s="148">
        <v>110339974.96853931</v>
      </c>
      <c r="I184" s="148">
        <v>112317839</v>
      </c>
      <c r="J184" s="148">
        <v>1977864.0314606875</v>
      </c>
      <c r="K184" s="148"/>
      <c r="N184" s="102">
        <v>160</v>
      </c>
      <c r="O184" s="104">
        <v>20866711.745639816</v>
      </c>
      <c r="P184" s="104">
        <v>14672084.874480143</v>
      </c>
      <c r="Q184" s="104">
        <v>3655857.2064556479</v>
      </c>
      <c r="R184" s="104">
        <v>6232867.9589817673</v>
      </c>
      <c r="S184" s="104">
        <v>5123974.6400864869</v>
      </c>
      <c r="T184" s="104">
        <v>5517552.2784370929</v>
      </c>
      <c r="U184" s="104">
        <v>-3296702.2366342545</v>
      </c>
    </row>
    <row r="185" spans="1:21" ht="13.2">
      <c r="A185" s="149">
        <v>176</v>
      </c>
      <c r="B185" s="148">
        <v>58651464.5</v>
      </c>
      <c r="C185" s="148">
        <v>58651464.5</v>
      </c>
      <c r="D185" s="148">
        <v>23096070.288062714</v>
      </c>
      <c r="E185" s="148">
        <v>43782663.596713871</v>
      </c>
      <c r="F185" s="148">
        <v>27586094.522719342</v>
      </c>
      <c r="G185" s="148">
        <v>15000000</v>
      </c>
      <c r="H185" s="148">
        <v>109464828.40749593</v>
      </c>
      <c r="I185" s="148">
        <v>117302929</v>
      </c>
      <c r="J185" s="148">
        <v>7838100.5925040692</v>
      </c>
      <c r="K185" s="148"/>
      <c r="N185" s="102">
        <v>161</v>
      </c>
      <c r="O185" s="104">
        <v>12648594.509719655</v>
      </c>
      <c r="P185" s="104">
        <v>3771480.4860497117</v>
      </c>
      <c r="Q185" s="104">
        <v>2681192.4394602776</v>
      </c>
      <c r="R185" s="104">
        <v>-6303377.3279317021</v>
      </c>
      <c r="S185" s="104">
        <v>6135914.198546946</v>
      </c>
      <c r="T185" s="104">
        <v>2387871.2079882324</v>
      </c>
      <c r="U185" s="104">
        <v>1053500.1412301213</v>
      </c>
    </row>
    <row r="186" spans="1:21" ht="13.2">
      <c r="A186" s="149">
        <v>177</v>
      </c>
      <c r="B186" s="148">
        <v>53018709.5</v>
      </c>
      <c r="C186" s="148">
        <v>53018709.5</v>
      </c>
      <c r="D186" s="148">
        <v>24846292.75339514</v>
      </c>
      <c r="E186" s="148">
        <v>43470161.998042271</v>
      </c>
      <c r="F186" s="148">
        <v>27528170.823875111</v>
      </c>
      <c r="G186" s="148">
        <v>15000000</v>
      </c>
      <c r="H186" s="148">
        <v>110844625.57531253</v>
      </c>
      <c r="I186" s="148">
        <v>106037419</v>
      </c>
      <c r="J186" s="148">
        <v>-4807206.575312525</v>
      </c>
      <c r="K186" s="148"/>
      <c r="N186" s="102">
        <v>162</v>
      </c>
      <c r="O186" s="104">
        <v>9472327.4497678578</v>
      </c>
      <c r="P186" s="104">
        <v>-561713.64556677639</v>
      </c>
      <c r="Q186" s="104">
        <v>-9129774.0081601143</v>
      </c>
      <c r="R186" s="104">
        <v>8780641.5020832717</v>
      </c>
      <c r="S186" s="104">
        <v>8292137.198748678</v>
      </c>
      <c r="T186" s="104">
        <v>-371860.31910702586</v>
      </c>
      <c r="U186" s="104">
        <v>3139258.2720671594</v>
      </c>
    </row>
    <row r="187" spans="1:21" ht="13.2">
      <c r="A187" s="149">
        <v>178</v>
      </c>
      <c r="B187" s="148">
        <v>57930644</v>
      </c>
      <c r="C187" s="148">
        <v>57930644</v>
      </c>
      <c r="D187" s="148">
        <v>24846586.853946771</v>
      </c>
      <c r="E187" s="148">
        <v>43554854.815617755</v>
      </c>
      <c r="F187" s="148">
        <v>29642459.218199678</v>
      </c>
      <c r="G187" s="148">
        <v>15000000</v>
      </c>
      <c r="H187" s="148">
        <v>113043900.88776422</v>
      </c>
      <c r="I187" s="148">
        <v>115861288</v>
      </c>
      <c r="J187" s="148">
        <v>2817387.1122357845</v>
      </c>
      <c r="K187" s="148"/>
      <c r="N187" s="102">
        <v>163</v>
      </c>
      <c r="O187" s="104">
        <v>20147441.294606835</v>
      </c>
      <c r="P187" s="104">
        <v>11606150.7448937</v>
      </c>
      <c r="Q187" s="104">
        <v>645761.66347545385</v>
      </c>
      <c r="R187" s="104">
        <v>5834248.132829383</v>
      </c>
      <c r="S187" s="104">
        <v>3397275.3852800131</v>
      </c>
      <c r="T187" s="104">
        <v>8754715.9487914443</v>
      </c>
      <c r="U187" s="104">
        <v>627948.84112805128</v>
      </c>
    </row>
    <row r="188" spans="1:21" ht="13.2">
      <c r="A188" s="149">
        <v>179</v>
      </c>
      <c r="B188" s="148">
        <v>53132797.5</v>
      </c>
      <c r="C188" s="148">
        <v>53132797.5</v>
      </c>
      <c r="D188" s="148">
        <v>24448648.092051219</v>
      </c>
      <c r="E188" s="148">
        <v>42722550.696944363</v>
      </c>
      <c r="F188" s="148">
        <v>28251299.093145326</v>
      </c>
      <c r="G188" s="148">
        <v>15000000</v>
      </c>
      <c r="H188" s="148">
        <v>110422497.8821409</v>
      </c>
      <c r="I188" s="148">
        <v>106265595</v>
      </c>
      <c r="J188" s="148">
        <v>-4156902.8821409047</v>
      </c>
      <c r="K188" s="148"/>
      <c r="N188" s="102">
        <v>164</v>
      </c>
      <c r="O188" s="104">
        <v>5096332.9868006557</v>
      </c>
      <c r="P188" s="104">
        <v>6472415.3818000406</v>
      </c>
      <c r="Q188" s="104">
        <v>-201532.03309255838</v>
      </c>
      <c r="R188" s="104">
        <v>1254529.149193421</v>
      </c>
      <c r="S188" s="104">
        <v>10848869.294486716</v>
      </c>
      <c r="T188" s="104">
        <v>-3307237.2437513471</v>
      </c>
      <c r="U188" s="104">
        <v>47885.834763869643</v>
      </c>
    </row>
    <row r="189" spans="1:21" ht="13.2">
      <c r="A189" s="149">
        <v>180</v>
      </c>
      <c r="B189" s="148">
        <v>51829020.5</v>
      </c>
      <c r="C189" s="148">
        <v>51829020.5</v>
      </c>
      <c r="D189" s="148">
        <v>23635991.345199529</v>
      </c>
      <c r="E189" s="148">
        <v>42970155.05393187</v>
      </c>
      <c r="F189" s="148">
        <v>24559951.150207464</v>
      </c>
      <c r="G189" s="148">
        <v>15000000</v>
      </c>
      <c r="H189" s="148">
        <v>106166097.54933886</v>
      </c>
      <c r="I189" s="148">
        <v>103658041</v>
      </c>
      <c r="J189" s="148">
        <v>-2508056.5493388623</v>
      </c>
      <c r="K189" s="148"/>
      <c r="N189" s="102">
        <v>165</v>
      </c>
      <c r="O189" s="104">
        <v>3810923.5372939408</v>
      </c>
      <c r="P189" s="104">
        <v>14289119.396000758</v>
      </c>
      <c r="Q189" s="104">
        <v>2366074.0943716913</v>
      </c>
      <c r="R189" s="104">
        <v>10081107.55163765</v>
      </c>
      <c r="S189" s="104">
        <v>4039808.5717747509</v>
      </c>
      <c r="T189" s="104">
        <v>-6540325.5221081823</v>
      </c>
      <c r="U189" s="104">
        <v>-7206345.9904714525</v>
      </c>
    </row>
    <row r="190" spans="1:21" ht="13.2">
      <c r="A190" s="149">
        <v>181</v>
      </c>
      <c r="B190" s="148">
        <v>57205107.5</v>
      </c>
      <c r="C190" s="148">
        <v>57205107.5</v>
      </c>
      <c r="D190" s="148">
        <v>25524116.286238451</v>
      </c>
      <c r="E190" s="148">
        <v>43380520.710357279</v>
      </c>
      <c r="F190" s="148">
        <v>28564221.498490743</v>
      </c>
      <c r="G190" s="148">
        <v>15000000</v>
      </c>
      <c r="H190" s="148">
        <v>112468858.49508646</v>
      </c>
      <c r="I190" s="148">
        <v>114410215</v>
      </c>
      <c r="J190" s="148">
        <v>1941356.5049135387</v>
      </c>
      <c r="K190" s="148"/>
      <c r="N190" s="102">
        <v>166</v>
      </c>
      <c r="O190" s="104">
        <v>15838255.69413358</v>
      </c>
      <c r="P190" s="104">
        <v>2814321.7011536658</v>
      </c>
      <c r="Q190" s="104">
        <v>5145201.8562064022</v>
      </c>
      <c r="R190" s="104">
        <v>2980615.3268447518</v>
      </c>
      <c r="S190" s="104">
        <v>5146257.1623693109</v>
      </c>
      <c r="T190" s="104">
        <v>2830373.7500201166</v>
      </c>
      <c r="U190" s="104">
        <v>-4650838.8290296793</v>
      </c>
    </row>
    <row r="191" spans="1:21" ht="13.2">
      <c r="A191" s="149">
        <v>182</v>
      </c>
      <c r="B191" s="148">
        <v>57809946</v>
      </c>
      <c r="C191" s="148">
        <v>57809946</v>
      </c>
      <c r="D191" s="148">
        <v>22447725.381805811</v>
      </c>
      <c r="E191" s="148">
        <v>43429270.09252654</v>
      </c>
      <c r="F191" s="148">
        <v>24958755.556582242</v>
      </c>
      <c r="G191" s="148">
        <v>15000000</v>
      </c>
      <c r="H191" s="148">
        <v>105835751.03091459</v>
      </c>
      <c r="I191" s="148">
        <v>115619892</v>
      </c>
      <c r="J191" s="148">
        <v>9784140.9690854102</v>
      </c>
      <c r="K191" s="148"/>
      <c r="N191" s="102">
        <v>167</v>
      </c>
      <c r="O191" s="104">
        <v>14596536.90806073</v>
      </c>
      <c r="P191" s="104">
        <v>410959.6254260242</v>
      </c>
      <c r="Q191" s="104">
        <v>8564056.2993230224</v>
      </c>
      <c r="R191" s="104">
        <v>52015.413275316358</v>
      </c>
      <c r="S191" s="104">
        <v>18340.094004049897</v>
      </c>
      <c r="T191" s="104">
        <v>-49468.421207517385</v>
      </c>
      <c r="U191" s="104">
        <v>-4663146.1113776416</v>
      </c>
    </row>
    <row r="192" spans="1:21" ht="13.2">
      <c r="A192" s="149">
        <v>183</v>
      </c>
      <c r="B192" s="148">
        <v>57176802</v>
      </c>
      <c r="C192" s="148">
        <v>57176802</v>
      </c>
      <c r="D192" s="148">
        <v>25106917.240687467</v>
      </c>
      <c r="E192" s="148">
        <v>42696895.307822935</v>
      </c>
      <c r="F192" s="148">
        <v>26306416.418013286</v>
      </c>
      <c r="G192" s="148">
        <v>15000000</v>
      </c>
      <c r="H192" s="148">
        <v>109110228.96652369</v>
      </c>
      <c r="I192" s="148">
        <v>114353604</v>
      </c>
      <c r="J192" s="148">
        <v>5243375.033476308</v>
      </c>
      <c r="K192" s="148"/>
      <c r="N192" s="102">
        <v>168</v>
      </c>
      <c r="O192" s="104">
        <v>11912238.554822087</v>
      </c>
      <c r="P192" s="104">
        <v>4068158.1074174792</v>
      </c>
      <c r="Q192" s="104">
        <v>-4305700.8531352729</v>
      </c>
      <c r="R192" s="104">
        <v>7130074.2613093555</v>
      </c>
      <c r="S192" s="104">
        <v>4260996.298271209</v>
      </c>
      <c r="T192" s="104">
        <v>-6116124.5657477379</v>
      </c>
      <c r="U192" s="104">
        <v>-533999.59772390127</v>
      </c>
    </row>
    <row r="193" spans="1:21" ht="13.2">
      <c r="A193" s="149">
        <v>184</v>
      </c>
      <c r="B193" s="148">
        <v>56048199</v>
      </c>
      <c r="C193" s="148">
        <v>56048199</v>
      </c>
      <c r="D193" s="148">
        <v>23636579.546302799</v>
      </c>
      <c r="E193" s="148">
        <v>41964318.62261834</v>
      </c>
      <c r="F193" s="148">
        <v>24794448.150768306</v>
      </c>
      <c r="G193" s="148">
        <v>15000000</v>
      </c>
      <c r="H193" s="148">
        <v>105395346.31968945</v>
      </c>
      <c r="I193" s="148">
        <v>112096398</v>
      </c>
      <c r="J193" s="148">
        <v>6701051.6803105474</v>
      </c>
      <c r="K193" s="148"/>
      <c r="N193" s="102">
        <v>169</v>
      </c>
      <c r="O193" s="104">
        <v>9360936.4940773249</v>
      </c>
      <c r="P193" s="104">
        <v>5644922.6097520739</v>
      </c>
      <c r="Q193" s="104">
        <v>6984929.6407607049</v>
      </c>
      <c r="R193" s="104">
        <v>-1290397.1452830732</v>
      </c>
      <c r="S193" s="104">
        <v>7509152.2452880144</v>
      </c>
      <c r="T193" s="104">
        <v>7786081.8613226414</v>
      </c>
      <c r="U193" s="104">
        <v>1615403.7144011706</v>
      </c>
    </row>
    <row r="194" spans="1:21" ht="13.2">
      <c r="A194" s="149">
        <v>185</v>
      </c>
      <c r="B194" s="148">
        <v>57930350.5</v>
      </c>
      <c r="C194" s="148">
        <v>57930350.5</v>
      </c>
      <c r="D194" s="148">
        <v>24986382.189144835</v>
      </c>
      <c r="E194" s="148">
        <v>42851913.571752988</v>
      </c>
      <c r="F194" s="148">
        <v>31046577.540683284</v>
      </c>
      <c r="G194" s="148">
        <v>15000000</v>
      </c>
      <c r="H194" s="148">
        <v>113884873.3015811</v>
      </c>
      <c r="I194" s="148">
        <v>115860701</v>
      </c>
      <c r="J194" s="148">
        <v>1975827.6984189004</v>
      </c>
      <c r="K194" s="148"/>
      <c r="N194" s="102">
        <v>170</v>
      </c>
      <c r="O194" s="104">
        <v>20012530.362597764</v>
      </c>
      <c r="P194" s="104">
        <v>7195157.3878585845</v>
      </c>
      <c r="Q194" s="104">
        <v>71578.129126504064</v>
      </c>
      <c r="R194" s="104">
        <v>2861900.0870128274</v>
      </c>
      <c r="S194" s="104">
        <v>-89030.175645440817</v>
      </c>
      <c r="T194" s="104">
        <v>-12654639.620741487</v>
      </c>
      <c r="U194" s="104">
        <v>5688516.7810098231</v>
      </c>
    </row>
    <row r="195" spans="1:21" ht="13.2">
      <c r="A195" s="149">
        <v>186</v>
      </c>
      <c r="B195" s="148">
        <v>62085564</v>
      </c>
      <c r="C195" s="148">
        <v>62085564</v>
      </c>
      <c r="D195" s="148">
        <v>24566996.183550652</v>
      </c>
      <c r="E195" s="148">
        <v>42630831.758332953</v>
      </c>
      <c r="F195" s="148">
        <v>29484602.820644904</v>
      </c>
      <c r="G195" s="148">
        <v>15000000</v>
      </c>
      <c r="H195" s="148">
        <v>111682430.76252851</v>
      </c>
      <c r="I195" s="148">
        <v>124171128</v>
      </c>
      <c r="J195" s="148">
        <v>12488697.237471491</v>
      </c>
      <c r="K195" s="148"/>
      <c r="N195" s="102">
        <v>171</v>
      </c>
      <c r="O195" s="104">
        <v>12053477.181621969</v>
      </c>
      <c r="P195" s="104">
        <v>11265576.063361615</v>
      </c>
      <c r="Q195" s="104">
        <v>11992356.838074461</v>
      </c>
      <c r="R195" s="104">
        <v>7771152.76461339</v>
      </c>
      <c r="S195" s="104">
        <v>12874912.672363713</v>
      </c>
      <c r="T195" s="104">
        <v>-775913.7455303967</v>
      </c>
      <c r="U195" s="104">
        <v>-12223529.420978606</v>
      </c>
    </row>
    <row r="196" spans="1:21" ht="13.2">
      <c r="A196" s="149">
        <v>187</v>
      </c>
      <c r="B196" s="148">
        <v>54831381</v>
      </c>
      <c r="C196" s="148">
        <v>54831381</v>
      </c>
      <c r="D196" s="148">
        <v>25121509.503704857</v>
      </c>
      <c r="E196" s="148">
        <v>42842997.444054134</v>
      </c>
      <c r="F196" s="148">
        <v>25117848.475546233</v>
      </c>
      <c r="G196" s="148">
        <v>15000000</v>
      </c>
      <c r="H196" s="148">
        <v>108082355.42330521</v>
      </c>
      <c r="I196" s="148">
        <v>109662762</v>
      </c>
      <c r="J196" s="148">
        <v>1580406.5766947865</v>
      </c>
      <c r="K196" s="148"/>
      <c r="N196" s="102">
        <v>172</v>
      </c>
      <c r="O196" s="104">
        <v>6442615.2034612149</v>
      </c>
      <c r="P196" s="104">
        <v>4553538.1675409973</v>
      </c>
      <c r="Q196" s="104">
        <v>10456245.607775912</v>
      </c>
      <c r="R196" s="104">
        <v>9453365.5720937997</v>
      </c>
      <c r="S196" s="104">
        <v>-6784827.1149761081</v>
      </c>
      <c r="T196" s="104">
        <v>-5426302.4610939622</v>
      </c>
      <c r="U196" s="104">
        <v>5107855.6315152794</v>
      </c>
    </row>
    <row r="197" spans="1:21" ht="13.2">
      <c r="A197" s="149">
        <v>188</v>
      </c>
      <c r="B197" s="148">
        <v>55668378.5</v>
      </c>
      <c r="C197" s="148">
        <v>55668378.5</v>
      </c>
      <c r="D197" s="148">
        <v>24836956.712119061</v>
      </c>
      <c r="E197" s="148">
        <v>43502396.517083429</v>
      </c>
      <c r="F197" s="148">
        <v>27346282.726996332</v>
      </c>
      <c r="G197" s="148">
        <v>15000000</v>
      </c>
      <c r="H197" s="148">
        <v>110685635.95619883</v>
      </c>
      <c r="I197" s="148">
        <v>111336757</v>
      </c>
      <c r="J197" s="148">
        <v>651121.04380117357</v>
      </c>
      <c r="K197" s="148"/>
      <c r="N197" s="102">
        <v>173</v>
      </c>
      <c r="O197" s="104">
        <v>8108646.1007753015</v>
      </c>
      <c r="P197" s="104">
        <v>3272249.5865402222</v>
      </c>
      <c r="Q197" s="104">
        <v>3395134.3815663606</v>
      </c>
      <c r="R197" s="104">
        <v>4002172.0612940788</v>
      </c>
      <c r="S197" s="104">
        <v>12566369.022302702</v>
      </c>
      <c r="T197" s="104">
        <v>3865495.0298584253</v>
      </c>
      <c r="U197" s="104">
        <v>3782724.6174331903</v>
      </c>
    </row>
    <row r="198" spans="1:21" ht="13.2">
      <c r="A198" s="149">
        <v>189</v>
      </c>
      <c r="B198" s="148">
        <v>59477813</v>
      </c>
      <c r="C198" s="148">
        <v>59477813</v>
      </c>
      <c r="D198" s="148">
        <v>24988569.149188034</v>
      </c>
      <c r="E198" s="148">
        <v>42381705.416308865</v>
      </c>
      <c r="F198" s="148">
        <v>27276751.515123703</v>
      </c>
      <c r="G198" s="148">
        <v>15000000</v>
      </c>
      <c r="H198" s="148">
        <v>109647026.08062059</v>
      </c>
      <c r="I198" s="148">
        <v>118955626</v>
      </c>
      <c r="J198" s="148">
        <v>9308599.9193794131</v>
      </c>
      <c r="K198" s="148"/>
      <c r="N198" s="102">
        <v>174</v>
      </c>
      <c r="O198" s="104">
        <v>6732542.4032804668</v>
      </c>
      <c r="P198" s="104">
        <v>4293900.2439602911</v>
      </c>
      <c r="Q198" s="104">
        <v>7627988.6051694453</v>
      </c>
      <c r="R198" s="104">
        <v>4972738.2315957099</v>
      </c>
      <c r="S198" s="104">
        <v>-3578973.7518735081</v>
      </c>
      <c r="T198" s="104">
        <v>7071790.7354332209</v>
      </c>
      <c r="U198" s="104">
        <v>-9412702.9646651745</v>
      </c>
    </row>
    <row r="199" spans="1:21" ht="13.2">
      <c r="A199" s="149">
        <v>190</v>
      </c>
      <c r="B199" s="148">
        <v>53287043</v>
      </c>
      <c r="C199" s="148">
        <v>53287043</v>
      </c>
      <c r="D199" s="148">
        <v>24844105.793351937</v>
      </c>
      <c r="E199" s="148">
        <v>42845504.207416818</v>
      </c>
      <c r="F199" s="148">
        <v>25213656.20206118</v>
      </c>
      <c r="G199" s="148">
        <v>15000000</v>
      </c>
      <c r="H199" s="148">
        <v>107903266.20282993</v>
      </c>
      <c r="I199" s="148">
        <v>106574086</v>
      </c>
      <c r="J199" s="148">
        <v>-1329180.2028299272</v>
      </c>
      <c r="K199" s="148"/>
      <c r="N199" s="102">
        <v>175</v>
      </c>
      <c r="O199" s="104">
        <v>6332966.5361656994</v>
      </c>
      <c r="P199" s="104">
        <v>2831841.2907846868</v>
      </c>
      <c r="Q199" s="104">
        <v>4662189.4383407682</v>
      </c>
      <c r="R199" s="104">
        <v>-1211571.5702948868</v>
      </c>
      <c r="S199" s="104">
        <v>4353278.4740394354</v>
      </c>
      <c r="T199" s="104">
        <v>-7966104.1987141967</v>
      </c>
      <c r="U199" s="104">
        <v>4754685.8051824272</v>
      </c>
    </row>
    <row r="200" spans="1:21" ht="13.2">
      <c r="A200" s="149">
        <v>191</v>
      </c>
      <c r="B200" s="148">
        <v>52015609</v>
      </c>
      <c r="C200" s="148">
        <v>52015609</v>
      </c>
      <c r="D200" s="148">
        <v>24593405.548438951</v>
      </c>
      <c r="E200" s="148">
        <v>42827680.0015755</v>
      </c>
      <c r="F200" s="148">
        <v>26350773.151001889</v>
      </c>
      <c r="G200" s="148">
        <v>15000000</v>
      </c>
      <c r="H200" s="148">
        <v>108771858.70101634</v>
      </c>
      <c r="I200" s="148">
        <v>104031218</v>
      </c>
      <c r="J200" s="148">
        <v>-4740640.7010163367</v>
      </c>
      <c r="K200" s="148"/>
      <c r="N200" s="102">
        <v>176</v>
      </c>
      <c r="O200" s="104">
        <v>7687711.7560800612</v>
      </c>
      <c r="P200" s="104">
        <v>3915694.9979332387</v>
      </c>
      <c r="Q200" s="104">
        <v>8016964.711047709</v>
      </c>
      <c r="R200" s="104">
        <v>-2105281.5645078272</v>
      </c>
      <c r="S200" s="104">
        <v>5290137.9184788018</v>
      </c>
      <c r="T200" s="104">
        <v>1215926.4928030372</v>
      </c>
      <c r="U200" s="104">
        <v>-5678635.0620603412</v>
      </c>
    </row>
    <row r="201" spans="1:21" ht="13.2">
      <c r="A201" s="149">
        <v>192</v>
      </c>
      <c r="B201" s="148">
        <v>56955105</v>
      </c>
      <c r="C201" s="148">
        <v>56955105</v>
      </c>
      <c r="D201" s="148">
        <v>25526597.346833285</v>
      </c>
      <c r="E201" s="148">
        <v>43827485.018934853</v>
      </c>
      <c r="F201" s="148">
        <v>25319389.101676807</v>
      </c>
      <c r="G201" s="148">
        <v>15000000</v>
      </c>
      <c r="H201" s="148">
        <v>109673471.46744494</v>
      </c>
      <c r="I201" s="148">
        <v>113910210</v>
      </c>
      <c r="J201" s="148">
        <v>4236738.5325550586</v>
      </c>
      <c r="K201" s="148"/>
      <c r="N201" s="102">
        <v>177</v>
      </c>
      <c r="O201" s="104">
        <v>9161840.0109387934</v>
      </c>
      <c r="P201" s="104">
        <v>10393272.52178818</v>
      </c>
      <c r="Q201" s="104">
        <v>1214572.8802753091</v>
      </c>
      <c r="R201" s="104">
        <v>-134482.87196953595</v>
      </c>
      <c r="S201" s="104">
        <v>-133190.89137469232</v>
      </c>
      <c r="T201" s="104">
        <v>11360338.153513476</v>
      </c>
      <c r="U201" s="104">
        <v>-12304838.603393957</v>
      </c>
    </row>
    <row r="202" spans="1:21" ht="13.2">
      <c r="A202" s="149">
        <v>193</v>
      </c>
      <c r="B202" s="148">
        <v>65490469.5</v>
      </c>
      <c r="C202" s="148">
        <v>65490469.5</v>
      </c>
      <c r="D202" s="148">
        <v>22833552.941278812</v>
      </c>
      <c r="E202" s="148">
        <v>42713684.602498636</v>
      </c>
      <c r="F202" s="148">
        <v>27580448.907242779</v>
      </c>
      <c r="G202" s="148">
        <v>15000000</v>
      </c>
      <c r="H202" s="148">
        <v>108127686.45102023</v>
      </c>
      <c r="I202" s="148">
        <v>130980939</v>
      </c>
      <c r="J202" s="148">
        <v>22853252.548979774</v>
      </c>
      <c r="K202" s="148"/>
      <c r="N202" s="102">
        <v>178</v>
      </c>
      <c r="O202" s="104">
        <v>8682933.9042275995</v>
      </c>
      <c r="P202" s="104">
        <v>13368963.171763644</v>
      </c>
      <c r="Q202" s="104">
        <v>12520526.254658535</v>
      </c>
      <c r="R202" s="104">
        <v>4219306.6414623111</v>
      </c>
      <c r="S202" s="104">
        <v>4223854.8595315069</v>
      </c>
      <c r="T202" s="104">
        <v>-1871226.3775705695</v>
      </c>
      <c r="U202" s="104">
        <v>1501439.7891957313</v>
      </c>
    </row>
    <row r="203" spans="1:21" ht="13.2">
      <c r="A203" s="149">
        <v>194</v>
      </c>
      <c r="B203" s="148">
        <v>56104600</v>
      </c>
      <c r="C203" s="148">
        <v>56104600</v>
      </c>
      <c r="D203" s="148">
        <v>24434349.929585468</v>
      </c>
      <c r="E203" s="148">
        <v>42660170.117776364</v>
      </c>
      <c r="F203" s="148">
        <v>29670976.590203974</v>
      </c>
      <c r="G203" s="148">
        <v>15000000</v>
      </c>
      <c r="H203" s="148">
        <v>111765496.63756581</v>
      </c>
      <c r="I203" s="148">
        <v>112209200</v>
      </c>
      <c r="J203" s="148">
        <v>443703.36243419349</v>
      </c>
      <c r="K203" s="148"/>
      <c r="N203" s="102">
        <v>179</v>
      </c>
      <c r="O203" s="104">
        <v>14029644.68715021</v>
      </c>
      <c r="P203" s="104">
        <v>8657293.5586321801</v>
      </c>
      <c r="Q203" s="104">
        <v>3555471.0087462813</v>
      </c>
      <c r="R203" s="104">
        <v>6933618.2558314651</v>
      </c>
      <c r="S203" s="104">
        <v>3532350.9220694155</v>
      </c>
      <c r="T203" s="104">
        <v>8452643.8933541328</v>
      </c>
      <c r="U203" s="104">
        <v>3680170.1590155661</v>
      </c>
    </row>
    <row r="204" spans="1:21" ht="13.2">
      <c r="A204" s="149">
        <v>195</v>
      </c>
      <c r="B204" s="148">
        <v>53077928.5</v>
      </c>
      <c r="C204" s="148">
        <v>53077928.5</v>
      </c>
      <c r="D204" s="148">
        <v>24991050.209782872</v>
      </c>
      <c r="E204" s="148">
        <v>42651673.747842588</v>
      </c>
      <c r="F204" s="148">
        <v>29213302.126989387</v>
      </c>
      <c r="G204" s="148">
        <v>15000000</v>
      </c>
      <c r="H204" s="148">
        <v>111856026.08461484</v>
      </c>
      <c r="I204" s="148">
        <v>106155857</v>
      </c>
      <c r="J204" s="148">
        <v>-5700169.0846148431</v>
      </c>
      <c r="K204" s="148"/>
      <c r="N204" s="102">
        <v>180</v>
      </c>
      <c r="O204" s="104">
        <v>13901637.056098059</v>
      </c>
      <c r="P204" s="104">
        <v>3829220.4290187061</v>
      </c>
      <c r="Q204" s="104">
        <v>9014464.0614431798</v>
      </c>
      <c r="R204" s="104">
        <v>4820801.6448257864</v>
      </c>
      <c r="S204" s="104">
        <v>-1118621.4405974895</v>
      </c>
      <c r="T204" s="104">
        <v>1709956.0853068233</v>
      </c>
      <c r="U204" s="104">
        <v>-3436622.3133710623</v>
      </c>
    </row>
    <row r="205" spans="1:21" ht="13.2">
      <c r="A205" s="149">
        <v>196</v>
      </c>
      <c r="B205" s="148">
        <v>50654229</v>
      </c>
      <c r="C205" s="148">
        <v>50654229</v>
      </c>
      <c r="D205" s="148">
        <v>25104436.180092633</v>
      </c>
      <c r="E205" s="148">
        <v>43169724.962522313</v>
      </c>
      <c r="F205" s="148">
        <v>26613908.034436394</v>
      </c>
      <c r="G205" s="148">
        <v>15000000</v>
      </c>
      <c r="H205" s="148">
        <v>109888069.17705134</v>
      </c>
      <c r="I205" s="148">
        <v>101308458</v>
      </c>
      <c r="J205" s="148">
        <v>-8579611.1770513356</v>
      </c>
      <c r="K205" s="148"/>
      <c r="N205" s="102">
        <v>181</v>
      </c>
      <c r="O205" s="104">
        <v>-1218381.6377193034</v>
      </c>
      <c r="P205" s="104">
        <v>1969651.0776637048</v>
      </c>
      <c r="Q205" s="104">
        <v>-189711.97815713286</v>
      </c>
      <c r="R205" s="104">
        <v>4911986.0670611262</v>
      </c>
      <c r="S205" s="104">
        <v>8187985.0831688195</v>
      </c>
      <c r="T205" s="104">
        <v>5744671.3901360631</v>
      </c>
      <c r="U205" s="104">
        <v>793478.72158049047</v>
      </c>
    </row>
    <row r="206" spans="1:21" ht="13.2">
      <c r="A206" s="149">
        <v>197</v>
      </c>
      <c r="B206" s="148">
        <v>60699341.5</v>
      </c>
      <c r="C206" s="148">
        <v>60699341.5</v>
      </c>
      <c r="D206" s="148">
        <v>26174942.253090188</v>
      </c>
      <c r="E206" s="148">
        <v>42578208.88577266</v>
      </c>
      <c r="F206" s="148">
        <v>25483916.177788373</v>
      </c>
      <c r="G206" s="148">
        <v>15000000</v>
      </c>
      <c r="H206" s="148">
        <v>109237067.31665123</v>
      </c>
      <c r="I206" s="148">
        <v>121398683</v>
      </c>
      <c r="J206" s="148">
        <v>12161615.683348775</v>
      </c>
      <c r="K206" s="148"/>
      <c r="N206" s="102">
        <v>182</v>
      </c>
      <c r="O206" s="104">
        <v>9850570.7877178043</v>
      </c>
      <c r="P206" s="104">
        <v>6628318.4706275761</v>
      </c>
      <c r="Q206" s="104">
        <v>4381496.6618243754</v>
      </c>
      <c r="R206" s="104">
        <v>1937390.0727758408</v>
      </c>
      <c r="S206" s="104">
        <v>1746318.4419892728</v>
      </c>
      <c r="T206" s="104">
        <v>-461570.56455367804</v>
      </c>
      <c r="U206" s="104">
        <v>-10593330.151470557</v>
      </c>
    </row>
    <row r="207" spans="1:21" ht="13.2">
      <c r="A207" s="149">
        <v>198</v>
      </c>
      <c r="B207" s="148">
        <v>59410002.5</v>
      </c>
      <c r="C207" s="148">
        <v>59410002.5</v>
      </c>
      <c r="D207" s="148">
        <v>22040156.478082545</v>
      </c>
      <c r="E207" s="148">
        <v>40921367.086397059</v>
      </c>
      <c r="F207" s="148">
        <v>26409719.96258866</v>
      </c>
      <c r="G207" s="148">
        <v>15000000</v>
      </c>
      <c r="H207" s="148">
        <v>104371243.52706826</v>
      </c>
      <c r="I207" s="148">
        <v>118820005</v>
      </c>
      <c r="J207" s="148">
        <v>14448761.472931743</v>
      </c>
      <c r="K207" s="148"/>
      <c r="N207" s="102">
        <v>183</v>
      </c>
      <c r="O207" s="104">
        <v>4589287.4065523297</v>
      </c>
      <c r="P207" s="104">
        <v>2597509.57225658</v>
      </c>
      <c r="Q207" s="104">
        <v>11569512.268997461</v>
      </c>
      <c r="R207" s="104">
        <v>10677558.935206443</v>
      </c>
      <c r="S207" s="104">
        <v>-5697730.652160123</v>
      </c>
      <c r="T207" s="104">
        <v>1331608.8050923944</v>
      </c>
      <c r="U207" s="104">
        <v>1837078.3549742699</v>
      </c>
    </row>
    <row r="208" spans="1:21" ht="13.2">
      <c r="A208" s="149">
        <v>199</v>
      </c>
      <c r="B208" s="148">
        <v>58393716</v>
      </c>
      <c r="C208" s="148">
        <v>58393716</v>
      </c>
      <c r="D208" s="148">
        <v>22167840.610858057</v>
      </c>
      <c r="E208" s="148">
        <v>42887000.657626666</v>
      </c>
      <c r="F208" s="148">
        <v>26544749.353551846</v>
      </c>
      <c r="G208" s="148">
        <v>15000000</v>
      </c>
      <c r="H208" s="148">
        <v>106599590.62203658</v>
      </c>
      <c r="I208" s="148">
        <v>116787432</v>
      </c>
      <c r="J208" s="148">
        <v>10187841.377963424</v>
      </c>
      <c r="K208" s="148"/>
      <c r="N208" s="102">
        <v>184</v>
      </c>
      <c r="O208" s="104">
        <v>9939985.1513015926</v>
      </c>
      <c r="P208" s="104">
        <v>2694659.3552084565</v>
      </c>
      <c r="Q208" s="104">
        <v>-6753615.4243625104</v>
      </c>
      <c r="R208" s="104">
        <v>-4928449.762493372</v>
      </c>
      <c r="S208" s="104">
        <v>1504163.0983221531</v>
      </c>
      <c r="T208" s="104">
        <v>-3495344.342011556</v>
      </c>
      <c r="U208" s="104">
        <v>-304390.63468554616</v>
      </c>
    </row>
    <row r="209" spans="1:21" ht="13.2">
      <c r="A209" s="149">
        <v>200</v>
      </c>
      <c r="B209" s="148">
        <v>57595918.5</v>
      </c>
      <c r="C209" s="148">
        <v>57595918.5</v>
      </c>
      <c r="D209" s="148">
        <v>24581588.446568042</v>
      </c>
      <c r="E209" s="148">
        <v>43303931.184288718</v>
      </c>
      <c r="F209" s="148">
        <v>28723011.608227268</v>
      </c>
      <c r="G209" s="148">
        <v>15000000</v>
      </c>
      <c r="H209" s="148">
        <v>111608531.23908402</v>
      </c>
      <c r="I209" s="148">
        <v>115191837</v>
      </c>
      <c r="J209" s="148">
        <v>3583305.7609159797</v>
      </c>
      <c r="K209" s="148"/>
      <c r="N209" s="102">
        <v>185</v>
      </c>
      <c r="O209" s="104">
        <v>14657259.528968543</v>
      </c>
      <c r="P209" s="104">
        <v>16451319.772735506</v>
      </c>
      <c r="Q209" s="104">
        <v>8647468.072188735</v>
      </c>
      <c r="R209" s="104">
        <v>921955.81306956708</v>
      </c>
      <c r="S209" s="104">
        <v>6254933.0098822117</v>
      </c>
      <c r="T209" s="104">
        <v>-2746070.2581668347</v>
      </c>
      <c r="U209" s="104">
        <v>204387.77827981114</v>
      </c>
    </row>
    <row r="210" spans="1:21" ht="13.2">
      <c r="A210" s="149">
        <v>201</v>
      </c>
      <c r="B210" s="148">
        <v>53866645</v>
      </c>
      <c r="C210" s="148">
        <v>53866645</v>
      </c>
      <c r="D210" s="148">
        <v>24977046.147868756</v>
      </c>
      <c r="E210" s="148">
        <v>41329766.012213439</v>
      </c>
      <c r="F210" s="148">
        <v>25745341.037588216</v>
      </c>
      <c r="G210" s="148">
        <v>15000000</v>
      </c>
      <c r="H210" s="148">
        <v>107052153.1976704</v>
      </c>
      <c r="I210" s="148">
        <v>107733290</v>
      </c>
      <c r="J210" s="148">
        <v>681136.80232959986</v>
      </c>
      <c r="K210" s="148"/>
      <c r="N210" s="102">
        <v>186</v>
      </c>
      <c r="O210" s="104">
        <v>9171415.7595622838</v>
      </c>
      <c r="P210" s="104">
        <v>24078333.309921637</v>
      </c>
      <c r="Q210" s="104">
        <v>17311619.728840411</v>
      </c>
      <c r="R210" s="104">
        <v>4334376.4814513773</v>
      </c>
      <c r="S210" s="104">
        <v>6045760.3699240386</v>
      </c>
      <c r="T210" s="104">
        <v>-2857022.2724694461</v>
      </c>
      <c r="U210" s="104">
        <v>-1212438.3090924025</v>
      </c>
    </row>
    <row r="211" spans="1:21" ht="13.2">
      <c r="A211" s="149">
        <v>202</v>
      </c>
      <c r="B211" s="148">
        <v>59581915.5</v>
      </c>
      <c r="C211" s="148">
        <v>59581915.5</v>
      </c>
      <c r="D211" s="148">
        <v>23646209.688130505</v>
      </c>
      <c r="E211" s="148">
        <v>42009242.815724708</v>
      </c>
      <c r="F211" s="148">
        <v>28479986.437013756</v>
      </c>
      <c r="G211" s="148">
        <v>15000000</v>
      </c>
      <c r="H211" s="148">
        <v>109135438.94086897</v>
      </c>
      <c r="I211" s="148">
        <v>119163831</v>
      </c>
      <c r="J211" s="148">
        <v>10028392.059131026</v>
      </c>
      <c r="K211" s="148"/>
      <c r="N211" s="102">
        <v>187</v>
      </c>
      <c r="O211" s="104">
        <v>9932416.9817150533</v>
      </c>
      <c r="P211" s="104">
        <v>4239543.8527206033</v>
      </c>
      <c r="Q211" s="104">
        <v>-609991.9905846715</v>
      </c>
      <c r="R211" s="104">
        <v>11450443.548778117</v>
      </c>
      <c r="S211" s="104">
        <v>-2324607.4861360341</v>
      </c>
      <c r="T211" s="104">
        <v>-12539480.470939189</v>
      </c>
      <c r="U211" s="104">
        <v>-6966103.7283574045</v>
      </c>
    </row>
    <row r="212" spans="1:21" ht="13.2">
      <c r="A212" s="149">
        <v>203</v>
      </c>
      <c r="B212" s="148">
        <v>56581198.5</v>
      </c>
      <c r="C212" s="148">
        <v>56581198.5</v>
      </c>
      <c r="D212" s="148">
        <v>26174942.253090188</v>
      </c>
      <c r="E212" s="148">
        <v>43446168.898684084</v>
      </c>
      <c r="F212" s="148">
        <v>27363021.005728927</v>
      </c>
      <c r="G212" s="148">
        <v>15000000</v>
      </c>
      <c r="H212" s="148">
        <v>111984132.1575032</v>
      </c>
      <c r="I212" s="148">
        <v>113162397</v>
      </c>
      <c r="J212" s="148">
        <v>1178264.8424967974</v>
      </c>
      <c r="K212" s="148"/>
      <c r="N212" s="102">
        <v>188</v>
      </c>
      <c r="O212" s="104">
        <v>400644.02384354174</v>
      </c>
      <c r="P212" s="104">
        <v>4813524.1805976331</v>
      </c>
      <c r="Q212" s="104">
        <v>11019068.792205662</v>
      </c>
      <c r="R212" s="104">
        <v>110988.59814082086</v>
      </c>
      <c r="S212" s="104">
        <v>160972.52539561689</v>
      </c>
      <c r="T212" s="104">
        <v>2504866.4573269635</v>
      </c>
      <c r="U212" s="104">
        <v>3338931.5516633689</v>
      </c>
    </row>
    <row r="213" spans="1:21" ht="13.2">
      <c r="A213" s="149">
        <v>204</v>
      </c>
      <c r="B213" s="148">
        <v>62570654</v>
      </c>
      <c r="C213" s="148">
        <v>62570654</v>
      </c>
      <c r="D213" s="148">
        <v>24431868.868990634</v>
      </c>
      <c r="E213" s="148">
        <v>42794041.758460745</v>
      </c>
      <c r="F213" s="148">
        <v>27881711.793120109</v>
      </c>
      <c r="G213" s="148">
        <v>15000000</v>
      </c>
      <c r="H213" s="148">
        <v>110107622.42057148</v>
      </c>
      <c r="I213" s="148">
        <v>125141308</v>
      </c>
      <c r="J213" s="148">
        <v>15033685.579428524</v>
      </c>
      <c r="K213" s="148"/>
      <c r="N213" s="102">
        <v>189</v>
      </c>
      <c r="O213" s="104">
        <v>10011408.481384143</v>
      </c>
      <c r="P213" s="104">
        <v>7580488.0506010205</v>
      </c>
      <c r="Q213" s="104">
        <v>4122782.7994382083</v>
      </c>
      <c r="R213" s="104">
        <v>884369.317499578</v>
      </c>
      <c r="S213" s="104">
        <v>-850878.47443184257</v>
      </c>
      <c r="T213" s="104">
        <v>3779465.8550821841</v>
      </c>
      <c r="U213" s="104">
        <v>-7230803.9171547294</v>
      </c>
    </row>
    <row r="214" spans="1:21" ht="13.2">
      <c r="A214" s="149">
        <v>205</v>
      </c>
      <c r="B214" s="148">
        <v>55454371</v>
      </c>
      <c r="C214" s="148">
        <v>55454371</v>
      </c>
      <c r="D214" s="148">
        <v>22965905.094692368</v>
      </c>
      <c r="E214" s="148">
        <v>43288479.669322856</v>
      </c>
      <c r="F214" s="148">
        <v>25319426.414594185</v>
      </c>
      <c r="G214" s="148">
        <v>15000000</v>
      </c>
      <c r="H214" s="148">
        <v>106573811.17860942</v>
      </c>
      <c r="I214" s="148">
        <v>110908742</v>
      </c>
      <c r="J214" s="148">
        <v>4334930.8213905841</v>
      </c>
      <c r="K214" s="148"/>
      <c r="N214" s="102">
        <v>190</v>
      </c>
      <c r="O214" s="104">
        <v>15225712.400598079</v>
      </c>
      <c r="P214" s="104">
        <v>12415247.763556063</v>
      </c>
      <c r="Q214" s="104">
        <v>4933665.2538584918</v>
      </c>
      <c r="R214" s="104">
        <v>-3495012.7521410286</v>
      </c>
      <c r="S214" s="104">
        <v>8698693.5507111698</v>
      </c>
      <c r="T214" s="104">
        <v>-6038168.2885070592</v>
      </c>
      <c r="U214" s="104">
        <v>-5515196.521511972</v>
      </c>
    </row>
    <row r="215" spans="1:21" ht="13.2">
      <c r="A215" s="149">
        <v>206</v>
      </c>
      <c r="B215" s="148">
        <v>53568472</v>
      </c>
      <c r="C215" s="148">
        <v>53568472</v>
      </c>
      <c r="D215" s="148">
        <v>24051003.430707306</v>
      </c>
      <c r="E215" s="148">
        <v>42805807.290099204</v>
      </c>
      <c r="F215" s="148">
        <v>26388788.18757771</v>
      </c>
      <c r="G215" s="148">
        <v>15000000</v>
      </c>
      <c r="H215" s="148">
        <v>108245598.90838422</v>
      </c>
      <c r="I215" s="148">
        <v>107136944</v>
      </c>
      <c r="J215" s="148">
        <v>-1108654.9083842188</v>
      </c>
      <c r="K215" s="148"/>
      <c r="N215" s="102">
        <v>191</v>
      </c>
      <c r="O215" s="104">
        <v>7208881.0510673821</v>
      </c>
      <c r="P215" s="104">
        <v>9333593.4899446964</v>
      </c>
      <c r="Q215" s="104">
        <v>2208364.4937234521</v>
      </c>
      <c r="R215" s="104">
        <v>9836541.7125541419</v>
      </c>
      <c r="S215" s="104">
        <v>4412327.2847759426</v>
      </c>
      <c r="T215" s="104">
        <v>4237104.8095825016</v>
      </c>
      <c r="U215" s="104">
        <v>-5482882.821072951</v>
      </c>
    </row>
    <row r="216" spans="1:21" ht="13.2">
      <c r="A216" s="149">
        <v>207</v>
      </c>
      <c r="B216" s="148">
        <v>56943014</v>
      </c>
      <c r="C216" s="148">
        <v>56943014</v>
      </c>
      <c r="D216" s="148">
        <v>26046964.019763041</v>
      </c>
      <c r="E216" s="148">
        <v>42482100.151251264</v>
      </c>
      <c r="F216" s="148">
        <v>29649708.481201112</v>
      </c>
      <c r="G216" s="148">
        <v>15000000</v>
      </c>
      <c r="H216" s="148">
        <v>113178772.65221542</v>
      </c>
      <c r="I216" s="148">
        <v>113886028</v>
      </c>
      <c r="J216" s="148">
        <v>707255.3477845788</v>
      </c>
      <c r="K216" s="148"/>
      <c r="N216" s="102">
        <v>192</v>
      </c>
      <c r="O216" s="104">
        <v>9580801.3198060989</v>
      </c>
      <c r="P216" s="104">
        <v>5645788.8670539111</v>
      </c>
      <c r="Q216" s="104">
        <v>12263994.222521991</v>
      </c>
      <c r="R216" s="104">
        <v>2279588.5082193166</v>
      </c>
      <c r="S216" s="104">
        <v>14470810.907801852</v>
      </c>
      <c r="T216" s="104">
        <v>-12259032.310415074</v>
      </c>
      <c r="U216" s="104">
        <v>-217791.02352149785</v>
      </c>
    </row>
    <row r="217" spans="1:21" ht="13.2">
      <c r="A217" s="149">
        <v>208</v>
      </c>
      <c r="B217" s="148">
        <v>59631690.5</v>
      </c>
      <c r="C217" s="148">
        <v>59631690.5</v>
      </c>
      <c r="D217" s="148">
        <v>23626655.303923454</v>
      </c>
      <c r="E217" s="148">
        <v>41250561.377649061</v>
      </c>
      <c r="F217" s="148">
        <v>27738389.252590351</v>
      </c>
      <c r="G217" s="148">
        <v>15000000</v>
      </c>
      <c r="H217" s="148">
        <v>107615605.93416286</v>
      </c>
      <c r="I217" s="148">
        <v>119263381</v>
      </c>
      <c r="J217" s="148">
        <v>11647775.065837145</v>
      </c>
      <c r="K217" s="148"/>
      <c r="N217" s="102">
        <v>193</v>
      </c>
      <c r="O217" s="104">
        <v>21691424.585074216</v>
      </c>
      <c r="P217" s="104">
        <v>11081523.09584856</v>
      </c>
      <c r="Q217" s="104">
        <v>-222441.38987480104</v>
      </c>
      <c r="R217" s="104">
        <v>8874413.5364445448</v>
      </c>
      <c r="S217" s="104">
        <v>5297857.0103443265</v>
      </c>
      <c r="T217" s="104">
        <v>-9909130.9926275015</v>
      </c>
      <c r="U217" s="104">
        <v>3721570.721549049</v>
      </c>
    </row>
    <row r="218" spans="1:21" ht="13.2">
      <c r="A218" s="149">
        <v>209</v>
      </c>
      <c r="B218" s="148">
        <v>56367140.5</v>
      </c>
      <c r="C218" s="148">
        <v>56367140.5</v>
      </c>
      <c r="D218" s="148">
        <v>25661430.560841676</v>
      </c>
      <c r="E218" s="148">
        <v>42091268.316474639</v>
      </c>
      <c r="F218" s="148">
        <v>25894912.565660223</v>
      </c>
      <c r="G218" s="148">
        <v>15000000</v>
      </c>
      <c r="H218" s="148">
        <v>108647611.44297653</v>
      </c>
      <c r="I218" s="148">
        <v>112734281</v>
      </c>
      <c r="J218" s="148">
        <v>4086669.5570234656</v>
      </c>
      <c r="K218" s="148"/>
      <c r="N218" s="102">
        <v>194</v>
      </c>
      <c r="O218" s="104">
        <v>41727.558640301228</v>
      </c>
      <c r="P218" s="104">
        <v>5859176.1170629561</v>
      </c>
      <c r="Q218" s="104">
        <v>393735.12876886129</v>
      </c>
      <c r="R218" s="104">
        <v>-5679333.5863988847</v>
      </c>
      <c r="S218" s="104">
        <v>10115806.236108929</v>
      </c>
      <c r="T218" s="104">
        <v>-3538369.8547374308</v>
      </c>
      <c r="U218" s="104">
        <v>-10190936.514836967</v>
      </c>
    </row>
    <row r="219" spans="1:21" ht="13.2">
      <c r="A219" s="149">
        <v>210</v>
      </c>
      <c r="B219" s="148">
        <v>58761845</v>
      </c>
      <c r="C219" s="148">
        <v>58761845</v>
      </c>
      <c r="D219" s="148">
        <v>25256048.617161609</v>
      </c>
      <c r="E219" s="148">
        <v>42543226.606887393</v>
      </c>
      <c r="F219" s="148">
        <v>26984708.849986631</v>
      </c>
      <c r="G219" s="148">
        <v>15000000</v>
      </c>
      <c r="H219" s="148">
        <v>109783984.07403563</v>
      </c>
      <c r="I219" s="148">
        <v>117523690</v>
      </c>
      <c r="J219" s="148">
        <v>7739705.9259643704</v>
      </c>
      <c r="K219" s="148"/>
      <c r="N219" s="102">
        <v>195</v>
      </c>
      <c r="O219" s="104">
        <v>13278948.818988055</v>
      </c>
      <c r="P219" s="104">
        <v>6332085.388866514</v>
      </c>
      <c r="Q219" s="104">
        <v>4241508.9232450724</v>
      </c>
      <c r="R219" s="104">
        <v>-6649631.196872592</v>
      </c>
      <c r="S219" s="104">
        <v>1183590.0034098327</v>
      </c>
      <c r="T219" s="104">
        <v>-6215657.318087399</v>
      </c>
      <c r="U219" s="104">
        <v>-8488937.0302170813</v>
      </c>
    </row>
    <row r="220" spans="1:21" ht="13.2">
      <c r="A220" s="149">
        <v>211</v>
      </c>
      <c r="B220" s="148">
        <v>57013718</v>
      </c>
      <c r="C220" s="148">
        <v>57013718</v>
      </c>
      <c r="D220" s="148">
        <v>25652094.519565593</v>
      </c>
      <c r="E220" s="148">
        <v>41654392.407661289</v>
      </c>
      <c r="F220" s="148">
        <v>24561706.435369477</v>
      </c>
      <c r="G220" s="148">
        <v>15000000</v>
      </c>
      <c r="H220" s="148">
        <v>106868193.36259636</v>
      </c>
      <c r="I220" s="148">
        <v>114027436</v>
      </c>
      <c r="J220" s="148">
        <v>7159242.6374036372</v>
      </c>
      <c r="K220" s="148"/>
      <c r="N220" s="102">
        <v>196</v>
      </c>
      <c r="O220" s="104">
        <v>178366.7092153579</v>
      </c>
      <c r="P220" s="104">
        <v>12232521.006701857</v>
      </c>
      <c r="Q220" s="104">
        <v>13779958.008386955</v>
      </c>
      <c r="R220" s="104">
        <v>8164942.9449590445</v>
      </c>
      <c r="S220" s="104">
        <v>10647965.196800113</v>
      </c>
      <c r="T220" s="104">
        <v>-11513804.819718257</v>
      </c>
      <c r="U220" s="104">
        <v>-1110568.8575218022</v>
      </c>
    </row>
    <row r="221" spans="1:21" ht="13.2">
      <c r="A221" s="149">
        <v>212</v>
      </c>
      <c r="B221" s="148">
        <v>50238796</v>
      </c>
      <c r="C221" s="148">
        <v>50238796</v>
      </c>
      <c r="D221" s="148">
        <v>22843183.083106529</v>
      </c>
      <c r="E221" s="148">
        <v>43091703.044664472</v>
      </c>
      <c r="F221" s="148">
        <v>27428184.28430476</v>
      </c>
      <c r="G221" s="148">
        <v>15000000</v>
      </c>
      <c r="H221" s="148">
        <v>108363070.41207576</v>
      </c>
      <c r="I221" s="148">
        <v>100477592</v>
      </c>
      <c r="J221" s="148">
        <v>-7885478.412075758</v>
      </c>
      <c r="K221" s="148"/>
      <c r="N221" s="102">
        <v>197</v>
      </c>
      <c r="O221" s="104">
        <v>13897901.225016803</v>
      </c>
      <c r="P221" s="104">
        <v>7374400.5539563298</v>
      </c>
      <c r="Q221" s="104">
        <v>10166287.163863763</v>
      </c>
      <c r="R221" s="104">
        <v>7436766.0976236463</v>
      </c>
      <c r="S221" s="104">
        <v>1750452.7963401228</v>
      </c>
      <c r="T221" s="104">
        <v>-1304779.0049036145</v>
      </c>
      <c r="U221" s="104">
        <v>1962979.0582881868</v>
      </c>
    </row>
    <row r="222" spans="1:21" ht="13.2">
      <c r="A222" s="149">
        <v>213</v>
      </c>
      <c r="B222" s="148">
        <v>59815532</v>
      </c>
      <c r="C222" s="148">
        <v>59815532</v>
      </c>
      <c r="D222" s="148">
        <v>22442763.260616139</v>
      </c>
      <c r="E222" s="148">
        <v>42483912.380332559</v>
      </c>
      <c r="F222" s="148">
        <v>26682333.65116214</v>
      </c>
      <c r="G222" s="148">
        <v>15000000</v>
      </c>
      <c r="H222" s="148">
        <v>106609009.29211083</v>
      </c>
      <c r="I222" s="148">
        <v>119631064</v>
      </c>
      <c r="J222" s="148">
        <v>13022054.707889169</v>
      </c>
      <c r="K222" s="148"/>
      <c r="N222" s="102">
        <v>198</v>
      </c>
      <c r="O222" s="104">
        <v>10675372.849922836</v>
      </c>
      <c r="P222" s="104">
        <v>4533311.0823275149</v>
      </c>
      <c r="Q222" s="104">
        <v>6976996.6794761717</v>
      </c>
      <c r="R222" s="104">
        <v>3916312.8371204734</v>
      </c>
      <c r="S222" s="104">
        <v>-7215202.2424919009</v>
      </c>
      <c r="T222" s="104">
        <v>1846402.1301977485</v>
      </c>
      <c r="U222" s="104">
        <v>-275931.70372802019</v>
      </c>
    </row>
    <row r="223" spans="1:21" ht="13.2">
      <c r="A223" s="149">
        <v>214</v>
      </c>
      <c r="B223" s="148">
        <v>57069654</v>
      </c>
      <c r="C223" s="148">
        <v>57069654</v>
      </c>
      <c r="D223" s="148">
        <v>25398619.113506138</v>
      </c>
      <c r="E223" s="148">
        <v>42806015.479707062</v>
      </c>
      <c r="F223" s="148">
        <v>25512837.003493078</v>
      </c>
      <c r="G223" s="148">
        <v>15000000</v>
      </c>
      <c r="H223" s="148">
        <v>108717471.59670627</v>
      </c>
      <c r="I223" s="148">
        <v>114139308</v>
      </c>
      <c r="J223" s="148">
        <v>5421836.4032937288</v>
      </c>
      <c r="K223" s="148"/>
      <c r="N223" s="102">
        <v>199</v>
      </c>
      <c r="O223" s="104">
        <v>7808856.2433862388</v>
      </c>
      <c r="P223" s="104">
        <v>12375809.257282332</v>
      </c>
      <c r="Q223" s="104">
        <v>6878280.5224653035</v>
      </c>
      <c r="R223" s="104">
        <v>-4354415.0092579424</v>
      </c>
      <c r="S223" s="104">
        <v>1982968.4445337057</v>
      </c>
      <c r="T223" s="104">
        <v>-8560229.1547340453</v>
      </c>
      <c r="U223" s="104">
        <v>-11068881.071169749</v>
      </c>
    </row>
    <row r="224" spans="1:21" ht="13.2">
      <c r="A224" s="149">
        <v>215</v>
      </c>
      <c r="B224" s="148">
        <v>55120001.5</v>
      </c>
      <c r="C224" s="148">
        <v>55120001.5</v>
      </c>
      <c r="D224" s="148">
        <v>26054407.201547548</v>
      </c>
      <c r="E224" s="148">
        <v>43497375.635255784</v>
      </c>
      <c r="F224" s="148">
        <v>29960972.675259013</v>
      </c>
      <c r="G224" s="148">
        <v>15000000</v>
      </c>
      <c r="H224" s="148">
        <v>114512755.51206234</v>
      </c>
      <c r="I224" s="148">
        <v>110240003</v>
      </c>
      <c r="J224" s="148">
        <v>-4272752.512062341</v>
      </c>
      <c r="K224" s="148"/>
      <c r="N224" s="102">
        <v>200</v>
      </c>
      <c r="O224" s="104">
        <v>11267308.587333247</v>
      </c>
      <c r="P224" s="104">
        <v>11585.181974619627</v>
      </c>
      <c r="Q224" s="104">
        <v>6133514.486696139</v>
      </c>
      <c r="R224" s="104">
        <v>11624695.805994332</v>
      </c>
      <c r="S224" s="104">
        <v>6929579.9809450507</v>
      </c>
      <c r="T224" s="104">
        <v>1753889.9887849838</v>
      </c>
      <c r="U224" s="104">
        <v>-2405392.2076795846</v>
      </c>
    </row>
    <row r="225" spans="1:11" ht="13.2">
      <c r="A225" s="149">
        <v>216</v>
      </c>
      <c r="B225" s="148">
        <v>57596339.5</v>
      </c>
      <c r="C225" s="148">
        <v>57596339.5</v>
      </c>
      <c r="D225" s="148">
        <v>25391470.032273266</v>
      </c>
      <c r="E225" s="148">
        <v>43012791.609662026</v>
      </c>
      <c r="F225" s="148">
        <v>24636966.8448718</v>
      </c>
      <c r="G225" s="148">
        <v>15000000</v>
      </c>
      <c r="H225" s="148">
        <v>108041228.48680709</v>
      </c>
      <c r="I225" s="148">
        <v>115192679</v>
      </c>
      <c r="J225" s="148">
        <v>7151450.513192907</v>
      </c>
      <c r="K225" s="148"/>
    </row>
    <row r="226" spans="1:11" ht="13.2">
      <c r="A226" s="149">
        <v>217</v>
      </c>
      <c r="B226" s="148">
        <v>53886106</v>
      </c>
      <c r="C226" s="148">
        <v>53886106</v>
      </c>
      <c r="D226" s="148">
        <v>23505826.151829179</v>
      </c>
      <c r="E226" s="148">
        <v>42211457.444793358</v>
      </c>
      <c r="F226" s="148">
        <v>25951466.51502816</v>
      </c>
      <c r="G226" s="148">
        <v>15000000</v>
      </c>
      <c r="H226" s="148">
        <v>106668750.11165071</v>
      </c>
      <c r="I226" s="148">
        <v>107772212</v>
      </c>
      <c r="J226" s="148">
        <v>1103461.8883492947</v>
      </c>
      <c r="K226" s="148"/>
    </row>
    <row r="227" spans="1:11" ht="13.2">
      <c r="A227" s="149">
        <v>218</v>
      </c>
      <c r="B227" s="148">
        <v>55270690.5</v>
      </c>
      <c r="C227" s="148">
        <v>55270690.5</v>
      </c>
      <c r="D227" s="148">
        <v>24711753.639938388</v>
      </c>
      <c r="E227" s="148">
        <v>42820278.817833468</v>
      </c>
      <c r="F227" s="148">
        <v>31006739.322605528</v>
      </c>
      <c r="G227" s="148">
        <v>15000000</v>
      </c>
      <c r="H227" s="148">
        <v>113538771.78037739</v>
      </c>
      <c r="I227" s="148">
        <v>110541381</v>
      </c>
      <c r="J227" s="148">
        <v>-2997390.780377388</v>
      </c>
      <c r="K227" s="148"/>
    </row>
    <row r="228" spans="1:11" ht="13.2">
      <c r="A228" s="149">
        <v>219</v>
      </c>
      <c r="B228" s="148">
        <v>58244079.5</v>
      </c>
      <c r="C228" s="148">
        <v>58244079.5</v>
      </c>
      <c r="D228" s="148">
        <v>22575703.615132958</v>
      </c>
      <c r="E228" s="148">
        <v>43978572.724327177</v>
      </c>
      <c r="F228" s="148">
        <v>25865947.775963567</v>
      </c>
      <c r="G228" s="148">
        <v>15000000</v>
      </c>
      <c r="H228" s="148">
        <v>107420224.11542371</v>
      </c>
      <c r="I228" s="148">
        <v>116488159</v>
      </c>
      <c r="J228" s="148">
        <v>9067934.8845762908</v>
      </c>
      <c r="K228" s="148"/>
    </row>
    <row r="229" spans="1:11" ht="13.2">
      <c r="A229" s="149">
        <v>220</v>
      </c>
      <c r="B229" s="148">
        <v>57297967</v>
      </c>
      <c r="C229" s="148">
        <v>57297967</v>
      </c>
      <c r="D229" s="148">
        <v>24576332.224826735</v>
      </c>
      <c r="E229" s="148">
        <v>41390267.081642747</v>
      </c>
      <c r="F229" s="148">
        <v>24939987.176715709</v>
      </c>
      <c r="G229" s="148">
        <v>15000000</v>
      </c>
      <c r="H229" s="148">
        <v>105906586.4831852</v>
      </c>
      <c r="I229" s="148">
        <v>114595934</v>
      </c>
      <c r="J229" s="148">
        <v>8689347.5168147981</v>
      </c>
      <c r="K229" s="148"/>
    </row>
    <row r="230" spans="1:11" ht="13.2">
      <c r="A230" s="149">
        <v>221</v>
      </c>
      <c r="B230" s="148">
        <v>54937435.5</v>
      </c>
      <c r="C230" s="148">
        <v>54937435.5</v>
      </c>
      <c r="D230" s="148">
        <v>23093883.328019507</v>
      </c>
      <c r="E230" s="148">
        <v>41454791.099554554</v>
      </c>
      <c r="F230" s="148">
        <v>26551622.016755149</v>
      </c>
      <c r="G230" s="148">
        <v>15000000</v>
      </c>
      <c r="H230" s="148">
        <v>106100296.4443292</v>
      </c>
      <c r="I230" s="148">
        <v>109874871</v>
      </c>
      <c r="J230" s="148">
        <v>3774574.5556707978</v>
      </c>
      <c r="K230" s="148"/>
    </row>
    <row r="231" spans="1:11" ht="13.2">
      <c r="A231" s="149">
        <v>222</v>
      </c>
      <c r="B231" s="148">
        <v>57160152</v>
      </c>
      <c r="C231" s="148">
        <v>57160152</v>
      </c>
      <c r="D231" s="148">
        <v>23766744.739673141</v>
      </c>
      <c r="E231" s="148">
        <v>42648173.771207958</v>
      </c>
      <c r="F231" s="148">
        <v>27585407.049109437</v>
      </c>
      <c r="G231" s="148">
        <v>15000000</v>
      </c>
      <c r="H231" s="148">
        <v>109000325.55999053</v>
      </c>
      <c r="I231" s="148">
        <v>114320304</v>
      </c>
      <c r="J231" s="148">
        <v>5319978.4400094748</v>
      </c>
      <c r="K231" s="148"/>
    </row>
    <row r="232" spans="1:11" ht="13.2">
      <c r="A232" s="149">
        <v>223</v>
      </c>
      <c r="B232" s="148">
        <v>59297064.5</v>
      </c>
      <c r="C232" s="148">
        <v>59297064.5</v>
      </c>
      <c r="D232" s="148">
        <v>23233384.562665936</v>
      </c>
      <c r="E232" s="148">
        <v>42889576.631720856</v>
      </c>
      <c r="F232" s="148">
        <v>28585353.916965332</v>
      </c>
      <c r="G232" s="148">
        <v>15000000</v>
      </c>
      <c r="H232" s="148">
        <v>109708315.11135213</v>
      </c>
      <c r="I232" s="148">
        <v>118594129</v>
      </c>
      <c r="J232" s="148">
        <v>8885813.8886478692</v>
      </c>
      <c r="K232" s="148"/>
    </row>
    <row r="233" spans="1:11" ht="13.2">
      <c r="A233" s="149">
        <v>224</v>
      </c>
      <c r="B233" s="148">
        <v>55036221</v>
      </c>
      <c r="C233" s="148">
        <v>55036221</v>
      </c>
      <c r="D233" s="148">
        <v>24306665.796809956</v>
      </c>
      <c r="E233" s="148">
        <v>42752486.045889825</v>
      </c>
      <c r="F233" s="148">
        <v>28356626.413456045</v>
      </c>
      <c r="G233" s="148">
        <v>15000000</v>
      </c>
      <c r="H233" s="148">
        <v>110415778.25615582</v>
      </c>
      <c r="I233" s="148">
        <v>110072442</v>
      </c>
      <c r="J233" s="148">
        <v>-343336.2561558187</v>
      </c>
      <c r="K233" s="148"/>
    </row>
    <row r="234" spans="1:11" ht="13.2">
      <c r="A234" s="149">
        <v>225</v>
      </c>
      <c r="B234" s="148">
        <v>54993001.5</v>
      </c>
      <c r="C234" s="148">
        <v>54993001.5</v>
      </c>
      <c r="D234" s="148">
        <v>24571958.304740325</v>
      </c>
      <c r="E234" s="148">
        <v>42140717.261278547</v>
      </c>
      <c r="F234" s="148">
        <v>26145504.724155027</v>
      </c>
      <c r="G234" s="148">
        <v>15000000</v>
      </c>
      <c r="H234" s="148">
        <v>107858180.2901739</v>
      </c>
      <c r="I234" s="148">
        <v>109986003</v>
      </c>
      <c r="J234" s="148">
        <v>2127822.7098260969</v>
      </c>
      <c r="K234" s="148"/>
    </row>
    <row r="235" spans="1:11" ht="13.2">
      <c r="A235" s="149">
        <v>226</v>
      </c>
      <c r="B235" s="148">
        <v>55467305</v>
      </c>
      <c r="C235" s="148">
        <v>55467305</v>
      </c>
      <c r="D235" s="148">
        <v>25248899.535928734</v>
      </c>
      <c r="E235" s="148">
        <v>43807059.941364519</v>
      </c>
      <c r="F235" s="148">
        <v>29537921.371694129</v>
      </c>
      <c r="G235" s="148">
        <v>15000000</v>
      </c>
      <c r="H235" s="148">
        <v>113593880.84898739</v>
      </c>
      <c r="I235" s="148">
        <v>110934610</v>
      </c>
      <c r="J235" s="148">
        <v>-2659270.8489873856</v>
      </c>
      <c r="K235" s="148"/>
    </row>
    <row r="236" spans="1:11" ht="13.2">
      <c r="A236" s="149">
        <v>227</v>
      </c>
      <c r="B236" s="148">
        <v>56705652</v>
      </c>
      <c r="C236" s="148">
        <v>56705652</v>
      </c>
      <c r="D236" s="148">
        <v>24323445.019870546</v>
      </c>
      <c r="E236" s="148">
        <v>42703193.542935126</v>
      </c>
      <c r="F236" s="148">
        <v>26661850.081431262</v>
      </c>
      <c r="G236" s="148">
        <v>15000000</v>
      </c>
      <c r="H236" s="148">
        <v>108688488.64423692</v>
      </c>
      <c r="I236" s="148">
        <v>113411304</v>
      </c>
      <c r="J236" s="148">
        <v>4722815.3557630777</v>
      </c>
      <c r="K236" s="148"/>
    </row>
    <row r="237" spans="1:11" ht="13.2">
      <c r="A237" s="149">
        <v>228</v>
      </c>
      <c r="B237" s="148">
        <v>56457547.5</v>
      </c>
      <c r="C237" s="148">
        <v>56457547.5</v>
      </c>
      <c r="D237" s="148">
        <v>24036705.268241547</v>
      </c>
      <c r="E237" s="148">
        <v>43589858.530593738</v>
      </c>
      <c r="F237" s="148">
        <v>26242309.218955781</v>
      </c>
      <c r="G237" s="148">
        <v>15000000</v>
      </c>
      <c r="H237" s="148">
        <v>108868873.01779106</v>
      </c>
      <c r="I237" s="148">
        <v>112915095</v>
      </c>
      <c r="J237" s="148">
        <v>4046221.9822089374</v>
      </c>
      <c r="K237" s="148"/>
    </row>
    <row r="238" spans="1:11" ht="13.2">
      <c r="A238" s="149">
        <v>229</v>
      </c>
      <c r="B238" s="148">
        <v>58053351.5</v>
      </c>
      <c r="C238" s="148">
        <v>58053351.5</v>
      </c>
      <c r="D238" s="148">
        <v>24979233.107911956</v>
      </c>
      <c r="E238" s="148">
        <v>42759324.795611963</v>
      </c>
      <c r="F238" s="148">
        <v>26233335.012498688</v>
      </c>
      <c r="G238" s="148">
        <v>15000000</v>
      </c>
      <c r="H238" s="148">
        <v>108971892.91602261</v>
      </c>
      <c r="I238" s="148">
        <v>116106703</v>
      </c>
      <c r="J238" s="148">
        <v>7134810.0839773864</v>
      </c>
      <c r="K238" s="148"/>
    </row>
    <row r="239" spans="1:11" ht="13.2">
      <c r="A239" s="149">
        <v>230</v>
      </c>
      <c r="B239" s="148">
        <v>57647007</v>
      </c>
      <c r="C239" s="148">
        <v>57647007</v>
      </c>
      <c r="D239" s="148">
        <v>25109398.301282305</v>
      </c>
      <c r="E239" s="148">
        <v>42311931.279993072</v>
      </c>
      <c r="F239" s="148">
        <v>29221873.219191194</v>
      </c>
      <c r="G239" s="148">
        <v>15000000</v>
      </c>
      <c r="H239" s="148">
        <v>111643202.80046657</v>
      </c>
      <c r="I239" s="148">
        <v>115294014</v>
      </c>
      <c r="J239" s="148">
        <v>3650811.1995334327</v>
      </c>
      <c r="K239" s="148"/>
    </row>
    <row r="240" spans="1:11" ht="13.2">
      <c r="A240" s="149">
        <v>231</v>
      </c>
      <c r="B240" s="148">
        <v>55516542</v>
      </c>
      <c r="C240" s="148">
        <v>55516542</v>
      </c>
      <c r="D240" s="148">
        <v>26319699.70947792</v>
      </c>
      <c r="E240" s="148">
        <v>44089711.039141938</v>
      </c>
      <c r="F240" s="148">
        <v>27637157.522825111</v>
      </c>
      <c r="G240" s="148">
        <v>15000000</v>
      </c>
      <c r="H240" s="148">
        <v>113046568.27144496</v>
      </c>
      <c r="I240" s="148">
        <v>111033084</v>
      </c>
      <c r="J240" s="148">
        <v>-2013484.2714449614</v>
      </c>
      <c r="K240" s="148"/>
    </row>
    <row r="241" spans="1:11" ht="13.2">
      <c r="A241" s="149">
        <v>232</v>
      </c>
      <c r="B241" s="148">
        <v>56691422.5</v>
      </c>
      <c r="C241" s="148">
        <v>56691422.5</v>
      </c>
      <c r="D241" s="148">
        <v>22828590.820089139</v>
      </c>
      <c r="E241" s="148">
        <v>42463040.289197899</v>
      </c>
      <c r="F241" s="148">
        <v>28258490.462627757</v>
      </c>
      <c r="G241" s="148">
        <v>15000000</v>
      </c>
      <c r="H241" s="148">
        <v>108550121.57191479</v>
      </c>
      <c r="I241" s="148">
        <v>113382845</v>
      </c>
      <c r="J241" s="148">
        <v>4832723.4280852079</v>
      </c>
      <c r="K241" s="148"/>
    </row>
    <row r="242" spans="1:11" ht="13.2">
      <c r="A242" s="149">
        <v>233</v>
      </c>
      <c r="B242" s="148">
        <v>62524721</v>
      </c>
      <c r="C242" s="148">
        <v>62524721</v>
      </c>
      <c r="D242" s="148">
        <v>23229010.642579533</v>
      </c>
      <c r="E242" s="148">
        <v>43616809.347994544</v>
      </c>
      <c r="F242" s="148">
        <v>27103630.209141795</v>
      </c>
      <c r="G242" s="148">
        <v>15000000</v>
      </c>
      <c r="H242" s="148">
        <v>108949450.19971587</v>
      </c>
      <c r="I242" s="148">
        <v>125049442</v>
      </c>
      <c r="J242" s="148">
        <v>16099991.800284132</v>
      </c>
      <c r="K242" s="148"/>
    </row>
    <row r="243" spans="1:11" ht="13.2">
      <c r="A243" s="149">
        <v>234</v>
      </c>
      <c r="B243" s="148">
        <v>57879577</v>
      </c>
      <c r="C243" s="148">
        <v>57879577</v>
      </c>
      <c r="D243" s="148">
        <v>25914317.765797861</v>
      </c>
      <c r="E243" s="148">
        <v>42254295.402208291</v>
      </c>
      <c r="F243" s="148">
        <v>28144451.787718371</v>
      </c>
      <c r="G243" s="148">
        <v>15000000</v>
      </c>
      <c r="H243" s="148">
        <v>111313064.95572452</v>
      </c>
      <c r="I243" s="148">
        <v>115759154</v>
      </c>
      <c r="J243" s="148">
        <v>4446089.0442754775</v>
      </c>
      <c r="K243" s="148"/>
    </row>
    <row r="244" spans="1:11" ht="13.2">
      <c r="A244" s="149">
        <v>235</v>
      </c>
      <c r="B244" s="148">
        <v>59721193.5</v>
      </c>
      <c r="C244" s="148">
        <v>59721193.5</v>
      </c>
      <c r="D244" s="148">
        <v>24306371.696258325</v>
      </c>
      <c r="E244" s="148">
        <v>42785999.915876523</v>
      </c>
      <c r="F244" s="148">
        <v>27645964.411146276</v>
      </c>
      <c r="G244" s="148">
        <v>15000000</v>
      </c>
      <c r="H244" s="148">
        <v>109738336.02328113</v>
      </c>
      <c r="I244" s="148">
        <v>119442387</v>
      </c>
      <c r="J244" s="148">
        <v>9704050.9767188728</v>
      </c>
      <c r="K244" s="148"/>
    </row>
    <row r="245" spans="1:11" ht="13.2">
      <c r="A245" s="149">
        <v>236</v>
      </c>
      <c r="B245" s="148">
        <v>54959871.5</v>
      </c>
      <c r="C245" s="148">
        <v>54959871.5</v>
      </c>
      <c r="D245" s="148">
        <v>22172802.732047729</v>
      </c>
      <c r="E245" s="148">
        <v>41332414.202040985</v>
      </c>
      <c r="F245" s="148">
        <v>26986780.28443652</v>
      </c>
      <c r="G245" s="148">
        <v>15000000</v>
      </c>
      <c r="H245" s="148">
        <v>105491997.21852523</v>
      </c>
      <c r="I245" s="148">
        <v>109919743</v>
      </c>
      <c r="J245" s="148">
        <v>4427745.7814747691</v>
      </c>
      <c r="K245" s="148"/>
    </row>
    <row r="246" spans="1:11" ht="13.2">
      <c r="A246" s="149">
        <v>237</v>
      </c>
      <c r="B246" s="148">
        <v>59613203.5</v>
      </c>
      <c r="C246" s="148">
        <v>59613203.5</v>
      </c>
      <c r="D246" s="148">
        <v>23370698.837269161</v>
      </c>
      <c r="E246" s="148">
        <v>44243782.214534871</v>
      </c>
      <c r="F246" s="148">
        <v>27894172.976073727</v>
      </c>
      <c r="G246" s="148">
        <v>15000000</v>
      </c>
      <c r="H246" s="148">
        <v>110508654.02787776</v>
      </c>
      <c r="I246" s="148">
        <v>119226407</v>
      </c>
      <c r="J246" s="148">
        <v>8717752.9721222371</v>
      </c>
      <c r="K246" s="148"/>
    </row>
    <row r="247" spans="1:11" ht="13.2">
      <c r="A247" s="149">
        <v>238</v>
      </c>
      <c r="B247" s="148">
        <v>56451423.5</v>
      </c>
      <c r="C247" s="148">
        <v>56451423.5</v>
      </c>
      <c r="D247" s="148">
        <v>23913689.15610408</v>
      </c>
      <c r="E247" s="148">
        <v>42881637.885586642</v>
      </c>
      <c r="F247" s="148">
        <v>27772269.372377966</v>
      </c>
      <c r="G247" s="148">
        <v>15000000</v>
      </c>
      <c r="H247" s="148">
        <v>109567596.41406868</v>
      </c>
      <c r="I247" s="148">
        <v>112902847</v>
      </c>
      <c r="J247" s="148">
        <v>3335250.585931316</v>
      </c>
      <c r="K247" s="148"/>
    </row>
    <row r="248" spans="1:11" ht="13.2">
      <c r="A248" s="149">
        <v>239</v>
      </c>
      <c r="B248" s="148">
        <v>57102419</v>
      </c>
      <c r="C248" s="148">
        <v>57102419</v>
      </c>
      <c r="D248" s="148">
        <v>22575703.615132958</v>
      </c>
      <c r="E248" s="148">
        <v>42643276.82808812</v>
      </c>
      <c r="F248" s="148">
        <v>28136756.879213743</v>
      </c>
      <c r="G248" s="148">
        <v>15000000</v>
      </c>
      <c r="H248" s="148">
        <v>108355737.32243481</v>
      </c>
      <c r="I248" s="148">
        <v>114204838</v>
      </c>
      <c r="J248" s="148">
        <v>5849100.6775651872</v>
      </c>
      <c r="K248" s="148"/>
    </row>
    <row r="249" spans="1:11" ht="13.2">
      <c r="A249" s="149">
        <v>240</v>
      </c>
      <c r="B249" s="148">
        <v>54183413.5</v>
      </c>
      <c r="C249" s="148">
        <v>54183413.5</v>
      </c>
      <c r="D249" s="148">
        <v>25916798.826392695</v>
      </c>
      <c r="E249" s="148">
        <v>42731103.968012415</v>
      </c>
      <c r="F249" s="148">
        <v>25763674.291027222</v>
      </c>
      <c r="G249" s="148">
        <v>15000000</v>
      </c>
      <c r="H249" s="148">
        <v>109411577.08543232</v>
      </c>
      <c r="I249" s="148">
        <v>108366827</v>
      </c>
      <c r="J249" s="148">
        <v>-1044750.0854323208</v>
      </c>
      <c r="K249" s="148"/>
    </row>
    <row r="250" spans="1:11" ht="13.2">
      <c r="A250" s="149">
        <v>241</v>
      </c>
      <c r="B250" s="148">
        <v>57525631</v>
      </c>
      <c r="C250" s="148">
        <v>57525631</v>
      </c>
      <c r="D250" s="148">
        <v>25251968.797626838</v>
      </c>
      <c r="E250" s="148">
        <v>42730659.430559099</v>
      </c>
      <c r="F250" s="148">
        <v>26288689.689254384</v>
      </c>
      <c r="G250" s="148">
        <v>15000000</v>
      </c>
      <c r="H250" s="148">
        <v>109271317.91744033</v>
      </c>
      <c r="I250" s="148">
        <v>115051262</v>
      </c>
      <c r="J250" s="148">
        <v>5779944.082559675</v>
      </c>
      <c r="K250" s="148"/>
    </row>
    <row r="251" spans="1:11" ht="13.2">
      <c r="A251" s="149">
        <v>242</v>
      </c>
      <c r="B251" s="148">
        <v>54058649</v>
      </c>
      <c r="C251" s="148">
        <v>54058649</v>
      </c>
      <c r="D251" s="148">
        <v>24584069.507162876</v>
      </c>
      <c r="E251" s="148">
        <v>43676764.655747995</v>
      </c>
      <c r="F251" s="148">
        <v>26543409.016646624</v>
      </c>
      <c r="G251" s="148">
        <v>15000000</v>
      </c>
      <c r="H251" s="148">
        <v>109804243.1795575</v>
      </c>
      <c r="I251" s="148">
        <v>108117298</v>
      </c>
      <c r="J251" s="148">
        <v>-1686945.1795575023</v>
      </c>
      <c r="K251" s="148"/>
    </row>
    <row r="252" spans="1:11" ht="13.2">
      <c r="A252" s="149">
        <v>243</v>
      </c>
      <c r="B252" s="148">
        <v>54760475</v>
      </c>
      <c r="C252" s="148">
        <v>54760475</v>
      </c>
      <c r="D252" s="148">
        <v>24983607.027998362</v>
      </c>
      <c r="E252" s="148">
        <v>42289215.660421908</v>
      </c>
      <c r="F252" s="148">
        <v>28028516.632931296</v>
      </c>
      <c r="G252" s="148">
        <v>15000000</v>
      </c>
      <c r="H252" s="148">
        <v>110301339.32135156</v>
      </c>
      <c r="I252" s="148">
        <v>109520950</v>
      </c>
      <c r="J252" s="148">
        <v>-780389.32135155797</v>
      </c>
      <c r="K252" s="148"/>
    </row>
    <row r="253" spans="1:11" ht="13.2">
      <c r="A253" s="149">
        <v>244</v>
      </c>
      <c r="B253" s="148">
        <v>61214594</v>
      </c>
      <c r="C253" s="148">
        <v>61214594</v>
      </c>
      <c r="D253" s="148">
        <v>26061850.383332059</v>
      </c>
      <c r="E253" s="148">
        <v>43161112.095751181</v>
      </c>
      <c r="F253" s="148">
        <v>27419139.619368404</v>
      </c>
      <c r="G253" s="148">
        <v>15000000</v>
      </c>
      <c r="H253" s="148">
        <v>111642102.09845164</v>
      </c>
      <c r="I253" s="148">
        <v>122429188</v>
      </c>
      <c r="J253" s="148">
        <v>10787085.901548356</v>
      </c>
      <c r="K253" s="148"/>
    </row>
    <row r="254" spans="1:11" ht="13.2">
      <c r="A254" s="149">
        <v>245</v>
      </c>
      <c r="B254" s="148">
        <v>56343008</v>
      </c>
      <c r="C254" s="148">
        <v>56343008</v>
      </c>
      <c r="D254" s="148">
        <v>23904059.014276363</v>
      </c>
      <c r="E254" s="148">
        <v>42225152.910609759</v>
      </c>
      <c r="F254" s="148">
        <v>28804287.181605648</v>
      </c>
      <c r="G254" s="148">
        <v>15000000</v>
      </c>
      <c r="H254" s="148">
        <v>109933499.10649177</v>
      </c>
      <c r="I254" s="148">
        <v>112686016</v>
      </c>
      <c r="J254" s="148">
        <v>2752516.8935082257</v>
      </c>
      <c r="K254" s="148"/>
    </row>
    <row r="255" spans="1:11" ht="13.2">
      <c r="A255" s="149">
        <v>246</v>
      </c>
      <c r="B255" s="148">
        <v>54303264</v>
      </c>
      <c r="C255" s="148">
        <v>54303264</v>
      </c>
      <c r="D255" s="148">
        <v>23518231.454803362</v>
      </c>
      <c r="E255" s="148">
        <v>42530270.569579348</v>
      </c>
      <c r="F255" s="148">
        <v>29903310.541934215</v>
      </c>
      <c r="G255" s="148">
        <v>15000000</v>
      </c>
      <c r="H255" s="148">
        <v>110951812.56631693</v>
      </c>
      <c r="I255" s="148">
        <v>108606528</v>
      </c>
      <c r="J255" s="148">
        <v>-2345284.5663169324</v>
      </c>
      <c r="K255" s="148"/>
    </row>
    <row r="256" spans="1:11" ht="13.2">
      <c r="A256" s="149">
        <v>247</v>
      </c>
      <c r="B256" s="148">
        <v>58442118</v>
      </c>
      <c r="C256" s="148">
        <v>58442118</v>
      </c>
      <c r="D256" s="148">
        <v>24164389.401017059</v>
      </c>
      <c r="E256" s="148">
        <v>41446206.363071099</v>
      </c>
      <c r="F256" s="148">
        <v>26197716.612662226</v>
      </c>
      <c r="G256" s="148">
        <v>15000000</v>
      </c>
      <c r="H256" s="148">
        <v>106808312.37675038</v>
      </c>
      <c r="I256" s="148">
        <v>116884236</v>
      </c>
      <c r="J256" s="148">
        <v>10075923.62324962</v>
      </c>
      <c r="K256" s="148"/>
    </row>
    <row r="257" spans="1:11" ht="13.2">
      <c r="A257" s="149">
        <v>248</v>
      </c>
      <c r="B257" s="148">
        <v>52710609.5</v>
      </c>
      <c r="C257" s="148">
        <v>52710609.5</v>
      </c>
      <c r="D257" s="148">
        <v>24841918.833308734</v>
      </c>
      <c r="E257" s="148">
        <v>43215130.08439824</v>
      </c>
      <c r="F257" s="148">
        <v>29026914.34209393</v>
      </c>
      <c r="G257" s="148">
        <v>15000000</v>
      </c>
      <c r="H257" s="148">
        <v>112083963.2598009</v>
      </c>
      <c r="I257" s="148">
        <v>105421219</v>
      </c>
      <c r="J257" s="148">
        <v>-6662744.259800896</v>
      </c>
      <c r="K257" s="148"/>
    </row>
    <row r="258" spans="1:11" ht="13.2">
      <c r="A258" s="149">
        <v>249</v>
      </c>
      <c r="B258" s="148">
        <v>57302287</v>
      </c>
      <c r="C258" s="148">
        <v>57302287</v>
      </c>
      <c r="D258" s="148">
        <v>22982978.418304585</v>
      </c>
      <c r="E258" s="148">
        <v>43054021.198733702</v>
      </c>
      <c r="F258" s="148">
        <v>28128650.132245246</v>
      </c>
      <c r="G258" s="148">
        <v>15000000</v>
      </c>
      <c r="H258" s="148">
        <v>109165649.74928354</v>
      </c>
      <c r="I258" s="148">
        <v>114604574</v>
      </c>
      <c r="J258" s="148">
        <v>5438924.2507164627</v>
      </c>
      <c r="K258" s="148"/>
    </row>
    <row r="259" spans="1:11" ht="13.2">
      <c r="A259" s="149">
        <v>250</v>
      </c>
      <c r="B259" s="148">
        <v>58982644</v>
      </c>
      <c r="C259" s="148">
        <v>58982644</v>
      </c>
      <c r="D259" s="148">
        <v>22695944.566123955</v>
      </c>
      <c r="E259" s="148">
        <v>41547465.110780858</v>
      </c>
      <c r="F259" s="148">
        <v>27875602.956263687</v>
      </c>
      <c r="G259" s="148">
        <v>15000000</v>
      </c>
      <c r="H259" s="148">
        <v>107119012.6331685</v>
      </c>
      <c r="I259" s="148">
        <v>117965288</v>
      </c>
      <c r="J259" s="148">
        <v>10846275.366831496</v>
      </c>
      <c r="K259" s="148"/>
    </row>
    <row r="260" spans="1:11" ht="13.2">
      <c r="A260" s="149">
        <v>251</v>
      </c>
      <c r="B260" s="148">
        <v>58566742.5</v>
      </c>
      <c r="C260" s="148">
        <v>58566742.5</v>
      </c>
      <c r="D260" s="148">
        <v>24041667.389431223</v>
      </c>
      <c r="E260" s="148">
        <v>42931963.896956638</v>
      </c>
      <c r="F260" s="148">
        <v>26204657.351939321</v>
      </c>
      <c r="G260" s="148">
        <v>15000000</v>
      </c>
      <c r="H260" s="148">
        <v>108178288.63832718</v>
      </c>
      <c r="I260" s="148">
        <v>117133485</v>
      </c>
      <c r="J260" s="148">
        <v>8955196.3616728187</v>
      </c>
      <c r="K260" s="148"/>
    </row>
    <row r="261" spans="1:11" ht="13.2">
      <c r="A261" s="149">
        <v>252</v>
      </c>
      <c r="B261" s="148">
        <v>61902427.5</v>
      </c>
      <c r="C261" s="148">
        <v>61902427.5</v>
      </c>
      <c r="D261" s="148">
        <v>24981420.067955162</v>
      </c>
      <c r="E261" s="148">
        <v>42428751.92547635</v>
      </c>
      <c r="F261" s="148">
        <v>26452129.798732869</v>
      </c>
      <c r="G261" s="148">
        <v>15000000</v>
      </c>
      <c r="H261" s="148">
        <v>108862301.79216439</v>
      </c>
      <c r="I261" s="148">
        <v>123804855</v>
      </c>
      <c r="J261" s="148">
        <v>14942553.207835615</v>
      </c>
      <c r="K261" s="148"/>
    </row>
    <row r="262" spans="1:11" ht="13.2">
      <c r="A262" s="149">
        <v>253</v>
      </c>
      <c r="B262" s="148">
        <v>57144612</v>
      </c>
      <c r="C262" s="148">
        <v>57144612</v>
      </c>
      <c r="D262" s="148">
        <v>22840702.022511691</v>
      </c>
      <c r="E262" s="148">
        <v>43199531.284963802</v>
      </c>
      <c r="F262" s="148">
        <v>25730659.03331754</v>
      </c>
      <c r="G262" s="148">
        <v>15000000</v>
      </c>
      <c r="H262" s="148">
        <v>106770892.34079303</v>
      </c>
      <c r="I262" s="148">
        <v>114289224</v>
      </c>
      <c r="J262" s="148">
        <v>7518331.6592069715</v>
      </c>
      <c r="K262" s="148"/>
    </row>
    <row r="263" spans="1:11" ht="13.2">
      <c r="A263" s="149">
        <v>254</v>
      </c>
      <c r="B263" s="148">
        <v>53613820.5</v>
      </c>
      <c r="C263" s="148">
        <v>53613820.5</v>
      </c>
      <c r="D263" s="148">
        <v>23646209.688130505</v>
      </c>
      <c r="E263" s="148">
        <v>41894662.800672397</v>
      </c>
      <c r="F263" s="148">
        <v>27139598.354601901</v>
      </c>
      <c r="G263" s="148">
        <v>15000000</v>
      </c>
      <c r="H263" s="148">
        <v>107680470.8434048</v>
      </c>
      <c r="I263" s="148">
        <v>107227641</v>
      </c>
      <c r="J263" s="148">
        <v>-452829.8434047997</v>
      </c>
      <c r="K263" s="148"/>
    </row>
    <row r="264" spans="1:11" ht="13.2">
      <c r="A264" s="149">
        <v>255</v>
      </c>
      <c r="B264" s="148">
        <v>60157166.5</v>
      </c>
      <c r="C264" s="148">
        <v>60157166.5</v>
      </c>
      <c r="D264" s="148">
        <v>25789114.693617184</v>
      </c>
      <c r="E264" s="148">
        <v>42234258.037877358</v>
      </c>
      <c r="F264" s="148">
        <v>28409155.712854967</v>
      </c>
      <c r="G264" s="148">
        <v>15000000</v>
      </c>
      <c r="H264" s="148">
        <v>111432528.44434951</v>
      </c>
      <c r="I264" s="148">
        <v>120314333</v>
      </c>
      <c r="J264" s="148">
        <v>8881804.5556504875</v>
      </c>
      <c r="K264" s="148"/>
    </row>
    <row r="265" spans="1:11" ht="13.2">
      <c r="A265" s="149">
        <v>256</v>
      </c>
      <c r="B265" s="148">
        <v>59497432</v>
      </c>
      <c r="C265" s="148">
        <v>59497432</v>
      </c>
      <c r="D265" s="148">
        <v>24460759.294473767</v>
      </c>
      <c r="E265" s="148">
        <v>42594416.755152665</v>
      </c>
      <c r="F265" s="148">
        <v>25707225.285850879</v>
      </c>
      <c r="G265" s="148">
        <v>15000000</v>
      </c>
      <c r="H265" s="148">
        <v>107762401.33547731</v>
      </c>
      <c r="I265" s="148">
        <v>118994864</v>
      </c>
      <c r="J265" s="148">
        <v>11232462.664522693</v>
      </c>
      <c r="K265" s="148"/>
    </row>
    <row r="266" spans="1:11" ht="13.2">
      <c r="A266" s="149">
        <v>257</v>
      </c>
      <c r="B266" s="148">
        <v>56039191.5</v>
      </c>
      <c r="C266" s="148">
        <v>56039191.5</v>
      </c>
      <c r="D266" s="148">
        <v>24448353.991499584</v>
      </c>
      <c r="E266" s="148">
        <v>44148364.220392719</v>
      </c>
      <c r="F266" s="148">
        <v>26637987.421760518</v>
      </c>
      <c r="G266" s="148">
        <v>15000000</v>
      </c>
      <c r="H266" s="148">
        <v>110234705.63365282</v>
      </c>
      <c r="I266" s="148">
        <v>112078383</v>
      </c>
      <c r="J266" s="148">
        <v>1843677.3663471788</v>
      </c>
      <c r="K266" s="148"/>
    </row>
    <row r="267" spans="1:11" ht="13.2">
      <c r="A267" s="149">
        <v>258</v>
      </c>
      <c r="B267" s="148">
        <v>57636283.5</v>
      </c>
      <c r="C267" s="148">
        <v>57636283.5</v>
      </c>
      <c r="D267" s="148">
        <v>25388694.871126793</v>
      </c>
      <c r="E267" s="148">
        <v>42135165.172268681</v>
      </c>
      <c r="F267" s="148">
        <v>28474004.936164353</v>
      </c>
      <c r="G267" s="148">
        <v>15000000</v>
      </c>
      <c r="H267" s="148">
        <v>110997864.97955982</v>
      </c>
      <c r="I267" s="148">
        <v>115272567</v>
      </c>
      <c r="J267" s="148">
        <v>4274702.0204401761</v>
      </c>
      <c r="K267" s="148"/>
    </row>
    <row r="268" spans="1:11" ht="13.2">
      <c r="A268" s="149">
        <v>259</v>
      </c>
      <c r="B268" s="148">
        <v>55363363.5</v>
      </c>
      <c r="C268" s="148">
        <v>55363363.5</v>
      </c>
      <c r="D268" s="148">
        <v>22830777.780132346</v>
      </c>
      <c r="E268" s="148">
        <v>43437275.911251187</v>
      </c>
      <c r="F268" s="148">
        <v>26236092.507334303</v>
      </c>
      <c r="G268" s="148">
        <v>15000000</v>
      </c>
      <c r="H268" s="148">
        <v>107504146.19871783</v>
      </c>
      <c r="I268" s="148">
        <v>110726727</v>
      </c>
      <c r="J268" s="148">
        <v>3222580.8012821674</v>
      </c>
      <c r="K268" s="148"/>
    </row>
    <row r="269" spans="1:11" ht="13.2">
      <c r="A269" s="149">
        <v>260</v>
      </c>
      <c r="B269" s="148">
        <v>56251988</v>
      </c>
      <c r="C269" s="148">
        <v>56251988</v>
      </c>
      <c r="D269" s="148">
        <v>23364137.957139548</v>
      </c>
      <c r="E269" s="148">
        <v>42730615.760161266</v>
      </c>
      <c r="F269" s="148">
        <v>26981925.56753695</v>
      </c>
      <c r="G269" s="148">
        <v>15000000</v>
      </c>
      <c r="H269" s="148">
        <v>108076679.28483777</v>
      </c>
      <c r="I269" s="148">
        <v>112503976</v>
      </c>
      <c r="J269" s="148">
        <v>4427296.7151622325</v>
      </c>
      <c r="K269" s="148"/>
    </row>
    <row r="270" spans="1:11" ht="13.2">
      <c r="A270" s="149">
        <v>261</v>
      </c>
      <c r="B270" s="148">
        <v>59334608</v>
      </c>
      <c r="C270" s="148">
        <v>59334608</v>
      </c>
      <c r="D270" s="148">
        <v>23098845.44920918</v>
      </c>
      <c r="E270" s="148">
        <v>43077317.048231825</v>
      </c>
      <c r="F270" s="148">
        <v>27920681.735084165</v>
      </c>
      <c r="G270" s="148">
        <v>15000000</v>
      </c>
      <c r="H270" s="148">
        <v>109096844.23252517</v>
      </c>
      <c r="I270" s="148">
        <v>118669216</v>
      </c>
      <c r="J270" s="148">
        <v>9572371.7674748302</v>
      </c>
      <c r="K270" s="148"/>
    </row>
    <row r="271" spans="1:11" ht="13.2">
      <c r="A271" s="149">
        <v>262</v>
      </c>
      <c r="B271" s="148">
        <v>60821260.5</v>
      </c>
      <c r="C271" s="148">
        <v>60821260.5</v>
      </c>
      <c r="D271" s="148">
        <v>23641541.667492472</v>
      </c>
      <c r="E271" s="148">
        <v>42593698.912300795</v>
      </c>
      <c r="F271" s="148">
        <v>27254047.609170653</v>
      </c>
      <c r="G271" s="148">
        <v>15000000</v>
      </c>
      <c r="H271" s="148">
        <v>108489288.18896392</v>
      </c>
      <c r="I271" s="148">
        <v>121642521</v>
      </c>
      <c r="J271" s="148">
        <v>13153232.81103608</v>
      </c>
      <c r="K271" s="148"/>
    </row>
    <row r="272" spans="1:11" ht="13.2">
      <c r="A272" s="149">
        <v>263</v>
      </c>
      <c r="B272" s="148">
        <v>52199353.5</v>
      </c>
      <c r="C272" s="148">
        <v>52199353.5</v>
      </c>
      <c r="D272" s="148">
        <v>23910913.994957611</v>
      </c>
      <c r="E272" s="148">
        <v>42433743.771018445</v>
      </c>
      <c r="F272" s="148">
        <v>30524304.957856689</v>
      </c>
      <c r="G272" s="148">
        <v>15000000</v>
      </c>
      <c r="H272" s="148">
        <v>111868962.72383274</v>
      </c>
      <c r="I272" s="148">
        <v>104398707</v>
      </c>
      <c r="J272" s="148">
        <v>-7470255.7238327414</v>
      </c>
      <c r="K272" s="148"/>
    </row>
    <row r="273" spans="1:11" ht="13.2">
      <c r="A273" s="149">
        <v>264</v>
      </c>
      <c r="B273" s="148">
        <v>53160279</v>
      </c>
      <c r="C273" s="148">
        <v>53160279</v>
      </c>
      <c r="D273" s="148">
        <v>22310411.107202586</v>
      </c>
      <c r="E273" s="148">
        <v>44098733.845249586</v>
      </c>
      <c r="F273" s="148">
        <v>25124427.482510481</v>
      </c>
      <c r="G273" s="148">
        <v>15000000</v>
      </c>
      <c r="H273" s="148">
        <v>106533572.43496265</v>
      </c>
      <c r="I273" s="148">
        <v>106320558</v>
      </c>
      <c r="J273" s="148">
        <v>-213014.43496264517</v>
      </c>
      <c r="K273" s="148"/>
    </row>
    <row r="274" spans="1:11" ht="13.2">
      <c r="A274" s="149">
        <v>265</v>
      </c>
      <c r="B274" s="148">
        <v>54753844.5</v>
      </c>
      <c r="C274" s="148">
        <v>54753844.5</v>
      </c>
      <c r="D274" s="148">
        <v>24451129.152646057</v>
      </c>
      <c r="E274" s="148">
        <v>43110047.879890911</v>
      </c>
      <c r="F274" s="148">
        <v>26359094.994166121</v>
      </c>
      <c r="G274" s="148">
        <v>15000000</v>
      </c>
      <c r="H274" s="148">
        <v>108920272.02670309</v>
      </c>
      <c r="I274" s="148">
        <v>109507689</v>
      </c>
      <c r="J274" s="148">
        <v>587416.97329691052</v>
      </c>
      <c r="K274" s="148"/>
    </row>
    <row r="275" spans="1:11" ht="13.2">
      <c r="A275" s="149">
        <v>266</v>
      </c>
      <c r="B275" s="148">
        <v>58373438</v>
      </c>
      <c r="C275" s="148">
        <v>58373438</v>
      </c>
      <c r="D275" s="148">
        <v>24175912.402336344</v>
      </c>
      <c r="E275" s="148">
        <v>42931742.185375467</v>
      </c>
      <c r="F275" s="148">
        <v>25742591.15729567</v>
      </c>
      <c r="G275" s="148">
        <v>15000000</v>
      </c>
      <c r="H275" s="148">
        <v>107850245.74500749</v>
      </c>
      <c r="I275" s="148">
        <v>116746876</v>
      </c>
      <c r="J275" s="148">
        <v>8896630.2549925148</v>
      </c>
      <c r="K275" s="148"/>
    </row>
    <row r="276" spans="1:11" ht="13.2">
      <c r="A276" s="149">
        <v>267</v>
      </c>
      <c r="B276" s="148">
        <v>56170559.5</v>
      </c>
      <c r="C276" s="148">
        <v>56170559.5</v>
      </c>
      <c r="D276" s="148">
        <v>25519154.165048774</v>
      </c>
      <c r="E276" s="148">
        <v>42856483.988706604</v>
      </c>
      <c r="F276" s="148">
        <v>28121259.187862102</v>
      </c>
      <c r="G276" s="148">
        <v>15000000</v>
      </c>
      <c r="H276" s="148">
        <v>111496897.34161748</v>
      </c>
      <c r="I276" s="148">
        <v>112341119</v>
      </c>
      <c r="J276" s="148">
        <v>844221.65838252008</v>
      </c>
      <c r="K276" s="148"/>
    </row>
    <row r="277" spans="1:11" ht="13.2">
      <c r="A277" s="149">
        <v>268</v>
      </c>
      <c r="B277" s="148">
        <v>53980131</v>
      </c>
      <c r="C277" s="148">
        <v>53980131</v>
      </c>
      <c r="D277" s="148">
        <v>25774816.531151429</v>
      </c>
      <c r="E277" s="148">
        <v>43475074.727800407</v>
      </c>
      <c r="F277" s="148">
        <v>27678816.144559763</v>
      </c>
      <c r="G277" s="148">
        <v>15000000</v>
      </c>
      <c r="H277" s="148">
        <v>111928707.40351161</v>
      </c>
      <c r="I277" s="148">
        <v>107960262</v>
      </c>
      <c r="J277" s="148">
        <v>-3968445.4035116136</v>
      </c>
      <c r="K277" s="148"/>
    </row>
    <row r="278" spans="1:11" ht="13.2">
      <c r="A278" s="149">
        <v>269</v>
      </c>
      <c r="B278" s="148">
        <v>51717765.5</v>
      </c>
      <c r="C278" s="148">
        <v>51717765.5</v>
      </c>
      <c r="D278" s="148">
        <v>23778267.740992427</v>
      </c>
      <c r="E278" s="148">
        <v>42734897.912747279</v>
      </c>
      <c r="F278" s="148">
        <v>28968602.537277836</v>
      </c>
      <c r="G278" s="148">
        <v>15000000</v>
      </c>
      <c r="H278" s="148">
        <v>110481768.19101754</v>
      </c>
      <c r="I278" s="148">
        <v>103435531</v>
      </c>
      <c r="J278" s="148">
        <v>-7046237.1910175383</v>
      </c>
      <c r="K278" s="148"/>
    </row>
    <row r="279" spans="1:11" ht="13.2">
      <c r="A279" s="149">
        <v>270</v>
      </c>
      <c r="B279" s="148">
        <v>57114455</v>
      </c>
      <c r="C279" s="148">
        <v>57114455</v>
      </c>
      <c r="D279" s="148">
        <v>26054407.201547548</v>
      </c>
      <c r="E279" s="148">
        <v>42183928.330589585</v>
      </c>
      <c r="F279" s="148">
        <v>26982622.861376986</v>
      </c>
      <c r="G279" s="148">
        <v>15000000</v>
      </c>
      <c r="H279" s="148">
        <v>110220958.39351411</v>
      </c>
      <c r="I279" s="148">
        <v>114228910</v>
      </c>
      <c r="J279" s="148">
        <v>4007951.6064858884</v>
      </c>
      <c r="K279" s="148"/>
    </row>
    <row r="280" spans="1:11" ht="13.2">
      <c r="A280" s="149">
        <v>271</v>
      </c>
      <c r="B280" s="148">
        <v>59008285</v>
      </c>
      <c r="C280" s="148">
        <v>59008285</v>
      </c>
      <c r="D280" s="148">
        <v>24981125.967403527</v>
      </c>
      <c r="E280" s="148">
        <v>42096826.285184167</v>
      </c>
      <c r="F280" s="148">
        <v>26800040.066246055</v>
      </c>
      <c r="G280" s="148">
        <v>15000000</v>
      </c>
      <c r="H280" s="148">
        <v>108877992.31883374</v>
      </c>
      <c r="I280" s="148">
        <v>118016570</v>
      </c>
      <c r="J280" s="148">
        <v>9138577.6811662614</v>
      </c>
      <c r="K280" s="148"/>
    </row>
    <row r="281" spans="1:11" ht="13.2">
      <c r="A281" s="149">
        <v>272</v>
      </c>
      <c r="B281" s="148">
        <v>54930799</v>
      </c>
      <c r="C281" s="148">
        <v>54930799</v>
      </c>
      <c r="D281" s="148">
        <v>23645621.487027243</v>
      </c>
      <c r="E281" s="148">
        <v>42410767.040617064</v>
      </c>
      <c r="F281" s="148">
        <v>23347110.542027377</v>
      </c>
      <c r="G281" s="148">
        <v>15000000</v>
      </c>
      <c r="H281" s="148">
        <v>104403499.06967169</v>
      </c>
      <c r="I281" s="148">
        <v>109861598</v>
      </c>
      <c r="J281" s="148">
        <v>5458098.9303283095</v>
      </c>
      <c r="K281" s="148"/>
    </row>
    <row r="282" spans="1:11" ht="13.2">
      <c r="A282" s="149">
        <v>273</v>
      </c>
      <c r="B282" s="148">
        <v>56888865</v>
      </c>
      <c r="C282" s="148">
        <v>56888865</v>
      </c>
      <c r="D282" s="148">
        <v>23648102.547622077</v>
      </c>
      <c r="E282" s="148">
        <v>41733347.95099017</v>
      </c>
      <c r="F282" s="148">
        <v>28315417.69000829</v>
      </c>
      <c r="G282" s="148">
        <v>15000000</v>
      </c>
      <c r="H282" s="148">
        <v>108696868.18862054</v>
      </c>
      <c r="I282" s="148">
        <v>113777730</v>
      </c>
      <c r="J282" s="148">
        <v>5080861.8113794625</v>
      </c>
      <c r="K282" s="148"/>
    </row>
    <row r="283" spans="1:11" ht="13.2">
      <c r="A283" s="149">
        <v>274</v>
      </c>
      <c r="B283" s="148">
        <v>55106429</v>
      </c>
      <c r="C283" s="148">
        <v>55106429</v>
      </c>
      <c r="D283" s="148">
        <v>25777297.591746267</v>
      </c>
      <c r="E283" s="148">
        <v>41290750.476773016</v>
      </c>
      <c r="F283" s="148">
        <v>26374357.068517972</v>
      </c>
      <c r="G283" s="148">
        <v>15000000</v>
      </c>
      <c r="H283" s="148">
        <v>108442405.13703725</v>
      </c>
      <c r="I283" s="148">
        <v>110212858</v>
      </c>
      <c r="J283" s="148">
        <v>1770452.8629627526</v>
      </c>
      <c r="K283" s="148"/>
    </row>
    <row r="284" spans="1:11" ht="13.2">
      <c r="A284" s="149">
        <v>275</v>
      </c>
      <c r="B284" s="148">
        <v>58710813</v>
      </c>
      <c r="C284" s="148">
        <v>58710813</v>
      </c>
      <c r="D284" s="148">
        <v>25661430.560841676</v>
      </c>
      <c r="E284" s="148">
        <v>43198433.097287834</v>
      </c>
      <c r="F284" s="148">
        <v>27611278.609813567</v>
      </c>
      <c r="G284" s="148">
        <v>15000000</v>
      </c>
      <c r="H284" s="148">
        <v>111471142.26794308</v>
      </c>
      <c r="I284" s="148">
        <v>117421626</v>
      </c>
      <c r="J284" s="148">
        <v>5950483.7320569158</v>
      </c>
      <c r="K284" s="148"/>
    </row>
    <row r="285" spans="1:11" ht="13.2">
      <c r="A285" s="149">
        <v>276</v>
      </c>
      <c r="B285" s="148">
        <v>57788036.5</v>
      </c>
      <c r="C285" s="148">
        <v>57788036.5</v>
      </c>
      <c r="D285" s="148">
        <v>22177764.853237402</v>
      </c>
      <c r="E285" s="148">
        <v>42634437.562162936</v>
      </c>
      <c r="F285" s="148">
        <v>27106181.843978439</v>
      </c>
      <c r="G285" s="148">
        <v>15000000</v>
      </c>
      <c r="H285" s="148">
        <v>106918384.25937878</v>
      </c>
      <c r="I285" s="148">
        <v>115576073</v>
      </c>
      <c r="J285" s="148">
        <v>8657688.740621224</v>
      </c>
      <c r="K285" s="148"/>
    </row>
    <row r="286" spans="1:11" ht="13.2">
      <c r="A286" s="149">
        <v>277</v>
      </c>
      <c r="B286" s="148">
        <v>54922247</v>
      </c>
      <c r="C286" s="148">
        <v>54922247</v>
      </c>
      <c r="D286" s="148">
        <v>25791889.854763653</v>
      </c>
      <c r="E286" s="148">
        <v>42974114.897511534</v>
      </c>
      <c r="F286" s="148">
        <v>26344647.160343811</v>
      </c>
      <c r="G286" s="148">
        <v>15000000</v>
      </c>
      <c r="H286" s="148">
        <v>110110651.91261899</v>
      </c>
      <c r="I286" s="148">
        <v>109844494</v>
      </c>
      <c r="J286" s="148">
        <v>-266157.91261899471</v>
      </c>
      <c r="K286" s="148"/>
    </row>
    <row r="287" spans="1:11" ht="13.2">
      <c r="A287" s="149">
        <v>278</v>
      </c>
      <c r="B287" s="148">
        <v>58180134</v>
      </c>
      <c r="C287" s="148">
        <v>58180134</v>
      </c>
      <c r="D287" s="148">
        <v>23359175.835949875</v>
      </c>
      <c r="E287" s="148">
        <v>44139160.764812559</v>
      </c>
      <c r="F287" s="148">
        <v>25858255.744527187</v>
      </c>
      <c r="G287" s="148">
        <v>15000000</v>
      </c>
      <c r="H287" s="148">
        <v>108356592.34528962</v>
      </c>
      <c r="I287" s="148">
        <v>116360268</v>
      </c>
      <c r="J287" s="148">
        <v>8003675.6547103822</v>
      </c>
      <c r="K287" s="148"/>
    </row>
    <row r="288" spans="1:11" ht="13.2">
      <c r="A288" s="149">
        <v>279</v>
      </c>
      <c r="B288" s="148">
        <v>51948142.5</v>
      </c>
      <c r="C288" s="148">
        <v>51948142.5</v>
      </c>
      <c r="D288" s="148">
        <v>23909021.135466039</v>
      </c>
      <c r="E288" s="148">
        <v>42281736.442477688</v>
      </c>
      <c r="F288" s="148">
        <v>27468206.744065121</v>
      </c>
      <c r="G288" s="148">
        <v>15000000</v>
      </c>
      <c r="H288" s="148">
        <v>108658964.32200885</v>
      </c>
      <c r="I288" s="148">
        <v>103896285</v>
      </c>
      <c r="J288" s="148">
        <v>-4762679.3220088482</v>
      </c>
      <c r="K288" s="148"/>
    </row>
    <row r="289" spans="1:11" ht="13.2">
      <c r="A289" s="149">
        <v>280</v>
      </c>
      <c r="B289" s="148">
        <v>57434275.5</v>
      </c>
      <c r="C289" s="148">
        <v>57434275.5</v>
      </c>
      <c r="D289" s="148">
        <v>23639060.606897637</v>
      </c>
      <c r="E289" s="148">
        <v>43030403.69895573</v>
      </c>
      <c r="F289" s="148">
        <v>24345524.505679145</v>
      </c>
      <c r="G289" s="148">
        <v>15000000</v>
      </c>
      <c r="H289" s="148">
        <v>106014988.81153251</v>
      </c>
      <c r="I289" s="148">
        <v>114868551</v>
      </c>
      <c r="J289" s="148">
        <v>8853562.1884674877</v>
      </c>
      <c r="K289" s="148"/>
    </row>
    <row r="290" spans="1:11" ht="13.2">
      <c r="A290" s="149">
        <v>281</v>
      </c>
      <c r="B290" s="148">
        <v>53346698.5</v>
      </c>
      <c r="C290" s="148">
        <v>53346698.5</v>
      </c>
      <c r="D290" s="148">
        <v>25924242.008177206</v>
      </c>
      <c r="E290" s="148">
        <v>41789587.704777583</v>
      </c>
      <c r="F290" s="148">
        <v>27835381.127277385</v>
      </c>
      <c r="G290" s="148">
        <v>15000000</v>
      </c>
      <c r="H290" s="148">
        <v>110549210.84023218</v>
      </c>
      <c r="I290" s="148">
        <v>106693397</v>
      </c>
      <c r="J290" s="148">
        <v>-3855813.8402321786</v>
      </c>
      <c r="K290" s="148"/>
    </row>
    <row r="291" spans="1:11" ht="13.2">
      <c r="A291" s="149">
        <v>282</v>
      </c>
      <c r="B291" s="148">
        <v>57208700</v>
      </c>
      <c r="C291" s="148">
        <v>57208700</v>
      </c>
      <c r="D291" s="148">
        <v>24588737.527800918</v>
      </c>
      <c r="E291" s="148">
        <v>41650233.54704868</v>
      </c>
      <c r="F291" s="148">
        <v>26827083.773250356</v>
      </c>
      <c r="G291" s="148">
        <v>15000000</v>
      </c>
      <c r="H291" s="148">
        <v>108066054.84809995</v>
      </c>
      <c r="I291" s="148">
        <v>114417400</v>
      </c>
      <c r="J291" s="148">
        <v>6351345.151900053</v>
      </c>
      <c r="K291" s="148"/>
    </row>
    <row r="292" spans="1:11" ht="13.2">
      <c r="A292" s="149">
        <v>283</v>
      </c>
      <c r="B292" s="148">
        <v>56946274</v>
      </c>
      <c r="C292" s="148">
        <v>56946274</v>
      </c>
      <c r="D292" s="148">
        <v>25116253.281963546</v>
      </c>
      <c r="E292" s="148">
        <v>42822692.647078201</v>
      </c>
      <c r="F292" s="148">
        <v>29927958.526187997</v>
      </c>
      <c r="G292" s="148">
        <v>15000000</v>
      </c>
      <c r="H292" s="148">
        <v>112866904.45522974</v>
      </c>
      <c r="I292" s="148">
        <v>113892548</v>
      </c>
      <c r="J292" s="148">
        <v>1025643.5447702557</v>
      </c>
      <c r="K292" s="148"/>
    </row>
    <row r="293" spans="1:11" ht="13.2">
      <c r="A293" s="149">
        <v>284</v>
      </c>
      <c r="B293" s="148">
        <v>56093000</v>
      </c>
      <c r="C293" s="148">
        <v>56093000</v>
      </c>
      <c r="D293" s="148">
        <v>23633804.385156322</v>
      </c>
      <c r="E293" s="148">
        <v>42016712.500262909</v>
      </c>
      <c r="F293" s="148">
        <v>26955125.041262586</v>
      </c>
      <c r="G293" s="148">
        <v>15000000</v>
      </c>
      <c r="H293" s="148">
        <v>107605641.92668182</v>
      </c>
      <c r="I293" s="148">
        <v>112186000</v>
      </c>
      <c r="J293" s="148">
        <v>4580358.0733181834</v>
      </c>
      <c r="K293" s="148"/>
    </row>
    <row r="294" spans="1:11" ht="13.2">
      <c r="A294" s="149">
        <v>285</v>
      </c>
      <c r="B294" s="148">
        <v>53918871.5</v>
      </c>
      <c r="C294" s="148">
        <v>53918871.5</v>
      </c>
      <c r="D294" s="148">
        <v>26189534.516107574</v>
      </c>
      <c r="E294" s="148">
        <v>43992653.803445108</v>
      </c>
      <c r="F294" s="148">
        <v>26494313.636521958</v>
      </c>
      <c r="G294" s="148">
        <v>15000000</v>
      </c>
      <c r="H294" s="148">
        <v>111676501.95607466</v>
      </c>
      <c r="I294" s="148">
        <v>107837743</v>
      </c>
      <c r="J294" s="148">
        <v>-3838758.9560746551</v>
      </c>
      <c r="K294" s="148"/>
    </row>
    <row r="295" spans="1:11" ht="13.2">
      <c r="A295" s="149">
        <v>286</v>
      </c>
      <c r="B295" s="148">
        <v>51658068.5</v>
      </c>
      <c r="C295" s="148">
        <v>51658068.5</v>
      </c>
      <c r="D295" s="148">
        <v>23498971.171147939</v>
      </c>
      <c r="E295" s="148">
        <v>43075426.487900525</v>
      </c>
      <c r="F295" s="148">
        <v>26991555.389250387</v>
      </c>
      <c r="G295" s="148">
        <v>15000000</v>
      </c>
      <c r="H295" s="148">
        <v>108565953.04829885</v>
      </c>
      <c r="I295" s="148">
        <v>103316137</v>
      </c>
      <c r="J295" s="148">
        <v>-5249816.0482988507</v>
      </c>
      <c r="K295" s="148"/>
    </row>
    <row r="296" spans="1:11" ht="13.2">
      <c r="A296" s="149">
        <v>287</v>
      </c>
      <c r="B296" s="148">
        <v>56620321</v>
      </c>
      <c r="C296" s="148">
        <v>56620321</v>
      </c>
      <c r="D296" s="148">
        <v>26314737.588288248</v>
      </c>
      <c r="E296" s="148">
        <v>41588062.20668707</v>
      </c>
      <c r="F296" s="148">
        <v>28560798.312080879</v>
      </c>
      <c r="G296" s="148">
        <v>15000000</v>
      </c>
      <c r="H296" s="148">
        <v>111463598.10705619</v>
      </c>
      <c r="I296" s="148">
        <v>113240642</v>
      </c>
      <c r="J296" s="148">
        <v>1777043.8929438144</v>
      </c>
      <c r="K296" s="148"/>
    </row>
    <row r="297" spans="1:11" ht="13.2">
      <c r="A297" s="149">
        <v>288</v>
      </c>
      <c r="B297" s="148">
        <v>57363740</v>
      </c>
      <c r="C297" s="148">
        <v>57363740</v>
      </c>
      <c r="D297" s="148">
        <v>22298005.804228403</v>
      </c>
      <c r="E297" s="148">
        <v>42225685.579591997</v>
      </c>
      <c r="F297" s="148">
        <v>26416226.471256062</v>
      </c>
      <c r="G297" s="148">
        <v>15000000</v>
      </c>
      <c r="H297" s="148">
        <v>105939917.85507646</v>
      </c>
      <c r="I297" s="148">
        <v>114727480</v>
      </c>
      <c r="J297" s="148">
        <v>8787562.144923538</v>
      </c>
      <c r="K297" s="148"/>
    </row>
    <row r="298" spans="1:11" ht="13.2">
      <c r="A298" s="149">
        <v>289</v>
      </c>
      <c r="B298" s="148">
        <v>59185503</v>
      </c>
      <c r="C298" s="148">
        <v>59185503</v>
      </c>
      <c r="D298" s="148">
        <v>26580030.096218616</v>
      </c>
      <c r="E298" s="148">
        <v>43364819.245879397</v>
      </c>
      <c r="F298" s="148">
        <v>27175971.245899618</v>
      </c>
      <c r="G298" s="148">
        <v>15000000</v>
      </c>
      <c r="H298" s="148">
        <v>112120820.58799763</v>
      </c>
      <c r="I298" s="148">
        <v>118371006</v>
      </c>
      <c r="J298" s="148">
        <v>6250185.4120023698</v>
      </c>
      <c r="K298" s="148"/>
    </row>
    <row r="299" spans="1:11" ht="13.2">
      <c r="A299" s="149">
        <v>290</v>
      </c>
      <c r="B299" s="148">
        <v>51946656</v>
      </c>
      <c r="C299" s="148">
        <v>51946656</v>
      </c>
      <c r="D299" s="148">
        <v>24982008.269058429</v>
      </c>
      <c r="E299" s="148">
        <v>43016181.534106083</v>
      </c>
      <c r="F299" s="148">
        <v>27410570.59868424</v>
      </c>
      <c r="G299" s="148">
        <v>15000000</v>
      </c>
      <c r="H299" s="148">
        <v>110408760.40184875</v>
      </c>
      <c r="I299" s="148">
        <v>103893312</v>
      </c>
      <c r="J299" s="148">
        <v>-6515448.4018487483</v>
      </c>
      <c r="K299" s="148"/>
    </row>
    <row r="300" spans="1:11" ht="13.2">
      <c r="A300" s="149">
        <v>291</v>
      </c>
      <c r="B300" s="148">
        <v>59240240</v>
      </c>
      <c r="C300" s="148">
        <v>59240240</v>
      </c>
      <c r="D300" s="148">
        <v>23243014.704493649</v>
      </c>
      <c r="E300" s="148">
        <v>43339456.621978864</v>
      </c>
      <c r="F300" s="148">
        <v>28074092.071648996</v>
      </c>
      <c r="G300" s="148">
        <v>15000000</v>
      </c>
      <c r="H300" s="148">
        <v>109656563.39812151</v>
      </c>
      <c r="I300" s="148">
        <v>118480480</v>
      </c>
      <c r="J300" s="148">
        <v>8823916.601878494</v>
      </c>
      <c r="K300" s="148"/>
    </row>
    <row r="301" spans="1:11" ht="13.2">
      <c r="A301" s="149">
        <v>292</v>
      </c>
      <c r="B301" s="148">
        <v>55351747.5</v>
      </c>
      <c r="C301" s="148">
        <v>55351747.5</v>
      </c>
      <c r="D301" s="148">
        <v>24971789.926127449</v>
      </c>
      <c r="E301" s="148">
        <v>43159407.513440803</v>
      </c>
      <c r="F301" s="148">
        <v>28705503.392196912</v>
      </c>
      <c r="G301" s="148">
        <v>15000000</v>
      </c>
      <c r="H301" s="148">
        <v>111836700.83176516</v>
      </c>
      <c r="I301" s="148">
        <v>110703495</v>
      </c>
      <c r="J301" s="148">
        <v>-1133205.83176516</v>
      </c>
      <c r="K301" s="148"/>
    </row>
    <row r="302" spans="1:11" ht="13.2">
      <c r="A302" s="149">
        <v>293</v>
      </c>
      <c r="B302" s="148">
        <v>55923740</v>
      </c>
      <c r="C302" s="148">
        <v>55923740</v>
      </c>
      <c r="D302" s="148">
        <v>23641247.566940833</v>
      </c>
      <c r="E302" s="148">
        <v>43527592.433747508</v>
      </c>
      <c r="F302" s="148">
        <v>28627612.041919276</v>
      </c>
      <c r="G302" s="148">
        <v>15000000</v>
      </c>
      <c r="H302" s="148">
        <v>110796452.04260762</v>
      </c>
      <c r="I302" s="148">
        <v>111847480</v>
      </c>
      <c r="J302" s="148">
        <v>1051027.9573923796</v>
      </c>
      <c r="K302" s="148"/>
    </row>
    <row r="303" spans="1:11" ht="13.2">
      <c r="A303" s="149">
        <v>294</v>
      </c>
      <c r="B303" s="148">
        <v>53216040</v>
      </c>
      <c r="C303" s="148">
        <v>53216040</v>
      </c>
      <c r="D303" s="148">
        <v>23909021.135466039</v>
      </c>
      <c r="E303" s="148">
        <v>42421938.210779689</v>
      </c>
      <c r="F303" s="148">
        <v>27845113.89368936</v>
      </c>
      <c r="G303" s="148">
        <v>15000000</v>
      </c>
      <c r="H303" s="148">
        <v>109176073.23993509</v>
      </c>
      <c r="I303" s="148">
        <v>106432080</v>
      </c>
      <c r="J303" s="148">
        <v>-2743993.2399350852</v>
      </c>
      <c r="K303" s="148"/>
    </row>
    <row r="304" spans="1:11" ht="13.2">
      <c r="A304" s="149">
        <v>295</v>
      </c>
      <c r="B304" s="148">
        <v>53723611.5</v>
      </c>
      <c r="C304" s="148">
        <v>53723611.5</v>
      </c>
      <c r="D304" s="148">
        <v>24839437.7727139</v>
      </c>
      <c r="E304" s="148">
        <v>41607353.020925701</v>
      </c>
      <c r="F304" s="148">
        <v>25727469.111144871</v>
      </c>
      <c r="G304" s="148">
        <v>15000000</v>
      </c>
      <c r="H304" s="148">
        <v>107174259.90478447</v>
      </c>
      <c r="I304" s="148">
        <v>107447223</v>
      </c>
      <c r="J304" s="148">
        <v>272963.0952155292</v>
      </c>
      <c r="K304" s="148"/>
    </row>
    <row r="305" spans="1:11" ht="13.2">
      <c r="A305" s="149">
        <v>296</v>
      </c>
      <c r="B305" s="148">
        <v>61454608.5</v>
      </c>
      <c r="C305" s="148">
        <v>61454608.5</v>
      </c>
      <c r="D305" s="148">
        <v>25114360.422471978</v>
      </c>
      <c r="E305" s="148">
        <v>42249288.34867356</v>
      </c>
      <c r="F305" s="148">
        <v>27558539.949877802</v>
      </c>
      <c r="G305" s="148">
        <v>15000000</v>
      </c>
      <c r="H305" s="148">
        <v>109922188.72102334</v>
      </c>
      <c r="I305" s="148">
        <v>122909217</v>
      </c>
      <c r="J305" s="148">
        <v>12987028.278976664</v>
      </c>
      <c r="K305" s="148"/>
    </row>
    <row r="306" spans="1:11" ht="13.2">
      <c r="A306" s="149">
        <v>297</v>
      </c>
      <c r="B306" s="148">
        <v>57951920</v>
      </c>
      <c r="C306" s="148">
        <v>57951920</v>
      </c>
      <c r="D306" s="148">
        <v>24446755.232559651</v>
      </c>
      <c r="E306" s="148">
        <v>42442196.839995667</v>
      </c>
      <c r="F306" s="148">
        <v>27363081.377021283</v>
      </c>
      <c r="G306" s="148">
        <v>15000000</v>
      </c>
      <c r="H306" s="148">
        <v>109252033.4495766</v>
      </c>
      <c r="I306" s="148">
        <v>115903840</v>
      </c>
      <c r="J306" s="148">
        <v>6651806.5504233986</v>
      </c>
      <c r="K306" s="148"/>
    </row>
    <row r="307" spans="1:11" ht="13.2">
      <c r="A307" s="149">
        <v>298</v>
      </c>
      <c r="B307" s="148">
        <v>57341658.5</v>
      </c>
      <c r="C307" s="148">
        <v>57341658.5</v>
      </c>
      <c r="D307" s="148">
        <v>25251380.596523572</v>
      </c>
      <c r="E307" s="148">
        <v>42295810.970128879</v>
      </c>
      <c r="F307" s="148">
        <v>26509267.592715513</v>
      </c>
      <c r="G307" s="148">
        <v>15000000</v>
      </c>
      <c r="H307" s="148">
        <v>109056459.15936796</v>
      </c>
      <c r="I307" s="148">
        <v>114683317</v>
      </c>
      <c r="J307" s="148">
        <v>5626857.8406320363</v>
      </c>
      <c r="K307" s="148"/>
    </row>
    <row r="308" spans="1:11" ht="13.2">
      <c r="A308" s="149">
        <v>299</v>
      </c>
      <c r="B308" s="148">
        <v>58479661.5</v>
      </c>
      <c r="C308" s="148">
        <v>58479661.5</v>
      </c>
      <c r="D308" s="148">
        <v>23776080.78094922</v>
      </c>
      <c r="E308" s="148">
        <v>43612657.467068076</v>
      </c>
      <c r="F308" s="148">
        <v>26406666.634228487</v>
      </c>
      <c r="G308" s="148">
        <v>15000000</v>
      </c>
      <c r="H308" s="148">
        <v>108795404.88224578</v>
      </c>
      <c r="I308" s="148">
        <v>116959323</v>
      </c>
      <c r="J308" s="148">
        <v>8163918.117754221</v>
      </c>
      <c r="K308" s="148"/>
    </row>
    <row r="309" spans="1:11" ht="13.2">
      <c r="A309" s="149">
        <v>300</v>
      </c>
      <c r="B309" s="148">
        <v>56034737</v>
      </c>
      <c r="C309" s="148">
        <v>56034737</v>
      </c>
      <c r="D309" s="148">
        <v>22037675.417487707</v>
      </c>
      <c r="E309" s="148">
        <v>43513906.81748201</v>
      </c>
      <c r="F309" s="148">
        <v>28509687.369211126</v>
      </c>
      <c r="G309" s="148">
        <v>15000000</v>
      </c>
      <c r="H309" s="148">
        <v>109061269.60418084</v>
      </c>
      <c r="I309" s="148">
        <v>112069474</v>
      </c>
      <c r="J309" s="148">
        <v>3008204.3958191574</v>
      </c>
      <c r="K309" s="148"/>
    </row>
    <row r="310" spans="1:11" ht="13.2">
      <c r="A310" s="149">
        <v>301</v>
      </c>
      <c r="B310" s="148">
        <v>56891132.5</v>
      </c>
      <c r="C310" s="148">
        <v>56891132.5</v>
      </c>
      <c r="D310" s="148">
        <v>22708349.869098138</v>
      </c>
      <c r="E310" s="148">
        <v>44118976.954308003</v>
      </c>
      <c r="F310" s="148">
        <v>27941532.004386913</v>
      </c>
      <c r="G310" s="148">
        <v>15000000</v>
      </c>
      <c r="H310" s="148">
        <v>109768858.82779306</v>
      </c>
      <c r="I310" s="148">
        <v>113782265</v>
      </c>
      <c r="J310" s="148">
        <v>4013406.1722069383</v>
      </c>
      <c r="K310" s="148"/>
    </row>
    <row r="311" spans="1:11" ht="13.2">
      <c r="A311" s="149">
        <v>302</v>
      </c>
      <c r="B311" s="148">
        <v>58149777.5</v>
      </c>
      <c r="C311" s="148">
        <v>58149777.5</v>
      </c>
      <c r="D311" s="148">
        <v>25379652.930402346</v>
      </c>
      <c r="E311" s="148">
        <v>42855043.11894612</v>
      </c>
      <c r="F311" s="148">
        <v>23240055.885521326</v>
      </c>
      <c r="G311" s="148">
        <v>15000000</v>
      </c>
      <c r="H311" s="148">
        <v>106474751.9348698</v>
      </c>
      <c r="I311" s="148">
        <v>116299555</v>
      </c>
      <c r="J311" s="148">
        <v>9824803.065130204</v>
      </c>
      <c r="K311" s="148"/>
    </row>
    <row r="312" spans="1:11" ht="13.2">
      <c r="A312" s="149">
        <v>303</v>
      </c>
      <c r="B312" s="148">
        <v>58125837.5</v>
      </c>
      <c r="C312" s="148">
        <v>58125837.5</v>
      </c>
      <c r="D312" s="148">
        <v>24853441.834628016</v>
      </c>
      <c r="E312" s="148">
        <v>43373798.512153208</v>
      </c>
      <c r="F312" s="148">
        <v>25951019.226443201</v>
      </c>
      <c r="G312" s="148">
        <v>15000000</v>
      </c>
      <c r="H312" s="148">
        <v>109178259.57322443</v>
      </c>
      <c r="I312" s="148">
        <v>116251675</v>
      </c>
      <c r="J312" s="148">
        <v>7073415.4267755747</v>
      </c>
      <c r="K312" s="148"/>
    </row>
    <row r="313" spans="1:11" ht="13.2">
      <c r="A313" s="149">
        <v>304</v>
      </c>
      <c r="B313" s="148">
        <v>57856859</v>
      </c>
      <c r="C313" s="148">
        <v>57856859</v>
      </c>
      <c r="D313" s="148">
        <v>23640659.36583757</v>
      </c>
      <c r="E313" s="148">
        <v>42333278.201267011</v>
      </c>
      <c r="F313" s="148">
        <v>28770284.808467127</v>
      </c>
      <c r="G313" s="148">
        <v>15000000</v>
      </c>
      <c r="H313" s="148">
        <v>109744222.3755717</v>
      </c>
      <c r="I313" s="148">
        <v>115713718</v>
      </c>
      <c r="J313" s="148">
        <v>5969495.624428302</v>
      </c>
      <c r="K313" s="148"/>
    </row>
    <row r="314" spans="1:11" ht="13.2">
      <c r="A314" s="149">
        <v>305</v>
      </c>
      <c r="B314" s="148">
        <v>53102212</v>
      </c>
      <c r="C314" s="148">
        <v>53102212</v>
      </c>
      <c r="D314" s="148">
        <v>23783523.962733731</v>
      </c>
      <c r="E314" s="148">
        <v>43627370.909699753</v>
      </c>
      <c r="F314" s="148">
        <v>24914293.175608251</v>
      </c>
      <c r="G314" s="148">
        <v>15000000</v>
      </c>
      <c r="H314" s="148">
        <v>107325188.04804173</v>
      </c>
      <c r="I314" s="148">
        <v>106204424</v>
      </c>
      <c r="J314" s="148">
        <v>-1120764.0480417311</v>
      </c>
      <c r="K314" s="148"/>
    </row>
    <row r="315" spans="1:11" ht="13.2">
      <c r="A315" s="149">
        <v>306</v>
      </c>
      <c r="B315" s="148">
        <v>60068452.5</v>
      </c>
      <c r="C315" s="148">
        <v>60068452.5</v>
      </c>
      <c r="D315" s="148">
        <v>22298005.804228403</v>
      </c>
      <c r="E315" s="148">
        <v>41933938.381319508</v>
      </c>
      <c r="F315" s="148">
        <v>28698346.472228706</v>
      </c>
      <c r="G315" s="148">
        <v>15000000</v>
      </c>
      <c r="H315" s="148">
        <v>107930290.65777662</v>
      </c>
      <c r="I315" s="148">
        <v>120136905</v>
      </c>
      <c r="J315" s="148">
        <v>12206614.342223376</v>
      </c>
      <c r="K315" s="148"/>
    </row>
    <row r="316" spans="1:11" ht="13.2">
      <c r="A316" s="149">
        <v>307</v>
      </c>
      <c r="B316" s="148">
        <v>54371856</v>
      </c>
      <c r="C316" s="148">
        <v>54371856</v>
      </c>
      <c r="D316" s="148">
        <v>22567966.332796812</v>
      </c>
      <c r="E316" s="148">
        <v>43044826.070547663</v>
      </c>
      <c r="F316" s="148">
        <v>26564321.811357297</v>
      </c>
      <c r="G316" s="148">
        <v>15000000</v>
      </c>
      <c r="H316" s="148">
        <v>107177114.21470177</v>
      </c>
      <c r="I316" s="148">
        <v>108743712</v>
      </c>
      <c r="J316" s="148">
        <v>1566597.7852982283</v>
      </c>
      <c r="K316" s="148"/>
    </row>
    <row r="317" spans="1:11" ht="13.2">
      <c r="A317" s="149">
        <v>308</v>
      </c>
      <c r="B317" s="148">
        <v>56079834.5</v>
      </c>
      <c r="C317" s="148">
        <v>56079834.5</v>
      </c>
      <c r="D317" s="148">
        <v>25377171.869807508</v>
      </c>
      <c r="E317" s="148">
        <v>43199903.685247846</v>
      </c>
      <c r="F317" s="148">
        <v>25337746.213503882</v>
      </c>
      <c r="G317" s="148">
        <v>15000000</v>
      </c>
      <c r="H317" s="148">
        <v>108914821.76855923</v>
      </c>
      <c r="I317" s="148">
        <v>112159669</v>
      </c>
      <c r="J317" s="148">
        <v>3244847.2314407676</v>
      </c>
      <c r="K317" s="148"/>
    </row>
    <row r="318" spans="1:11" ht="13.2">
      <c r="A318" s="149">
        <v>309</v>
      </c>
      <c r="B318" s="148">
        <v>57437816.5</v>
      </c>
      <c r="C318" s="148">
        <v>57437816.5</v>
      </c>
      <c r="D318" s="148">
        <v>23778855.942095689</v>
      </c>
      <c r="E318" s="148">
        <v>43451664.7276752</v>
      </c>
      <c r="F318" s="148">
        <v>29250970.084798444</v>
      </c>
      <c r="G318" s="148">
        <v>15000000</v>
      </c>
      <c r="H318" s="148">
        <v>111481490.75456934</v>
      </c>
      <c r="I318" s="148">
        <v>114875633</v>
      </c>
      <c r="J318" s="148">
        <v>3394142.2454306632</v>
      </c>
      <c r="K318" s="148"/>
    </row>
    <row r="319" spans="1:11" ht="13.2">
      <c r="A319" s="149">
        <v>310</v>
      </c>
      <c r="B319" s="148">
        <v>57473908</v>
      </c>
      <c r="C319" s="148">
        <v>57473908</v>
      </c>
      <c r="D319" s="148">
        <v>22572928.453986485</v>
      </c>
      <c r="E319" s="148">
        <v>43286738.171101846</v>
      </c>
      <c r="F319" s="148">
        <v>25670528.819515046</v>
      </c>
      <c r="G319" s="148">
        <v>15000000</v>
      </c>
      <c r="H319" s="148">
        <v>106530195.44460338</v>
      </c>
      <c r="I319" s="148">
        <v>114947816</v>
      </c>
      <c r="J319" s="148">
        <v>8417620.5553966165</v>
      </c>
      <c r="K319" s="148"/>
    </row>
    <row r="320" spans="1:11" ht="13.2">
      <c r="A320" s="149">
        <v>311</v>
      </c>
      <c r="B320" s="148">
        <v>55928688.5</v>
      </c>
      <c r="C320" s="148">
        <v>55928688.5</v>
      </c>
      <c r="D320" s="148">
        <v>23920838.237336956</v>
      </c>
      <c r="E320" s="148">
        <v>41695098.604463808</v>
      </c>
      <c r="F320" s="148">
        <v>28212926.722160608</v>
      </c>
      <c r="G320" s="148">
        <v>15000000</v>
      </c>
      <c r="H320" s="148">
        <v>108828863.56396137</v>
      </c>
      <c r="I320" s="148">
        <v>111857377</v>
      </c>
      <c r="J320" s="148">
        <v>3028513.4360386282</v>
      </c>
      <c r="K320" s="148"/>
    </row>
    <row r="321" spans="1:11" ht="13.2">
      <c r="A321" s="149">
        <v>312</v>
      </c>
      <c r="B321" s="148">
        <v>54744520.5</v>
      </c>
      <c r="C321" s="148">
        <v>54744520.5</v>
      </c>
      <c r="D321" s="148">
        <v>26589954.338597964</v>
      </c>
      <c r="E321" s="148">
        <v>42085676.502069175</v>
      </c>
      <c r="F321" s="148">
        <v>24356772.604629442</v>
      </c>
      <c r="G321" s="148">
        <v>15000000</v>
      </c>
      <c r="H321" s="148">
        <v>108032403.44529659</v>
      </c>
      <c r="I321" s="148">
        <v>109489041</v>
      </c>
      <c r="J321" s="148">
        <v>1456637.5547034144</v>
      </c>
      <c r="K321" s="148"/>
    </row>
    <row r="322" spans="1:11" ht="13.2">
      <c r="A322" s="149">
        <v>313</v>
      </c>
      <c r="B322" s="148">
        <v>59148207</v>
      </c>
      <c r="C322" s="148">
        <v>59148207</v>
      </c>
      <c r="D322" s="148">
        <v>22565485.272201978</v>
      </c>
      <c r="E322" s="148">
        <v>42538326.379908986</v>
      </c>
      <c r="F322" s="148">
        <v>25402735.260649197</v>
      </c>
      <c r="G322" s="148">
        <v>15000000</v>
      </c>
      <c r="H322" s="148">
        <v>105506546.91276017</v>
      </c>
      <c r="I322" s="148">
        <v>118296414</v>
      </c>
      <c r="J322" s="148">
        <v>12789867.087239832</v>
      </c>
      <c r="K322" s="148"/>
    </row>
    <row r="323" spans="1:11" ht="13.2">
      <c r="A323" s="149">
        <v>314</v>
      </c>
      <c r="B323" s="148">
        <v>53938494.5</v>
      </c>
      <c r="C323" s="148">
        <v>53938494.5</v>
      </c>
      <c r="D323" s="148">
        <v>23771412.760311179</v>
      </c>
      <c r="E323" s="148">
        <v>42241901.354147285</v>
      </c>
      <c r="F323" s="148">
        <v>32594898.088926293</v>
      </c>
      <c r="G323" s="148">
        <v>15000000</v>
      </c>
      <c r="H323" s="148">
        <v>113608212.20338476</v>
      </c>
      <c r="I323" s="148">
        <v>107876989</v>
      </c>
      <c r="J323" s="148">
        <v>-5731223.203384757</v>
      </c>
      <c r="K323" s="148"/>
    </row>
    <row r="324" spans="1:11" ht="13.2">
      <c r="A324" s="149">
        <v>315</v>
      </c>
      <c r="B324" s="148">
        <v>57853358</v>
      </c>
      <c r="C324" s="148">
        <v>57853358</v>
      </c>
      <c r="D324" s="148">
        <v>25121215.403153218</v>
      </c>
      <c r="E324" s="148">
        <v>43569184.565009318</v>
      </c>
      <c r="F324" s="148">
        <v>26617940.863427062</v>
      </c>
      <c r="G324" s="148">
        <v>15000000</v>
      </c>
      <c r="H324" s="148">
        <v>110308340.83158959</v>
      </c>
      <c r="I324" s="148">
        <v>115706716</v>
      </c>
      <c r="J324" s="148">
        <v>5398375.1684104055</v>
      </c>
      <c r="K324" s="148"/>
    </row>
    <row r="325" spans="1:11" ht="13.2">
      <c r="A325" s="149">
        <v>316</v>
      </c>
      <c r="B325" s="148">
        <v>59509755</v>
      </c>
      <c r="C325" s="148">
        <v>59509755</v>
      </c>
      <c r="D325" s="148">
        <v>22705868.808503304</v>
      </c>
      <c r="E325" s="148">
        <v>42368403.934453137</v>
      </c>
      <c r="F325" s="148">
        <v>25530120.356088236</v>
      </c>
      <c r="G325" s="148">
        <v>15000000</v>
      </c>
      <c r="H325" s="148">
        <v>105604393.09904468</v>
      </c>
      <c r="I325" s="148">
        <v>119019510</v>
      </c>
      <c r="J325" s="148">
        <v>13415116.900955319</v>
      </c>
      <c r="K325" s="148"/>
    </row>
    <row r="326" spans="1:11" ht="13.2">
      <c r="A326" s="149">
        <v>317</v>
      </c>
      <c r="B326" s="148">
        <v>59353639</v>
      </c>
      <c r="C326" s="148">
        <v>59353639</v>
      </c>
      <c r="D326" s="148">
        <v>26589954.338597964</v>
      </c>
      <c r="E326" s="148">
        <v>43255948.07603474</v>
      </c>
      <c r="F326" s="148">
        <v>28649994.10912548</v>
      </c>
      <c r="G326" s="148">
        <v>15000000</v>
      </c>
      <c r="H326" s="148">
        <v>113495896.52375819</v>
      </c>
      <c r="I326" s="148">
        <v>118707278</v>
      </c>
      <c r="J326" s="148">
        <v>5211381.4762418121</v>
      </c>
      <c r="K326" s="148"/>
    </row>
    <row r="327" spans="1:11" ht="13.2">
      <c r="A327" s="149">
        <v>318</v>
      </c>
      <c r="B327" s="148">
        <v>59215818</v>
      </c>
      <c r="C327" s="148">
        <v>59215818</v>
      </c>
      <c r="D327" s="148">
        <v>24434349.929585468</v>
      </c>
      <c r="E327" s="148">
        <v>42609426.882598236</v>
      </c>
      <c r="F327" s="148">
        <v>30105493.947500531</v>
      </c>
      <c r="G327" s="148">
        <v>15000000</v>
      </c>
      <c r="H327" s="148">
        <v>112149270.75968423</v>
      </c>
      <c r="I327" s="148">
        <v>118431636</v>
      </c>
      <c r="J327" s="148">
        <v>6282365.2403157651</v>
      </c>
      <c r="K327" s="148"/>
    </row>
    <row r="328" spans="1:11" ht="13.2">
      <c r="A328" s="149">
        <v>319</v>
      </c>
      <c r="B328" s="148">
        <v>55178054</v>
      </c>
      <c r="C328" s="148">
        <v>55178054</v>
      </c>
      <c r="D328" s="148">
        <v>24983607.027998362</v>
      </c>
      <c r="E328" s="148">
        <v>41166389.082785726</v>
      </c>
      <c r="F328" s="148">
        <v>30130473.035358191</v>
      </c>
      <c r="G328" s="148">
        <v>15000000</v>
      </c>
      <c r="H328" s="148">
        <v>111280469.14614227</v>
      </c>
      <c r="I328" s="148">
        <v>110356108</v>
      </c>
      <c r="J328" s="148">
        <v>-924361.14614227414</v>
      </c>
      <c r="K328" s="148"/>
    </row>
    <row r="329" spans="1:11" ht="13.2">
      <c r="A329" s="149">
        <v>320</v>
      </c>
      <c r="B329" s="148">
        <v>53955300.5</v>
      </c>
      <c r="C329" s="148">
        <v>53955300.5</v>
      </c>
      <c r="D329" s="148">
        <v>23368511.877225954</v>
      </c>
      <c r="E329" s="148">
        <v>42492766.806354567</v>
      </c>
      <c r="F329" s="148">
        <v>26960433.113546863</v>
      </c>
      <c r="G329" s="148">
        <v>15000000</v>
      </c>
      <c r="H329" s="148">
        <v>107821711.79712738</v>
      </c>
      <c r="I329" s="148">
        <v>107910601</v>
      </c>
      <c r="J329" s="148">
        <v>88889.202872619033</v>
      </c>
      <c r="K329" s="148"/>
    </row>
    <row r="330" spans="1:11" ht="13.2">
      <c r="A330" s="149">
        <v>321</v>
      </c>
      <c r="B330" s="148">
        <v>58669061</v>
      </c>
      <c r="C330" s="148">
        <v>58669061</v>
      </c>
      <c r="D330" s="148">
        <v>26189534.516107574</v>
      </c>
      <c r="E330" s="148">
        <v>42173315.666249439</v>
      </c>
      <c r="F330" s="148">
        <v>27053126.085507512</v>
      </c>
      <c r="G330" s="148">
        <v>15000000</v>
      </c>
      <c r="H330" s="148">
        <v>110415976.26786453</v>
      </c>
      <c r="I330" s="148">
        <v>117338122</v>
      </c>
      <c r="J330" s="148">
        <v>6922145.7321354747</v>
      </c>
      <c r="K330" s="148"/>
    </row>
    <row r="331" spans="1:11" ht="13.2">
      <c r="A331" s="149">
        <v>322</v>
      </c>
      <c r="B331" s="148">
        <v>51710113.5</v>
      </c>
      <c r="C331" s="148">
        <v>51710113.5</v>
      </c>
      <c r="D331" s="148">
        <v>22842888.98255489</v>
      </c>
      <c r="E331" s="148">
        <v>43040346.82152532</v>
      </c>
      <c r="F331" s="148">
        <v>27269978.896537483</v>
      </c>
      <c r="G331" s="148">
        <v>15000000</v>
      </c>
      <c r="H331" s="148">
        <v>108153214.7006177</v>
      </c>
      <c r="I331" s="148">
        <v>103420227</v>
      </c>
      <c r="J331" s="148">
        <v>-4732987.7006177008</v>
      </c>
      <c r="K331" s="148"/>
    </row>
    <row r="332" spans="1:11" ht="13.2">
      <c r="A332" s="149">
        <v>323</v>
      </c>
      <c r="B332" s="148">
        <v>56073401.5</v>
      </c>
      <c r="C332" s="148">
        <v>56073401.5</v>
      </c>
      <c r="D332" s="148">
        <v>23781042.902138896</v>
      </c>
      <c r="E332" s="148">
        <v>41713468.286650896</v>
      </c>
      <c r="F332" s="148">
        <v>27573443.573568176</v>
      </c>
      <c r="G332" s="148">
        <v>15000000</v>
      </c>
      <c r="H332" s="148">
        <v>108067954.76235797</v>
      </c>
      <c r="I332" s="148">
        <v>112146803</v>
      </c>
      <c r="J332" s="148">
        <v>4078848.2376420349</v>
      </c>
      <c r="K332" s="148"/>
    </row>
    <row r="333" spans="1:11" ht="13.2">
      <c r="A333" s="149">
        <v>324</v>
      </c>
      <c r="B333" s="148">
        <v>56226478.5</v>
      </c>
      <c r="C333" s="148">
        <v>56226478.5</v>
      </c>
      <c r="D333" s="148">
        <v>25239563.494652655</v>
      </c>
      <c r="E333" s="148">
        <v>43312538.718811706</v>
      </c>
      <c r="F333" s="148">
        <v>29726632.886953235</v>
      </c>
      <c r="G333" s="148">
        <v>15000000</v>
      </c>
      <c r="H333" s="148">
        <v>113278735.1004176</v>
      </c>
      <c r="I333" s="148">
        <v>112452957</v>
      </c>
      <c r="J333" s="148">
        <v>-825778.10041759908</v>
      </c>
      <c r="K333" s="148"/>
    </row>
    <row r="334" spans="1:11" ht="13.2">
      <c r="A334" s="149">
        <v>325</v>
      </c>
      <c r="B334" s="148">
        <v>53505476</v>
      </c>
      <c r="C334" s="148">
        <v>53505476</v>
      </c>
      <c r="D334" s="148">
        <v>25376877.769255877</v>
      </c>
      <c r="E334" s="148">
        <v>42753639.350600436</v>
      </c>
      <c r="F334" s="148">
        <v>25768273.973969132</v>
      </c>
      <c r="G334" s="148">
        <v>15000000</v>
      </c>
      <c r="H334" s="148">
        <v>108898791.09382544</v>
      </c>
      <c r="I334" s="148">
        <v>107010952</v>
      </c>
      <c r="J334" s="148">
        <v>-1887839.0938254446</v>
      </c>
      <c r="K334" s="148"/>
    </row>
    <row r="335" spans="1:11" ht="13.2">
      <c r="A335" s="149">
        <v>326</v>
      </c>
      <c r="B335" s="148">
        <v>58439028.5</v>
      </c>
      <c r="C335" s="148">
        <v>58439028.5</v>
      </c>
      <c r="D335" s="148">
        <v>23241121.845002081</v>
      </c>
      <c r="E335" s="148">
        <v>40568369.535440609</v>
      </c>
      <c r="F335" s="148">
        <v>28866126.874709446</v>
      </c>
      <c r="G335" s="148">
        <v>15000000</v>
      </c>
      <c r="H335" s="148">
        <v>107675618.25515214</v>
      </c>
      <c r="I335" s="148">
        <v>116878057</v>
      </c>
      <c r="J335" s="148">
        <v>9202438.7448478639</v>
      </c>
      <c r="K335" s="148"/>
    </row>
    <row r="336" spans="1:11" ht="13.2">
      <c r="A336" s="149">
        <v>327</v>
      </c>
      <c r="B336" s="148">
        <v>57082671</v>
      </c>
      <c r="C336" s="148">
        <v>57082671</v>
      </c>
      <c r="D336" s="148">
        <v>25251674.697075199</v>
      </c>
      <c r="E336" s="148">
        <v>42903441.37855345</v>
      </c>
      <c r="F336" s="148">
        <v>25672957.336810905</v>
      </c>
      <c r="G336" s="148">
        <v>15000000</v>
      </c>
      <c r="H336" s="148">
        <v>108828073.41243955</v>
      </c>
      <c r="I336" s="148">
        <v>114165342</v>
      </c>
      <c r="J336" s="148">
        <v>5337268.5875604451</v>
      </c>
      <c r="K336" s="148"/>
    </row>
    <row r="337" spans="1:11" ht="13.2">
      <c r="A337" s="149">
        <v>328</v>
      </c>
      <c r="B337" s="148">
        <v>54816526</v>
      </c>
      <c r="C337" s="148">
        <v>54816526</v>
      </c>
      <c r="D337" s="148">
        <v>23508601.312975649</v>
      </c>
      <c r="E337" s="148">
        <v>43471455.263449103</v>
      </c>
      <c r="F337" s="148">
        <v>26885903.9683607</v>
      </c>
      <c r="G337" s="148">
        <v>15000000</v>
      </c>
      <c r="H337" s="148">
        <v>108865960.54478544</v>
      </c>
      <c r="I337" s="148">
        <v>109633052</v>
      </c>
      <c r="J337" s="148">
        <v>767091.45521456003</v>
      </c>
      <c r="K337" s="148"/>
    </row>
    <row r="338" spans="1:11" ht="13.2">
      <c r="A338" s="149">
        <v>329</v>
      </c>
      <c r="B338" s="148">
        <v>58267808</v>
      </c>
      <c r="C338" s="148">
        <v>58267808</v>
      </c>
      <c r="D338" s="148">
        <v>23238346.683855608</v>
      </c>
      <c r="E338" s="148">
        <v>42132060.346419528</v>
      </c>
      <c r="F338" s="148">
        <v>26086555.980197877</v>
      </c>
      <c r="G338" s="148">
        <v>15000000</v>
      </c>
      <c r="H338" s="148">
        <v>106456963.01047301</v>
      </c>
      <c r="I338" s="148">
        <v>116535616</v>
      </c>
      <c r="J338" s="148">
        <v>10078652.989526987</v>
      </c>
      <c r="K338" s="148"/>
    </row>
    <row r="339" spans="1:11" ht="13.2">
      <c r="A339" s="149">
        <v>330</v>
      </c>
      <c r="B339" s="148">
        <v>55182380.5</v>
      </c>
      <c r="C339" s="148">
        <v>55182380.5</v>
      </c>
      <c r="D339" s="148">
        <v>25649613.458970755</v>
      </c>
      <c r="E339" s="148">
        <v>42522921.613809124</v>
      </c>
      <c r="F339" s="148">
        <v>28935718.463862941</v>
      </c>
      <c r="G339" s="148">
        <v>15000000</v>
      </c>
      <c r="H339" s="148">
        <v>112108253.53664282</v>
      </c>
      <c r="I339" s="148">
        <v>110364761</v>
      </c>
      <c r="J339" s="148">
        <v>-1743492.5366428196</v>
      </c>
      <c r="K339" s="148"/>
    </row>
    <row r="340" spans="1:11" ht="13.2">
      <c r="A340" s="149">
        <v>331</v>
      </c>
      <c r="B340" s="148">
        <v>55694458</v>
      </c>
      <c r="C340" s="148">
        <v>55694458</v>
      </c>
      <c r="D340" s="148">
        <v>25656468.439652</v>
      </c>
      <c r="E340" s="148">
        <v>41984971.799961373</v>
      </c>
      <c r="F340" s="148">
        <v>25816942.654083669</v>
      </c>
      <c r="G340" s="148">
        <v>15000000</v>
      </c>
      <c r="H340" s="148">
        <v>108458382.89369704</v>
      </c>
      <c r="I340" s="148">
        <v>111388916</v>
      </c>
      <c r="J340" s="148">
        <v>2930533.1063029617</v>
      </c>
      <c r="K340" s="148"/>
    </row>
    <row r="341" spans="1:11" ht="13.2">
      <c r="A341" s="149">
        <v>332</v>
      </c>
      <c r="B341" s="148">
        <v>51687331</v>
      </c>
      <c r="C341" s="148">
        <v>51687331</v>
      </c>
      <c r="D341" s="148">
        <v>23363843.856587917</v>
      </c>
      <c r="E341" s="148">
        <v>41972428.337013543</v>
      </c>
      <c r="F341" s="148">
        <v>26534664.195493694</v>
      </c>
      <c r="G341" s="148">
        <v>15000000</v>
      </c>
      <c r="H341" s="148">
        <v>106870936.38909516</v>
      </c>
      <c r="I341" s="148">
        <v>103374662</v>
      </c>
      <c r="J341" s="148">
        <v>-3496274.3890951574</v>
      </c>
      <c r="K341" s="148"/>
    </row>
    <row r="342" spans="1:11" ht="13.2">
      <c r="A342" s="149">
        <v>333</v>
      </c>
      <c r="B342" s="148">
        <v>56431460</v>
      </c>
      <c r="C342" s="148">
        <v>56431460</v>
      </c>
      <c r="D342" s="148">
        <v>22700906.687313627</v>
      </c>
      <c r="E342" s="148">
        <v>43152794.991268724</v>
      </c>
      <c r="F342" s="148">
        <v>27304910.420255724</v>
      </c>
      <c r="G342" s="148">
        <v>15000000</v>
      </c>
      <c r="H342" s="148">
        <v>108158612.09883808</v>
      </c>
      <c r="I342" s="148">
        <v>112862920</v>
      </c>
      <c r="J342" s="148">
        <v>4704307.901161924</v>
      </c>
      <c r="K342" s="148"/>
    </row>
    <row r="343" spans="1:11" ht="13.2">
      <c r="A343" s="149">
        <v>334</v>
      </c>
      <c r="B343" s="148">
        <v>57179486</v>
      </c>
      <c r="C343" s="148">
        <v>57179486</v>
      </c>
      <c r="D343" s="148">
        <v>22040156.478082545</v>
      </c>
      <c r="E343" s="148">
        <v>42028774.840078108</v>
      </c>
      <c r="F343" s="148">
        <v>26218087.769018479</v>
      </c>
      <c r="G343" s="148">
        <v>15000000</v>
      </c>
      <c r="H343" s="148">
        <v>105287019.08717912</v>
      </c>
      <c r="I343" s="148">
        <v>114358972</v>
      </c>
      <c r="J343" s="148">
        <v>9071952.9128208756</v>
      </c>
      <c r="K343" s="148"/>
    </row>
    <row r="344" spans="1:11" ht="13.2">
      <c r="A344" s="149">
        <v>335</v>
      </c>
      <c r="B344" s="148">
        <v>53477690.5</v>
      </c>
      <c r="C344" s="148">
        <v>53477690.5</v>
      </c>
      <c r="D344" s="148">
        <v>23646209.688130505</v>
      </c>
      <c r="E344" s="148">
        <v>42129603.557716489</v>
      </c>
      <c r="F344" s="148">
        <v>29099427.340617921</v>
      </c>
      <c r="G344" s="148">
        <v>15000000</v>
      </c>
      <c r="H344" s="148">
        <v>109875240.58646491</v>
      </c>
      <c r="I344" s="148">
        <v>106955381</v>
      </c>
      <c r="J344" s="148">
        <v>-2919859.5864649117</v>
      </c>
      <c r="K344" s="148"/>
    </row>
    <row r="345" spans="1:11" ht="13.2">
      <c r="A345" s="149">
        <v>336</v>
      </c>
      <c r="B345" s="148">
        <v>55162057.5</v>
      </c>
      <c r="C345" s="148">
        <v>55162057.5</v>
      </c>
      <c r="D345" s="148">
        <v>26042295.999125004</v>
      </c>
      <c r="E345" s="148">
        <v>43207142.526301458</v>
      </c>
      <c r="F345" s="148">
        <v>25026643.25998814</v>
      </c>
      <c r="G345" s="148">
        <v>15000000</v>
      </c>
      <c r="H345" s="148">
        <v>109276081.78541461</v>
      </c>
      <c r="I345" s="148">
        <v>110324115</v>
      </c>
      <c r="J345" s="148">
        <v>1048033.2145853937</v>
      </c>
      <c r="K345" s="148"/>
    </row>
    <row r="346" spans="1:11" ht="13.2">
      <c r="A346" s="149">
        <v>337</v>
      </c>
      <c r="B346" s="148">
        <v>61005712.5</v>
      </c>
      <c r="C346" s="148">
        <v>61005712.5</v>
      </c>
      <c r="D346" s="148">
        <v>23508307.212424017</v>
      </c>
      <c r="E346" s="148">
        <v>42611521.681043349</v>
      </c>
      <c r="F346" s="148">
        <v>25416717.204741083</v>
      </c>
      <c r="G346" s="148">
        <v>15000000</v>
      </c>
      <c r="H346" s="148">
        <v>106536546.09820846</v>
      </c>
      <c r="I346" s="148">
        <v>122011425</v>
      </c>
      <c r="J346" s="148">
        <v>15474878.901791543</v>
      </c>
      <c r="K346" s="148"/>
    </row>
    <row r="347" spans="1:11" ht="13.2">
      <c r="A347" s="149">
        <v>338</v>
      </c>
      <c r="B347" s="148">
        <v>55701411</v>
      </c>
      <c r="C347" s="148">
        <v>55701411</v>
      </c>
      <c r="D347" s="148">
        <v>23775786.680397589</v>
      </c>
      <c r="E347" s="148">
        <v>42120803.697851084</v>
      </c>
      <c r="F347" s="148">
        <v>28416277.247865837</v>
      </c>
      <c r="G347" s="148">
        <v>15000000</v>
      </c>
      <c r="H347" s="148">
        <v>109312867.62611452</v>
      </c>
      <c r="I347" s="148">
        <v>111402822</v>
      </c>
      <c r="J347" s="148">
        <v>2089954.3738854825</v>
      </c>
      <c r="K347" s="148"/>
    </row>
    <row r="348" spans="1:11" ht="13.2">
      <c r="A348" s="149">
        <v>339</v>
      </c>
      <c r="B348" s="148">
        <v>60157773</v>
      </c>
      <c r="C348" s="148">
        <v>60157773</v>
      </c>
      <c r="D348" s="148">
        <v>26054701.302099187</v>
      </c>
      <c r="E348" s="148">
        <v>43301480.97234156</v>
      </c>
      <c r="F348" s="148">
        <v>28959959.638568688</v>
      </c>
      <c r="G348" s="148">
        <v>15000000</v>
      </c>
      <c r="H348" s="148">
        <v>113316141.91300943</v>
      </c>
      <c r="I348" s="148">
        <v>120315546</v>
      </c>
      <c r="J348" s="148">
        <v>6999404.0869905651</v>
      </c>
      <c r="K348" s="148"/>
    </row>
    <row r="349" spans="1:11" ht="13.2">
      <c r="A349" s="149">
        <v>340</v>
      </c>
      <c r="B349" s="148">
        <v>53098649</v>
      </c>
      <c r="C349" s="148">
        <v>53098649</v>
      </c>
      <c r="D349" s="148">
        <v>23236159.723812405</v>
      </c>
      <c r="E349" s="148">
        <v>42838546.108417764</v>
      </c>
      <c r="F349" s="148">
        <v>25733679.138269152</v>
      </c>
      <c r="G349" s="148">
        <v>15000000</v>
      </c>
      <c r="H349" s="148">
        <v>106808384.97049932</v>
      </c>
      <c r="I349" s="148">
        <v>106197298</v>
      </c>
      <c r="J349" s="148">
        <v>-611086.97049932182</v>
      </c>
      <c r="K349" s="148"/>
    </row>
    <row r="350" spans="1:11" ht="13.2">
      <c r="A350" s="149">
        <v>341</v>
      </c>
      <c r="B350" s="148">
        <v>58113537.5</v>
      </c>
      <c r="C350" s="148">
        <v>58113537.5</v>
      </c>
      <c r="D350" s="148">
        <v>23106288.63099369</v>
      </c>
      <c r="E350" s="148">
        <v>41317036.33234603</v>
      </c>
      <c r="F350" s="148">
        <v>26744196.046967167</v>
      </c>
      <c r="G350" s="148">
        <v>15000000</v>
      </c>
      <c r="H350" s="148">
        <v>106167521.01030688</v>
      </c>
      <c r="I350" s="148">
        <v>116227075</v>
      </c>
      <c r="J350" s="148">
        <v>10059553.98969312</v>
      </c>
      <c r="K350" s="148"/>
    </row>
    <row r="351" spans="1:11" ht="13.2">
      <c r="A351" s="149">
        <v>342</v>
      </c>
      <c r="B351" s="148">
        <v>55177247.5</v>
      </c>
      <c r="C351" s="148">
        <v>55177247.5</v>
      </c>
      <c r="D351" s="148">
        <v>25914611.866349492</v>
      </c>
      <c r="E351" s="148">
        <v>41363569.219659001</v>
      </c>
      <c r="F351" s="148">
        <v>27813053.788613833</v>
      </c>
      <c r="G351" s="148">
        <v>15000000</v>
      </c>
      <c r="H351" s="148">
        <v>110091234.87462232</v>
      </c>
      <c r="I351" s="148">
        <v>110354495</v>
      </c>
      <c r="J351" s="148">
        <v>263260.12537768483</v>
      </c>
      <c r="K351" s="148"/>
    </row>
    <row r="352" spans="1:11" ht="13.2">
      <c r="A352" s="149">
        <v>343</v>
      </c>
      <c r="B352" s="148">
        <v>55146328.5</v>
      </c>
      <c r="C352" s="148">
        <v>55146328.5</v>
      </c>
      <c r="D352" s="148">
        <v>24446461.13200802</v>
      </c>
      <c r="E352" s="148">
        <v>41571932.48819197</v>
      </c>
      <c r="F352" s="148">
        <v>23651569.873870701</v>
      </c>
      <c r="G352" s="148">
        <v>15000000</v>
      </c>
      <c r="H352" s="148">
        <v>104669963.49407069</v>
      </c>
      <c r="I352" s="148">
        <v>110292657</v>
      </c>
      <c r="J352" s="148">
        <v>5622693.5059293061</v>
      </c>
      <c r="K352" s="148"/>
    </row>
    <row r="353" spans="1:11" ht="13.2">
      <c r="A353" s="149">
        <v>344</v>
      </c>
      <c r="B353" s="148">
        <v>51832439</v>
      </c>
      <c r="C353" s="148">
        <v>51832439</v>
      </c>
      <c r="D353" s="148">
        <v>26192015.576702412</v>
      </c>
      <c r="E353" s="148">
        <v>41532070.42342779</v>
      </c>
      <c r="F353" s="148">
        <v>26961733.365264568</v>
      </c>
      <c r="G353" s="148">
        <v>15000000</v>
      </c>
      <c r="H353" s="148">
        <v>109685819.36539477</v>
      </c>
      <c r="I353" s="148">
        <v>103664878</v>
      </c>
      <c r="J353" s="148">
        <v>-6020941.3653947711</v>
      </c>
      <c r="K353" s="148"/>
    </row>
    <row r="354" spans="1:11" ht="13.2">
      <c r="A354" s="149">
        <v>345</v>
      </c>
      <c r="B354" s="148">
        <v>58156793</v>
      </c>
      <c r="C354" s="148">
        <v>58156793</v>
      </c>
      <c r="D354" s="148">
        <v>25651506.318462327</v>
      </c>
      <c r="E354" s="148">
        <v>43605011.279275268</v>
      </c>
      <c r="F354" s="148">
        <v>27766585.728139658</v>
      </c>
      <c r="G354" s="148">
        <v>15000000</v>
      </c>
      <c r="H354" s="148">
        <v>112023103.32587725</v>
      </c>
      <c r="I354" s="148">
        <v>116313586</v>
      </c>
      <c r="J354" s="148">
        <v>4290482.6741227508</v>
      </c>
      <c r="K354" s="148"/>
    </row>
    <row r="355" spans="1:11" ht="13.2">
      <c r="A355" s="149">
        <v>346</v>
      </c>
      <c r="B355" s="148">
        <v>57830225</v>
      </c>
      <c r="C355" s="148">
        <v>57830225</v>
      </c>
      <c r="D355" s="148">
        <v>23498677.070596304</v>
      </c>
      <c r="E355" s="148">
        <v>42625778.460593</v>
      </c>
      <c r="F355" s="148">
        <v>25333550.720668048</v>
      </c>
      <c r="G355" s="148">
        <v>15000000</v>
      </c>
      <c r="H355" s="148">
        <v>106458006.25185736</v>
      </c>
      <c r="I355" s="148">
        <v>115660450</v>
      </c>
      <c r="J355" s="148">
        <v>9202443.7481426448</v>
      </c>
      <c r="K355" s="148"/>
    </row>
    <row r="356" spans="1:11" ht="13.2">
      <c r="A356" s="149">
        <v>347</v>
      </c>
      <c r="B356" s="148">
        <v>55980124</v>
      </c>
      <c r="C356" s="148">
        <v>55980124</v>
      </c>
      <c r="D356" s="148">
        <v>25391470.032273266</v>
      </c>
      <c r="E356" s="148">
        <v>42868577.433660507</v>
      </c>
      <c r="F356" s="148">
        <v>28467511.893481541</v>
      </c>
      <c r="G356" s="148">
        <v>15000000</v>
      </c>
      <c r="H356" s="148">
        <v>111727559.35941531</v>
      </c>
      <c r="I356" s="148">
        <v>111960248</v>
      </c>
      <c r="J356" s="148">
        <v>232688.64058469236</v>
      </c>
      <c r="K356" s="148"/>
    </row>
    <row r="357" spans="1:11" ht="13.2">
      <c r="A357" s="149">
        <v>348</v>
      </c>
      <c r="B357" s="148">
        <v>60037492.5</v>
      </c>
      <c r="C357" s="148">
        <v>60037492.5</v>
      </c>
      <c r="D357" s="148">
        <v>24853441.834628016</v>
      </c>
      <c r="E357" s="148">
        <v>42331001.631962702</v>
      </c>
      <c r="F357" s="148">
        <v>27987587.842925888</v>
      </c>
      <c r="G357" s="148">
        <v>15000000</v>
      </c>
      <c r="H357" s="148">
        <v>110172031.30951661</v>
      </c>
      <c r="I357" s="148">
        <v>120074985</v>
      </c>
      <c r="J357" s="148">
        <v>9902953.6904833913</v>
      </c>
      <c r="K357" s="148"/>
    </row>
    <row r="358" spans="1:11" ht="13.2">
      <c r="A358" s="149">
        <v>349</v>
      </c>
      <c r="B358" s="148">
        <v>57001193</v>
      </c>
      <c r="C358" s="148">
        <v>57001193</v>
      </c>
      <c r="D358" s="148">
        <v>25649319.35841912</v>
      </c>
      <c r="E358" s="148">
        <v>41312911.000816174</v>
      </c>
      <c r="F358" s="148">
        <v>25988420.165111743</v>
      </c>
      <c r="G358" s="148">
        <v>15000000</v>
      </c>
      <c r="H358" s="148">
        <v>107950650.52434704</v>
      </c>
      <c r="I358" s="148">
        <v>114002386</v>
      </c>
      <c r="J358" s="148">
        <v>6051735.4756529629</v>
      </c>
      <c r="K358" s="148"/>
    </row>
    <row r="359" spans="1:11" ht="13.2">
      <c r="A359" s="149">
        <v>350</v>
      </c>
      <c r="B359" s="148">
        <v>51165776</v>
      </c>
      <c r="C359" s="148">
        <v>51165776</v>
      </c>
      <c r="D359" s="148">
        <v>26584992.217408288</v>
      </c>
      <c r="E359" s="148">
        <v>41831941.536292419</v>
      </c>
      <c r="F359" s="148">
        <v>28299171.715002216</v>
      </c>
      <c r="G359" s="148">
        <v>15000000</v>
      </c>
      <c r="H359" s="148">
        <v>111716105.46870291</v>
      </c>
      <c r="I359" s="148">
        <v>102331552</v>
      </c>
      <c r="J359" s="148">
        <v>-9384553.4687029123</v>
      </c>
      <c r="K359" s="148"/>
    </row>
    <row r="360" spans="1:11" ht="13.2">
      <c r="A360" s="149">
        <v>351</v>
      </c>
      <c r="B360" s="148">
        <v>56509343</v>
      </c>
      <c r="C360" s="148">
        <v>56509343</v>
      </c>
      <c r="D360" s="148">
        <v>23911208.095509242</v>
      </c>
      <c r="E360" s="148">
        <v>42949459.724059358</v>
      </c>
      <c r="F360" s="148">
        <v>27570797.424304489</v>
      </c>
      <c r="G360" s="148">
        <v>15000000</v>
      </c>
      <c r="H360" s="148">
        <v>109431465.24387309</v>
      </c>
      <c r="I360" s="148">
        <v>113018686</v>
      </c>
      <c r="J360" s="148">
        <v>3587220.7561269104</v>
      </c>
      <c r="K360" s="148"/>
    </row>
    <row r="361" spans="1:11" ht="13.2">
      <c r="A361" s="149">
        <v>352</v>
      </c>
      <c r="B361" s="148">
        <v>60485581.5</v>
      </c>
      <c r="C361" s="148">
        <v>60485581.5</v>
      </c>
      <c r="D361" s="148">
        <v>25111879.36187714</v>
      </c>
      <c r="E361" s="148">
        <v>42967508.008057222</v>
      </c>
      <c r="F361" s="148">
        <v>26171218.013549723</v>
      </c>
      <c r="G361" s="148">
        <v>15000000</v>
      </c>
      <c r="H361" s="148">
        <v>109250605.3834841</v>
      </c>
      <c r="I361" s="148">
        <v>120971163</v>
      </c>
      <c r="J361" s="148">
        <v>11720557.616515905</v>
      </c>
      <c r="K361" s="148"/>
    </row>
    <row r="362" spans="1:11" ht="13.2">
      <c r="A362" s="149">
        <v>353</v>
      </c>
      <c r="B362" s="148">
        <v>56290922</v>
      </c>
      <c r="C362" s="148">
        <v>56290922</v>
      </c>
      <c r="D362" s="148">
        <v>23370992.937820792</v>
      </c>
      <c r="E362" s="148">
        <v>43888253.325943343</v>
      </c>
      <c r="F362" s="148">
        <v>28253533.081423871</v>
      </c>
      <c r="G362" s="148">
        <v>15000000</v>
      </c>
      <c r="H362" s="148">
        <v>110512779.34518802</v>
      </c>
      <c r="I362" s="148">
        <v>112581844</v>
      </c>
      <c r="J362" s="148">
        <v>2069064.6548119783</v>
      </c>
      <c r="K362" s="148"/>
    </row>
    <row r="363" spans="1:11" ht="13.2">
      <c r="A363" s="149">
        <v>354</v>
      </c>
      <c r="B363" s="148">
        <v>56812256</v>
      </c>
      <c r="C363" s="148">
        <v>56812256</v>
      </c>
      <c r="D363" s="148">
        <v>22968092.054735567</v>
      </c>
      <c r="E363" s="148">
        <v>41683856.2801072</v>
      </c>
      <c r="F363" s="148">
        <v>28071547.279340096</v>
      </c>
      <c r="G363" s="148">
        <v>15000000</v>
      </c>
      <c r="H363" s="148">
        <v>107723495.61418286</v>
      </c>
      <c r="I363" s="148">
        <v>113624512</v>
      </c>
      <c r="J363" s="148">
        <v>5901016.3858171403</v>
      </c>
      <c r="K363" s="148"/>
    </row>
    <row r="364" spans="1:11" ht="13.2">
      <c r="A364" s="149">
        <v>355</v>
      </c>
      <c r="B364" s="148">
        <v>54245577</v>
      </c>
      <c r="C364" s="148">
        <v>54245577</v>
      </c>
      <c r="D364" s="148">
        <v>23369100.078329224</v>
      </c>
      <c r="E364" s="148">
        <v>43467482.584043466</v>
      </c>
      <c r="F364" s="148">
        <v>28482631.009843584</v>
      </c>
      <c r="G364" s="148">
        <v>15000000</v>
      </c>
      <c r="H364" s="148">
        <v>110319213.67221628</v>
      </c>
      <c r="I364" s="148">
        <v>108491154</v>
      </c>
      <c r="J364" s="148">
        <v>-1828059.6722162813</v>
      </c>
      <c r="K364" s="148"/>
    </row>
    <row r="365" spans="1:11" ht="13.2">
      <c r="A365" s="149">
        <v>356</v>
      </c>
      <c r="B365" s="148">
        <v>54689021.5</v>
      </c>
      <c r="C365" s="148">
        <v>54689021.5</v>
      </c>
      <c r="D365" s="148">
        <v>22433133.118788425</v>
      </c>
      <c r="E365" s="148">
        <v>43641480.167350285</v>
      </c>
      <c r="F365" s="148">
        <v>24536956.172893986</v>
      </c>
      <c r="G365" s="148">
        <v>15000000</v>
      </c>
      <c r="H365" s="148">
        <v>105611569.4590327</v>
      </c>
      <c r="I365" s="148">
        <v>109378043</v>
      </c>
      <c r="J365" s="148">
        <v>3766473.5409673005</v>
      </c>
      <c r="K365" s="148"/>
    </row>
    <row r="366" spans="1:11" ht="13.2">
      <c r="A366" s="149">
        <v>357</v>
      </c>
      <c r="B366" s="148">
        <v>59149615.5</v>
      </c>
      <c r="C366" s="148">
        <v>59149615.5</v>
      </c>
      <c r="D366" s="148">
        <v>23243602.905596916</v>
      </c>
      <c r="E366" s="148">
        <v>43264399.302532762</v>
      </c>
      <c r="F366" s="148">
        <v>29879458.330258209</v>
      </c>
      <c r="G366" s="148">
        <v>15000000</v>
      </c>
      <c r="H366" s="148">
        <v>111387460.53838788</v>
      </c>
      <c r="I366" s="148">
        <v>118299231</v>
      </c>
      <c r="J366" s="148">
        <v>6911770.4616121203</v>
      </c>
      <c r="K366" s="148"/>
    </row>
    <row r="367" spans="1:11" ht="13.2">
      <c r="A367" s="149">
        <v>358</v>
      </c>
      <c r="B367" s="148">
        <v>57044379</v>
      </c>
      <c r="C367" s="148">
        <v>57044379</v>
      </c>
      <c r="D367" s="148">
        <v>22445244.321210977</v>
      </c>
      <c r="E367" s="148">
        <v>42283624.850315951</v>
      </c>
      <c r="F367" s="148">
        <v>29988957.258089773</v>
      </c>
      <c r="G367" s="148">
        <v>15000000</v>
      </c>
      <c r="H367" s="148">
        <v>109717826.42961669</v>
      </c>
      <c r="I367" s="148">
        <v>114088758</v>
      </c>
      <c r="J367" s="148">
        <v>4370931.5703833103</v>
      </c>
      <c r="K367" s="148"/>
    </row>
    <row r="368" spans="1:11" ht="13.2">
      <c r="A368" s="149">
        <v>359</v>
      </c>
      <c r="B368" s="148">
        <v>57667317</v>
      </c>
      <c r="C368" s="148">
        <v>57667317</v>
      </c>
      <c r="D368" s="148">
        <v>23501452.231742773</v>
      </c>
      <c r="E368" s="148">
        <v>41845042.341434352</v>
      </c>
      <c r="F368" s="148">
        <v>24985666.39810181</v>
      </c>
      <c r="G368" s="148">
        <v>15000000</v>
      </c>
      <c r="H368" s="148">
        <v>105332160.97127894</v>
      </c>
      <c r="I368" s="148">
        <v>115334634</v>
      </c>
      <c r="J368" s="148">
        <v>10002473.028721064</v>
      </c>
      <c r="K368" s="148"/>
    </row>
    <row r="369" spans="1:11" ht="13.2">
      <c r="A369" s="149">
        <v>360</v>
      </c>
      <c r="B369" s="148">
        <v>54834548</v>
      </c>
      <c r="C369" s="148">
        <v>54834548</v>
      </c>
      <c r="D369" s="148">
        <v>25782259.712935939</v>
      </c>
      <c r="E369" s="148">
        <v>43069425.153757274</v>
      </c>
      <c r="F369" s="148">
        <v>29174797.184103716</v>
      </c>
      <c r="G369" s="148">
        <v>15000000</v>
      </c>
      <c r="H369" s="148">
        <v>113026482.05079693</v>
      </c>
      <c r="I369" s="148">
        <v>109669096</v>
      </c>
      <c r="J369" s="148">
        <v>-3357386.050796926</v>
      </c>
      <c r="K369" s="148"/>
    </row>
    <row r="370" spans="1:11" ht="13.2">
      <c r="A370" s="149">
        <v>361</v>
      </c>
      <c r="B370" s="148">
        <v>58058943</v>
      </c>
      <c r="C370" s="148">
        <v>58058943</v>
      </c>
      <c r="D370" s="148">
        <v>23506120.252380811</v>
      </c>
      <c r="E370" s="148">
        <v>43749048.823633865</v>
      </c>
      <c r="F370" s="148">
        <v>24307982.335375153</v>
      </c>
      <c r="G370" s="148">
        <v>15000000</v>
      </c>
      <c r="H370" s="148">
        <v>106563151.41138983</v>
      </c>
      <c r="I370" s="148">
        <v>116117886</v>
      </c>
      <c r="J370" s="148">
        <v>9554734.5886101723</v>
      </c>
      <c r="K370" s="148"/>
    </row>
    <row r="371" spans="1:11" ht="13.2">
      <c r="A371" s="149">
        <v>362</v>
      </c>
      <c r="B371" s="148">
        <v>50224906</v>
      </c>
      <c r="C371" s="148">
        <v>50224906</v>
      </c>
      <c r="D371" s="148">
        <v>23364137.957139548</v>
      </c>
      <c r="E371" s="148">
        <v>42272298.279248685</v>
      </c>
      <c r="F371" s="148">
        <v>26962841.986644853</v>
      </c>
      <c r="G371" s="148">
        <v>15000000</v>
      </c>
      <c r="H371" s="148">
        <v>107599278.22303309</v>
      </c>
      <c r="I371" s="148">
        <v>100449812</v>
      </c>
      <c r="J371" s="148">
        <v>-7149466.2230330855</v>
      </c>
      <c r="K371" s="148"/>
    </row>
    <row r="372" spans="1:11" ht="13.2">
      <c r="A372" s="149">
        <v>363</v>
      </c>
      <c r="B372" s="148">
        <v>54640549</v>
      </c>
      <c r="C372" s="148">
        <v>54640549</v>
      </c>
      <c r="D372" s="148">
        <v>22963718.134649161</v>
      </c>
      <c r="E372" s="148">
        <v>43249883.011528805</v>
      </c>
      <c r="F372" s="148">
        <v>24341975.834623002</v>
      </c>
      <c r="G372" s="148">
        <v>15000000</v>
      </c>
      <c r="H372" s="148">
        <v>105555576.98080096</v>
      </c>
      <c r="I372" s="148">
        <v>109281098</v>
      </c>
      <c r="J372" s="148">
        <v>3725521.0191990435</v>
      </c>
      <c r="K372" s="148"/>
    </row>
    <row r="373" spans="1:11" ht="13.2">
      <c r="A373" s="149">
        <v>364</v>
      </c>
      <c r="B373" s="148">
        <v>54685061</v>
      </c>
      <c r="C373" s="148">
        <v>54685061</v>
      </c>
      <c r="D373" s="148">
        <v>22968092.054735567</v>
      </c>
      <c r="E373" s="148">
        <v>42545218.81257423</v>
      </c>
      <c r="F373" s="148">
        <v>23956724.115049079</v>
      </c>
      <c r="G373" s="148">
        <v>15000000</v>
      </c>
      <c r="H373" s="148">
        <v>104470034.98235887</v>
      </c>
      <c r="I373" s="148">
        <v>109370122</v>
      </c>
      <c r="J373" s="148">
        <v>4900087.0176411271</v>
      </c>
      <c r="K373" s="148"/>
    </row>
    <row r="374" spans="1:11" ht="13.2">
      <c r="A374" s="149">
        <v>365</v>
      </c>
      <c r="B374" s="148">
        <v>55821054.5</v>
      </c>
      <c r="C374" s="148">
        <v>55821054.5</v>
      </c>
      <c r="D374" s="148">
        <v>24839437.7727139</v>
      </c>
      <c r="E374" s="148">
        <v>42739441.611686513</v>
      </c>
      <c r="F374" s="148">
        <v>27272738.227960788</v>
      </c>
      <c r="G374" s="148">
        <v>15000000</v>
      </c>
      <c r="H374" s="148">
        <v>109851617.61236119</v>
      </c>
      <c r="I374" s="148">
        <v>111642109</v>
      </c>
      <c r="J374" s="148">
        <v>1790491.3876388073</v>
      </c>
      <c r="K374" s="148"/>
    </row>
    <row r="375" spans="1:11" ht="13.2">
      <c r="A375" s="149">
        <v>366</v>
      </c>
      <c r="B375" s="148">
        <v>53473652.5</v>
      </c>
      <c r="C375" s="148">
        <v>53473652.5</v>
      </c>
      <c r="D375" s="148">
        <v>24041079.188327957</v>
      </c>
      <c r="E375" s="148">
        <v>41833076.31976822</v>
      </c>
      <c r="F375" s="148">
        <v>27483576.853353113</v>
      </c>
      <c r="G375" s="148">
        <v>15000000</v>
      </c>
      <c r="H375" s="148">
        <v>108357732.36144929</v>
      </c>
      <c r="I375" s="148">
        <v>106947305</v>
      </c>
      <c r="J375" s="148">
        <v>-1410427.3614492863</v>
      </c>
      <c r="K375" s="148"/>
    </row>
    <row r="376" spans="1:11" ht="13.2">
      <c r="A376" s="149">
        <v>367</v>
      </c>
      <c r="B376" s="148">
        <v>52489704.5</v>
      </c>
      <c r="C376" s="148">
        <v>52489704.5</v>
      </c>
      <c r="D376" s="148">
        <v>24055671.451345343</v>
      </c>
      <c r="E376" s="148">
        <v>42459851.84709698</v>
      </c>
      <c r="F376" s="148">
        <v>25774115.826674018</v>
      </c>
      <c r="G376" s="148">
        <v>15000000</v>
      </c>
      <c r="H376" s="148">
        <v>107289639.12511633</v>
      </c>
      <c r="I376" s="148">
        <v>104979409</v>
      </c>
      <c r="J376" s="148">
        <v>-2310230.1251163334</v>
      </c>
      <c r="K376" s="148"/>
    </row>
    <row r="377" spans="1:11" ht="13.2">
      <c r="A377" s="149">
        <v>368</v>
      </c>
      <c r="B377" s="148">
        <v>59766276</v>
      </c>
      <c r="C377" s="148">
        <v>59766276</v>
      </c>
      <c r="D377" s="148">
        <v>25654575.580160428</v>
      </c>
      <c r="E377" s="148">
        <v>41433766.898531467</v>
      </c>
      <c r="F377" s="148">
        <v>27228050.152486928</v>
      </c>
      <c r="G377" s="148">
        <v>15000000</v>
      </c>
      <c r="H377" s="148">
        <v>109316392.63117883</v>
      </c>
      <c r="I377" s="148">
        <v>119532552</v>
      </c>
      <c r="J377" s="148">
        <v>10216159.368821174</v>
      </c>
      <c r="K377" s="148"/>
    </row>
    <row r="378" spans="1:11" ht="13.2">
      <c r="A378" s="149">
        <v>369</v>
      </c>
      <c r="B378" s="148">
        <v>57066680.5</v>
      </c>
      <c r="C378" s="148">
        <v>57066680.5</v>
      </c>
      <c r="D378" s="148">
        <v>23238052.583303977</v>
      </c>
      <c r="E378" s="148">
        <v>42999034.508645616</v>
      </c>
      <c r="F378" s="148">
        <v>24407351.968205292</v>
      </c>
      <c r="G378" s="148">
        <v>15000000</v>
      </c>
      <c r="H378" s="148">
        <v>105644439.06015489</v>
      </c>
      <c r="I378" s="148">
        <v>114133361</v>
      </c>
      <c r="J378" s="148">
        <v>8488921.9398451149</v>
      </c>
      <c r="K378" s="148"/>
    </row>
    <row r="379" spans="1:11" ht="13.2">
      <c r="A379" s="149">
        <v>370</v>
      </c>
      <c r="B379" s="148">
        <v>58811553</v>
      </c>
      <c r="C379" s="148">
        <v>58811553</v>
      </c>
      <c r="D379" s="148">
        <v>25786633.633022349</v>
      </c>
      <c r="E379" s="148">
        <v>41608727.946985677</v>
      </c>
      <c r="F379" s="148">
        <v>27107001.477776982</v>
      </c>
      <c r="G379" s="148">
        <v>15000000</v>
      </c>
      <c r="H379" s="148">
        <v>109502363.057785</v>
      </c>
      <c r="I379" s="148">
        <v>117623106</v>
      </c>
      <c r="J379" s="148">
        <v>8120742.9422149956</v>
      </c>
      <c r="K379" s="148"/>
    </row>
    <row r="380" spans="1:11" ht="13.2">
      <c r="A380" s="149">
        <v>371</v>
      </c>
      <c r="B380" s="148">
        <v>51113138</v>
      </c>
      <c r="C380" s="148">
        <v>51113138</v>
      </c>
      <c r="D380" s="148">
        <v>24846292.75339514</v>
      </c>
      <c r="E380" s="148">
        <v>43224157.679853529</v>
      </c>
      <c r="F380" s="148">
        <v>25431075.480645124</v>
      </c>
      <c r="G380" s="148">
        <v>15000000</v>
      </c>
      <c r="H380" s="148">
        <v>108501525.91389379</v>
      </c>
      <c r="I380" s="148">
        <v>102226276</v>
      </c>
      <c r="J380" s="148">
        <v>-6275249.9138937891</v>
      </c>
      <c r="K380" s="148"/>
    </row>
    <row r="381" spans="1:11" ht="13.2">
      <c r="A381" s="149">
        <v>372</v>
      </c>
      <c r="B381" s="148">
        <v>57813247</v>
      </c>
      <c r="C381" s="148">
        <v>57813247</v>
      </c>
      <c r="D381" s="148">
        <v>25386507.91108359</v>
      </c>
      <c r="E381" s="148">
        <v>43175691.879137754</v>
      </c>
      <c r="F381" s="148">
        <v>29126638.644687161</v>
      </c>
      <c r="G381" s="148">
        <v>15000000</v>
      </c>
      <c r="H381" s="148">
        <v>112688838.43490851</v>
      </c>
      <c r="I381" s="148">
        <v>115626494</v>
      </c>
      <c r="J381" s="148">
        <v>2937655.5650914907</v>
      </c>
      <c r="K381" s="148"/>
    </row>
    <row r="382" spans="1:11" ht="13.2">
      <c r="A382" s="149">
        <v>373</v>
      </c>
      <c r="B382" s="148">
        <v>57866068.5</v>
      </c>
      <c r="C382" s="148">
        <v>57866068.5</v>
      </c>
      <c r="D382" s="148">
        <v>23906245.97431957</v>
      </c>
      <c r="E382" s="148">
        <v>41802609.749388754</v>
      </c>
      <c r="F382" s="148">
        <v>26585227.831193052</v>
      </c>
      <c r="G382" s="148">
        <v>15000000</v>
      </c>
      <c r="H382" s="148">
        <v>107294083.55490138</v>
      </c>
      <c r="I382" s="148">
        <v>115732137</v>
      </c>
      <c r="J382" s="148">
        <v>8438053.4450986236</v>
      </c>
      <c r="K382" s="148"/>
    </row>
    <row r="383" spans="1:11" ht="13.2">
      <c r="A383" s="149">
        <v>374</v>
      </c>
      <c r="B383" s="148">
        <v>60394085.5</v>
      </c>
      <c r="C383" s="148">
        <v>60394085.5</v>
      </c>
      <c r="D383" s="148">
        <v>24711753.639938388</v>
      </c>
      <c r="E383" s="148">
        <v>42091983.338721864</v>
      </c>
      <c r="F383" s="148">
        <v>26854838.477279838</v>
      </c>
      <c r="G383" s="148">
        <v>15000000</v>
      </c>
      <c r="H383" s="148">
        <v>108658575.4559401</v>
      </c>
      <c r="I383" s="148">
        <v>120788171</v>
      </c>
      <c r="J383" s="148">
        <v>12129595.544059902</v>
      </c>
      <c r="K383" s="148"/>
    </row>
    <row r="384" spans="1:11" ht="13.2">
      <c r="A384" s="149">
        <v>375</v>
      </c>
      <c r="B384" s="148">
        <v>56233500</v>
      </c>
      <c r="C384" s="148">
        <v>56233500</v>
      </c>
      <c r="D384" s="148">
        <v>23105994.530442059</v>
      </c>
      <c r="E384" s="148">
        <v>41783716.064463571</v>
      </c>
      <c r="F384" s="148">
        <v>25528307.096685808</v>
      </c>
      <c r="G384" s="148">
        <v>15000000</v>
      </c>
      <c r="H384" s="148">
        <v>105418017.69159144</v>
      </c>
      <c r="I384" s="148">
        <v>112467000</v>
      </c>
      <c r="J384" s="148">
        <v>7048982.3084085584</v>
      </c>
      <c r="K384" s="148"/>
    </row>
    <row r="385" spans="1:11" ht="13.2">
      <c r="A385" s="149">
        <v>376</v>
      </c>
      <c r="B385" s="148">
        <v>56634905.5</v>
      </c>
      <c r="C385" s="148">
        <v>56634905.5</v>
      </c>
      <c r="D385" s="148">
        <v>26179610.273728229</v>
      </c>
      <c r="E385" s="148">
        <v>42489609.460003585</v>
      </c>
      <c r="F385" s="148">
        <v>26179975.446133651</v>
      </c>
      <c r="G385" s="148">
        <v>15000000</v>
      </c>
      <c r="H385" s="148">
        <v>109849195.17986545</v>
      </c>
      <c r="I385" s="148">
        <v>113269811</v>
      </c>
      <c r="J385" s="148">
        <v>3420615.8201345503</v>
      </c>
      <c r="K385" s="148"/>
    </row>
    <row r="386" spans="1:11" ht="13.2">
      <c r="A386" s="149">
        <v>377</v>
      </c>
      <c r="B386" s="148">
        <v>53539659.5</v>
      </c>
      <c r="C386" s="148">
        <v>53539659.5</v>
      </c>
      <c r="D386" s="148">
        <v>23369100.078329224</v>
      </c>
      <c r="E386" s="148">
        <v>41900639.441996232</v>
      </c>
      <c r="F386" s="148">
        <v>26902997.924261291</v>
      </c>
      <c r="G386" s="148">
        <v>15000000</v>
      </c>
      <c r="H386" s="148">
        <v>107172737.44458674</v>
      </c>
      <c r="I386" s="148">
        <v>107079319</v>
      </c>
      <c r="J386" s="148">
        <v>-93418.444586738944</v>
      </c>
      <c r="K386" s="148"/>
    </row>
    <row r="387" spans="1:11" ht="13.2">
      <c r="A387" s="149">
        <v>378</v>
      </c>
      <c r="B387" s="148">
        <v>52182755</v>
      </c>
      <c r="C387" s="148">
        <v>52182755</v>
      </c>
      <c r="D387" s="148">
        <v>22961237.074054323</v>
      </c>
      <c r="E387" s="148">
        <v>42413920.453123108</v>
      </c>
      <c r="F387" s="148">
        <v>27823665.934762217</v>
      </c>
      <c r="G387" s="148">
        <v>15000000</v>
      </c>
      <c r="H387" s="148">
        <v>108198823.46193965</v>
      </c>
      <c r="I387" s="148">
        <v>104365510</v>
      </c>
      <c r="J387" s="148">
        <v>-3833313.4619396478</v>
      </c>
      <c r="K387" s="148"/>
    </row>
    <row r="388" spans="1:11" ht="13.2">
      <c r="A388" s="149">
        <v>379</v>
      </c>
      <c r="B388" s="148">
        <v>60320398.5</v>
      </c>
      <c r="C388" s="148">
        <v>60320398.5</v>
      </c>
      <c r="D388" s="148">
        <v>25523822.185686812</v>
      </c>
      <c r="E388" s="148">
        <v>43388593.640667178</v>
      </c>
      <c r="F388" s="148">
        <v>30183119.863928683</v>
      </c>
      <c r="G388" s="148">
        <v>15000000</v>
      </c>
      <c r="H388" s="148">
        <v>114095535.69028267</v>
      </c>
      <c r="I388" s="148">
        <v>120640797</v>
      </c>
      <c r="J388" s="148">
        <v>6545261.3097173274</v>
      </c>
      <c r="K388" s="148"/>
    </row>
    <row r="389" spans="1:11" ht="13.2">
      <c r="A389" s="149">
        <v>380</v>
      </c>
      <c r="B389" s="148">
        <v>58540289</v>
      </c>
      <c r="C389" s="148">
        <v>58540289</v>
      </c>
      <c r="D389" s="148">
        <v>24174019.542844772</v>
      </c>
      <c r="E389" s="148">
        <v>43785454.525559179</v>
      </c>
      <c r="F389" s="148">
        <v>27922619.190489728</v>
      </c>
      <c r="G389" s="148">
        <v>15000000</v>
      </c>
      <c r="H389" s="148">
        <v>110882093.25889368</v>
      </c>
      <c r="I389" s="148">
        <v>117080578</v>
      </c>
      <c r="J389" s="148">
        <v>6198484.7411063164</v>
      </c>
      <c r="K389" s="148"/>
    </row>
    <row r="390" spans="1:11" ht="13.2">
      <c r="A390" s="149">
        <v>381</v>
      </c>
      <c r="B390" s="148">
        <v>60517479</v>
      </c>
      <c r="C390" s="148">
        <v>60517479</v>
      </c>
      <c r="D390" s="148">
        <v>22968386.155287206</v>
      </c>
      <c r="E390" s="148">
        <v>43248742.786550447</v>
      </c>
      <c r="F390" s="148">
        <v>26390831.216833297</v>
      </c>
      <c r="G390" s="148">
        <v>15000000</v>
      </c>
      <c r="H390" s="148">
        <v>107607960.15867095</v>
      </c>
      <c r="I390" s="148">
        <v>121034958</v>
      </c>
      <c r="J390" s="148">
        <v>13426997.841329053</v>
      </c>
      <c r="K390" s="148"/>
    </row>
    <row r="391" spans="1:11" ht="13.2">
      <c r="A391" s="149">
        <v>382</v>
      </c>
      <c r="B391" s="148">
        <v>58718698.5</v>
      </c>
      <c r="C391" s="148">
        <v>58718698.5</v>
      </c>
      <c r="D391" s="148">
        <v>24584069.507162876</v>
      </c>
      <c r="E391" s="148">
        <v>42664953.006219968</v>
      </c>
      <c r="F391" s="148">
        <v>25534128.618443005</v>
      </c>
      <c r="G391" s="148">
        <v>15000000</v>
      </c>
      <c r="H391" s="148">
        <v>107783151.13182586</v>
      </c>
      <c r="I391" s="148">
        <v>117437397</v>
      </c>
      <c r="J391" s="148">
        <v>9654245.8681741357</v>
      </c>
      <c r="K391" s="148"/>
    </row>
    <row r="392" spans="1:11" ht="13.2">
      <c r="A392" s="149">
        <v>383</v>
      </c>
      <c r="B392" s="148">
        <v>52868826</v>
      </c>
      <c r="C392" s="148">
        <v>52868826</v>
      </c>
      <c r="D392" s="148">
        <v>25516967.205005571</v>
      </c>
      <c r="E392" s="148">
        <v>43006421.433645278</v>
      </c>
      <c r="F392" s="148">
        <v>30276906.150437854</v>
      </c>
      <c r="G392" s="148">
        <v>15000000</v>
      </c>
      <c r="H392" s="148">
        <v>113800294.7890887</v>
      </c>
      <c r="I392" s="148">
        <v>105737652</v>
      </c>
      <c r="J392" s="148">
        <v>-8062642.7890886962</v>
      </c>
      <c r="K392" s="148"/>
    </row>
    <row r="393" spans="1:11" ht="13.2">
      <c r="A393" s="149">
        <v>384</v>
      </c>
      <c r="B393" s="148">
        <v>55375768.5</v>
      </c>
      <c r="C393" s="148">
        <v>55375768.5</v>
      </c>
      <c r="D393" s="148">
        <v>24986088.0885932</v>
      </c>
      <c r="E393" s="148">
        <v>41794591.421254955</v>
      </c>
      <c r="F393" s="148">
        <v>27932356.203014042</v>
      </c>
      <c r="G393" s="148">
        <v>15000000</v>
      </c>
      <c r="H393" s="148">
        <v>109713035.71286219</v>
      </c>
      <c r="I393" s="148">
        <v>110751537</v>
      </c>
      <c r="J393" s="148">
        <v>1038501.2871378064</v>
      </c>
      <c r="K393" s="148"/>
    </row>
    <row r="394" spans="1:11" ht="13.2">
      <c r="A394" s="149">
        <v>385</v>
      </c>
      <c r="B394" s="148">
        <v>58552793</v>
      </c>
      <c r="C394" s="148">
        <v>58552793</v>
      </c>
      <c r="D394" s="148">
        <v>24843811.692800306</v>
      </c>
      <c r="E394" s="148">
        <v>42746708.517029151</v>
      </c>
      <c r="F394" s="148">
        <v>25311916.407753233</v>
      </c>
      <c r="G394" s="148">
        <v>15000000</v>
      </c>
      <c r="H394" s="148">
        <v>107902436.61758268</v>
      </c>
      <c r="I394" s="148">
        <v>117105586</v>
      </c>
      <c r="J394" s="148">
        <v>9203149.3824173212</v>
      </c>
      <c r="K394" s="148"/>
    </row>
    <row r="395" spans="1:11" ht="13.2">
      <c r="A395" s="149">
        <v>386</v>
      </c>
      <c r="B395" s="148">
        <v>60312349.5</v>
      </c>
      <c r="C395" s="148">
        <v>60312349.5</v>
      </c>
      <c r="D395" s="148">
        <v>24448353.991499584</v>
      </c>
      <c r="E395" s="148">
        <v>41315479.804428734</v>
      </c>
      <c r="F395" s="148">
        <v>27962806.402138568</v>
      </c>
      <c r="G395" s="148">
        <v>15000000</v>
      </c>
      <c r="H395" s="148">
        <v>108726640.19806689</v>
      </c>
      <c r="I395" s="148">
        <v>120624699</v>
      </c>
      <c r="J395" s="148">
        <v>11898058.80193311</v>
      </c>
      <c r="K395" s="148"/>
    </row>
    <row r="396" spans="1:11" ht="13.2">
      <c r="A396" s="149">
        <v>387</v>
      </c>
      <c r="B396" s="148">
        <v>60580753.5</v>
      </c>
      <c r="C396" s="148">
        <v>60580753.5</v>
      </c>
      <c r="D396" s="148">
        <v>23638766.506345995</v>
      </c>
      <c r="E396" s="148">
        <v>43628999.625031963</v>
      </c>
      <c r="F396" s="148">
        <v>27966876.126505893</v>
      </c>
      <c r="G396" s="148">
        <v>15000000</v>
      </c>
      <c r="H396" s="148">
        <v>110234642.25788386</v>
      </c>
      <c r="I396" s="148">
        <v>121161507</v>
      </c>
      <c r="J396" s="148">
        <v>10926864.742116138</v>
      </c>
      <c r="K396" s="148"/>
    </row>
    <row r="397" spans="1:11" ht="13.2">
      <c r="A397" s="149">
        <v>388</v>
      </c>
      <c r="B397" s="148">
        <v>57772558</v>
      </c>
      <c r="C397" s="148">
        <v>57772558</v>
      </c>
      <c r="D397" s="148">
        <v>24164389.401017059</v>
      </c>
      <c r="E397" s="148">
        <v>42263438.604245052</v>
      </c>
      <c r="F397" s="148">
        <v>27497492.91902601</v>
      </c>
      <c r="G397" s="148">
        <v>15000000</v>
      </c>
      <c r="H397" s="148">
        <v>108925320.92428812</v>
      </c>
      <c r="I397" s="148">
        <v>115545116</v>
      </c>
      <c r="J397" s="148">
        <v>6619795.0757118762</v>
      </c>
      <c r="K397" s="148"/>
    </row>
    <row r="398" spans="1:11" ht="13.2">
      <c r="A398" s="149">
        <v>389</v>
      </c>
      <c r="B398" s="148">
        <v>54881210</v>
      </c>
      <c r="C398" s="148">
        <v>54881210</v>
      </c>
      <c r="D398" s="148">
        <v>24311627.917999633</v>
      </c>
      <c r="E398" s="148">
        <v>43796500.841742627</v>
      </c>
      <c r="F398" s="148">
        <v>26482290.261118941</v>
      </c>
      <c r="G398" s="148">
        <v>15000000</v>
      </c>
      <c r="H398" s="148">
        <v>109590419.02086121</v>
      </c>
      <c r="I398" s="148">
        <v>109762420</v>
      </c>
      <c r="J398" s="148">
        <v>172000.97913879156</v>
      </c>
      <c r="K398" s="148"/>
    </row>
    <row r="399" spans="1:11" ht="13.2">
      <c r="A399" s="149">
        <v>390</v>
      </c>
      <c r="B399" s="148">
        <v>58641669</v>
      </c>
      <c r="C399" s="148">
        <v>58641669</v>
      </c>
      <c r="D399" s="148">
        <v>25521929.326195244</v>
      </c>
      <c r="E399" s="148">
        <v>42053390.915214255</v>
      </c>
      <c r="F399" s="148">
        <v>28393475.250459693</v>
      </c>
      <c r="G399" s="148">
        <v>15000000</v>
      </c>
      <c r="H399" s="148">
        <v>110968795.49186918</v>
      </c>
      <c r="I399" s="148">
        <v>117283338</v>
      </c>
      <c r="J399" s="148">
        <v>6314542.5081308186</v>
      </c>
      <c r="K399" s="148"/>
    </row>
    <row r="400" spans="1:11" ht="13.2">
      <c r="A400" s="149">
        <v>391</v>
      </c>
      <c r="B400" s="148">
        <v>59110392.5</v>
      </c>
      <c r="C400" s="148">
        <v>59110392.5</v>
      </c>
      <c r="D400" s="148">
        <v>24564515.122955818</v>
      </c>
      <c r="E400" s="148">
        <v>42149842.834585637</v>
      </c>
      <c r="F400" s="148">
        <v>27874710.774606928</v>
      </c>
      <c r="G400" s="148">
        <v>15000000</v>
      </c>
      <c r="H400" s="148">
        <v>109589068.73214838</v>
      </c>
      <c r="I400" s="148">
        <v>118220785</v>
      </c>
      <c r="J400" s="148">
        <v>8631716.2678516209</v>
      </c>
      <c r="K400" s="148"/>
    </row>
    <row r="401" spans="1:11" ht="13.2">
      <c r="A401" s="149">
        <v>392</v>
      </c>
      <c r="B401" s="148">
        <v>54252212</v>
      </c>
      <c r="C401" s="148">
        <v>54252212</v>
      </c>
      <c r="D401" s="148">
        <v>24439312.050775141</v>
      </c>
      <c r="E401" s="148">
        <v>42624895.280331939</v>
      </c>
      <c r="F401" s="148">
        <v>29292685.937290542</v>
      </c>
      <c r="G401" s="148">
        <v>15000000</v>
      </c>
      <c r="H401" s="148">
        <v>111356893.26839763</v>
      </c>
      <c r="I401" s="148">
        <v>108504424</v>
      </c>
      <c r="J401" s="148">
        <v>-2852469.2683976293</v>
      </c>
      <c r="K401" s="148"/>
    </row>
    <row r="402" spans="1:11" ht="13.2">
      <c r="A402" s="149">
        <v>393</v>
      </c>
      <c r="B402" s="148">
        <v>59480148.5</v>
      </c>
      <c r="C402" s="148">
        <v>59480148.5</v>
      </c>
      <c r="D402" s="148">
        <v>25531265.367471322</v>
      </c>
      <c r="E402" s="148">
        <v>42208054.691124126</v>
      </c>
      <c r="F402" s="148">
        <v>27468582.016259097</v>
      </c>
      <c r="G402" s="148">
        <v>15000000</v>
      </c>
      <c r="H402" s="148">
        <v>110207902.07485455</v>
      </c>
      <c r="I402" s="148">
        <v>118960297</v>
      </c>
      <c r="J402" s="148">
        <v>8752394.9251454473</v>
      </c>
      <c r="K402" s="148"/>
    </row>
    <row r="403" spans="1:11" ht="13.2">
      <c r="A403" s="149">
        <v>394</v>
      </c>
      <c r="B403" s="148">
        <v>57973270.5</v>
      </c>
      <c r="C403" s="148">
        <v>57973270.5</v>
      </c>
      <c r="D403" s="148">
        <v>24711165.438835118</v>
      </c>
      <c r="E403" s="148">
        <v>42843595.506025262</v>
      </c>
      <c r="F403" s="148">
        <v>27335333.379120912</v>
      </c>
      <c r="G403" s="148">
        <v>15000000</v>
      </c>
      <c r="H403" s="148">
        <v>109890094.3239813</v>
      </c>
      <c r="I403" s="148">
        <v>115946541</v>
      </c>
      <c r="J403" s="148">
        <v>6056446.6760187</v>
      </c>
      <c r="K403" s="148"/>
    </row>
    <row r="404" spans="1:11" ht="13.2">
      <c r="A404" s="149">
        <v>395</v>
      </c>
      <c r="B404" s="148">
        <v>55593714</v>
      </c>
      <c r="C404" s="148">
        <v>55593714</v>
      </c>
      <c r="D404" s="148">
        <v>24579107.385973204</v>
      </c>
      <c r="E404" s="148">
        <v>43127042.301970601</v>
      </c>
      <c r="F404" s="148">
        <v>28008288.226868063</v>
      </c>
      <c r="G404" s="148">
        <v>15000000</v>
      </c>
      <c r="H404" s="148">
        <v>110714437.91481186</v>
      </c>
      <c r="I404" s="148">
        <v>111187428</v>
      </c>
      <c r="J404" s="148">
        <v>472990.0851881355</v>
      </c>
      <c r="K404" s="148"/>
    </row>
    <row r="405" spans="1:11" ht="13.2">
      <c r="A405" s="149">
        <v>396</v>
      </c>
      <c r="B405" s="148">
        <v>58867660.5</v>
      </c>
      <c r="C405" s="148">
        <v>58867660.5</v>
      </c>
      <c r="D405" s="148">
        <v>25383732.749937121</v>
      </c>
      <c r="E405" s="148">
        <v>44200245.144329585</v>
      </c>
      <c r="F405" s="148">
        <v>28938760.038335141</v>
      </c>
      <c r="G405" s="148">
        <v>15000000</v>
      </c>
      <c r="H405" s="148">
        <v>113522737.93260185</v>
      </c>
      <c r="I405" s="148">
        <v>117735321</v>
      </c>
      <c r="J405" s="148">
        <v>4212583.0673981458</v>
      </c>
      <c r="K405" s="148"/>
    </row>
    <row r="406" spans="1:11" ht="13.2">
      <c r="A406" s="149">
        <v>397</v>
      </c>
      <c r="B406" s="148">
        <v>55338317</v>
      </c>
      <c r="C406" s="148">
        <v>55338317</v>
      </c>
      <c r="D406" s="148">
        <v>24858403.955817688</v>
      </c>
      <c r="E406" s="148">
        <v>41581693.350162931</v>
      </c>
      <c r="F406" s="148">
        <v>29372099.671282474</v>
      </c>
      <c r="G406" s="148">
        <v>15000000</v>
      </c>
      <c r="H406" s="148">
        <v>110812196.97726309</v>
      </c>
      <c r="I406" s="148">
        <v>110676634</v>
      </c>
      <c r="J406" s="148">
        <v>-135562.97726309299</v>
      </c>
      <c r="K406" s="148"/>
    </row>
    <row r="407" spans="1:11" ht="13.2">
      <c r="A407" s="149">
        <v>398</v>
      </c>
      <c r="B407" s="148">
        <v>50713771</v>
      </c>
      <c r="C407" s="148">
        <v>50713771</v>
      </c>
      <c r="D407" s="148">
        <v>25248899.535928734</v>
      </c>
      <c r="E407" s="148">
        <v>43206617.723902106</v>
      </c>
      <c r="F407" s="148">
        <v>27830102.754602782</v>
      </c>
      <c r="G407" s="148">
        <v>15000000</v>
      </c>
      <c r="H407" s="148">
        <v>111285620.01443362</v>
      </c>
      <c r="I407" s="148">
        <v>101427542</v>
      </c>
      <c r="J407" s="148">
        <v>-9858078.0144336224</v>
      </c>
      <c r="K407" s="148"/>
    </row>
    <row r="408" spans="1:11" ht="13.2">
      <c r="A408" s="149">
        <v>399</v>
      </c>
      <c r="B408" s="148">
        <v>59922750.5</v>
      </c>
      <c r="C408" s="148">
        <v>59922750.5</v>
      </c>
      <c r="D408" s="148">
        <v>22698425.626718793</v>
      </c>
      <c r="E408" s="148">
        <v>43235517.391009808</v>
      </c>
      <c r="F408" s="148">
        <v>27269758.027527839</v>
      </c>
      <c r="G408" s="148">
        <v>15000000</v>
      </c>
      <c r="H408" s="148">
        <v>108203701.04525644</v>
      </c>
      <c r="I408" s="148">
        <v>119845501</v>
      </c>
      <c r="J408" s="148">
        <v>11641799.954743564</v>
      </c>
      <c r="K408" s="148"/>
    </row>
    <row r="409" spans="1:11" ht="13.2">
      <c r="A409" s="149">
        <v>400</v>
      </c>
      <c r="B409" s="148">
        <v>56970644</v>
      </c>
      <c r="C409" s="148">
        <v>56970644</v>
      </c>
      <c r="D409" s="148">
        <v>23371287.038372427</v>
      </c>
      <c r="E409" s="148">
        <v>42719180.452452578</v>
      </c>
      <c r="F409" s="148">
        <v>27287629.026256092</v>
      </c>
      <c r="G409" s="148">
        <v>15000000</v>
      </c>
      <c r="H409" s="148">
        <v>108378096.5170811</v>
      </c>
      <c r="I409" s="148">
        <v>113941288</v>
      </c>
      <c r="J409" s="148">
        <v>5563191.4829189032</v>
      </c>
      <c r="K409" s="148"/>
    </row>
    <row r="410" spans="1:11" ht="13.2">
      <c r="A410" s="149">
        <v>401</v>
      </c>
      <c r="B410" s="148">
        <v>55456132.5</v>
      </c>
      <c r="C410" s="148">
        <v>55456132.5</v>
      </c>
      <c r="D410" s="148">
        <v>22830777.780132346</v>
      </c>
      <c r="E410" s="148">
        <v>43723958.566420749</v>
      </c>
      <c r="F410" s="148">
        <v>28018806.284079943</v>
      </c>
      <c r="G410" s="148">
        <v>15000000</v>
      </c>
      <c r="H410" s="148">
        <v>109573542.63063304</v>
      </c>
      <c r="I410" s="148">
        <v>110912265</v>
      </c>
      <c r="J410" s="148">
        <v>1338722.3693669587</v>
      </c>
      <c r="K410" s="148"/>
    </row>
    <row r="411" spans="1:11" ht="13.2">
      <c r="A411" s="149">
        <v>402</v>
      </c>
      <c r="B411" s="148">
        <v>52782430.5</v>
      </c>
      <c r="C411" s="148">
        <v>52782430.5</v>
      </c>
      <c r="D411" s="148">
        <v>25794076.81480686</v>
      </c>
      <c r="E411" s="148">
        <v>41497753.340044156</v>
      </c>
      <c r="F411" s="148">
        <v>26570150.718533333</v>
      </c>
      <c r="G411" s="148">
        <v>15000000</v>
      </c>
      <c r="H411" s="148">
        <v>108861980.87338436</v>
      </c>
      <c r="I411" s="148">
        <v>105564861</v>
      </c>
      <c r="J411" s="148">
        <v>-3297119.8733843565</v>
      </c>
      <c r="K411" s="148"/>
    </row>
    <row r="412" spans="1:11" ht="13.2">
      <c r="A412" s="149">
        <v>403</v>
      </c>
      <c r="B412" s="148">
        <v>57965646</v>
      </c>
      <c r="C412" s="148">
        <v>57965646</v>
      </c>
      <c r="D412" s="148">
        <v>26051926.140952714</v>
      </c>
      <c r="E412" s="148">
        <v>43285291.379509568</v>
      </c>
      <c r="F412" s="148">
        <v>29436671.09039386</v>
      </c>
      <c r="G412" s="148">
        <v>15000000</v>
      </c>
      <c r="H412" s="148">
        <v>113773888.61085613</v>
      </c>
      <c r="I412" s="148">
        <v>115931292</v>
      </c>
      <c r="J412" s="148">
        <v>2157403.3891438693</v>
      </c>
      <c r="K412" s="148"/>
    </row>
    <row r="413" spans="1:11" ht="13.2">
      <c r="A413" s="149">
        <v>404</v>
      </c>
      <c r="B413" s="148">
        <v>53021936</v>
      </c>
      <c r="C413" s="148">
        <v>53021936</v>
      </c>
      <c r="D413" s="148">
        <v>23638766.506345995</v>
      </c>
      <c r="E413" s="148">
        <v>42509315.707990468</v>
      </c>
      <c r="F413" s="148">
        <v>28733741.155414775</v>
      </c>
      <c r="G413" s="148">
        <v>15000000</v>
      </c>
      <c r="H413" s="148">
        <v>109881823.36975124</v>
      </c>
      <c r="I413" s="148">
        <v>106043872</v>
      </c>
      <c r="J413" s="148">
        <v>-3837951.3697512448</v>
      </c>
      <c r="K413" s="148"/>
    </row>
    <row r="414" spans="1:11" ht="13.2">
      <c r="A414" s="149">
        <v>405</v>
      </c>
      <c r="B414" s="148">
        <v>54234192</v>
      </c>
      <c r="C414" s="148">
        <v>54234192</v>
      </c>
      <c r="D414" s="148">
        <v>22975829.337071717</v>
      </c>
      <c r="E414" s="148">
        <v>43083216.410615623</v>
      </c>
      <c r="F414" s="148">
        <v>27147838.544002019</v>
      </c>
      <c r="G414" s="148">
        <v>15000000</v>
      </c>
      <c r="H414" s="148">
        <v>108206884.29168937</v>
      </c>
      <c r="I414" s="148">
        <v>108468384</v>
      </c>
      <c r="J414" s="148">
        <v>261499.7083106339</v>
      </c>
      <c r="K414" s="148"/>
    </row>
    <row r="415" spans="1:11" ht="13.2">
      <c r="A415" s="149">
        <v>406</v>
      </c>
      <c r="B415" s="148">
        <v>51672767</v>
      </c>
      <c r="C415" s="148">
        <v>51672767</v>
      </c>
      <c r="D415" s="148">
        <v>25528784.306876488</v>
      </c>
      <c r="E415" s="148">
        <v>42463111.345750749</v>
      </c>
      <c r="F415" s="148">
        <v>26518886.872768696</v>
      </c>
      <c r="G415" s="148">
        <v>15000000</v>
      </c>
      <c r="H415" s="148">
        <v>109510782.52539593</v>
      </c>
      <c r="I415" s="148">
        <v>103345534</v>
      </c>
      <c r="J415" s="148">
        <v>-6165248.5253959298</v>
      </c>
      <c r="K415" s="148"/>
    </row>
    <row r="416" spans="1:11" ht="13.2">
      <c r="A416" s="149">
        <v>407</v>
      </c>
      <c r="B416" s="148">
        <v>55992423.5</v>
      </c>
      <c r="C416" s="148">
        <v>55992423.5</v>
      </c>
      <c r="D416" s="148">
        <v>24446167.031456385</v>
      </c>
      <c r="E416" s="148">
        <v>43359001.984825514</v>
      </c>
      <c r="F416" s="148">
        <v>26565521.852226518</v>
      </c>
      <c r="G416" s="148">
        <v>15000000</v>
      </c>
      <c r="H416" s="148">
        <v>109370690.86850843</v>
      </c>
      <c r="I416" s="148">
        <v>111984847</v>
      </c>
      <c r="J416" s="148">
        <v>2614156.1314915717</v>
      </c>
      <c r="K416" s="148"/>
    </row>
    <row r="417" spans="1:11" ht="13.2">
      <c r="A417" s="149">
        <v>408</v>
      </c>
      <c r="B417" s="148">
        <v>54974872.5</v>
      </c>
      <c r="C417" s="148">
        <v>54974872.5</v>
      </c>
      <c r="D417" s="148">
        <v>23361656.896544714</v>
      </c>
      <c r="E417" s="148">
        <v>43200513.531559989</v>
      </c>
      <c r="F417" s="148">
        <v>25468609.144617178</v>
      </c>
      <c r="G417" s="148">
        <v>15000000</v>
      </c>
      <c r="H417" s="148">
        <v>107030779.57272187</v>
      </c>
      <c r="I417" s="148">
        <v>109949745</v>
      </c>
      <c r="J417" s="148">
        <v>2918965.4272781312</v>
      </c>
      <c r="K417" s="148"/>
    </row>
    <row r="418" spans="1:11" ht="13.2">
      <c r="A418" s="149">
        <v>409</v>
      </c>
      <c r="B418" s="148">
        <v>57591326.5</v>
      </c>
      <c r="C418" s="148">
        <v>57591326.5</v>
      </c>
      <c r="D418" s="148">
        <v>25244231.515290689</v>
      </c>
      <c r="E418" s="148">
        <v>43908540.433986932</v>
      </c>
      <c r="F418" s="148">
        <v>26946836.115969632</v>
      </c>
      <c r="G418" s="148">
        <v>15000000</v>
      </c>
      <c r="H418" s="148">
        <v>111099608.06524725</v>
      </c>
      <c r="I418" s="148">
        <v>115182653</v>
      </c>
      <c r="J418" s="148">
        <v>4083044.9347527474</v>
      </c>
      <c r="K418" s="148"/>
    </row>
    <row r="419" spans="1:11" ht="13.2">
      <c r="A419" s="149">
        <v>410</v>
      </c>
      <c r="B419" s="148">
        <v>58989154</v>
      </c>
      <c r="C419" s="148">
        <v>58989154</v>
      </c>
      <c r="D419" s="148">
        <v>23110662.551080097</v>
      </c>
      <c r="E419" s="148">
        <v>42807058.868268199</v>
      </c>
      <c r="F419" s="148">
        <v>25164488.94312606</v>
      </c>
      <c r="G419" s="148">
        <v>15000000</v>
      </c>
      <c r="H419" s="148">
        <v>106082210.36247435</v>
      </c>
      <c r="I419" s="148">
        <v>117978308</v>
      </c>
      <c r="J419" s="148">
        <v>11896097.637525648</v>
      </c>
      <c r="K419" s="148"/>
    </row>
    <row r="420" spans="1:11" ht="13.2">
      <c r="A420" s="149">
        <v>411</v>
      </c>
      <c r="B420" s="148">
        <v>56347409.5</v>
      </c>
      <c r="C420" s="148">
        <v>56347409.5</v>
      </c>
      <c r="D420" s="148">
        <v>24299222.61502545</v>
      </c>
      <c r="E420" s="148">
        <v>42928951.910093039</v>
      </c>
      <c r="F420" s="148">
        <v>25934972.515813537</v>
      </c>
      <c r="G420" s="148">
        <v>15000000</v>
      </c>
      <c r="H420" s="148">
        <v>108163147.04093203</v>
      </c>
      <c r="I420" s="148">
        <v>112694819</v>
      </c>
      <c r="J420" s="148">
        <v>4531671.9590679705</v>
      </c>
      <c r="K420" s="148"/>
    </row>
    <row r="421" spans="1:11" ht="13.2">
      <c r="A421" s="149">
        <v>412</v>
      </c>
      <c r="B421" s="148">
        <v>54747051.5</v>
      </c>
      <c r="C421" s="148">
        <v>54747051.5</v>
      </c>
      <c r="D421" s="148">
        <v>23626655.303923454</v>
      </c>
      <c r="E421" s="148">
        <v>42321534.581276223</v>
      </c>
      <c r="F421" s="148">
        <v>29316536.906534076</v>
      </c>
      <c r="G421" s="148">
        <v>15000000</v>
      </c>
      <c r="H421" s="148">
        <v>110264726.79173376</v>
      </c>
      <c r="I421" s="148">
        <v>109494103</v>
      </c>
      <c r="J421" s="148">
        <v>-770623.79173375666</v>
      </c>
      <c r="K421" s="148"/>
    </row>
    <row r="422" spans="1:11" ht="13.2">
      <c r="A422" s="149">
        <v>413</v>
      </c>
      <c r="B422" s="148">
        <v>59234834</v>
      </c>
      <c r="C422" s="148">
        <v>59234834</v>
      </c>
      <c r="D422" s="148">
        <v>24441499.010818347</v>
      </c>
      <c r="E422" s="148">
        <v>41997427.69033584</v>
      </c>
      <c r="F422" s="148">
        <v>25851971.377294153</v>
      </c>
      <c r="G422" s="148">
        <v>15000000</v>
      </c>
      <c r="H422" s="148">
        <v>107290898.07844834</v>
      </c>
      <c r="I422" s="148">
        <v>118469668</v>
      </c>
      <c r="J422" s="148">
        <v>11178769.92155166</v>
      </c>
      <c r="K422" s="148"/>
    </row>
    <row r="423" spans="1:11" ht="13.2">
      <c r="A423" s="149">
        <v>414</v>
      </c>
      <c r="B423" s="148">
        <v>55088452.5</v>
      </c>
      <c r="C423" s="148">
        <v>55088452.5</v>
      </c>
      <c r="D423" s="148">
        <v>22573222.554538123</v>
      </c>
      <c r="E423" s="148">
        <v>41769561.200890772</v>
      </c>
      <c r="F423" s="148">
        <v>28614032.847182363</v>
      </c>
      <c r="G423" s="148">
        <v>15000000</v>
      </c>
      <c r="H423" s="148">
        <v>107956816.60261126</v>
      </c>
      <c r="I423" s="148">
        <v>110176905</v>
      </c>
      <c r="J423" s="148">
        <v>2220088.3973887414</v>
      </c>
      <c r="K423" s="148"/>
    </row>
    <row r="424" spans="1:11" ht="13.2">
      <c r="A424" s="149">
        <v>415</v>
      </c>
      <c r="B424" s="148">
        <v>55020759</v>
      </c>
      <c r="C424" s="148">
        <v>55020759</v>
      </c>
      <c r="D424" s="148">
        <v>22843183.083106529</v>
      </c>
      <c r="E424" s="148">
        <v>43110895.139250822</v>
      </c>
      <c r="F424" s="148">
        <v>25744444.808201443</v>
      </c>
      <c r="G424" s="148">
        <v>15000000</v>
      </c>
      <c r="H424" s="148">
        <v>106698523.03055879</v>
      </c>
      <c r="I424" s="148">
        <v>110041518</v>
      </c>
      <c r="J424" s="148">
        <v>3342994.9694412053</v>
      </c>
      <c r="K424" s="148"/>
    </row>
    <row r="425" spans="1:11" ht="13.2">
      <c r="A425" s="149">
        <v>416</v>
      </c>
      <c r="B425" s="148">
        <v>60026095.5</v>
      </c>
      <c r="C425" s="148">
        <v>60026095.5</v>
      </c>
      <c r="D425" s="148">
        <v>25246712.575885527</v>
      </c>
      <c r="E425" s="148">
        <v>42870289.93282564</v>
      </c>
      <c r="F425" s="148">
        <v>24609166.952353138</v>
      </c>
      <c r="G425" s="148">
        <v>15000000</v>
      </c>
      <c r="H425" s="148">
        <v>107726169.46106429</v>
      </c>
      <c r="I425" s="148">
        <v>120052191</v>
      </c>
      <c r="J425" s="148">
        <v>12326021.538935706</v>
      </c>
      <c r="K425" s="148"/>
    </row>
    <row r="426" spans="1:11" ht="13.2">
      <c r="A426" s="149">
        <v>417</v>
      </c>
      <c r="B426" s="148">
        <v>59976418.5</v>
      </c>
      <c r="C426" s="148">
        <v>59976418.5</v>
      </c>
      <c r="D426" s="148">
        <v>25374690.809212673</v>
      </c>
      <c r="E426" s="148">
        <v>42648598.322240815</v>
      </c>
      <c r="F426" s="148">
        <v>28466401.007273663</v>
      </c>
      <c r="G426" s="148">
        <v>15000000</v>
      </c>
      <c r="H426" s="148">
        <v>111489690.13872714</v>
      </c>
      <c r="I426" s="148">
        <v>119952837</v>
      </c>
      <c r="J426" s="148">
        <v>8463146.8612728566</v>
      </c>
      <c r="K426" s="148"/>
    </row>
    <row r="427" spans="1:11" ht="13.2">
      <c r="A427" s="149">
        <v>418</v>
      </c>
      <c r="B427" s="148">
        <v>51316949</v>
      </c>
      <c r="C427" s="148">
        <v>51316949</v>
      </c>
      <c r="D427" s="148">
        <v>22968386.155287206</v>
      </c>
      <c r="E427" s="148">
        <v>44367145.172384664</v>
      </c>
      <c r="F427" s="148">
        <v>27367003.940907579</v>
      </c>
      <c r="G427" s="148">
        <v>15000000</v>
      </c>
      <c r="H427" s="148">
        <v>109702535.26857945</v>
      </c>
      <c r="I427" s="148">
        <v>102633898</v>
      </c>
      <c r="J427" s="148">
        <v>-7068637.2685794532</v>
      </c>
      <c r="K427" s="148"/>
    </row>
    <row r="428" spans="1:11" ht="13.2">
      <c r="A428" s="149">
        <v>419</v>
      </c>
      <c r="B428" s="148">
        <v>54935961</v>
      </c>
      <c r="C428" s="148">
        <v>54935961</v>
      </c>
      <c r="D428" s="148">
        <v>23501158.131191138</v>
      </c>
      <c r="E428" s="148">
        <v>43582477.583315164</v>
      </c>
      <c r="F428" s="148">
        <v>26488939.370083489</v>
      </c>
      <c r="G428" s="148">
        <v>15000000</v>
      </c>
      <c r="H428" s="148">
        <v>108572575.08458978</v>
      </c>
      <c r="I428" s="148">
        <v>109871922</v>
      </c>
      <c r="J428" s="148">
        <v>1299346.9154102206</v>
      </c>
      <c r="K428" s="148"/>
    </row>
    <row r="429" spans="1:11" ht="13.2">
      <c r="A429" s="149">
        <v>420</v>
      </c>
      <c r="B429" s="148">
        <v>59267796</v>
      </c>
      <c r="C429" s="148">
        <v>59267796</v>
      </c>
      <c r="D429" s="148">
        <v>24713940.599981587</v>
      </c>
      <c r="E429" s="148">
        <v>42674204.640867926</v>
      </c>
      <c r="F429" s="148">
        <v>27805961.44412668</v>
      </c>
      <c r="G429" s="148">
        <v>15000000</v>
      </c>
      <c r="H429" s="148">
        <v>110194106.68497619</v>
      </c>
      <c r="I429" s="148">
        <v>118535592</v>
      </c>
      <c r="J429" s="148">
        <v>8341485.3150238097</v>
      </c>
      <c r="K429" s="148"/>
    </row>
    <row r="430" spans="1:11" ht="13.2">
      <c r="A430" s="149">
        <v>421</v>
      </c>
      <c r="B430" s="148">
        <v>55750382.5</v>
      </c>
      <c r="C430" s="148">
        <v>55750382.5</v>
      </c>
      <c r="D430" s="148">
        <v>24448353.991499584</v>
      </c>
      <c r="E430" s="148">
        <v>42683494.633601397</v>
      </c>
      <c r="F430" s="148">
        <v>24871104.248936485</v>
      </c>
      <c r="G430" s="148">
        <v>15000000</v>
      </c>
      <c r="H430" s="148">
        <v>107002952.87403747</v>
      </c>
      <c r="I430" s="148">
        <v>111500765</v>
      </c>
      <c r="J430" s="148">
        <v>4497812.1259625256</v>
      </c>
      <c r="K430" s="148"/>
    </row>
    <row r="431" spans="1:11" ht="13.2">
      <c r="A431" s="149">
        <v>422</v>
      </c>
      <c r="B431" s="148">
        <v>54287553</v>
      </c>
      <c r="C431" s="148">
        <v>54287553</v>
      </c>
      <c r="D431" s="148">
        <v>22443057.36116777</v>
      </c>
      <c r="E431" s="148">
        <v>43402010.207192704</v>
      </c>
      <c r="F431" s="148">
        <v>27014105.716042966</v>
      </c>
      <c r="G431" s="148">
        <v>15000000</v>
      </c>
      <c r="H431" s="148">
        <v>107859173.28440344</v>
      </c>
      <c r="I431" s="148">
        <v>108575106</v>
      </c>
      <c r="J431" s="148">
        <v>715932.71559655666</v>
      </c>
      <c r="K431" s="148"/>
    </row>
    <row r="432" spans="1:11" ht="13.2">
      <c r="A432" s="149">
        <v>423</v>
      </c>
      <c r="B432" s="148">
        <v>59477451.5</v>
      </c>
      <c r="C432" s="148">
        <v>59477451.5</v>
      </c>
      <c r="D432" s="148">
        <v>25116253.281963546</v>
      </c>
      <c r="E432" s="148">
        <v>43326079.934643917</v>
      </c>
      <c r="F432" s="148">
        <v>26683837.133662067</v>
      </c>
      <c r="G432" s="148">
        <v>15000000</v>
      </c>
      <c r="H432" s="148">
        <v>110126170.35026953</v>
      </c>
      <c r="I432" s="148">
        <v>118954903</v>
      </c>
      <c r="J432" s="148">
        <v>8828732.6497304738</v>
      </c>
      <c r="K432" s="148"/>
    </row>
    <row r="433" spans="1:11" ht="13.2">
      <c r="A433" s="149">
        <v>424</v>
      </c>
      <c r="B433" s="148">
        <v>54615873.5</v>
      </c>
      <c r="C433" s="148">
        <v>54615873.5</v>
      </c>
      <c r="D433" s="148">
        <v>22305448.986012913</v>
      </c>
      <c r="E433" s="148">
        <v>42620668.462013394</v>
      </c>
      <c r="F433" s="148">
        <v>26080268.558011815</v>
      </c>
      <c r="G433" s="148">
        <v>15000000</v>
      </c>
      <c r="H433" s="148">
        <v>106006386.00603813</v>
      </c>
      <c r="I433" s="148">
        <v>109231747</v>
      </c>
      <c r="J433" s="148">
        <v>3225360.9939618707</v>
      </c>
      <c r="K433" s="148"/>
    </row>
    <row r="434" spans="1:11" ht="13.2">
      <c r="A434" s="149">
        <v>425</v>
      </c>
      <c r="B434" s="148">
        <v>55322086</v>
      </c>
      <c r="C434" s="148">
        <v>55322086</v>
      </c>
      <c r="D434" s="148">
        <v>25649319.35841912</v>
      </c>
      <c r="E434" s="148">
        <v>42460828.255796269</v>
      </c>
      <c r="F434" s="148">
        <v>27793652.80540223</v>
      </c>
      <c r="G434" s="148">
        <v>15000000</v>
      </c>
      <c r="H434" s="148">
        <v>110903800.41961762</v>
      </c>
      <c r="I434" s="148">
        <v>110644172</v>
      </c>
      <c r="J434" s="148">
        <v>-259628.41961762309</v>
      </c>
      <c r="K434" s="148"/>
    </row>
    <row r="435" spans="1:11" ht="13.2">
      <c r="A435" s="149">
        <v>426</v>
      </c>
      <c r="B435" s="148">
        <v>53012534.5</v>
      </c>
      <c r="C435" s="148">
        <v>53012534.5</v>
      </c>
      <c r="D435" s="148">
        <v>24434349.929585468</v>
      </c>
      <c r="E435" s="148">
        <v>43804920.492801905</v>
      </c>
      <c r="F435" s="148">
        <v>26028200.598475996</v>
      </c>
      <c r="G435" s="148">
        <v>15000000</v>
      </c>
      <c r="H435" s="148">
        <v>109267471.02086337</v>
      </c>
      <c r="I435" s="148">
        <v>106025069</v>
      </c>
      <c r="J435" s="148">
        <v>-3242402.0208633691</v>
      </c>
      <c r="K435" s="148"/>
    </row>
    <row r="436" spans="1:11" ht="13.2">
      <c r="A436" s="149">
        <v>427</v>
      </c>
      <c r="B436" s="148">
        <v>54656589.5</v>
      </c>
      <c r="C436" s="148">
        <v>54656589.5</v>
      </c>
      <c r="D436" s="148">
        <v>24050709.330155667</v>
      </c>
      <c r="E436" s="148">
        <v>41854952.890209481</v>
      </c>
      <c r="F436" s="148">
        <v>28138444.938763849</v>
      </c>
      <c r="G436" s="148">
        <v>15000000</v>
      </c>
      <c r="H436" s="148">
        <v>109044107.15912899</v>
      </c>
      <c r="I436" s="148">
        <v>109313179</v>
      </c>
      <c r="J436" s="148">
        <v>269071.84087100625</v>
      </c>
      <c r="K436" s="148"/>
    </row>
    <row r="437" spans="1:11" ht="13.2">
      <c r="A437" s="149">
        <v>428</v>
      </c>
      <c r="B437" s="148">
        <v>60744833.5</v>
      </c>
      <c r="C437" s="148">
        <v>60744833.5</v>
      </c>
      <c r="D437" s="148">
        <v>24716421.660576425</v>
      </c>
      <c r="E437" s="148">
        <v>42620269.53859514</v>
      </c>
      <c r="F437" s="148">
        <v>24911230.602325093</v>
      </c>
      <c r="G437" s="148">
        <v>15000000</v>
      </c>
      <c r="H437" s="148">
        <v>107247921.80149667</v>
      </c>
      <c r="I437" s="148">
        <v>121489667</v>
      </c>
      <c r="J437" s="148">
        <v>14241745.19850333</v>
      </c>
      <c r="K437" s="148"/>
    </row>
    <row r="438" spans="1:11" ht="13.2">
      <c r="A438" s="149">
        <v>429</v>
      </c>
      <c r="B438" s="148">
        <v>58709269</v>
      </c>
      <c r="C438" s="148">
        <v>58709269</v>
      </c>
      <c r="D438" s="148">
        <v>24714234.700533226</v>
      </c>
      <c r="E438" s="148">
        <v>42827264.883627094</v>
      </c>
      <c r="F438" s="148">
        <v>28928972.391993601</v>
      </c>
      <c r="G438" s="148">
        <v>15000000</v>
      </c>
      <c r="H438" s="148">
        <v>111470471.97615393</v>
      </c>
      <c r="I438" s="148">
        <v>117418538</v>
      </c>
      <c r="J438" s="148">
        <v>5948066.0238460749</v>
      </c>
      <c r="K438" s="148"/>
    </row>
    <row r="439" spans="1:11" ht="13.2">
      <c r="A439" s="149">
        <v>430</v>
      </c>
      <c r="B439" s="148">
        <v>58668805.5</v>
      </c>
      <c r="C439" s="148">
        <v>58668805.5</v>
      </c>
      <c r="D439" s="148">
        <v>24569477.24414549</v>
      </c>
      <c r="E439" s="148">
        <v>40941748.523353815</v>
      </c>
      <c r="F439" s="148">
        <v>27557527.0715218</v>
      </c>
      <c r="G439" s="148">
        <v>15000000</v>
      </c>
      <c r="H439" s="148">
        <v>108068752.8390211</v>
      </c>
      <c r="I439" s="148">
        <v>117337611</v>
      </c>
      <c r="J439" s="148">
        <v>9268858.1609788984</v>
      </c>
      <c r="K439" s="148"/>
    </row>
    <row r="440" spans="1:11" ht="13.2">
      <c r="A440" s="149">
        <v>431</v>
      </c>
      <c r="B440" s="148">
        <v>53333403</v>
      </c>
      <c r="C440" s="148">
        <v>53333403</v>
      </c>
      <c r="D440" s="148">
        <v>22428170.997598752</v>
      </c>
      <c r="E440" s="148">
        <v>41524987.076450452</v>
      </c>
      <c r="F440" s="148">
        <v>24823938.763392299</v>
      </c>
      <c r="G440" s="148">
        <v>15000000</v>
      </c>
      <c r="H440" s="148">
        <v>103777096.8374415</v>
      </c>
      <c r="I440" s="148">
        <v>106666806</v>
      </c>
      <c r="J440" s="148">
        <v>2889709.162558496</v>
      </c>
      <c r="K440" s="148"/>
    </row>
    <row r="441" spans="1:11" ht="13.2">
      <c r="A441" s="149">
        <v>432</v>
      </c>
      <c r="B441" s="148">
        <v>62942500</v>
      </c>
      <c r="C441" s="148">
        <v>62942500</v>
      </c>
      <c r="D441" s="148">
        <v>24316295.938637674</v>
      </c>
      <c r="E441" s="148">
        <v>42357924.240627125</v>
      </c>
      <c r="F441" s="148">
        <v>28577849.654661406</v>
      </c>
      <c r="G441" s="148">
        <v>15000000</v>
      </c>
      <c r="H441" s="148">
        <v>110252069.8339262</v>
      </c>
      <c r="I441" s="148">
        <v>125885000</v>
      </c>
      <c r="J441" s="148">
        <v>15632930.166073799</v>
      </c>
      <c r="K441" s="148"/>
    </row>
    <row r="442" spans="1:11" ht="13.2">
      <c r="A442" s="149">
        <v>433</v>
      </c>
      <c r="B442" s="148">
        <v>54254878</v>
      </c>
      <c r="C442" s="148">
        <v>54254878</v>
      </c>
      <c r="D442" s="148">
        <v>24706791.518748716</v>
      </c>
      <c r="E442" s="148">
        <v>43120308.85806495</v>
      </c>
      <c r="F442" s="148">
        <v>27118404.934178431</v>
      </c>
      <c r="G442" s="148">
        <v>15000000</v>
      </c>
      <c r="H442" s="148">
        <v>109945505.31099209</v>
      </c>
      <c r="I442" s="148">
        <v>108509756</v>
      </c>
      <c r="J442" s="148">
        <v>-1435749.3109920919</v>
      </c>
      <c r="K442" s="148"/>
    </row>
    <row r="443" spans="1:11" ht="13.2">
      <c r="A443" s="149">
        <v>434</v>
      </c>
      <c r="B443" s="148">
        <v>57494400.5</v>
      </c>
      <c r="C443" s="148">
        <v>57494400.5</v>
      </c>
      <c r="D443" s="148">
        <v>23236453.824364044</v>
      </c>
      <c r="E443" s="148">
        <v>44016507.113214821</v>
      </c>
      <c r="F443" s="148">
        <v>26866780.521958418</v>
      </c>
      <c r="G443" s="148">
        <v>15000000</v>
      </c>
      <c r="H443" s="148">
        <v>109119741.45953727</v>
      </c>
      <c r="I443" s="148">
        <v>114988801</v>
      </c>
      <c r="J443" s="148">
        <v>5869059.5404627323</v>
      </c>
      <c r="K443" s="148"/>
    </row>
    <row r="444" spans="1:11" ht="13.2">
      <c r="A444" s="149">
        <v>435</v>
      </c>
      <c r="B444" s="148">
        <v>54681358</v>
      </c>
      <c r="C444" s="148">
        <v>54681358</v>
      </c>
      <c r="D444" s="148">
        <v>24186130.745267324</v>
      </c>
      <c r="E444" s="148">
        <v>43045886.880031988</v>
      </c>
      <c r="F444" s="148">
        <v>28600840.709420867</v>
      </c>
      <c r="G444" s="148">
        <v>15000000</v>
      </c>
      <c r="H444" s="148">
        <v>110832858.33472016</v>
      </c>
      <c r="I444" s="148">
        <v>109362716</v>
      </c>
      <c r="J444" s="148">
        <v>-1470142.3347201645</v>
      </c>
      <c r="K444" s="148"/>
    </row>
    <row r="445" spans="1:11" ht="13.2">
      <c r="A445" s="149">
        <v>436</v>
      </c>
      <c r="B445" s="148">
        <v>57435005.5</v>
      </c>
      <c r="C445" s="148">
        <v>57435005.5</v>
      </c>
      <c r="D445" s="148">
        <v>24585962.366654441</v>
      </c>
      <c r="E445" s="148">
        <v>41823736.050479062</v>
      </c>
      <c r="F445" s="148">
        <v>30623129.885315448</v>
      </c>
      <c r="G445" s="148">
        <v>15000000</v>
      </c>
      <c r="H445" s="148">
        <v>112032828.30244896</v>
      </c>
      <c r="I445" s="148">
        <v>114870011</v>
      </c>
      <c r="J445" s="148">
        <v>2837182.6975510418</v>
      </c>
      <c r="K445" s="148"/>
    </row>
    <row r="446" spans="1:11" ht="13.2">
      <c r="A446" s="149">
        <v>437</v>
      </c>
      <c r="B446" s="148">
        <v>54670330.5</v>
      </c>
      <c r="C446" s="148">
        <v>54670330.5</v>
      </c>
      <c r="D446" s="148">
        <v>23370992.937820792</v>
      </c>
      <c r="E446" s="148">
        <v>43242160.920158505</v>
      </c>
      <c r="F446" s="148">
        <v>27893207.404867779</v>
      </c>
      <c r="G446" s="148">
        <v>15000000</v>
      </c>
      <c r="H446" s="148">
        <v>109506361.26284708</v>
      </c>
      <c r="I446" s="148">
        <v>109340661</v>
      </c>
      <c r="J446" s="148">
        <v>-165700.26284708083</v>
      </c>
      <c r="K446" s="148"/>
    </row>
    <row r="447" spans="1:11" ht="13.2">
      <c r="A447" s="149">
        <v>438</v>
      </c>
      <c r="B447" s="148">
        <v>59167948</v>
      </c>
      <c r="C447" s="148">
        <v>59167948</v>
      </c>
      <c r="D447" s="148">
        <v>22698131.526167162</v>
      </c>
      <c r="E447" s="148">
        <v>42072445.322443441</v>
      </c>
      <c r="F447" s="148">
        <v>28445475.336167078</v>
      </c>
      <c r="G447" s="148">
        <v>15000000</v>
      </c>
      <c r="H447" s="148">
        <v>108216052.18477768</v>
      </c>
      <c r="I447" s="148">
        <v>118335896</v>
      </c>
      <c r="J447" s="148">
        <v>10119843.815222323</v>
      </c>
      <c r="K447" s="148"/>
    </row>
    <row r="448" spans="1:11" ht="13.2">
      <c r="A448" s="149">
        <v>439</v>
      </c>
      <c r="B448" s="148">
        <v>57236258</v>
      </c>
      <c r="C448" s="148">
        <v>57236258</v>
      </c>
      <c r="D448" s="148">
        <v>24726051.802404135</v>
      </c>
      <c r="E448" s="148">
        <v>42345478.090373382</v>
      </c>
      <c r="F448" s="148">
        <v>23541404.719607934</v>
      </c>
      <c r="G448" s="148">
        <v>15000000</v>
      </c>
      <c r="H448" s="148">
        <v>105612934.61238545</v>
      </c>
      <c r="I448" s="148">
        <v>114472516</v>
      </c>
      <c r="J448" s="148">
        <v>8859581.3876145482</v>
      </c>
      <c r="K448" s="148"/>
    </row>
    <row r="449" spans="1:11" ht="13.2">
      <c r="A449" s="149">
        <v>440</v>
      </c>
      <c r="B449" s="148">
        <v>55099196.5</v>
      </c>
      <c r="C449" s="148">
        <v>55099196.5</v>
      </c>
      <c r="D449" s="148">
        <v>23380917.180200137</v>
      </c>
      <c r="E449" s="148">
        <v>43156294.660203122</v>
      </c>
      <c r="F449" s="148">
        <v>25322034.624777619</v>
      </c>
      <c r="G449" s="148">
        <v>15000000</v>
      </c>
      <c r="H449" s="148">
        <v>106859246.46518087</v>
      </c>
      <c r="I449" s="148">
        <v>110198393</v>
      </c>
      <c r="J449" s="148">
        <v>3339146.5348191261</v>
      </c>
      <c r="K449" s="148"/>
    </row>
    <row r="450" spans="1:11" ht="13.2">
      <c r="A450" s="149">
        <v>441</v>
      </c>
      <c r="B450" s="148">
        <v>53309050.5</v>
      </c>
      <c r="C450" s="148">
        <v>53309050.5</v>
      </c>
      <c r="D450" s="148">
        <v>22840407.921960056</v>
      </c>
      <c r="E450" s="148">
        <v>42504750.103330433</v>
      </c>
      <c r="F450" s="148">
        <v>23810051.495513912</v>
      </c>
      <c r="G450" s="148">
        <v>15000000</v>
      </c>
      <c r="H450" s="148">
        <v>104155209.52080441</v>
      </c>
      <c r="I450" s="148">
        <v>106618101</v>
      </c>
      <c r="J450" s="148">
        <v>2462891.4791955948</v>
      </c>
      <c r="K450" s="148"/>
    </row>
    <row r="451" spans="1:11" ht="13.2">
      <c r="A451" s="149">
        <v>442</v>
      </c>
      <c r="B451" s="148">
        <v>57143766.5</v>
      </c>
      <c r="C451" s="148">
        <v>57143766.5</v>
      </c>
      <c r="D451" s="148">
        <v>22042637.538677383</v>
      </c>
      <c r="E451" s="148">
        <v>43481764.263589747</v>
      </c>
      <c r="F451" s="148">
        <v>25394148.985113919</v>
      </c>
      <c r="G451" s="148">
        <v>15000000</v>
      </c>
      <c r="H451" s="148">
        <v>105918550.78738105</v>
      </c>
      <c r="I451" s="148">
        <v>114287533</v>
      </c>
      <c r="J451" s="148">
        <v>8368982.212618947</v>
      </c>
      <c r="K451" s="148"/>
    </row>
    <row r="452" spans="1:11" ht="13.2">
      <c r="A452" s="149">
        <v>443</v>
      </c>
      <c r="B452" s="148">
        <v>56129367</v>
      </c>
      <c r="C452" s="148">
        <v>56129367</v>
      </c>
      <c r="D452" s="148">
        <v>24178981.664034449</v>
      </c>
      <c r="E452" s="148">
        <v>43255762.138054602</v>
      </c>
      <c r="F452" s="148">
        <v>27169356.485433016</v>
      </c>
      <c r="G452" s="148">
        <v>15000000</v>
      </c>
      <c r="H452" s="148">
        <v>109604100.28752206</v>
      </c>
      <c r="I452" s="148">
        <v>112258734</v>
      </c>
      <c r="J452" s="148">
        <v>2654633.7124779373</v>
      </c>
      <c r="K452" s="148"/>
    </row>
    <row r="453" spans="1:11" ht="13.2">
      <c r="A453" s="149">
        <v>444</v>
      </c>
      <c r="B453" s="148">
        <v>57746792</v>
      </c>
      <c r="C453" s="148">
        <v>57746792</v>
      </c>
      <c r="D453" s="148">
        <v>23771412.760311179</v>
      </c>
      <c r="E453" s="148">
        <v>42758553.859885514</v>
      </c>
      <c r="F453" s="148">
        <v>25893310.85748478</v>
      </c>
      <c r="G453" s="148">
        <v>15000000</v>
      </c>
      <c r="H453" s="148">
        <v>107423277.47768147</v>
      </c>
      <c r="I453" s="148">
        <v>115493584</v>
      </c>
      <c r="J453" s="148">
        <v>8070306.5223185271</v>
      </c>
      <c r="K453" s="148"/>
    </row>
    <row r="454" spans="1:11" ht="13.2">
      <c r="A454" s="149">
        <v>445</v>
      </c>
      <c r="B454" s="148">
        <v>55008017.5</v>
      </c>
      <c r="C454" s="148">
        <v>55008017.5</v>
      </c>
      <c r="D454" s="148">
        <v>22845664.143701363</v>
      </c>
      <c r="E454" s="148">
        <v>43501215.810742736</v>
      </c>
      <c r="F454" s="148">
        <v>26778360.598747898</v>
      </c>
      <c r="G454" s="148">
        <v>15000000</v>
      </c>
      <c r="H454" s="148">
        <v>108125240.55319199</v>
      </c>
      <c r="I454" s="148">
        <v>110016035</v>
      </c>
      <c r="J454" s="148">
        <v>1890794.4468080103</v>
      </c>
      <c r="K454" s="148"/>
    </row>
    <row r="455" spans="1:11" ht="13.2">
      <c r="A455" s="149">
        <v>446</v>
      </c>
      <c r="B455" s="148">
        <v>56858366.5</v>
      </c>
      <c r="C455" s="148">
        <v>56858366.5</v>
      </c>
      <c r="D455" s="148">
        <v>24979233.107911956</v>
      </c>
      <c r="E455" s="148">
        <v>42145504.428187199</v>
      </c>
      <c r="F455" s="148">
        <v>25928735.332699314</v>
      </c>
      <c r="G455" s="148">
        <v>15000000</v>
      </c>
      <c r="H455" s="148">
        <v>108053472.86879846</v>
      </c>
      <c r="I455" s="148">
        <v>113716733</v>
      </c>
      <c r="J455" s="148">
        <v>5663260.1312015355</v>
      </c>
      <c r="K455" s="148"/>
    </row>
    <row r="456" spans="1:11" ht="13.2">
      <c r="A456" s="149">
        <v>447</v>
      </c>
      <c r="B456" s="148">
        <v>58459049.5</v>
      </c>
      <c r="C456" s="148">
        <v>58459049.5</v>
      </c>
      <c r="D456" s="148">
        <v>24446461.13200802</v>
      </c>
      <c r="E456" s="148">
        <v>42044072.785958149</v>
      </c>
      <c r="F456" s="148">
        <v>28265957.439485654</v>
      </c>
      <c r="G456" s="148">
        <v>15000000</v>
      </c>
      <c r="H456" s="148">
        <v>109756491.35745183</v>
      </c>
      <c r="I456" s="148">
        <v>116918099</v>
      </c>
      <c r="J456" s="148">
        <v>7161607.6425481737</v>
      </c>
      <c r="K456" s="148"/>
    </row>
    <row r="457" spans="1:11" ht="13.2">
      <c r="A457" s="149">
        <v>448</v>
      </c>
      <c r="B457" s="148">
        <v>57766245</v>
      </c>
      <c r="C457" s="148">
        <v>57766245</v>
      </c>
      <c r="D457" s="148">
        <v>23366324.917182755</v>
      </c>
      <c r="E457" s="148">
        <v>42976399.660153352</v>
      </c>
      <c r="F457" s="148">
        <v>26819812.120549846</v>
      </c>
      <c r="G457" s="148">
        <v>15000000</v>
      </c>
      <c r="H457" s="148">
        <v>108162536.69788595</v>
      </c>
      <c r="I457" s="148">
        <v>115532490</v>
      </c>
      <c r="J457" s="148">
        <v>7369953.3021140546</v>
      </c>
      <c r="K457" s="148"/>
    </row>
    <row r="458" spans="1:11" ht="13.2">
      <c r="A458" s="149">
        <v>449</v>
      </c>
      <c r="B458" s="148">
        <v>56793986.5</v>
      </c>
      <c r="C458" s="148">
        <v>56793986.5</v>
      </c>
      <c r="D458" s="148">
        <v>25649319.35841912</v>
      </c>
      <c r="E458" s="148">
        <v>42827256.392651126</v>
      </c>
      <c r="F458" s="148">
        <v>25854113.599537168</v>
      </c>
      <c r="G458" s="148">
        <v>15000000</v>
      </c>
      <c r="H458" s="148">
        <v>109330689.35060741</v>
      </c>
      <c r="I458" s="148">
        <v>113587973</v>
      </c>
      <c r="J458" s="148">
        <v>4257283.6493925899</v>
      </c>
      <c r="K458" s="148"/>
    </row>
    <row r="459" spans="1:11" ht="13.2">
      <c r="A459" s="149">
        <v>450</v>
      </c>
      <c r="B459" s="148">
        <v>55954422.5</v>
      </c>
      <c r="C459" s="148">
        <v>55954422.5</v>
      </c>
      <c r="D459" s="148">
        <v>23385585.200838178</v>
      </c>
      <c r="E459" s="148">
        <v>41482711.683700889</v>
      </c>
      <c r="F459" s="148">
        <v>26787807.840244632</v>
      </c>
      <c r="G459" s="148">
        <v>15000000</v>
      </c>
      <c r="H459" s="148">
        <v>106656104.7247837</v>
      </c>
      <c r="I459" s="148">
        <v>111908845</v>
      </c>
      <c r="J459" s="148">
        <v>5252740.2752162963</v>
      </c>
      <c r="K459" s="148"/>
    </row>
    <row r="460" spans="1:11" ht="13.2">
      <c r="A460" s="149">
        <v>451</v>
      </c>
      <c r="B460" s="148">
        <v>56013356</v>
      </c>
      <c r="C460" s="148">
        <v>56013356</v>
      </c>
      <c r="D460" s="148">
        <v>23906245.97431957</v>
      </c>
      <c r="E460" s="148">
        <v>43795925.297987908</v>
      </c>
      <c r="F460" s="148">
        <v>26519154.266201667</v>
      </c>
      <c r="G460" s="148">
        <v>15000000</v>
      </c>
      <c r="H460" s="148">
        <v>109221325.53850916</v>
      </c>
      <c r="I460" s="148">
        <v>112026712</v>
      </c>
      <c r="J460" s="148">
        <v>2805386.4614908397</v>
      </c>
      <c r="K460" s="148"/>
    </row>
    <row r="461" spans="1:11" ht="13.2">
      <c r="A461" s="149">
        <v>452</v>
      </c>
      <c r="B461" s="148">
        <v>55402407</v>
      </c>
      <c r="C461" s="148">
        <v>55402407</v>
      </c>
      <c r="D461" s="148">
        <v>26184866.495469533</v>
      </c>
      <c r="E461" s="148">
        <v>42547554.499251083</v>
      </c>
      <c r="F461" s="148">
        <v>25374092.924404658</v>
      </c>
      <c r="G461" s="148">
        <v>15000000</v>
      </c>
      <c r="H461" s="148">
        <v>109106513.91912526</v>
      </c>
      <c r="I461" s="148">
        <v>110804814</v>
      </c>
      <c r="J461" s="148">
        <v>1698300.0808747411</v>
      </c>
      <c r="K461" s="148"/>
    </row>
    <row r="462" spans="1:11" ht="13.2">
      <c r="A462" s="149">
        <v>453</v>
      </c>
      <c r="B462" s="148">
        <v>52546080</v>
      </c>
      <c r="C462" s="148">
        <v>52546080</v>
      </c>
      <c r="D462" s="148">
        <v>23506414.352932449</v>
      </c>
      <c r="E462" s="148">
        <v>42040081.432653673</v>
      </c>
      <c r="F462" s="148">
        <v>26155084.378623433</v>
      </c>
      <c r="G462" s="148">
        <v>15000000</v>
      </c>
      <c r="H462" s="148">
        <v>106701580.16420954</v>
      </c>
      <c r="I462" s="148">
        <v>105092160</v>
      </c>
      <c r="J462" s="148">
        <v>-1609420.1642095447</v>
      </c>
      <c r="K462" s="148"/>
    </row>
    <row r="463" spans="1:11" ht="13.2">
      <c r="A463" s="149">
        <v>454</v>
      </c>
      <c r="B463" s="148">
        <v>55937311.5</v>
      </c>
      <c r="C463" s="148">
        <v>55937311.5</v>
      </c>
      <c r="D463" s="148">
        <v>23503639.191785976</v>
      </c>
      <c r="E463" s="148">
        <v>44173801.262923039</v>
      </c>
      <c r="F463" s="148">
        <v>24514810.377785437</v>
      </c>
      <c r="G463" s="148">
        <v>15000000</v>
      </c>
      <c r="H463" s="148">
        <v>107192250.83249447</v>
      </c>
      <c r="I463" s="148">
        <v>111874623</v>
      </c>
      <c r="J463" s="148">
        <v>4682372.1675055325</v>
      </c>
      <c r="K463" s="148"/>
    </row>
    <row r="464" spans="1:11" ht="13.2">
      <c r="A464" s="149">
        <v>455</v>
      </c>
      <c r="B464" s="148">
        <v>58265921.5</v>
      </c>
      <c r="C464" s="148">
        <v>58265921.5</v>
      </c>
      <c r="D464" s="148">
        <v>25652094.519565593</v>
      </c>
      <c r="E464" s="148">
        <v>42806544.788193621</v>
      </c>
      <c r="F464" s="148">
        <v>25868710.112001549</v>
      </c>
      <c r="G464" s="148">
        <v>15000000</v>
      </c>
      <c r="H464" s="148">
        <v>109327349.41976076</v>
      </c>
      <c r="I464" s="148">
        <v>116531843</v>
      </c>
      <c r="J464" s="148">
        <v>7204493.5802392364</v>
      </c>
      <c r="K464" s="148"/>
    </row>
    <row r="465" spans="1:11" ht="13.2">
      <c r="A465" s="149">
        <v>456</v>
      </c>
      <c r="B465" s="148">
        <v>50905721</v>
      </c>
      <c r="C465" s="148">
        <v>50905721</v>
      </c>
      <c r="D465" s="148">
        <v>24726051.802404135</v>
      </c>
      <c r="E465" s="148">
        <v>41316325.566108949</v>
      </c>
      <c r="F465" s="148">
        <v>25128854.053583387</v>
      </c>
      <c r="G465" s="148">
        <v>15000000</v>
      </c>
      <c r="H465" s="148">
        <v>106171231.42209648</v>
      </c>
      <c r="I465" s="148">
        <v>101811442</v>
      </c>
      <c r="J465" s="148">
        <v>-4359789.422096476</v>
      </c>
      <c r="K465" s="148"/>
    </row>
    <row r="466" spans="1:11" ht="13.2">
      <c r="A466" s="149">
        <v>457</v>
      </c>
      <c r="B466" s="148">
        <v>60041241.5</v>
      </c>
      <c r="C466" s="148">
        <v>60041241.5</v>
      </c>
      <c r="D466" s="148">
        <v>25784740.773530778</v>
      </c>
      <c r="E466" s="148">
        <v>41978964.018173568</v>
      </c>
      <c r="F466" s="148">
        <v>24992726.226566039</v>
      </c>
      <c r="G466" s="148">
        <v>15000000</v>
      </c>
      <c r="H466" s="148">
        <v>107756431.01827037</v>
      </c>
      <c r="I466" s="148">
        <v>120082483</v>
      </c>
      <c r="J466" s="148">
        <v>12326051.981729627</v>
      </c>
      <c r="K466" s="148"/>
    </row>
    <row r="467" spans="1:11" ht="13.2">
      <c r="A467" s="149">
        <v>458</v>
      </c>
      <c r="B467" s="148">
        <v>55417396.5</v>
      </c>
      <c r="C467" s="148">
        <v>55417396.5</v>
      </c>
      <c r="D467" s="148">
        <v>23899096.89308669</v>
      </c>
      <c r="E467" s="148">
        <v>42678703.055969268</v>
      </c>
      <c r="F467" s="148">
        <v>26440789.462319523</v>
      </c>
      <c r="G467" s="148">
        <v>15000000</v>
      </c>
      <c r="H467" s="148">
        <v>108018589.41137548</v>
      </c>
      <c r="I467" s="148">
        <v>110834793</v>
      </c>
      <c r="J467" s="148">
        <v>2816203.5886245221</v>
      </c>
      <c r="K467" s="148"/>
    </row>
    <row r="468" spans="1:11" ht="13.2">
      <c r="A468" s="149">
        <v>459</v>
      </c>
      <c r="B468" s="148">
        <v>56443176</v>
      </c>
      <c r="C468" s="148">
        <v>56443176</v>
      </c>
      <c r="D468" s="148">
        <v>25516379.003902305</v>
      </c>
      <c r="E468" s="148">
        <v>42338660.856774054</v>
      </c>
      <c r="F468" s="148">
        <v>27193043.035875425</v>
      </c>
      <c r="G468" s="148">
        <v>15000000</v>
      </c>
      <c r="H468" s="148">
        <v>110048082.89655179</v>
      </c>
      <c r="I468" s="148">
        <v>112886352</v>
      </c>
      <c r="J468" s="148">
        <v>2838269.1034482121</v>
      </c>
      <c r="K468" s="148"/>
    </row>
    <row r="469" spans="1:11" ht="13.2">
      <c r="A469" s="149">
        <v>460</v>
      </c>
      <c r="B469" s="148">
        <v>57769853</v>
      </c>
      <c r="C469" s="148">
        <v>57769853</v>
      </c>
      <c r="D469" s="148">
        <v>23369100.078329224</v>
      </c>
      <c r="E469" s="148">
        <v>41550165.161004514</v>
      </c>
      <c r="F469" s="148">
        <v>28026522.735941265</v>
      </c>
      <c r="G469" s="148">
        <v>15000000</v>
      </c>
      <c r="H469" s="148">
        <v>107945787.97527499</v>
      </c>
      <c r="I469" s="148">
        <v>115539706</v>
      </c>
      <c r="J469" s="148">
        <v>7593918.024725005</v>
      </c>
      <c r="K469" s="148"/>
    </row>
    <row r="470" spans="1:11" ht="13.2">
      <c r="A470" s="149">
        <v>461</v>
      </c>
      <c r="B470" s="148">
        <v>58579663.5</v>
      </c>
      <c r="C470" s="148">
        <v>58579663.5</v>
      </c>
      <c r="D470" s="148">
        <v>25265972.859540954</v>
      </c>
      <c r="E470" s="148">
        <v>43027635.136910722</v>
      </c>
      <c r="F470" s="148">
        <v>25432818.704320256</v>
      </c>
      <c r="G470" s="148">
        <v>15000000</v>
      </c>
      <c r="H470" s="148">
        <v>108726426.70077193</v>
      </c>
      <c r="I470" s="148">
        <v>117159327</v>
      </c>
      <c r="J470" s="148">
        <v>8432900.2992280722</v>
      </c>
      <c r="K470" s="148"/>
    </row>
    <row r="471" spans="1:11" ht="13.2">
      <c r="A471" s="149">
        <v>462</v>
      </c>
      <c r="B471" s="148">
        <v>59736283.5</v>
      </c>
      <c r="C471" s="148">
        <v>59736283.5</v>
      </c>
      <c r="D471" s="148">
        <v>23771118.659759548</v>
      </c>
      <c r="E471" s="148">
        <v>43123751.077953011</v>
      </c>
      <c r="F471" s="148">
        <v>27515036.733996794</v>
      </c>
      <c r="G471" s="148">
        <v>15000000</v>
      </c>
      <c r="H471" s="148">
        <v>109409906.47170936</v>
      </c>
      <c r="I471" s="148">
        <v>119472567</v>
      </c>
      <c r="J471" s="148">
        <v>10062660.528290644</v>
      </c>
      <c r="K471" s="148"/>
    </row>
    <row r="472" spans="1:11" ht="13.2">
      <c r="A472" s="149">
        <v>463</v>
      </c>
      <c r="B472" s="148">
        <v>55334557</v>
      </c>
      <c r="C472" s="148">
        <v>55334557</v>
      </c>
      <c r="D472" s="148">
        <v>22966199.195243996</v>
      </c>
      <c r="E472" s="148">
        <v>42662925.237231679</v>
      </c>
      <c r="F472" s="148">
        <v>29075954.796605337</v>
      </c>
      <c r="G472" s="148">
        <v>15000000</v>
      </c>
      <c r="H472" s="148">
        <v>109705079.229081</v>
      </c>
      <c r="I472" s="148">
        <v>110669114</v>
      </c>
      <c r="J472" s="148">
        <v>964034.77091899514</v>
      </c>
      <c r="K472" s="148"/>
    </row>
    <row r="473" spans="1:11" ht="13.2">
      <c r="A473" s="149">
        <v>464</v>
      </c>
      <c r="B473" s="148">
        <v>60193065</v>
      </c>
      <c r="C473" s="148">
        <v>60193065</v>
      </c>
      <c r="D473" s="148">
        <v>24841624.732757099</v>
      </c>
      <c r="E473" s="148">
        <v>41244207.034327008</v>
      </c>
      <c r="F473" s="148">
        <v>28200760.259373594</v>
      </c>
      <c r="G473" s="148">
        <v>15000000</v>
      </c>
      <c r="H473" s="148">
        <v>109286592.0264577</v>
      </c>
      <c r="I473" s="148">
        <v>120386130</v>
      </c>
      <c r="J473" s="148">
        <v>11099537.973542303</v>
      </c>
      <c r="K473" s="148"/>
    </row>
    <row r="474" spans="1:11" ht="13.2">
      <c r="A474" s="149">
        <v>465</v>
      </c>
      <c r="B474" s="148">
        <v>60047583</v>
      </c>
      <c r="C474" s="148">
        <v>60047583</v>
      </c>
      <c r="D474" s="148">
        <v>24046335.410069264</v>
      </c>
      <c r="E474" s="148">
        <v>42040128.318603992</v>
      </c>
      <c r="F474" s="148">
        <v>25047080.94897455</v>
      </c>
      <c r="G474" s="148">
        <v>15000000</v>
      </c>
      <c r="H474" s="148">
        <v>106133544.6776478</v>
      </c>
      <c r="I474" s="148">
        <v>120095166</v>
      </c>
      <c r="J474" s="148">
        <v>13961621.322352201</v>
      </c>
      <c r="K474" s="148"/>
    </row>
    <row r="475" spans="1:11" ht="13.2">
      <c r="A475" s="149">
        <v>466</v>
      </c>
      <c r="B475" s="148">
        <v>55793806.5</v>
      </c>
      <c r="C475" s="148">
        <v>55793806.5</v>
      </c>
      <c r="D475" s="148">
        <v>25519154.165048774</v>
      </c>
      <c r="E475" s="148">
        <v>43008395.663115725</v>
      </c>
      <c r="F475" s="148">
        <v>28149470.533161514</v>
      </c>
      <c r="G475" s="148">
        <v>15000000</v>
      </c>
      <c r="H475" s="148">
        <v>111677020.36132601</v>
      </c>
      <c r="I475" s="148">
        <v>111587613</v>
      </c>
      <c r="J475" s="148">
        <v>-89407.361326009035</v>
      </c>
      <c r="K475" s="148"/>
    </row>
    <row r="476" spans="1:11" ht="13.2">
      <c r="A476" s="149">
        <v>467</v>
      </c>
      <c r="B476" s="148">
        <v>56148510</v>
      </c>
      <c r="C476" s="148">
        <v>56148510</v>
      </c>
      <c r="D476" s="148">
        <v>22295524.743633568</v>
      </c>
      <c r="E476" s="148">
        <v>44020153.433540024</v>
      </c>
      <c r="F476" s="148">
        <v>25823137.954043727</v>
      </c>
      <c r="G476" s="148">
        <v>15000000</v>
      </c>
      <c r="H476" s="148">
        <v>107138816.13121732</v>
      </c>
      <c r="I476" s="148">
        <v>112297020</v>
      </c>
      <c r="J476" s="148">
        <v>5158203.8687826842</v>
      </c>
      <c r="K476" s="148"/>
    </row>
    <row r="477" spans="1:11" ht="13.2">
      <c r="A477" s="149">
        <v>468</v>
      </c>
      <c r="B477" s="148">
        <v>57668650.5</v>
      </c>
      <c r="C477" s="148">
        <v>57668650.5</v>
      </c>
      <c r="D477" s="148">
        <v>24991050.209782872</v>
      </c>
      <c r="E477" s="148">
        <v>42479711.998981781</v>
      </c>
      <c r="F477" s="148">
        <v>27456197.203569617</v>
      </c>
      <c r="G477" s="148">
        <v>15000000</v>
      </c>
      <c r="H477" s="148">
        <v>109926959.41233428</v>
      </c>
      <c r="I477" s="148">
        <v>115337301</v>
      </c>
      <c r="J477" s="148">
        <v>5410341.5876657218</v>
      </c>
      <c r="K477" s="148"/>
    </row>
    <row r="478" spans="1:11" ht="13.2">
      <c r="A478" s="149">
        <v>469</v>
      </c>
      <c r="B478" s="148">
        <v>53318317</v>
      </c>
      <c r="C478" s="148">
        <v>53318317</v>
      </c>
      <c r="D478" s="148">
        <v>25914317.765797861</v>
      </c>
      <c r="E478" s="148">
        <v>41362312.413035482</v>
      </c>
      <c r="F478" s="148">
        <v>27277028.141446121</v>
      </c>
      <c r="G478" s="148">
        <v>15000000</v>
      </c>
      <c r="H478" s="148">
        <v>109553658.32027945</v>
      </c>
      <c r="I478" s="148">
        <v>106636634</v>
      </c>
      <c r="J478" s="148">
        <v>-2917024.3202794492</v>
      </c>
      <c r="K478" s="148"/>
    </row>
    <row r="479" spans="1:11" ht="13.2">
      <c r="A479" s="149">
        <v>470</v>
      </c>
      <c r="B479" s="148">
        <v>57824454.5</v>
      </c>
      <c r="C479" s="148">
        <v>57824454.5</v>
      </c>
      <c r="D479" s="148">
        <v>25123696.463748056</v>
      </c>
      <c r="E479" s="148">
        <v>44526754.036289498</v>
      </c>
      <c r="F479" s="148">
        <v>27218454.505870625</v>
      </c>
      <c r="G479" s="148">
        <v>15000000</v>
      </c>
      <c r="H479" s="148">
        <v>111868905.00590818</v>
      </c>
      <c r="I479" s="148">
        <v>115648909</v>
      </c>
      <c r="J479" s="148">
        <v>3780003.9940918237</v>
      </c>
      <c r="K479" s="148"/>
    </row>
    <row r="480" spans="1:11" ht="13.2">
      <c r="A480" s="149">
        <v>471</v>
      </c>
      <c r="B480" s="148">
        <v>57153241</v>
      </c>
      <c r="C480" s="148">
        <v>57153241</v>
      </c>
      <c r="D480" s="148">
        <v>24439312.050775141</v>
      </c>
      <c r="E480" s="148">
        <v>42574500.169892967</v>
      </c>
      <c r="F480" s="148">
        <v>28983944.239042297</v>
      </c>
      <c r="G480" s="148">
        <v>15000000</v>
      </c>
      <c r="H480" s="148">
        <v>110997756.4597104</v>
      </c>
      <c r="I480" s="148">
        <v>114306482</v>
      </c>
      <c r="J480" s="148">
        <v>3308725.5402895957</v>
      </c>
      <c r="K480" s="148"/>
    </row>
    <row r="481" spans="1:11" ht="13.2">
      <c r="A481" s="149">
        <v>472</v>
      </c>
      <c r="B481" s="148">
        <v>59800153.5</v>
      </c>
      <c r="C481" s="148">
        <v>59800153.5</v>
      </c>
      <c r="D481" s="148">
        <v>25646838.297824282</v>
      </c>
      <c r="E481" s="148">
        <v>42194060.649785779</v>
      </c>
      <c r="F481" s="148">
        <v>28711214.012145057</v>
      </c>
      <c r="G481" s="148">
        <v>15000000</v>
      </c>
      <c r="H481" s="148">
        <v>111552112.95975512</v>
      </c>
      <c r="I481" s="148">
        <v>119600307</v>
      </c>
      <c r="J481" s="148">
        <v>8048194.0402448773</v>
      </c>
      <c r="K481" s="148"/>
    </row>
    <row r="482" spans="1:11" ht="13.2">
      <c r="A482" s="149">
        <v>473</v>
      </c>
      <c r="B482" s="148">
        <v>58447284.5</v>
      </c>
      <c r="C482" s="148">
        <v>58447284.5</v>
      </c>
      <c r="D482" s="148">
        <v>25916798.826392695</v>
      </c>
      <c r="E482" s="148">
        <v>43860878.5158806</v>
      </c>
      <c r="F482" s="148">
        <v>28928768.247505356</v>
      </c>
      <c r="G482" s="148">
        <v>15000000</v>
      </c>
      <c r="H482" s="148">
        <v>113706445.58977865</v>
      </c>
      <c r="I482" s="148">
        <v>116894569</v>
      </c>
      <c r="J482" s="148">
        <v>3188123.4102213532</v>
      </c>
      <c r="K482" s="148"/>
    </row>
    <row r="483" spans="1:11" ht="13.2">
      <c r="A483" s="149">
        <v>474</v>
      </c>
      <c r="B483" s="148">
        <v>58358842</v>
      </c>
      <c r="C483" s="148">
        <v>58358842</v>
      </c>
      <c r="D483" s="148">
        <v>24190798.765905362</v>
      </c>
      <c r="E483" s="148">
        <v>42714922.283594385</v>
      </c>
      <c r="F483" s="148">
        <v>28510492.74921488</v>
      </c>
      <c r="G483" s="148">
        <v>15000000</v>
      </c>
      <c r="H483" s="148">
        <v>110416213.79871464</v>
      </c>
      <c r="I483" s="148">
        <v>116717684</v>
      </c>
      <c r="J483" s="148">
        <v>6301470.2012853622</v>
      </c>
      <c r="K483" s="148"/>
    </row>
    <row r="484" spans="1:11" ht="13.2">
      <c r="A484" s="149">
        <v>475</v>
      </c>
      <c r="B484" s="148">
        <v>60520847.5</v>
      </c>
      <c r="C484" s="148">
        <v>60520847.5</v>
      </c>
      <c r="D484" s="148">
        <v>23773599.720354386</v>
      </c>
      <c r="E484" s="148">
        <v>43328945.719970658</v>
      </c>
      <c r="F484" s="148">
        <v>27124830.057317857</v>
      </c>
      <c r="G484" s="148">
        <v>15000000</v>
      </c>
      <c r="H484" s="148">
        <v>109227375.4976429</v>
      </c>
      <c r="I484" s="148">
        <v>121041695</v>
      </c>
      <c r="J484" s="148">
        <v>11814319.502357095</v>
      </c>
      <c r="K484" s="148"/>
    </row>
    <row r="485" spans="1:11" ht="13.2">
      <c r="A485" s="149">
        <v>476</v>
      </c>
      <c r="B485" s="148">
        <v>56624729.5</v>
      </c>
      <c r="C485" s="148">
        <v>56624729.5</v>
      </c>
      <c r="D485" s="148">
        <v>23918357.176742122</v>
      </c>
      <c r="E485" s="148">
        <v>42811758.04421334</v>
      </c>
      <c r="F485" s="148">
        <v>27271020.690118223</v>
      </c>
      <c r="G485" s="148">
        <v>15000000</v>
      </c>
      <c r="H485" s="148">
        <v>109001135.91107368</v>
      </c>
      <c r="I485" s="148">
        <v>113249459</v>
      </c>
      <c r="J485" s="148">
        <v>4248323.0889263153</v>
      </c>
      <c r="K485" s="148"/>
    </row>
    <row r="486" spans="1:11" ht="13.2">
      <c r="A486" s="149">
        <v>477</v>
      </c>
      <c r="B486" s="148">
        <v>60104151</v>
      </c>
      <c r="C486" s="148">
        <v>60104151</v>
      </c>
      <c r="D486" s="148">
        <v>26317218.648883086</v>
      </c>
      <c r="E486" s="148">
        <v>43260462.797139823</v>
      </c>
      <c r="F486" s="148">
        <v>27679084.992138214</v>
      </c>
      <c r="G486" s="148">
        <v>15000000</v>
      </c>
      <c r="H486" s="148">
        <v>112256766.43816113</v>
      </c>
      <c r="I486" s="148">
        <v>120208302</v>
      </c>
      <c r="J486" s="148">
        <v>7951535.5618388653</v>
      </c>
      <c r="K486" s="148"/>
    </row>
    <row r="487" spans="1:11" ht="13.2">
      <c r="A487" s="149">
        <v>478</v>
      </c>
      <c r="B487" s="148">
        <v>55764198.5</v>
      </c>
      <c r="C487" s="148">
        <v>55764198.5</v>
      </c>
      <c r="D487" s="148">
        <v>25248899.535928734</v>
      </c>
      <c r="E487" s="148">
        <v>43103220.366910398</v>
      </c>
      <c r="F487" s="148">
        <v>25347376.465540193</v>
      </c>
      <c r="G487" s="148">
        <v>15000000</v>
      </c>
      <c r="H487" s="148">
        <v>108699496.36837932</v>
      </c>
      <c r="I487" s="148">
        <v>111528397</v>
      </c>
      <c r="J487" s="148">
        <v>2828900.6316206753</v>
      </c>
      <c r="K487" s="148"/>
    </row>
    <row r="488" spans="1:11" ht="13.2">
      <c r="A488" s="149">
        <v>479</v>
      </c>
      <c r="B488" s="148">
        <v>56882686</v>
      </c>
      <c r="C488" s="148">
        <v>56882686</v>
      </c>
      <c r="D488" s="148">
        <v>24579401.486524835</v>
      </c>
      <c r="E488" s="148">
        <v>44039059.032229505</v>
      </c>
      <c r="F488" s="148">
        <v>28274705.20779407</v>
      </c>
      <c r="G488" s="148">
        <v>15000000</v>
      </c>
      <c r="H488" s="148">
        <v>111893165.7265484</v>
      </c>
      <c r="I488" s="148">
        <v>113765372</v>
      </c>
      <c r="J488" s="148">
        <v>1872206.2734515965</v>
      </c>
      <c r="K488" s="148"/>
    </row>
    <row r="489" spans="1:11" ht="13.2">
      <c r="A489" s="149">
        <v>480</v>
      </c>
      <c r="B489" s="148">
        <v>56785117</v>
      </c>
      <c r="C489" s="148">
        <v>56785117</v>
      </c>
      <c r="D489" s="148">
        <v>24706791.518748716</v>
      </c>
      <c r="E489" s="148">
        <v>43340047.834698312</v>
      </c>
      <c r="F489" s="148">
        <v>30153807.120460495</v>
      </c>
      <c r="G489" s="148">
        <v>15000000</v>
      </c>
      <c r="H489" s="148">
        <v>113200646.47390752</v>
      </c>
      <c r="I489" s="148">
        <v>113570234</v>
      </c>
      <c r="J489" s="148">
        <v>369587.52609248459</v>
      </c>
      <c r="K489" s="148"/>
    </row>
    <row r="490" spans="1:11" ht="13.2">
      <c r="A490" s="149">
        <v>481</v>
      </c>
      <c r="B490" s="148">
        <v>56387781</v>
      </c>
      <c r="C490" s="148">
        <v>56387781</v>
      </c>
      <c r="D490" s="148">
        <v>25654281.479608793</v>
      </c>
      <c r="E490" s="148">
        <v>42141972.313281395</v>
      </c>
      <c r="F490" s="148">
        <v>24368098.024490148</v>
      </c>
      <c r="G490" s="148">
        <v>15000000</v>
      </c>
      <c r="H490" s="148">
        <v>107164351.81738034</v>
      </c>
      <c r="I490" s="148">
        <v>112775562</v>
      </c>
      <c r="J490" s="148">
        <v>5611210.1826196611</v>
      </c>
      <c r="K490" s="148"/>
    </row>
    <row r="491" spans="1:11" ht="13.2">
      <c r="A491" s="149">
        <v>482</v>
      </c>
      <c r="B491" s="148">
        <v>55721655.5</v>
      </c>
      <c r="C491" s="148">
        <v>55721655.5</v>
      </c>
      <c r="D491" s="148">
        <v>23113143.611674935</v>
      </c>
      <c r="E491" s="148">
        <v>43389162.467258841</v>
      </c>
      <c r="F491" s="148">
        <v>29064258.40380156</v>
      </c>
      <c r="G491" s="148">
        <v>15000000</v>
      </c>
      <c r="H491" s="148">
        <v>110566564.48273534</v>
      </c>
      <c r="I491" s="148">
        <v>111443311</v>
      </c>
      <c r="J491" s="148">
        <v>876746.51726466417</v>
      </c>
      <c r="K491" s="148"/>
    </row>
    <row r="492" spans="1:11" ht="13.2">
      <c r="A492" s="149">
        <v>483</v>
      </c>
      <c r="B492" s="148">
        <v>56390947.5</v>
      </c>
      <c r="C492" s="148">
        <v>56390947.5</v>
      </c>
      <c r="D492" s="148">
        <v>26054407.201547548</v>
      </c>
      <c r="E492" s="148">
        <v>42294926.299355581</v>
      </c>
      <c r="F492" s="148">
        <v>26373234.203254152</v>
      </c>
      <c r="G492" s="148">
        <v>15000000</v>
      </c>
      <c r="H492" s="148">
        <v>109722567.70415728</v>
      </c>
      <c r="I492" s="148">
        <v>112781895</v>
      </c>
      <c r="J492" s="148">
        <v>3059327.2958427221</v>
      </c>
      <c r="K492" s="148"/>
    </row>
    <row r="493" spans="1:11" ht="13.2">
      <c r="A493" s="149">
        <v>484</v>
      </c>
      <c r="B493" s="148">
        <v>54718981</v>
      </c>
      <c r="C493" s="148">
        <v>54718981</v>
      </c>
      <c r="D493" s="148">
        <v>22978016.297114912</v>
      </c>
      <c r="E493" s="148">
        <v>43086442.942236051</v>
      </c>
      <c r="F493" s="148">
        <v>25821888.442996785</v>
      </c>
      <c r="G493" s="148">
        <v>15000000</v>
      </c>
      <c r="H493" s="148">
        <v>106886347.68234774</v>
      </c>
      <c r="I493" s="148">
        <v>109437962</v>
      </c>
      <c r="J493" s="148">
        <v>2551614.3176522553</v>
      </c>
      <c r="K493" s="148"/>
    </row>
    <row r="494" spans="1:11" ht="13.2">
      <c r="A494" s="149">
        <v>485</v>
      </c>
      <c r="B494" s="148">
        <v>58531959</v>
      </c>
      <c r="C494" s="148">
        <v>58531959</v>
      </c>
      <c r="D494" s="148">
        <v>22575409.514581323</v>
      </c>
      <c r="E494" s="148">
        <v>40782924.514896676</v>
      </c>
      <c r="F494" s="148">
        <v>26882091.899104659</v>
      </c>
      <c r="G494" s="148">
        <v>15000000</v>
      </c>
      <c r="H494" s="148">
        <v>105240425.92858265</v>
      </c>
      <c r="I494" s="148">
        <v>117063918</v>
      </c>
      <c r="J494" s="148">
        <v>11823492.071417347</v>
      </c>
      <c r="K494" s="148"/>
    </row>
    <row r="495" spans="1:11" ht="13.2">
      <c r="A495" s="149">
        <v>486</v>
      </c>
      <c r="B495" s="148">
        <v>58227790.5</v>
      </c>
      <c r="C495" s="148">
        <v>58227790.5</v>
      </c>
      <c r="D495" s="148">
        <v>26179610.273728229</v>
      </c>
      <c r="E495" s="148">
        <v>42420718.808785871</v>
      </c>
      <c r="F495" s="148">
        <v>28124707.561418705</v>
      </c>
      <c r="G495" s="148">
        <v>15000000</v>
      </c>
      <c r="H495" s="148">
        <v>111725036.64393282</v>
      </c>
      <c r="I495" s="148">
        <v>116455581</v>
      </c>
      <c r="J495" s="148">
        <v>4730544.3560671806</v>
      </c>
      <c r="K495" s="148"/>
    </row>
    <row r="496" spans="1:11" ht="13.2">
      <c r="A496" s="149">
        <v>487</v>
      </c>
      <c r="B496" s="148">
        <v>55790429</v>
      </c>
      <c r="C496" s="148">
        <v>55790429</v>
      </c>
      <c r="D496" s="148">
        <v>24178687.563482814</v>
      </c>
      <c r="E496" s="148">
        <v>43234737.703660063</v>
      </c>
      <c r="F496" s="148">
        <v>26854960.55978401</v>
      </c>
      <c r="G496" s="148">
        <v>15000000</v>
      </c>
      <c r="H496" s="148">
        <v>109268385.82692689</v>
      </c>
      <c r="I496" s="148">
        <v>111580858</v>
      </c>
      <c r="J496" s="148">
        <v>2312472.173073113</v>
      </c>
      <c r="K496" s="148"/>
    </row>
    <row r="497" spans="1:11" ht="13.2">
      <c r="A497" s="149">
        <v>488</v>
      </c>
      <c r="B497" s="148">
        <v>61713851.5</v>
      </c>
      <c r="C497" s="148">
        <v>61713851.5</v>
      </c>
      <c r="D497" s="148">
        <v>24971789.926127449</v>
      </c>
      <c r="E497" s="148">
        <v>43804735.814421296</v>
      </c>
      <c r="F497" s="148">
        <v>25472769.817100041</v>
      </c>
      <c r="G497" s="148">
        <v>15000000</v>
      </c>
      <c r="H497" s="148">
        <v>109249295.55764878</v>
      </c>
      <c r="I497" s="148">
        <v>123427703</v>
      </c>
      <c r="J497" s="148">
        <v>14178407.442351222</v>
      </c>
      <c r="K497" s="148"/>
    </row>
    <row r="498" spans="1:11" ht="13.2">
      <c r="A498" s="149">
        <v>489</v>
      </c>
      <c r="B498" s="148">
        <v>52327670</v>
      </c>
      <c r="C498" s="148">
        <v>52327670</v>
      </c>
      <c r="D498" s="148">
        <v>24183649.68467249</v>
      </c>
      <c r="E498" s="148">
        <v>42339566.286032803</v>
      </c>
      <c r="F498" s="148">
        <v>26824882.297080912</v>
      </c>
      <c r="G498" s="148">
        <v>15000000</v>
      </c>
      <c r="H498" s="148">
        <v>108348098.2677862</v>
      </c>
      <c r="I498" s="148">
        <v>104655340</v>
      </c>
      <c r="J498" s="148">
        <v>-3692758.2677862048</v>
      </c>
      <c r="K498" s="148"/>
    </row>
    <row r="499" spans="1:11" ht="13.2">
      <c r="A499" s="149">
        <v>490</v>
      </c>
      <c r="B499" s="148">
        <v>59790891.5</v>
      </c>
      <c r="C499" s="148">
        <v>59790891.5</v>
      </c>
      <c r="D499" s="148">
        <v>25114066.321920346</v>
      </c>
      <c r="E499" s="148">
        <v>42312469.923684672</v>
      </c>
      <c r="F499" s="148">
        <v>28727003.816608146</v>
      </c>
      <c r="G499" s="148">
        <v>15000000</v>
      </c>
      <c r="H499" s="148">
        <v>111153540.06221317</v>
      </c>
      <c r="I499" s="148">
        <v>119581783</v>
      </c>
      <c r="J499" s="148">
        <v>8428242.9377868325</v>
      </c>
      <c r="K499" s="148"/>
    </row>
    <row r="500" spans="1:11" ht="13.2">
      <c r="A500" s="149">
        <v>491</v>
      </c>
      <c r="B500" s="148">
        <v>51653481</v>
      </c>
      <c r="C500" s="148">
        <v>51653481</v>
      </c>
      <c r="D500" s="148">
        <v>24190798.765905362</v>
      </c>
      <c r="E500" s="148">
        <v>43156200.271912165</v>
      </c>
      <c r="F500" s="148">
        <v>29666725.712975312</v>
      </c>
      <c r="G500" s="148">
        <v>15000000</v>
      </c>
      <c r="H500" s="148">
        <v>112013724.75079283</v>
      </c>
      <c r="I500" s="148">
        <v>103306962</v>
      </c>
      <c r="J500" s="148">
        <v>-8706762.7507928312</v>
      </c>
      <c r="K500" s="148"/>
    </row>
    <row r="501" spans="1:11" ht="13.2">
      <c r="A501" s="149">
        <v>492</v>
      </c>
      <c r="B501" s="148">
        <v>53153774.5</v>
      </c>
      <c r="C501" s="148">
        <v>53153774.5</v>
      </c>
      <c r="D501" s="148">
        <v>22970867.215882041</v>
      </c>
      <c r="E501" s="148">
        <v>42611949.408955857</v>
      </c>
      <c r="F501" s="148">
        <v>29050702.845074914</v>
      </c>
      <c r="G501" s="148">
        <v>15000000</v>
      </c>
      <c r="H501" s="148">
        <v>109633519.46991281</v>
      </c>
      <c r="I501" s="148">
        <v>106307549</v>
      </c>
      <c r="J501" s="148">
        <v>-3325970.4699128121</v>
      </c>
      <c r="K501" s="148"/>
    </row>
    <row r="502" spans="1:11" ht="13.2">
      <c r="A502" s="149">
        <v>493</v>
      </c>
      <c r="B502" s="148">
        <v>56983377.5</v>
      </c>
      <c r="C502" s="148">
        <v>56983377.5</v>
      </c>
      <c r="D502" s="148">
        <v>24839437.7727139</v>
      </c>
      <c r="E502" s="148">
        <v>42478320.823223174</v>
      </c>
      <c r="F502" s="148">
        <v>24628086.777541626</v>
      </c>
      <c r="G502" s="148">
        <v>15000000</v>
      </c>
      <c r="H502" s="148">
        <v>106945845.3734787</v>
      </c>
      <c r="I502" s="148">
        <v>113966755</v>
      </c>
      <c r="J502" s="148">
        <v>7020909.6265213042</v>
      </c>
      <c r="K502" s="148"/>
    </row>
    <row r="503" spans="1:11" ht="13.2">
      <c r="A503" s="149">
        <v>494</v>
      </c>
      <c r="B503" s="148">
        <v>57775486</v>
      </c>
      <c r="C503" s="148">
        <v>57775486</v>
      </c>
      <c r="D503" s="148">
        <v>25782259.712935939</v>
      </c>
      <c r="E503" s="148">
        <v>42861154.927567594</v>
      </c>
      <c r="F503" s="148">
        <v>29628296.50220466</v>
      </c>
      <c r="G503" s="148">
        <v>15000000</v>
      </c>
      <c r="H503" s="148">
        <v>113271711.14270818</v>
      </c>
      <c r="I503" s="148">
        <v>115550972</v>
      </c>
      <c r="J503" s="148">
        <v>2279260.8572918177</v>
      </c>
      <c r="K503" s="148"/>
    </row>
    <row r="504" spans="1:11" ht="13.2">
      <c r="A504" s="149">
        <v>495</v>
      </c>
      <c r="B504" s="148">
        <v>63948566.5</v>
      </c>
      <c r="C504" s="148">
        <v>63948566.5</v>
      </c>
      <c r="D504" s="148">
        <v>23633804.385156322</v>
      </c>
      <c r="E504" s="148">
        <v>41470212.884333238</v>
      </c>
      <c r="F504" s="148">
        <v>25292271.32197265</v>
      </c>
      <c r="G504" s="148">
        <v>15000000</v>
      </c>
      <c r="H504" s="148">
        <v>105396288.59146221</v>
      </c>
      <c r="I504" s="148">
        <v>127897133</v>
      </c>
      <c r="J504" s="148">
        <v>22500844.40853779</v>
      </c>
      <c r="K504" s="148"/>
    </row>
    <row r="505" spans="1:11" ht="13.2">
      <c r="A505" s="149">
        <v>496</v>
      </c>
      <c r="B505" s="148">
        <v>58453255</v>
      </c>
      <c r="C505" s="148">
        <v>58453255</v>
      </c>
      <c r="D505" s="148">
        <v>25261304.838902917</v>
      </c>
      <c r="E505" s="148">
        <v>42707721.622008353</v>
      </c>
      <c r="F505" s="148">
        <v>28599638.090895474</v>
      </c>
      <c r="G505" s="148">
        <v>15000000</v>
      </c>
      <c r="H505" s="148">
        <v>111568664.55180675</v>
      </c>
      <c r="I505" s="148">
        <v>116906510</v>
      </c>
      <c r="J505" s="148">
        <v>5337845.4481932521</v>
      </c>
      <c r="K505" s="148"/>
    </row>
    <row r="506" spans="1:11" ht="13.2">
      <c r="A506" s="149">
        <v>497</v>
      </c>
      <c r="B506" s="148">
        <v>53521972.5</v>
      </c>
      <c r="C506" s="148">
        <v>53521972.5</v>
      </c>
      <c r="D506" s="148">
        <v>22440576.300572935</v>
      </c>
      <c r="E506" s="148">
        <v>41487179.523894921</v>
      </c>
      <c r="F506" s="148">
        <v>29933464.812345311</v>
      </c>
      <c r="G506" s="148">
        <v>15000000</v>
      </c>
      <c r="H506" s="148">
        <v>108861220.63681316</v>
      </c>
      <c r="I506" s="148">
        <v>107043945</v>
      </c>
      <c r="J506" s="148">
        <v>-1817275.6368131638</v>
      </c>
      <c r="K506" s="148"/>
    </row>
    <row r="507" spans="1:11" ht="13.2">
      <c r="A507" s="149">
        <v>498</v>
      </c>
      <c r="B507" s="148">
        <v>55919872</v>
      </c>
      <c r="C507" s="148">
        <v>55919872</v>
      </c>
      <c r="D507" s="148">
        <v>23236453.824364044</v>
      </c>
      <c r="E507" s="148">
        <v>42289138.450562432</v>
      </c>
      <c r="F507" s="148">
        <v>29498729.471281592</v>
      </c>
      <c r="G507" s="148">
        <v>15000000</v>
      </c>
      <c r="H507" s="148">
        <v>110024321.74620807</v>
      </c>
      <c r="I507" s="148">
        <v>111839744</v>
      </c>
      <c r="J507" s="148">
        <v>1815422.2537919283</v>
      </c>
      <c r="K507" s="148"/>
    </row>
    <row r="508" spans="1:11" ht="13.2">
      <c r="A508" s="149">
        <v>499</v>
      </c>
      <c r="B508" s="148">
        <v>56560499.5</v>
      </c>
      <c r="C508" s="148">
        <v>56560499.5</v>
      </c>
      <c r="D508" s="148">
        <v>25128658.584937729</v>
      </c>
      <c r="E508" s="148">
        <v>42707911.549287044</v>
      </c>
      <c r="F508" s="148">
        <v>26998090.307754148</v>
      </c>
      <c r="G508" s="148">
        <v>15000000</v>
      </c>
      <c r="H508" s="148">
        <v>109834660.44197892</v>
      </c>
      <c r="I508" s="148">
        <v>113120999</v>
      </c>
      <c r="J508" s="148">
        <v>3286338.5580210835</v>
      </c>
      <c r="K508" s="148"/>
    </row>
    <row r="509" spans="1:11" ht="15.75" customHeight="1">
      <c r="A509" s="149">
        <v>500</v>
      </c>
      <c r="B509" s="148">
        <v>53433357</v>
      </c>
      <c r="C509" s="148">
        <v>53433357</v>
      </c>
      <c r="D509" s="148">
        <v>24971789.926127449</v>
      </c>
      <c r="E509" s="148">
        <v>42704566.184220299</v>
      </c>
      <c r="F509" s="148">
        <v>26063933.662642594</v>
      </c>
      <c r="G509" s="148">
        <v>15000000</v>
      </c>
      <c r="H509" s="148">
        <v>108740289.77299035</v>
      </c>
      <c r="I509" s="148">
        <v>106866714</v>
      </c>
      <c r="J509" s="148">
        <v>-1873575.772990346</v>
      </c>
      <c r="K509" s="148"/>
    </row>
  </sheetData>
  <mergeCells count="1">
    <mergeCell ref="O22:U2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B6364-8870-9A41-9A0A-792C5F143923}">
  <sheetPr codeName="Arkusz23">
    <tabColor theme="0" tint="-0.499984740745262"/>
  </sheetPr>
  <dimension ref="B3:J15"/>
  <sheetViews>
    <sheetView workbookViewId="0">
      <selection activeCell="H9" sqref="H9"/>
    </sheetView>
  </sheetViews>
  <sheetFormatPr defaultColWidth="10.77734375" defaultRowHeight="13.2"/>
  <cols>
    <col min="1" max="1" width="10.77734375" style="67"/>
    <col min="2" max="2" width="15.6640625" style="67" customWidth="1"/>
    <col min="3" max="3" width="8.109375" style="67" customWidth="1"/>
    <col min="4" max="10" width="14" style="67" customWidth="1"/>
    <col min="11" max="16384" width="10.77734375" style="67"/>
  </cols>
  <sheetData>
    <row r="3" spans="2:10" ht="15.6">
      <c r="D3" s="205" t="s">
        <v>133</v>
      </c>
      <c r="E3" s="205"/>
      <c r="F3" s="205"/>
      <c r="G3" s="205"/>
      <c r="H3" s="205"/>
      <c r="I3" s="205"/>
      <c r="J3" s="205"/>
    </row>
    <row r="4" spans="2:10" s="114" customFormat="1" ht="25.95" customHeight="1" thickBot="1">
      <c r="C4" s="115"/>
      <c r="D4" s="116">
        <v>-0.15</v>
      </c>
      <c r="E4" s="116">
        <v>-0.1</v>
      </c>
      <c r="F4" s="116">
        <v>-0.05</v>
      </c>
      <c r="G4" s="116">
        <v>0</v>
      </c>
      <c r="H4" s="116">
        <v>0.05</v>
      </c>
      <c r="I4" s="116">
        <v>0.1</v>
      </c>
      <c r="J4" s="116">
        <v>0.15</v>
      </c>
    </row>
    <row r="5" spans="2:10" ht="13.05" customHeight="1">
      <c r="B5" s="206" t="s">
        <v>135</v>
      </c>
      <c r="C5" s="117">
        <f>-30%</f>
        <v>-0.3</v>
      </c>
      <c r="D5" s="113">
        <v>-9288682.5688003693</v>
      </c>
      <c r="E5" s="113">
        <v>-11580353.340095954</v>
      </c>
      <c r="F5" s="113">
        <v>-13068324.251849122</v>
      </c>
      <c r="G5" s="155">
        <v>-15496539.00732789</v>
      </c>
      <c r="H5" s="113">
        <v>-17705383.53754364</v>
      </c>
      <c r="I5" s="113">
        <v>-19962427.533461895</v>
      </c>
      <c r="J5" s="113">
        <v>-22628625.753107503</v>
      </c>
    </row>
    <row r="6" spans="2:10">
      <c r="B6" s="206"/>
      <c r="C6" s="117">
        <v>-0.2</v>
      </c>
      <c r="D6" s="113">
        <v>-1005307.1283997057</v>
      </c>
      <c r="E6" s="113">
        <v>-2827857.1773256869</v>
      </c>
      <c r="F6" s="113">
        <v>-4966934.0072631799</v>
      </c>
      <c r="G6" s="156">
        <v>-7061225.7993543604</v>
      </c>
      <c r="H6" s="113">
        <v>-9754249.492827706</v>
      </c>
      <c r="I6" s="113">
        <v>-11836034.200961377</v>
      </c>
      <c r="J6" s="113">
        <v>-14377861.880898759</v>
      </c>
    </row>
    <row r="7" spans="2:10" ht="13.8" thickBot="1">
      <c r="B7" s="206"/>
      <c r="C7" s="117">
        <v>-0.1</v>
      </c>
      <c r="D7" s="113">
        <v>5357002.7293606158</v>
      </c>
      <c r="E7" s="113">
        <v>3515624.3899903516</v>
      </c>
      <c r="F7" s="113">
        <v>1352191.1770123385</v>
      </c>
      <c r="G7" s="156">
        <v>-1177276.2979717252</v>
      </c>
      <c r="H7" s="113">
        <v>-2598178.8699924694</v>
      </c>
      <c r="I7" s="113">
        <v>-5247436.7304428546</v>
      </c>
      <c r="J7" s="113">
        <v>-7044778.5969415847</v>
      </c>
    </row>
    <row r="8" spans="2:10" ht="13.8" thickBot="1">
      <c r="B8" s="206"/>
      <c r="C8" s="118">
        <v>0</v>
      </c>
      <c r="D8" s="152">
        <v>10845728.580447052</v>
      </c>
      <c r="E8" s="153">
        <v>8079364.9312934391</v>
      </c>
      <c r="F8" s="153">
        <v>6146881.5209989138</v>
      </c>
      <c r="G8" s="158">
        <v>3984837.4207949131</v>
      </c>
      <c r="H8" s="153">
        <v>2003816.0172679168</v>
      </c>
      <c r="I8" s="153">
        <v>-578252.36446826172</v>
      </c>
      <c r="J8" s="154">
        <v>-1829872.9311187861</v>
      </c>
    </row>
    <row r="9" spans="2:10">
      <c r="B9" s="206"/>
      <c r="C9" s="117">
        <v>0.1</v>
      </c>
      <c r="D9" s="113">
        <v>14522219.079126157</v>
      </c>
      <c r="E9" s="113">
        <v>12791789.677299462</v>
      </c>
      <c r="F9" s="113">
        <v>10177989.281899953</v>
      </c>
      <c r="G9" s="156">
        <v>8096889.4339127084</v>
      </c>
      <c r="H9" s="113">
        <v>5952910.3519712128</v>
      </c>
      <c r="I9" s="113">
        <v>3892116.5502775009</v>
      </c>
      <c r="J9" s="113">
        <v>1720083.2223550866</v>
      </c>
    </row>
    <row r="10" spans="2:10">
      <c r="B10" s="206"/>
      <c r="C10" s="117">
        <v>0.2</v>
      </c>
      <c r="D10" s="113">
        <v>16005554.486395247</v>
      </c>
      <c r="E10" s="113">
        <v>14531514.761308823</v>
      </c>
      <c r="F10" s="113">
        <v>13301025.644199599</v>
      </c>
      <c r="G10" s="156">
        <v>10838028.745430751</v>
      </c>
      <c r="H10" s="113">
        <v>8534197.8426616061</v>
      </c>
      <c r="I10" s="113">
        <v>6435914.3458638303</v>
      </c>
      <c r="J10" s="113">
        <v>4554742.2882225923</v>
      </c>
    </row>
    <row r="11" spans="2:10">
      <c r="B11" s="206"/>
      <c r="C11" s="117">
        <v>0.3</v>
      </c>
      <c r="D11" s="113">
        <v>18162928.620534997</v>
      </c>
      <c r="E11" s="113">
        <v>15678174.482811002</v>
      </c>
      <c r="F11" s="113">
        <v>14078946.533902993</v>
      </c>
      <c r="G11" s="156">
        <v>11195634.619155502</v>
      </c>
      <c r="H11" s="113">
        <v>8853726.8948394973</v>
      </c>
      <c r="I11" s="113">
        <v>7239100.4648416974</v>
      </c>
      <c r="J11" s="113">
        <v>5589876.4381939163</v>
      </c>
    </row>
    <row r="12" spans="2:10">
      <c r="B12" s="206"/>
      <c r="C12" s="117">
        <v>0.4</v>
      </c>
      <c r="D12" s="113">
        <v>18510822.054508783</v>
      </c>
      <c r="E12" s="113">
        <v>15193819.531227419</v>
      </c>
      <c r="F12" s="113">
        <v>13204574.93339036</v>
      </c>
      <c r="G12" s="156">
        <v>11668814.019053221</v>
      </c>
      <c r="H12" s="113">
        <v>9166191.116360696</v>
      </c>
      <c r="I12" s="113">
        <v>6564603.671820377</v>
      </c>
      <c r="J12" s="113">
        <v>5130383.5575279538</v>
      </c>
    </row>
    <row r="13" spans="2:10" ht="13.8" thickBot="1">
      <c r="B13" s="206"/>
      <c r="C13" s="117">
        <v>0.5</v>
      </c>
      <c r="D13" s="113">
        <v>16247562.531931479</v>
      </c>
      <c r="E13" s="113">
        <v>14151346.706121173</v>
      </c>
      <c r="F13" s="113">
        <v>12382564.71347273</v>
      </c>
      <c r="G13" s="157">
        <v>9791121.7754379157</v>
      </c>
      <c r="H13" s="113">
        <v>7807711.4586714581</v>
      </c>
      <c r="I13" s="113">
        <v>5361011.3497066675</v>
      </c>
      <c r="J13" s="113">
        <v>3572140.4466395336</v>
      </c>
    </row>
    <row r="14" spans="2:10">
      <c r="C14" s="112"/>
    </row>
    <row r="15" spans="2:10">
      <c r="C15" s="112"/>
    </row>
  </sheetData>
  <mergeCells count="2">
    <mergeCell ref="D3:J3"/>
    <mergeCell ref="B5:B13"/>
  </mergeCells>
  <conditionalFormatting sqref="D5:J1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B2D3A4-105B-3444-9B7D-0551DB69A18D}">
  <sheetPr codeName="Arkusz24">
    <tabColor theme="0" tint="-0.499984740745262"/>
  </sheetPr>
  <dimension ref="A3:I208"/>
  <sheetViews>
    <sheetView workbookViewId="0">
      <selection activeCell="F4" sqref="F4"/>
    </sheetView>
  </sheetViews>
  <sheetFormatPr defaultColWidth="10.77734375" defaultRowHeight="13.2"/>
  <cols>
    <col min="1" max="1" width="10.77734375" style="33"/>
    <col min="2" max="9" width="16.6640625" style="33" customWidth="1"/>
    <col min="10" max="16384" width="10.77734375" style="33"/>
  </cols>
  <sheetData>
    <row r="3" spans="1:9">
      <c r="C3" s="94"/>
      <c r="D3" s="94"/>
      <c r="E3" s="94"/>
      <c r="F3" s="94"/>
      <c r="G3" s="94"/>
      <c r="H3" s="94"/>
      <c r="I3" s="94"/>
    </row>
    <row r="4" spans="1:9">
      <c r="B4" s="70" t="s">
        <v>121</v>
      </c>
      <c r="C4" s="94">
        <f>AVERAGE(C9:C208)</f>
        <v>16247562.531931479</v>
      </c>
      <c r="D4" s="94">
        <f t="shared" ref="D4:I4" si="0">AVERAGE(D9:D208)</f>
        <v>14151346.706121173</v>
      </c>
      <c r="E4" s="94">
        <f t="shared" si="0"/>
        <v>12382564.71347273</v>
      </c>
      <c r="F4" s="94">
        <f t="shared" si="0"/>
        <v>9791121.7754379157</v>
      </c>
      <c r="G4" s="94">
        <f t="shared" si="0"/>
        <v>7807711.4586714581</v>
      </c>
      <c r="H4" s="94">
        <f t="shared" si="0"/>
        <v>5361011.3497066675</v>
      </c>
      <c r="I4" s="94">
        <f t="shared" si="0"/>
        <v>3572140.4466395336</v>
      </c>
    </row>
    <row r="6" spans="1:9" ht="15.6">
      <c r="C6" s="205" t="s">
        <v>133</v>
      </c>
      <c r="D6" s="205"/>
      <c r="E6" s="205"/>
      <c r="F6" s="205"/>
      <c r="G6" s="205"/>
      <c r="H6" s="205"/>
      <c r="I6" s="205"/>
    </row>
    <row r="7" spans="1:9">
      <c r="B7" s="101" t="s">
        <v>10</v>
      </c>
      <c r="C7" s="103">
        <v>-0.15</v>
      </c>
      <c r="D7" s="103">
        <v>-0.1</v>
      </c>
      <c r="E7" s="103">
        <v>-0.05</v>
      </c>
      <c r="F7" s="103">
        <v>0</v>
      </c>
      <c r="G7" s="103">
        <v>0.05</v>
      </c>
      <c r="H7" s="103">
        <v>0.1</v>
      </c>
      <c r="I7" s="103">
        <v>0.15</v>
      </c>
    </row>
    <row r="8" spans="1:9">
      <c r="A8" s="70" t="s">
        <v>134</v>
      </c>
      <c r="B8" s="105">
        <v>10473818.034860253</v>
      </c>
      <c r="C8" s="106">
        <v>36341606.868500002</v>
      </c>
      <c r="D8" s="106">
        <v>38479348.449000001</v>
      </c>
      <c r="E8" s="106">
        <v>40617090.0295</v>
      </c>
      <c r="F8" s="106">
        <v>42754831.609999999</v>
      </c>
      <c r="G8" s="106">
        <v>44892573.190499999</v>
      </c>
      <c r="H8" s="106">
        <v>47030314.771000005</v>
      </c>
      <c r="I8" s="106">
        <v>49168056.351499997</v>
      </c>
    </row>
    <row r="9" spans="1:9">
      <c r="B9" s="102">
        <v>1</v>
      </c>
      <c r="C9" s="104">
        <v>16176291.990160197</v>
      </c>
      <c r="D9" s="104">
        <v>15360244.373740315</v>
      </c>
      <c r="E9" s="104">
        <v>11930177.219979048</v>
      </c>
      <c r="F9" s="104">
        <v>11802788.953856796</v>
      </c>
      <c r="G9" s="104">
        <v>9976108.9668504298</v>
      </c>
      <c r="H9" s="104">
        <v>7441233.0064554363</v>
      </c>
      <c r="I9" s="104">
        <v>7537837.2441102862</v>
      </c>
    </row>
    <row r="10" spans="1:9">
      <c r="B10" s="102">
        <v>2</v>
      </c>
      <c r="C10" s="104">
        <v>11789434.853293195</v>
      </c>
      <c r="D10" s="104">
        <v>18089127.533706442</v>
      </c>
      <c r="E10" s="104">
        <v>5640163.7818343639</v>
      </c>
      <c r="F10" s="104">
        <v>9709057.1795121878</v>
      </c>
      <c r="G10" s="104">
        <v>3248794.046815604</v>
      </c>
      <c r="H10" s="104">
        <v>4984564.4366002828</v>
      </c>
      <c r="I10" s="104">
        <v>-4280068.3004130274</v>
      </c>
    </row>
    <row r="11" spans="1:9">
      <c r="B11" s="102">
        <v>3</v>
      </c>
      <c r="C11" s="104">
        <v>23911851.694941536</v>
      </c>
      <c r="D11" s="104">
        <v>11831002.053511828</v>
      </c>
      <c r="E11" s="104">
        <v>10374226.194104105</v>
      </c>
      <c r="F11" s="104">
        <v>10010226.542693526</v>
      </c>
      <c r="G11" s="104">
        <v>9972032.0322516859</v>
      </c>
      <c r="H11" s="104">
        <v>1792858.97094962</v>
      </c>
      <c r="I11" s="104">
        <v>3104565.1359958351</v>
      </c>
    </row>
    <row r="12" spans="1:9">
      <c r="B12" s="102">
        <v>4</v>
      </c>
      <c r="C12" s="104">
        <v>28890584.784238264</v>
      </c>
      <c r="D12" s="104">
        <v>19116699.633608535</v>
      </c>
      <c r="E12" s="104">
        <v>19185031.338544264</v>
      </c>
      <c r="F12" s="104">
        <v>10970700.685689509</v>
      </c>
      <c r="G12" s="104">
        <v>11763854.69754003</v>
      </c>
      <c r="H12" s="104">
        <v>17548879.599733382</v>
      </c>
      <c r="I12" s="104">
        <v>6743770.3025953323</v>
      </c>
    </row>
    <row r="13" spans="1:9">
      <c r="B13" s="102">
        <v>5</v>
      </c>
      <c r="C13" s="104">
        <v>21421326.785822451</v>
      </c>
      <c r="D13" s="104">
        <v>5412681.6026812792</v>
      </c>
      <c r="E13" s="104">
        <v>13440362.571815521</v>
      </c>
      <c r="F13" s="104">
        <v>16945941.956798658</v>
      </c>
      <c r="G13" s="104">
        <v>-2373335.4172182679</v>
      </c>
      <c r="H13" s="104">
        <v>5061776.7570712864</v>
      </c>
      <c r="I13" s="104">
        <v>14517510.032080472</v>
      </c>
    </row>
    <row r="14" spans="1:9">
      <c r="B14" s="102">
        <v>6</v>
      </c>
      <c r="C14" s="104">
        <v>14939957.347084954</v>
      </c>
      <c r="D14" s="104">
        <v>7066107.2306088507</v>
      </c>
      <c r="E14" s="104">
        <v>14824772.342410192</v>
      </c>
      <c r="F14" s="104">
        <v>13750286.102481902</v>
      </c>
      <c r="G14" s="104">
        <v>-38041.757896482944</v>
      </c>
      <c r="H14" s="104">
        <v>16630429.204426393</v>
      </c>
      <c r="I14" s="104">
        <v>-3225675.8941913396</v>
      </c>
    </row>
    <row r="15" spans="1:9">
      <c r="B15" s="102">
        <v>7</v>
      </c>
      <c r="C15" s="104">
        <v>18563229.273001179</v>
      </c>
      <c r="D15" s="104">
        <v>11918477.929701567</v>
      </c>
      <c r="E15" s="104">
        <v>17976523.754023701</v>
      </c>
      <c r="F15" s="104">
        <v>5160163.4937668741</v>
      </c>
      <c r="G15" s="104">
        <v>7105933.1571639776</v>
      </c>
      <c r="H15" s="104">
        <v>5644650.8136398494</v>
      </c>
      <c r="I15" s="104">
        <v>-3994117.1037035435</v>
      </c>
    </row>
    <row r="16" spans="1:9">
      <c r="B16" s="102">
        <v>8</v>
      </c>
      <c r="C16" s="104">
        <v>20464602.067101926</v>
      </c>
      <c r="D16" s="104">
        <v>13660711.150903702</v>
      </c>
      <c r="E16" s="104">
        <v>9032281.611334458</v>
      </c>
      <c r="F16" s="104">
        <v>-2351810.9014120549</v>
      </c>
      <c r="G16" s="104">
        <v>-241429.07809272408</v>
      </c>
      <c r="H16" s="104">
        <v>12232896.845144778</v>
      </c>
      <c r="I16" s="104">
        <v>-1311133.7102380842</v>
      </c>
    </row>
    <row r="17" spans="2:9">
      <c r="B17" s="102">
        <v>9</v>
      </c>
      <c r="C17" s="104">
        <v>17230643.090138391</v>
      </c>
      <c r="D17" s="104">
        <v>847434.28335696459</v>
      </c>
      <c r="E17" s="104">
        <v>10218578.274926618</v>
      </c>
      <c r="F17" s="104">
        <v>20299263.586821437</v>
      </c>
      <c r="G17" s="104">
        <v>11087219.00399062</v>
      </c>
      <c r="H17" s="104">
        <v>-628462.48465672135</v>
      </c>
      <c r="I17" s="104">
        <v>-961140.45849302411</v>
      </c>
    </row>
    <row r="18" spans="2:9">
      <c r="B18" s="102">
        <v>10</v>
      </c>
      <c r="C18" s="104">
        <v>24772016.20979774</v>
      </c>
      <c r="D18" s="104">
        <v>20754546.718515426</v>
      </c>
      <c r="E18" s="104">
        <v>17902937.658771321</v>
      </c>
      <c r="F18" s="104">
        <v>7919976.7811911404</v>
      </c>
      <c r="G18" s="104">
        <v>1170131.263953492</v>
      </c>
      <c r="H18" s="104">
        <v>5122055.0398433954</v>
      </c>
      <c r="I18" s="104">
        <v>-2142012.5851243138</v>
      </c>
    </row>
    <row r="19" spans="2:9">
      <c r="B19" s="102">
        <v>11</v>
      </c>
      <c r="C19" s="104">
        <v>18564086.314775169</v>
      </c>
      <c r="D19" s="104">
        <v>19190521.794161975</v>
      </c>
      <c r="E19" s="104">
        <v>18899707.627853379</v>
      </c>
      <c r="F19" s="104">
        <v>17241202.242745012</v>
      </c>
      <c r="G19" s="104">
        <v>9931334.8395304829</v>
      </c>
      <c r="H19" s="104">
        <v>6018763.463685438</v>
      </c>
      <c r="I19" s="104">
        <v>11488840.587024152</v>
      </c>
    </row>
    <row r="20" spans="2:9">
      <c r="B20" s="102">
        <v>12</v>
      </c>
      <c r="C20" s="104">
        <v>17899221.167025924</v>
      </c>
      <c r="D20" s="104">
        <v>18197979.463017613</v>
      </c>
      <c r="E20" s="104">
        <v>13543735.460385278</v>
      </c>
      <c r="F20" s="104">
        <v>8478288.4948433936</v>
      </c>
      <c r="G20" s="104">
        <v>9068260.1103385389</v>
      </c>
      <c r="H20" s="104">
        <v>12307951.769181311</v>
      </c>
      <c r="I20" s="104">
        <v>6758263.7160251588</v>
      </c>
    </row>
    <row r="21" spans="2:9">
      <c r="B21" s="102">
        <v>13</v>
      </c>
      <c r="C21" s="104">
        <v>10997081.690376371</v>
      </c>
      <c r="D21" s="104">
        <v>6464809.219062984</v>
      </c>
      <c r="E21" s="104">
        <v>20692495.026003271</v>
      </c>
      <c r="F21" s="104">
        <v>10022638.890824944</v>
      </c>
      <c r="G21" s="104">
        <v>8416589.3123632073</v>
      </c>
      <c r="H21" s="104">
        <v>2873405.7261837274</v>
      </c>
      <c r="I21" s="104">
        <v>3137159.5535522103</v>
      </c>
    </row>
    <row r="22" spans="2:9">
      <c r="B22" s="102">
        <v>14</v>
      </c>
      <c r="C22" s="104">
        <v>18829326.177925661</v>
      </c>
      <c r="D22" s="104">
        <v>6590922.8478825986</v>
      </c>
      <c r="E22" s="104">
        <v>13885455.274869829</v>
      </c>
      <c r="F22" s="104">
        <v>16153015.145707339</v>
      </c>
      <c r="G22" s="104">
        <v>10040941.587365091</v>
      </c>
      <c r="H22" s="104">
        <v>17025042.922087848</v>
      </c>
      <c r="I22" s="104">
        <v>7850198.4049609005</v>
      </c>
    </row>
    <row r="23" spans="2:9">
      <c r="B23" s="102">
        <v>15</v>
      </c>
      <c r="C23" s="104">
        <v>19477962.699743286</v>
      </c>
      <c r="D23" s="104">
        <v>3330602.3648173213</v>
      </c>
      <c r="E23" s="104">
        <v>13577301.907245249</v>
      </c>
      <c r="F23" s="104">
        <v>331747.39659026265</v>
      </c>
      <c r="G23" s="104">
        <v>-2930102.8292206824</v>
      </c>
      <c r="H23" s="104">
        <v>1107160.5812112689</v>
      </c>
      <c r="I23" s="104">
        <v>-2546002.9591262043</v>
      </c>
    </row>
    <row r="24" spans="2:9">
      <c r="B24" s="102">
        <v>16</v>
      </c>
      <c r="C24" s="104">
        <v>13484723.477686673</v>
      </c>
      <c r="D24" s="104">
        <v>24452397.488955081</v>
      </c>
      <c r="E24" s="104">
        <v>21050471.443837047</v>
      </c>
      <c r="F24" s="104">
        <v>14499082.486435577</v>
      </c>
      <c r="G24" s="104">
        <v>19428694.195163235</v>
      </c>
      <c r="H24" s="104">
        <v>5228698.4089984596</v>
      </c>
      <c r="I24" s="104">
        <v>1392742.9018598795</v>
      </c>
    </row>
    <row r="25" spans="2:9">
      <c r="B25" s="102">
        <v>17</v>
      </c>
      <c r="C25" s="104">
        <v>13448967.77253297</v>
      </c>
      <c r="D25" s="104">
        <v>11321042.753368512</v>
      </c>
      <c r="E25" s="104">
        <v>8421865.9767518789</v>
      </c>
      <c r="F25" s="104">
        <v>20862604.8096423</v>
      </c>
      <c r="G25" s="104">
        <v>4011754.5848424286</v>
      </c>
      <c r="H25" s="104">
        <v>9262020.1404476464</v>
      </c>
      <c r="I25" s="104">
        <v>7454114.3154831082</v>
      </c>
    </row>
    <row r="26" spans="2:9">
      <c r="B26" s="102">
        <v>18</v>
      </c>
      <c r="C26" s="104">
        <v>21453591.673280776</v>
      </c>
      <c r="D26" s="104">
        <v>14966082.915913939</v>
      </c>
      <c r="E26" s="104">
        <v>19849974.110428393</v>
      </c>
      <c r="F26" s="104">
        <v>12355264.064082623</v>
      </c>
      <c r="G26" s="104">
        <v>8237611.4814342707</v>
      </c>
      <c r="H26" s="104">
        <v>-3574225.6863697767</v>
      </c>
      <c r="I26" s="104">
        <v>8163191.3268796206</v>
      </c>
    </row>
    <row r="27" spans="2:9">
      <c r="B27" s="102">
        <v>19</v>
      </c>
      <c r="C27" s="104">
        <v>12631009.647991985</v>
      </c>
      <c r="D27" s="104">
        <v>13106848.117654234</v>
      </c>
      <c r="E27" s="104">
        <v>6339631.045211032</v>
      </c>
      <c r="F27" s="104">
        <v>9602608.6220960915</v>
      </c>
      <c r="G27" s="104">
        <v>12402362.674239337</v>
      </c>
      <c r="H27" s="104">
        <v>1134872.6514038891</v>
      </c>
      <c r="I27" s="104">
        <v>10646421.071041137</v>
      </c>
    </row>
    <row r="28" spans="2:9">
      <c r="B28" s="102">
        <v>20</v>
      </c>
      <c r="C28" s="104">
        <v>31335316.880239859</v>
      </c>
      <c r="D28" s="104">
        <v>21366769.732550323</v>
      </c>
      <c r="E28" s="104">
        <v>11619192.631119892</v>
      </c>
      <c r="F28" s="104">
        <v>6814271.6122098565</v>
      </c>
      <c r="G28" s="104">
        <v>2884470.0884046406</v>
      </c>
      <c r="H28" s="104">
        <v>6417302.7865272313</v>
      </c>
      <c r="I28" s="104">
        <v>12848966.447418749</v>
      </c>
    </row>
    <row r="29" spans="2:9">
      <c r="B29" s="102">
        <v>21</v>
      </c>
      <c r="C29" s="104">
        <v>15192938.916861311</v>
      </c>
      <c r="D29" s="104">
        <v>7061151.5495240837</v>
      </c>
      <c r="E29" s="104">
        <v>26061455.856094599</v>
      </c>
      <c r="F29" s="104">
        <v>13997819.896939337</v>
      </c>
      <c r="G29" s="104">
        <v>11205154.385221198</v>
      </c>
      <c r="H29" s="104">
        <v>2257322.37375772</v>
      </c>
      <c r="I29" s="104">
        <v>5572280.5636486113</v>
      </c>
    </row>
    <row r="30" spans="2:9">
      <c r="B30" s="102">
        <v>22</v>
      </c>
      <c r="C30" s="104">
        <v>12406857.666539177</v>
      </c>
      <c r="D30" s="104">
        <v>18754058.425982103</v>
      </c>
      <c r="E30" s="104">
        <v>17457077.05000791</v>
      </c>
      <c r="F30" s="104">
        <v>5841388.8525439054</v>
      </c>
      <c r="G30" s="104">
        <v>13198347.422059461</v>
      </c>
      <c r="H30" s="104">
        <v>15122108.052025571</v>
      </c>
      <c r="I30" s="104">
        <v>-1190423.7695541978</v>
      </c>
    </row>
    <row r="31" spans="2:9">
      <c r="B31" s="102">
        <v>23</v>
      </c>
      <c r="C31" s="104">
        <v>2993738.4086716324</v>
      </c>
      <c r="D31" s="104">
        <v>14510402.446103841</v>
      </c>
      <c r="E31" s="104">
        <v>7122786.8346341997</v>
      </c>
      <c r="F31" s="104">
        <v>15244446.9953565</v>
      </c>
      <c r="G31" s="104">
        <v>-1875822.5187873244</v>
      </c>
      <c r="H31" s="104">
        <v>-4023027.9658783674</v>
      </c>
      <c r="I31" s="104">
        <v>3233869.0820423067</v>
      </c>
    </row>
    <row r="32" spans="2:9">
      <c r="B32" s="102">
        <v>24</v>
      </c>
      <c r="C32" s="104">
        <v>16145697.111620069</v>
      </c>
      <c r="D32" s="104">
        <v>1518350.46017766</v>
      </c>
      <c r="E32" s="104">
        <v>14718058.529023066</v>
      </c>
      <c r="F32" s="104">
        <v>11050431.292776495</v>
      </c>
      <c r="G32" s="104">
        <v>4550584.1719311476</v>
      </c>
      <c r="H32" s="104">
        <v>-2308553.7049853504</v>
      </c>
      <c r="I32" s="104">
        <v>3320651.1840675473</v>
      </c>
    </row>
    <row r="33" spans="2:9">
      <c r="B33" s="102">
        <v>25</v>
      </c>
      <c r="C33" s="104">
        <v>31200528.966976479</v>
      </c>
      <c r="D33" s="104">
        <v>24250574.789759234</v>
      </c>
      <c r="E33" s="104">
        <v>6229558.4466089308</v>
      </c>
      <c r="F33" s="104">
        <v>7966947.7827685177</v>
      </c>
      <c r="G33" s="104">
        <v>9245205.0727942288</v>
      </c>
      <c r="H33" s="104">
        <v>22198705.626362234</v>
      </c>
      <c r="I33" s="104">
        <v>-320599.21315737069</v>
      </c>
    </row>
    <row r="34" spans="2:9">
      <c r="B34" s="102">
        <v>26</v>
      </c>
      <c r="C34" s="104">
        <v>26877997.570975363</v>
      </c>
      <c r="D34" s="104">
        <v>4520038.5712084025</v>
      </c>
      <c r="E34" s="104">
        <v>13775632.846732929</v>
      </c>
      <c r="F34" s="104">
        <v>1732021.6101455092</v>
      </c>
      <c r="G34" s="104">
        <v>6303395.1694622338</v>
      </c>
      <c r="H34" s="104">
        <v>14042260.102314353</v>
      </c>
      <c r="I34" s="104">
        <v>12754762.424459532</v>
      </c>
    </row>
    <row r="35" spans="2:9">
      <c r="B35" s="102">
        <v>27</v>
      </c>
      <c r="C35" s="104">
        <v>23398197.340782344</v>
      </c>
      <c r="D35" s="104">
        <v>22291448.160609111</v>
      </c>
      <c r="E35" s="104">
        <v>15489032.970855832</v>
      </c>
      <c r="F35" s="104">
        <v>23981230.393446147</v>
      </c>
      <c r="G35" s="104">
        <v>5530540.33729285</v>
      </c>
      <c r="H35" s="104">
        <v>7842851.0541109145</v>
      </c>
      <c r="I35" s="104">
        <v>2575629.5021888316</v>
      </c>
    </row>
    <row r="36" spans="2:9">
      <c r="B36" s="102">
        <v>28</v>
      </c>
      <c r="C36" s="104">
        <v>18267942.362929612</v>
      </c>
      <c r="D36" s="104">
        <v>6139621.0572781712</v>
      </c>
      <c r="E36" s="104">
        <v>13309172.582634211</v>
      </c>
      <c r="F36" s="104">
        <v>7601255.9613867849</v>
      </c>
      <c r="G36" s="104">
        <v>13316322.570259333</v>
      </c>
      <c r="H36" s="104">
        <v>7789713.069277361</v>
      </c>
      <c r="I36" s="104">
        <v>3057545.8926967084</v>
      </c>
    </row>
    <row r="37" spans="2:9">
      <c r="B37" s="102">
        <v>29</v>
      </c>
      <c r="C37" s="104">
        <v>26061096.178973794</v>
      </c>
      <c r="D37" s="104">
        <v>12437728.584040835</v>
      </c>
      <c r="E37" s="104">
        <v>16378498.397294879</v>
      </c>
      <c r="F37" s="104">
        <v>10872910.070606619</v>
      </c>
      <c r="G37" s="104">
        <v>7294756.0260579139</v>
      </c>
      <c r="H37" s="104">
        <v>5827772.1722992659</v>
      </c>
      <c r="I37" s="104">
        <v>-3686407.5192941129</v>
      </c>
    </row>
    <row r="38" spans="2:9">
      <c r="B38" s="102">
        <v>30</v>
      </c>
      <c r="C38" s="104">
        <v>19573090.137752086</v>
      </c>
      <c r="D38" s="104">
        <v>6472202.6987015009</v>
      </c>
      <c r="E38" s="104">
        <v>23039461.279959232</v>
      </c>
      <c r="F38" s="104">
        <v>9057185.5885041952</v>
      </c>
      <c r="G38" s="104">
        <v>9526951.1587642282</v>
      </c>
      <c r="H38" s="104">
        <v>1637539.7786476761</v>
      </c>
      <c r="I38" s="104">
        <v>11646495.907065094</v>
      </c>
    </row>
    <row r="39" spans="2:9">
      <c r="B39" s="102">
        <v>31</v>
      </c>
      <c r="C39" s="104">
        <v>23129920.033501789</v>
      </c>
      <c r="D39" s="104">
        <v>3347970.0039706528</v>
      </c>
      <c r="E39" s="104">
        <v>1744353.414219752</v>
      </c>
      <c r="F39" s="104">
        <v>10987072.119592309</v>
      </c>
      <c r="G39" s="104">
        <v>11144998.77365458</v>
      </c>
      <c r="H39" s="104">
        <v>-1455974.8572215438</v>
      </c>
      <c r="I39" s="104">
        <v>6171589.0470619351</v>
      </c>
    </row>
    <row r="40" spans="2:9">
      <c r="B40" s="102">
        <v>32</v>
      </c>
      <c r="C40" s="104">
        <v>21262726.59440586</v>
      </c>
      <c r="D40" s="104">
        <v>17512094.220691025</v>
      </c>
      <c r="E40" s="104">
        <v>6443823.3873889744</v>
      </c>
      <c r="F40" s="104">
        <v>6771109.1623720974</v>
      </c>
      <c r="G40" s="104">
        <v>8887232.3630903959</v>
      </c>
      <c r="H40" s="104">
        <v>12255335.69019559</v>
      </c>
      <c r="I40" s="104">
        <v>-8495050.8120634258</v>
      </c>
    </row>
    <row r="41" spans="2:9">
      <c r="B41" s="102">
        <v>33</v>
      </c>
      <c r="C41" s="104">
        <v>22289468.194570929</v>
      </c>
      <c r="D41" s="104">
        <v>9805099.728113994</v>
      </c>
      <c r="E41" s="104">
        <v>21207017.498479247</v>
      </c>
      <c r="F41" s="104">
        <v>15401879.571580157</v>
      </c>
      <c r="G41" s="104">
        <v>12350162.616674885</v>
      </c>
      <c r="H41" s="104">
        <v>1843972.7190037072</v>
      </c>
      <c r="I41" s="104">
        <v>2287615.8264162838</v>
      </c>
    </row>
    <row r="42" spans="2:9">
      <c r="B42" s="102">
        <v>34</v>
      </c>
      <c r="C42" s="104">
        <v>32417255.072894931</v>
      </c>
      <c r="D42" s="104">
        <v>20135354.530283153</v>
      </c>
      <c r="E42" s="104">
        <v>14966059.817072272</v>
      </c>
      <c r="F42" s="104">
        <v>8739269.0674127042</v>
      </c>
      <c r="G42" s="104">
        <v>10397476.475060806</v>
      </c>
      <c r="H42" s="104">
        <v>11075737.507436022</v>
      </c>
      <c r="I42" s="104">
        <v>7788003.4726013839</v>
      </c>
    </row>
    <row r="43" spans="2:9">
      <c r="B43" s="102">
        <v>35</v>
      </c>
      <c r="C43" s="104">
        <v>22344490.324390024</v>
      </c>
      <c r="D43" s="104">
        <v>13340253.630155161</v>
      </c>
      <c r="E43" s="104">
        <v>13840770.030014217</v>
      </c>
      <c r="F43" s="104">
        <v>5663956.6916849017</v>
      </c>
      <c r="G43" s="104">
        <v>4269571.8964390755</v>
      </c>
      <c r="H43" s="104">
        <v>10442510.326743558</v>
      </c>
      <c r="I43" s="104">
        <v>8903890.5545569658</v>
      </c>
    </row>
    <row r="44" spans="2:9">
      <c r="B44" s="102">
        <v>36</v>
      </c>
      <c r="C44" s="104">
        <v>14811737.130763188</v>
      </c>
      <c r="D44" s="104">
        <v>5349047.0761763453</v>
      </c>
      <c r="E44" s="104">
        <v>5570953.9066127092</v>
      </c>
      <c r="F44" s="104">
        <v>5984488.0138902664</v>
      </c>
      <c r="G44" s="104">
        <v>9994520.5976161063</v>
      </c>
      <c r="H44" s="104">
        <v>-2716378.8678321838</v>
      </c>
      <c r="I44" s="104">
        <v>728006.08151808381</v>
      </c>
    </row>
    <row r="45" spans="2:9">
      <c r="B45" s="102">
        <v>37</v>
      </c>
      <c r="C45" s="104">
        <v>18316401.739969224</v>
      </c>
      <c r="D45" s="104">
        <v>12247178.912602231</v>
      </c>
      <c r="E45" s="104">
        <v>7090171.8353463262</v>
      </c>
      <c r="F45" s="104">
        <v>13055555.266447723</v>
      </c>
      <c r="G45" s="104">
        <v>7425153.7864913642</v>
      </c>
      <c r="H45" s="104">
        <v>9647018.3707879186</v>
      </c>
      <c r="I45" s="104">
        <v>-2493947.8960000277</v>
      </c>
    </row>
    <row r="46" spans="2:9">
      <c r="B46" s="102">
        <v>38</v>
      </c>
      <c r="C46" s="104">
        <v>30191596.290355816</v>
      </c>
      <c r="D46" s="104">
        <v>22454044.539337978</v>
      </c>
      <c r="E46" s="104">
        <v>9578311.5665764064</v>
      </c>
      <c r="F46" s="104">
        <v>2108228.1443062574</v>
      </c>
      <c r="G46" s="104">
        <v>-2055616.5553348064</v>
      </c>
      <c r="H46" s="104">
        <v>-4610007.0239434242</v>
      </c>
      <c r="I46" s="104">
        <v>5163796.4606415629</v>
      </c>
    </row>
    <row r="47" spans="2:9">
      <c r="B47" s="102">
        <v>39</v>
      </c>
      <c r="C47" s="104">
        <v>18233818.639081165</v>
      </c>
      <c r="D47" s="104">
        <v>14444582.135631859</v>
      </c>
      <c r="E47" s="104">
        <v>11600500.283466846</v>
      </c>
      <c r="F47" s="104">
        <v>14655712.877656251</v>
      </c>
      <c r="G47" s="104">
        <v>1999177.8005159646</v>
      </c>
      <c r="H47" s="104">
        <v>16178497.336089537</v>
      </c>
      <c r="I47" s="104">
        <v>-141818.27117574215</v>
      </c>
    </row>
    <row r="48" spans="2:9">
      <c r="B48" s="102">
        <v>40</v>
      </c>
      <c r="C48" s="104">
        <v>24389423.572139114</v>
      </c>
      <c r="D48" s="104">
        <v>11763984.003771231</v>
      </c>
      <c r="E48" s="104">
        <v>8062178.5860767066</v>
      </c>
      <c r="F48" s="104">
        <v>7523864.3801608086</v>
      </c>
      <c r="G48" s="104">
        <v>7575529.340890944</v>
      </c>
      <c r="H48" s="104">
        <v>5069026.4310510457</v>
      </c>
      <c r="I48" s="104">
        <v>1979816.7083137929</v>
      </c>
    </row>
    <row r="49" spans="2:9">
      <c r="B49" s="102">
        <v>41</v>
      </c>
      <c r="C49" s="104">
        <v>14796232.155417547</v>
      </c>
      <c r="D49" s="104">
        <v>23664482.630581796</v>
      </c>
      <c r="E49" s="104">
        <v>-691560.44357419014</v>
      </c>
      <c r="F49" s="104">
        <v>10198283.506725505</v>
      </c>
      <c r="G49" s="104">
        <v>1929308.384677574</v>
      </c>
      <c r="H49" s="104">
        <v>6363579.1195361912</v>
      </c>
      <c r="I49" s="104">
        <v>442783.50718764961</v>
      </c>
    </row>
    <row r="50" spans="2:9">
      <c r="B50" s="102">
        <v>42</v>
      </c>
      <c r="C50" s="104">
        <v>9868019.3688786179</v>
      </c>
      <c r="D50" s="104">
        <v>14797415.944433689</v>
      </c>
      <c r="E50" s="104">
        <v>13575766.941335499</v>
      </c>
      <c r="F50" s="104">
        <v>22436397.22339277</v>
      </c>
      <c r="G50" s="104">
        <v>7836512.3121216595</v>
      </c>
      <c r="H50" s="104">
        <v>4031707.278234303</v>
      </c>
      <c r="I50" s="104">
        <v>-3342712.197411567</v>
      </c>
    </row>
    <row r="51" spans="2:9">
      <c r="B51" s="102">
        <v>43</v>
      </c>
      <c r="C51" s="104">
        <v>8280852.3314702809</v>
      </c>
      <c r="D51" s="104">
        <v>9583773.004560709</v>
      </c>
      <c r="E51" s="104">
        <v>10102882.798605606</v>
      </c>
      <c r="F51" s="104">
        <v>13787354.427902088</v>
      </c>
      <c r="G51" s="104">
        <v>-3642409.3956790566</v>
      </c>
      <c r="H51" s="104">
        <v>6944638.4254516214</v>
      </c>
      <c r="I51" s="104">
        <v>-2992453.1723135412</v>
      </c>
    </row>
    <row r="52" spans="2:9">
      <c r="B52" s="102">
        <v>44</v>
      </c>
      <c r="C52" s="104">
        <v>21551042.993293479</v>
      </c>
      <c r="D52" s="104">
        <v>16244834.632781386</v>
      </c>
      <c r="E52" s="104">
        <v>14686873.514396057</v>
      </c>
      <c r="F52" s="104">
        <v>14164736.629542649</v>
      </c>
      <c r="G52" s="104">
        <v>13793534.464525819</v>
      </c>
      <c r="H52" s="104">
        <v>2446798.4730831683</v>
      </c>
      <c r="I52" s="104">
        <v>246379.54719185829</v>
      </c>
    </row>
    <row r="53" spans="2:9">
      <c r="B53" s="102">
        <v>45</v>
      </c>
      <c r="C53" s="104">
        <v>22858729.364096731</v>
      </c>
      <c r="D53" s="104">
        <v>18326054.686785311</v>
      </c>
      <c r="E53" s="104">
        <v>14082465.535295203</v>
      </c>
      <c r="F53" s="104">
        <v>17567965.353938788</v>
      </c>
      <c r="G53" s="104">
        <v>9146913.00095433</v>
      </c>
      <c r="H53" s="104">
        <v>5148667.2627307773</v>
      </c>
      <c r="I53" s="104">
        <v>-18678357.441321224</v>
      </c>
    </row>
    <row r="54" spans="2:9">
      <c r="B54" s="102">
        <v>46</v>
      </c>
      <c r="C54" s="104">
        <v>26082433.346062094</v>
      </c>
      <c r="D54" s="104">
        <v>21703242.6609862</v>
      </c>
      <c r="E54" s="104">
        <v>4538419.5275335163</v>
      </c>
      <c r="F54" s="104">
        <v>15534837.546903595</v>
      </c>
      <c r="G54" s="104">
        <v>8800908.46652475</v>
      </c>
      <c r="H54" s="104">
        <v>14137739.243731424</v>
      </c>
      <c r="I54" s="104">
        <v>4934244.7189563662</v>
      </c>
    </row>
    <row r="55" spans="2:9">
      <c r="B55" s="102">
        <v>47</v>
      </c>
      <c r="C55" s="104">
        <v>10404146.837100625</v>
      </c>
      <c r="D55" s="104">
        <v>28289288.047608674</v>
      </c>
      <c r="E55" s="104">
        <v>20366055.82333374</v>
      </c>
      <c r="F55" s="104">
        <v>-1421348.9310197085</v>
      </c>
      <c r="G55" s="104">
        <v>12328866.51153639</v>
      </c>
      <c r="H55" s="104">
        <v>14982168.550144345</v>
      </c>
      <c r="I55" s="104">
        <v>9262188.0452369004</v>
      </c>
    </row>
    <row r="56" spans="2:9">
      <c r="B56" s="102">
        <v>48</v>
      </c>
      <c r="C56" s="104">
        <v>9122154.5465392917</v>
      </c>
      <c r="D56" s="104">
        <v>12324384.707900703</v>
      </c>
      <c r="E56" s="104">
        <v>14470174.058502421</v>
      </c>
      <c r="F56" s="104">
        <v>8437411.7365759611</v>
      </c>
      <c r="G56" s="104">
        <v>7147433.8967253566</v>
      </c>
      <c r="H56" s="104">
        <v>5044917.3651334792</v>
      </c>
      <c r="I56" s="104">
        <v>7307675.998693645</v>
      </c>
    </row>
    <row r="57" spans="2:9">
      <c r="B57" s="102">
        <v>49</v>
      </c>
      <c r="C57" s="104">
        <v>12783439.52072306</v>
      </c>
      <c r="D57" s="104">
        <v>3121714.2263679057</v>
      </c>
      <c r="E57" s="104">
        <v>14043078.498370066</v>
      </c>
      <c r="F57" s="104">
        <v>4733000.9974841774</v>
      </c>
      <c r="G57" s="104">
        <v>5984820.1941473186</v>
      </c>
      <c r="H57" s="104">
        <v>-12098870.055112332</v>
      </c>
      <c r="I57" s="104">
        <v>185987.91209468246</v>
      </c>
    </row>
    <row r="58" spans="2:9">
      <c r="B58" s="102">
        <v>50</v>
      </c>
      <c r="C58" s="104">
        <v>19377576.674159065</v>
      </c>
      <c r="D58" s="104">
        <v>20315800.547400698</v>
      </c>
      <c r="E58" s="104">
        <v>25983015.789797038</v>
      </c>
      <c r="F58" s="104">
        <v>12171595.157360092</v>
      </c>
      <c r="G58" s="104">
        <v>2501999.8790064454</v>
      </c>
      <c r="H58" s="104">
        <v>6982971.0043870211</v>
      </c>
      <c r="I58" s="104">
        <v>3284254.935512498</v>
      </c>
    </row>
    <row r="59" spans="2:9">
      <c r="B59" s="102">
        <v>51</v>
      </c>
      <c r="C59" s="104">
        <v>9634842.2663532197</v>
      </c>
      <c r="D59" s="104">
        <v>11334163.904462546</v>
      </c>
      <c r="E59" s="104">
        <v>12217701.334026262</v>
      </c>
      <c r="F59" s="104">
        <v>-1641586.1625235975</v>
      </c>
      <c r="G59" s="104">
        <v>5133103.5664516836</v>
      </c>
      <c r="H59" s="104">
        <v>9070500.950864464</v>
      </c>
      <c r="I59" s="104">
        <v>7551767.1609888822</v>
      </c>
    </row>
    <row r="60" spans="2:9">
      <c r="B60" s="102">
        <v>52</v>
      </c>
      <c r="C60" s="104">
        <v>20878877.548794836</v>
      </c>
      <c r="D60" s="104">
        <v>17206646.88515389</v>
      </c>
      <c r="E60" s="104">
        <v>14617711.476200297</v>
      </c>
      <c r="F60" s="104">
        <v>12466540.866614938</v>
      </c>
      <c r="G60" s="104">
        <v>7324943.0964703411</v>
      </c>
      <c r="H60" s="104">
        <v>9750005.688619718</v>
      </c>
      <c r="I60" s="104">
        <v>784405.72352918983</v>
      </c>
    </row>
    <row r="61" spans="2:9">
      <c r="B61" s="102">
        <v>53</v>
      </c>
      <c r="C61" s="104">
        <v>17619578.313256472</v>
      </c>
      <c r="D61" s="104">
        <v>21430232.132630631</v>
      </c>
      <c r="E61" s="104">
        <v>18489375.192484736</v>
      </c>
      <c r="F61" s="104">
        <v>10972865.333058745</v>
      </c>
      <c r="G61" s="104">
        <v>3967463.557594344</v>
      </c>
      <c r="H61" s="104">
        <v>21450308.509713516</v>
      </c>
      <c r="I61" s="104">
        <v>2915769.7004238665</v>
      </c>
    </row>
    <row r="62" spans="2:9">
      <c r="B62" s="102">
        <v>54</v>
      </c>
      <c r="C62" s="104">
        <v>22011080.106093824</v>
      </c>
      <c r="D62" s="104">
        <v>21247870.594747007</v>
      </c>
      <c r="E62" s="104">
        <v>15493453.237393379</v>
      </c>
      <c r="F62" s="104">
        <v>20401366.535667896</v>
      </c>
      <c r="G62" s="104">
        <v>14482526.937742263</v>
      </c>
      <c r="H62" s="104">
        <v>4500788.7188680172</v>
      </c>
      <c r="I62" s="104">
        <v>3793405.7585904598</v>
      </c>
    </row>
    <row r="63" spans="2:9">
      <c r="B63" s="102">
        <v>55</v>
      </c>
      <c r="C63" s="104">
        <v>15851202.850922137</v>
      </c>
      <c r="D63" s="104">
        <v>16546797.958669707</v>
      </c>
      <c r="E63" s="104">
        <v>6473758.3712348491</v>
      </c>
      <c r="F63" s="104">
        <v>15613468.761825949</v>
      </c>
      <c r="G63" s="104">
        <v>9656733.4344696105</v>
      </c>
      <c r="H63" s="104">
        <v>3123436.0632671416</v>
      </c>
      <c r="I63" s="104">
        <v>5275167.8943185657</v>
      </c>
    </row>
    <row r="64" spans="2:9">
      <c r="B64" s="102">
        <v>56</v>
      </c>
      <c r="C64" s="104">
        <v>16433538.881801754</v>
      </c>
      <c r="D64" s="104">
        <v>2814385.0615867078</v>
      </c>
      <c r="E64" s="104">
        <v>13313563.276105195</v>
      </c>
      <c r="F64" s="104">
        <v>4964708.5422724038</v>
      </c>
      <c r="G64" s="104">
        <v>5362422.4105359316</v>
      </c>
      <c r="H64" s="104">
        <v>4478742.7155902982</v>
      </c>
      <c r="I64" s="104">
        <v>4473620.8972055763</v>
      </c>
    </row>
    <row r="65" spans="2:9">
      <c r="B65" s="102">
        <v>57</v>
      </c>
      <c r="C65" s="104">
        <v>15003981.682351485</v>
      </c>
      <c r="D65" s="104">
        <v>11655312.134692192</v>
      </c>
      <c r="E65" s="104">
        <v>5964801.1099270284</v>
      </c>
      <c r="F65" s="104">
        <v>8130024.3784945309</v>
      </c>
      <c r="G65" s="104">
        <v>8184535.3997502476</v>
      </c>
      <c r="H65" s="104">
        <v>6570837.2572426945</v>
      </c>
      <c r="I65" s="104">
        <v>5711622.8962000459</v>
      </c>
    </row>
    <row r="66" spans="2:9">
      <c r="B66" s="102">
        <v>58</v>
      </c>
      <c r="C66" s="104">
        <v>8750240.53652291</v>
      </c>
      <c r="D66" s="104">
        <v>6826476.946986258</v>
      </c>
      <c r="E66" s="104">
        <v>12053814.900215477</v>
      </c>
      <c r="F66" s="104">
        <v>5978990.0162032396</v>
      </c>
      <c r="G66" s="104">
        <v>1502558.0894978046</v>
      </c>
      <c r="H66" s="104">
        <v>5338988.8962541521</v>
      </c>
      <c r="I66" s="104">
        <v>9020047.79733558</v>
      </c>
    </row>
    <row r="67" spans="2:9">
      <c r="B67" s="102">
        <v>59</v>
      </c>
      <c r="C67" s="104">
        <v>12671764.908426508</v>
      </c>
      <c r="D67" s="104">
        <v>13598494.701803163</v>
      </c>
      <c r="E67" s="104">
        <v>8358453.9601551145</v>
      </c>
      <c r="F67" s="104">
        <v>14995065.696752295</v>
      </c>
      <c r="G67" s="104">
        <v>3899565.5055597723</v>
      </c>
      <c r="H67" s="104">
        <v>-1357790.878363952</v>
      </c>
      <c r="I67" s="104">
        <v>2204620.2399505675</v>
      </c>
    </row>
    <row r="68" spans="2:9">
      <c r="B68" s="102">
        <v>60</v>
      </c>
      <c r="C68" s="104">
        <v>24484628.950887591</v>
      </c>
      <c r="D68" s="104">
        <v>6344878.3712140024</v>
      </c>
      <c r="E68" s="104">
        <v>21956377.710114032</v>
      </c>
      <c r="F68" s="104">
        <v>8393224.2657596171</v>
      </c>
      <c r="G68" s="104">
        <v>10183205.589506537</v>
      </c>
      <c r="H68" s="104">
        <v>2530804.0401752293</v>
      </c>
      <c r="I68" s="104">
        <v>6198555.5732572824</v>
      </c>
    </row>
    <row r="69" spans="2:9">
      <c r="B69" s="102">
        <v>61</v>
      </c>
      <c r="C69" s="104">
        <v>12812756.470286414</v>
      </c>
      <c r="D69" s="104">
        <v>24019196.778600544</v>
      </c>
      <c r="E69" s="104">
        <v>677876.61711417139</v>
      </c>
      <c r="F69" s="104">
        <v>7656516.1861217916</v>
      </c>
      <c r="G69" s="104">
        <v>10430068.279203013</v>
      </c>
      <c r="H69" s="104">
        <v>22037268.977653667</v>
      </c>
      <c r="I69" s="104">
        <v>2792469.3854559958</v>
      </c>
    </row>
    <row r="70" spans="2:9">
      <c r="B70" s="102">
        <v>62</v>
      </c>
      <c r="C70" s="104">
        <v>21788109.204224989</v>
      </c>
      <c r="D70" s="104">
        <v>14475240.468581215</v>
      </c>
      <c r="E70" s="104">
        <v>7760798.963625297</v>
      </c>
      <c r="F70" s="104">
        <v>-833196.74556040764</v>
      </c>
      <c r="G70" s="104">
        <v>16949808.082480729</v>
      </c>
      <c r="H70" s="104">
        <v>16384695.534864709</v>
      </c>
      <c r="I70" s="104">
        <v>3135730.7979909927</v>
      </c>
    </row>
    <row r="71" spans="2:9">
      <c r="B71" s="102">
        <v>63</v>
      </c>
      <c r="C71" s="104">
        <v>23392660.913615122</v>
      </c>
      <c r="D71" s="104">
        <v>19670996.981443882</v>
      </c>
      <c r="E71" s="104">
        <v>27836978.819789648</v>
      </c>
      <c r="F71" s="104">
        <v>6437709.4597636461</v>
      </c>
      <c r="G71" s="104">
        <v>12205224.667557105</v>
      </c>
      <c r="H71" s="104">
        <v>-6963000.9048357904</v>
      </c>
      <c r="I71" s="104">
        <v>6948696.0977673978</v>
      </c>
    </row>
    <row r="72" spans="2:9">
      <c r="B72" s="102">
        <v>64</v>
      </c>
      <c r="C72" s="104">
        <v>9177087.6730355918</v>
      </c>
      <c r="D72" s="104">
        <v>11043476.611835644</v>
      </c>
      <c r="E72" s="104">
        <v>17951686.769385234</v>
      </c>
      <c r="F72" s="104">
        <v>8776233.1449172199</v>
      </c>
      <c r="G72" s="104">
        <v>2013890.2531121373</v>
      </c>
      <c r="H72" s="104">
        <v>3711686.2421129793</v>
      </c>
      <c r="I72" s="104">
        <v>2666892.1207649708</v>
      </c>
    </row>
    <row r="73" spans="2:9">
      <c r="B73" s="102">
        <v>65</v>
      </c>
      <c r="C73" s="104">
        <v>25221448.673804611</v>
      </c>
      <c r="D73" s="104">
        <v>19062545.487318873</v>
      </c>
      <c r="E73" s="104">
        <v>1402357.6326163113</v>
      </c>
      <c r="F73" s="104">
        <v>10066874.652724117</v>
      </c>
      <c r="G73" s="104">
        <v>14003203.2219311</v>
      </c>
      <c r="H73" s="104">
        <v>17377440.025303364</v>
      </c>
      <c r="I73" s="104">
        <v>4437394.56267865</v>
      </c>
    </row>
    <row r="74" spans="2:9">
      <c r="B74" s="102">
        <v>66</v>
      </c>
      <c r="C74" s="104">
        <v>15491931.440087438</v>
      </c>
      <c r="D74" s="104">
        <v>16040580.804413378</v>
      </c>
      <c r="E74" s="104">
        <v>20300255.609664917</v>
      </c>
      <c r="F74" s="104">
        <v>4307914.9253751487</v>
      </c>
      <c r="G74" s="104">
        <v>8235099.2563795</v>
      </c>
      <c r="H74" s="104">
        <v>6052378.3899364024</v>
      </c>
      <c r="I74" s="104">
        <v>9853901.1265047491</v>
      </c>
    </row>
    <row r="75" spans="2:9">
      <c r="B75" s="102">
        <v>67</v>
      </c>
      <c r="C75" s="104">
        <v>6305719.1364026517</v>
      </c>
      <c r="D75" s="104">
        <v>18387708.042479426</v>
      </c>
      <c r="E75" s="104">
        <v>7254504.9342008829</v>
      </c>
      <c r="F75" s="104">
        <v>13947338.444170475</v>
      </c>
      <c r="G75" s="104">
        <v>12507900.328320682</v>
      </c>
      <c r="H75" s="104">
        <v>-8236443.1352359056</v>
      </c>
      <c r="I75" s="104">
        <v>-4343682.2675080299</v>
      </c>
    </row>
    <row r="76" spans="2:9">
      <c r="B76" s="102">
        <v>68</v>
      </c>
      <c r="C76" s="104">
        <v>8301121.4920011014</v>
      </c>
      <c r="D76" s="104">
        <v>18625210.52560468</v>
      </c>
      <c r="E76" s="104">
        <v>18012309.680020243</v>
      </c>
      <c r="F76" s="104">
        <v>13994348.497261345</v>
      </c>
      <c r="G76" s="104">
        <v>17159526.229481697</v>
      </c>
      <c r="H76" s="104">
        <v>3877678.5110257268</v>
      </c>
      <c r="I76" s="104">
        <v>10639839.104507461</v>
      </c>
    </row>
    <row r="77" spans="2:9">
      <c r="B77" s="102">
        <v>69</v>
      </c>
      <c r="C77" s="104">
        <v>23260789.940141305</v>
      </c>
      <c r="D77" s="104">
        <v>21981067.103987008</v>
      </c>
      <c r="E77" s="104">
        <v>18721069.200404316</v>
      </c>
      <c r="F77" s="104">
        <v>20716162.72605148</v>
      </c>
      <c r="G77" s="104">
        <v>4523541.4367659986</v>
      </c>
      <c r="H77" s="104">
        <v>6812747.6117652804</v>
      </c>
      <c r="I77" s="104">
        <v>9843258.4811004102</v>
      </c>
    </row>
    <row r="78" spans="2:9">
      <c r="B78" s="102">
        <v>70</v>
      </c>
      <c r="C78" s="104">
        <v>6862838.6619773209</v>
      </c>
      <c r="D78" s="104">
        <v>7098222.5093057454</v>
      </c>
      <c r="E78" s="104">
        <v>7398424.2176173031</v>
      </c>
      <c r="F78" s="104">
        <v>1013498.3321271092</v>
      </c>
      <c r="G78" s="104">
        <v>9635274.7141122967</v>
      </c>
      <c r="H78" s="104">
        <v>9763717.4925242662</v>
      </c>
      <c r="I78" s="104">
        <v>12104299.031919241</v>
      </c>
    </row>
    <row r="79" spans="2:9">
      <c r="B79" s="102">
        <v>71</v>
      </c>
      <c r="C79" s="104">
        <v>8505156.4376631081</v>
      </c>
      <c r="D79" s="104">
        <v>14998419.181465</v>
      </c>
      <c r="E79" s="104">
        <v>10466148.579856485</v>
      </c>
      <c r="F79" s="104">
        <v>10894707.872100681</v>
      </c>
      <c r="G79" s="104">
        <v>5812328.6163573265</v>
      </c>
      <c r="H79" s="104">
        <v>3168726.0465564877</v>
      </c>
      <c r="I79" s="104">
        <v>-807213.44826498628</v>
      </c>
    </row>
    <row r="80" spans="2:9">
      <c r="B80" s="102">
        <v>72</v>
      </c>
      <c r="C80" s="104">
        <v>13368099.212424323</v>
      </c>
      <c r="D80" s="104">
        <v>17909820.46516718</v>
      </c>
      <c r="E80" s="104">
        <v>8793173.9830461591</v>
      </c>
      <c r="F80" s="104">
        <v>4298284.6914218664</v>
      </c>
      <c r="G80" s="104">
        <v>11175029.853892073</v>
      </c>
      <c r="H80" s="104">
        <v>1333098.8731403649</v>
      </c>
      <c r="I80" s="104">
        <v>-3089480.2075191438</v>
      </c>
    </row>
    <row r="81" spans="2:9">
      <c r="B81" s="102">
        <v>73</v>
      </c>
      <c r="C81" s="104">
        <v>9339965.1432548761</v>
      </c>
      <c r="D81" s="104">
        <v>9090566.1072616726</v>
      </c>
      <c r="E81" s="104">
        <v>112521.27338279784</v>
      </c>
      <c r="F81" s="104">
        <v>6142220.9006675482</v>
      </c>
      <c r="G81" s="104">
        <v>18112504.495488957</v>
      </c>
      <c r="H81" s="104">
        <v>-312246.31827625632</v>
      </c>
      <c r="I81" s="104">
        <v>-8236278.3179388642</v>
      </c>
    </row>
    <row r="82" spans="2:9">
      <c r="B82" s="102">
        <v>74</v>
      </c>
      <c r="C82" s="104">
        <v>18438689.500674516</v>
      </c>
      <c r="D82" s="104">
        <v>11529314.075289428</v>
      </c>
      <c r="E82" s="104">
        <v>8670869.6602927744</v>
      </c>
      <c r="F82" s="104">
        <v>25306006.035150722</v>
      </c>
      <c r="G82" s="104">
        <v>4724807.4510284662</v>
      </c>
      <c r="H82" s="104">
        <v>1820437.6166953444</v>
      </c>
      <c r="I82" s="104">
        <v>5708065.4209066629</v>
      </c>
    </row>
    <row r="83" spans="2:9">
      <c r="B83" s="102">
        <v>75</v>
      </c>
      <c r="C83" s="104">
        <v>2464096.1808817238</v>
      </c>
      <c r="D83" s="104">
        <v>18831536.685005322</v>
      </c>
      <c r="E83" s="104">
        <v>21035158.143947244</v>
      </c>
      <c r="F83" s="104">
        <v>8257483.5697428286</v>
      </c>
      <c r="G83" s="104">
        <v>9359637.6888394654</v>
      </c>
      <c r="H83" s="104">
        <v>12679372.131096229</v>
      </c>
      <c r="I83" s="104">
        <v>1965792.4668302983</v>
      </c>
    </row>
    <row r="84" spans="2:9">
      <c r="B84" s="102">
        <v>76</v>
      </c>
      <c r="C84" s="104">
        <v>24209227.32125631</v>
      </c>
      <c r="D84" s="104">
        <v>13635623.719284639</v>
      </c>
      <c r="E84" s="104">
        <v>2172222.3642923832</v>
      </c>
      <c r="F84" s="104">
        <v>8381944.9150563627</v>
      </c>
      <c r="G84" s="104">
        <v>9836978.1404639781</v>
      </c>
      <c r="H84" s="104">
        <v>-5563289.3446021676</v>
      </c>
      <c r="I84" s="104">
        <v>10155990.991993248</v>
      </c>
    </row>
    <row r="85" spans="2:9">
      <c r="B85" s="102">
        <v>77</v>
      </c>
      <c r="C85" s="104">
        <v>16238915.706126899</v>
      </c>
      <c r="D85" s="104">
        <v>16115549.671462193</v>
      </c>
      <c r="E85" s="104">
        <v>12338950.846780255</v>
      </c>
      <c r="F85" s="104">
        <v>17846681.762151539</v>
      </c>
      <c r="G85" s="104">
        <v>1533039.4483516216</v>
      </c>
      <c r="H85" s="104">
        <v>2535752.2773789912</v>
      </c>
      <c r="I85" s="104">
        <v>-1952811.1855361164</v>
      </c>
    </row>
    <row r="86" spans="2:9">
      <c r="B86" s="102">
        <v>78</v>
      </c>
      <c r="C86" s="104">
        <v>22534967.788757414</v>
      </c>
      <c r="D86" s="104">
        <v>15120928.15617618</v>
      </c>
      <c r="E86" s="104">
        <v>7095399.953202337</v>
      </c>
      <c r="F86" s="104">
        <v>7384533.6970324814</v>
      </c>
      <c r="G86" s="104">
        <v>10801816.207723722</v>
      </c>
      <c r="H86" s="104">
        <v>10707006.695596457</v>
      </c>
      <c r="I86" s="104">
        <v>-7715538.7531860173</v>
      </c>
    </row>
    <row r="87" spans="2:9">
      <c r="B87" s="102">
        <v>79</v>
      </c>
      <c r="C87" s="104">
        <v>6330164.6651583463</v>
      </c>
      <c r="D87" s="104">
        <v>25397429.986659378</v>
      </c>
      <c r="E87" s="104">
        <v>1253189.506886512</v>
      </c>
      <c r="F87" s="104">
        <v>1025908.444963932</v>
      </c>
      <c r="G87" s="104">
        <v>4595507.3442587256</v>
      </c>
      <c r="H87" s="104">
        <v>1276086.2299923748</v>
      </c>
      <c r="I87" s="104">
        <v>8471039.0129194856</v>
      </c>
    </row>
    <row r="88" spans="2:9">
      <c r="B88" s="102">
        <v>80</v>
      </c>
      <c r="C88" s="104">
        <v>5118989.8324401826</v>
      </c>
      <c r="D88" s="104">
        <v>16030565.812940583</v>
      </c>
      <c r="E88" s="104">
        <v>15398791.045470685</v>
      </c>
      <c r="F88" s="104">
        <v>14847394.882897258</v>
      </c>
      <c r="G88" s="104">
        <v>10609660.142279878</v>
      </c>
      <c r="H88" s="104">
        <v>5533971.5253340006</v>
      </c>
      <c r="I88" s="104">
        <v>-7436901.8273218572</v>
      </c>
    </row>
    <row r="89" spans="2:9">
      <c r="B89" s="102">
        <v>81</v>
      </c>
      <c r="C89" s="104">
        <v>17592342.026110113</v>
      </c>
      <c r="D89" s="104">
        <v>15902276.540122971</v>
      </c>
      <c r="E89" s="104">
        <v>7362367.0016500652</v>
      </c>
      <c r="F89" s="104">
        <v>3055966.1435766816</v>
      </c>
      <c r="G89" s="104">
        <v>7333628.0225337893</v>
      </c>
      <c r="H89" s="104">
        <v>1596908.3077425212</v>
      </c>
      <c r="I89" s="104">
        <v>-2393089.0931983143</v>
      </c>
    </row>
    <row r="90" spans="2:9">
      <c r="B90" s="102">
        <v>82</v>
      </c>
      <c r="C90" s="104">
        <v>11212993.436946362</v>
      </c>
      <c r="D90" s="104">
        <v>1558771.3138022423</v>
      </c>
      <c r="E90" s="104">
        <v>9540978.7589221299</v>
      </c>
      <c r="F90" s="104">
        <v>4465086.7954143137</v>
      </c>
      <c r="G90" s="104">
        <v>13967088.706733853</v>
      </c>
      <c r="H90" s="104">
        <v>18909511.976013929</v>
      </c>
      <c r="I90" s="104">
        <v>10344871.392011747</v>
      </c>
    </row>
    <row r="91" spans="2:9">
      <c r="B91" s="102">
        <v>83</v>
      </c>
      <c r="C91" s="104">
        <v>18413160.951538682</v>
      </c>
      <c r="D91" s="104">
        <v>8858338.0387999713</v>
      </c>
      <c r="E91" s="104">
        <v>16047286.676339984</v>
      </c>
      <c r="F91" s="104">
        <v>4255258.6699351817</v>
      </c>
      <c r="G91" s="104">
        <v>3647677.909460783</v>
      </c>
      <c r="H91" s="104">
        <v>11161753.732233822</v>
      </c>
      <c r="I91" s="104">
        <v>7516303.1648658216</v>
      </c>
    </row>
    <row r="92" spans="2:9">
      <c r="B92" s="102">
        <v>84</v>
      </c>
      <c r="C92" s="104">
        <v>9574460.6022809446</v>
      </c>
      <c r="D92" s="104">
        <v>18371406.735077277</v>
      </c>
      <c r="E92" s="104">
        <v>9549972.3668859303</v>
      </c>
      <c r="F92" s="104">
        <v>10493349.929612249</v>
      </c>
      <c r="G92" s="104">
        <v>12789483.21627149</v>
      </c>
      <c r="H92" s="104">
        <v>-49276.52491030097</v>
      </c>
      <c r="I92" s="104">
        <v>7292197.021955356</v>
      </c>
    </row>
    <row r="93" spans="2:9">
      <c r="B93" s="102">
        <v>85</v>
      </c>
      <c r="C93" s="104">
        <v>17704545.554766834</v>
      </c>
      <c r="D93" s="104">
        <v>15052184.049057528</v>
      </c>
      <c r="E93" s="104">
        <v>14004141.814504057</v>
      </c>
      <c r="F93" s="104">
        <v>14726421.559141427</v>
      </c>
      <c r="G93" s="104">
        <v>3710530.3717697114</v>
      </c>
      <c r="H93" s="104">
        <v>946678.72974470258</v>
      </c>
      <c r="I93" s="104">
        <v>1196289.0834851563</v>
      </c>
    </row>
    <row r="94" spans="2:9">
      <c r="B94" s="102">
        <v>86</v>
      </c>
      <c r="C94" s="104">
        <v>12762793.57703279</v>
      </c>
      <c r="D94" s="104">
        <v>19044017.257902041</v>
      </c>
      <c r="E94" s="104">
        <v>16004214.161116675</v>
      </c>
      <c r="F94" s="104">
        <v>7299131.5244715661</v>
      </c>
      <c r="G94" s="104">
        <v>2996085.042973876</v>
      </c>
      <c r="H94" s="104">
        <v>11624502.199642405</v>
      </c>
      <c r="I94" s="104">
        <v>2901988.5289285928</v>
      </c>
    </row>
    <row r="95" spans="2:9">
      <c r="B95" s="102">
        <v>87</v>
      </c>
      <c r="C95" s="104">
        <v>15027987.072307184</v>
      </c>
      <c r="D95" s="104">
        <v>23843378.78669174</v>
      </c>
      <c r="E95" s="104">
        <v>17001426.169351876</v>
      </c>
      <c r="F95" s="104">
        <v>16138751.994841233</v>
      </c>
      <c r="G95" s="104">
        <v>5676502.3859721869</v>
      </c>
      <c r="H95" s="104">
        <v>7005884.602961272</v>
      </c>
      <c r="I95" s="104">
        <v>8197915.6217074096</v>
      </c>
    </row>
    <row r="96" spans="2:9">
      <c r="B96" s="102">
        <v>88</v>
      </c>
      <c r="C96" s="104">
        <v>12536047.312601209</v>
      </c>
      <c r="D96" s="104">
        <v>6320868.4185017794</v>
      </c>
      <c r="E96" s="104">
        <v>2831751.8188040257</v>
      </c>
      <c r="F96" s="104">
        <v>7232078.0414030254</v>
      </c>
      <c r="G96" s="104">
        <v>1910747.5741655529</v>
      </c>
      <c r="H96" s="104">
        <v>10578714.451093227</v>
      </c>
      <c r="I96" s="104">
        <v>425585.49414485693</v>
      </c>
    </row>
    <row r="97" spans="2:9">
      <c r="B97" s="102">
        <v>89</v>
      </c>
      <c r="C97" s="104">
        <v>17024703.493811995</v>
      </c>
      <c r="D97" s="104">
        <v>21809823.155386612</v>
      </c>
      <c r="E97" s="104">
        <v>15984669.432125479</v>
      </c>
      <c r="F97" s="104">
        <v>6415001.7214207202</v>
      </c>
      <c r="G97" s="104">
        <v>6228133.3170151263</v>
      </c>
      <c r="H97" s="104">
        <v>2657554.3453270495</v>
      </c>
      <c r="I97" s="104">
        <v>4139005.461980015</v>
      </c>
    </row>
    <row r="98" spans="2:9">
      <c r="B98" s="102">
        <v>90</v>
      </c>
      <c r="C98" s="104">
        <v>19506376.653224826</v>
      </c>
      <c r="D98" s="104">
        <v>9439511.267122671</v>
      </c>
      <c r="E98" s="104">
        <v>25086385.294260189</v>
      </c>
      <c r="F98" s="104">
        <v>13617029.04783088</v>
      </c>
      <c r="G98" s="104">
        <v>10262433.986213833</v>
      </c>
      <c r="H98" s="104">
        <v>2173869.4574836195</v>
      </c>
      <c r="I98" s="104">
        <v>11610531.734804377</v>
      </c>
    </row>
    <row r="99" spans="2:9">
      <c r="B99" s="102">
        <v>91</v>
      </c>
      <c r="C99" s="104">
        <v>24107362.373154029</v>
      </c>
      <c r="D99" s="104">
        <v>6907113.2780707777</v>
      </c>
      <c r="E99" s="104">
        <v>15646232.855355754</v>
      </c>
      <c r="F99" s="104">
        <v>16730892.188443214</v>
      </c>
      <c r="G99" s="104">
        <v>14132426.11435318</v>
      </c>
      <c r="H99" s="104">
        <v>9610650.9770446122</v>
      </c>
      <c r="I99" s="104">
        <v>4665006.7249468565</v>
      </c>
    </row>
    <row r="100" spans="2:9">
      <c r="B100" s="102">
        <v>92</v>
      </c>
      <c r="C100" s="104">
        <v>25074679.191569403</v>
      </c>
      <c r="D100" s="104">
        <v>13728507.050388277</v>
      </c>
      <c r="E100" s="104">
        <v>13745582.007807836</v>
      </c>
      <c r="F100" s="104">
        <v>16160452.326839715</v>
      </c>
      <c r="G100" s="104">
        <v>9709684.9959774017</v>
      </c>
      <c r="H100" s="104">
        <v>15979637.28613466</v>
      </c>
      <c r="I100" s="104">
        <v>7855670.5046761334</v>
      </c>
    </row>
    <row r="101" spans="2:9">
      <c r="B101" s="102">
        <v>93</v>
      </c>
      <c r="C101" s="104">
        <v>9978541.0056241155</v>
      </c>
      <c r="D101" s="104">
        <v>16859183.030968055</v>
      </c>
      <c r="E101" s="104">
        <v>12846850.682925254</v>
      </c>
      <c r="F101" s="104">
        <v>-3752065.6360718757</v>
      </c>
      <c r="G101" s="104">
        <v>5064555.5792987198</v>
      </c>
      <c r="H101" s="104">
        <v>-4470443.3301392496</v>
      </c>
      <c r="I101" s="104">
        <v>4266633.0945228338</v>
      </c>
    </row>
    <row r="102" spans="2:9">
      <c r="B102" s="102">
        <v>94</v>
      </c>
      <c r="C102" s="104">
        <v>15198672.914338991</v>
      </c>
      <c r="D102" s="104">
        <v>22410867.950450897</v>
      </c>
      <c r="E102" s="104">
        <v>6419180.1540262252</v>
      </c>
      <c r="F102" s="104">
        <v>17547603.471787781</v>
      </c>
      <c r="G102" s="104">
        <v>5569400.778727293</v>
      </c>
      <c r="H102" s="104">
        <v>5902336.6718451232</v>
      </c>
      <c r="I102" s="104">
        <v>-12158622.999289781</v>
      </c>
    </row>
    <row r="103" spans="2:9">
      <c r="B103" s="102">
        <v>95</v>
      </c>
      <c r="C103" s="104">
        <v>10064811.632639393</v>
      </c>
      <c r="D103" s="104">
        <v>24434057.543882668</v>
      </c>
      <c r="E103" s="104">
        <v>14842518.578863904</v>
      </c>
      <c r="F103" s="104">
        <v>9718142.9819205552</v>
      </c>
      <c r="G103" s="104">
        <v>5461092.1431993097</v>
      </c>
      <c r="H103" s="104">
        <v>8378181.3373058736</v>
      </c>
      <c r="I103" s="104">
        <v>-318501.13746833801</v>
      </c>
    </row>
    <row r="104" spans="2:9">
      <c r="B104" s="102">
        <v>96</v>
      </c>
      <c r="C104" s="104">
        <v>25402117.297016412</v>
      </c>
      <c r="D104" s="104">
        <v>12825942.294091552</v>
      </c>
      <c r="E104" s="104">
        <v>12643654.469038114</v>
      </c>
      <c r="F104" s="104">
        <v>7330594.1369949877</v>
      </c>
      <c r="G104" s="104">
        <v>1894178.5011061877</v>
      </c>
      <c r="H104" s="104">
        <v>5398681.0107100308</v>
      </c>
      <c r="I104" s="104">
        <v>11712667.023127466</v>
      </c>
    </row>
    <row r="105" spans="2:9">
      <c r="B105" s="102">
        <v>97</v>
      </c>
      <c r="C105" s="104">
        <v>19408909.094443232</v>
      </c>
      <c r="D105" s="104">
        <v>10231475.69256258</v>
      </c>
      <c r="E105" s="104">
        <v>14109906.779300168</v>
      </c>
      <c r="F105" s="104">
        <v>18840725.138195276</v>
      </c>
      <c r="G105" s="104">
        <v>2541109.4183376133</v>
      </c>
      <c r="H105" s="104">
        <v>5424226.8656944931</v>
      </c>
      <c r="I105" s="104">
        <v>7158685.877841711</v>
      </c>
    </row>
    <row r="106" spans="2:9">
      <c r="B106" s="102">
        <v>98</v>
      </c>
      <c r="C106" s="104">
        <v>14213908.20468016</v>
      </c>
      <c r="D106" s="104">
        <v>11830376.910043538</v>
      </c>
      <c r="E106" s="104">
        <v>5172601.5480397046</v>
      </c>
      <c r="F106" s="104">
        <v>13894575.616662502</v>
      </c>
      <c r="G106" s="104">
        <v>11015019.104044959</v>
      </c>
      <c r="H106" s="104">
        <v>-4323784.9447413534</v>
      </c>
      <c r="I106" s="104">
        <v>1287846.0762071759</v>
      </c>
    </row>
    <row r="107" spans="2:9">
      <c r="B107" s="102">
        <v>99</v>
      </c>
      <c r="C107" s="104">
        <v>13210340.796226725</v>
      </c>
      <c r="D107" s="104">
        <v>5768730.1850527227</v>
      </c>
      <c r="E107" s="104">
        <v>15457832.811836243</v>
      </c>
      <c r="F107" s="104">
        <v>16906016.937064946</v>
      </c>
      <c r="G107" s="104">
        <v>13362559.648049325</v>
      </c>
      <c r="H107" s="104">
        <v>4840215.3264136016</v>
      </c>
      <c r="I107" s="104">
        <v>467985.7293895781</v>
      </c>
    </row>
    <row r="108" spans="2:9">
      <c r="B108" s="102">
        <v>100</v>
      </c>
      <c r="C108" s="104">
        <v>25521935.117788434</v>
      </c>
      <c r="D108" s="104">
        <v>13851974.756124511</v>
      </c>
      <c r="E108" s="104">
        <v>12927876.361303091</v>
      </c>
      <c r="F108" s="104">
        <v>-4922927.5510256588</v>
      </c>
      <c r="G108" s="104">
        <v>9155596.6404326856</v>
      </c>
      <c r="H108" s="104">
        <v>3644083.1700165421</v>
      </c>
      <c r="I108" s="104">
        <v>-3284721.6889631152</v>
      </c>
    </row>
    <row r="109" spans="2:9">
      <c r="B109" s="102">
        <v>101</v>
      </c>
      <c r="C109" s="104">
        <v>16159199.840165347</v>
      </c>
      <c r="D109" s="104">
        <v>7271662.544764176</v>
      </c>
      <c r="E109" s="104">
        <v>23720482.251257271</v>
      </c>
      <c r="F109" s="104">
        <v>11937151.035563424</v>
      </c>
      <c r="G109" s="104">
        <v>5933938.306209445</v>
      </c>
      <c r="H109" s="104">
        <v>2792787.6175701916</v>
      </c>
      <c r="I109" s="104">
        <v>5223880.5318887532</v>
      </c>
    </row>
    <row r="110" spans="2:9">
      <c r="B110" s="102">
        <v>102</v>
      </c>
      <c r="C110" s="104">
        <v>16837764.754744858</v>
      </c>
      <c r="D110" s="104">
        <v>7913008.2560600936</v>
      </c>
      <c r="E110" s="104">
        <v>17693242.690273196</v>
      </c>
      <c r="F110" s="104">
        <v>11173062.307246804</v>
      </c>
      <c r="G110" s="104">
        <v>8393118.2736046314</v>
      </c>
      <c r="H110" s="104">
        <v>6565350.9660415053</v>
      </c>
      <c r="I110" s="104">
        <v>9113326.3424671739</v>
      </c>
    </row>
    <row r="111" spans="2:9">
      <c r="B111" s="102">
        <v>103</v>
      </c>
      <c r="C111" s="104">
        <v>17228975.317549452</v>
      </c>
      <c r="D111" s="104">
        <v>14880586.384002104</v>
      </c>
      <c r="E111" s="104">
        <v>16927404.382793158</v>
      </c>
      <c r="F111" s="104">
        <v>6941554.6651138961</v>
      </c>
      <c r="G111" s="104">
        <v>13879161.88979201</v>
      </c>
      <c r="H111" s="104">
        <v>611452.02179561555</v>
      </c>
      <c r="I111" s="104">
        <v>88908.325865522027</v>
      </c>
    </row>
    <row r="112" spans="2:9">
      <c r="B112" s="102">
        <v>104</v>
      </c>
      <c r="C112" s="104">
        <v>23487494.354814202</v>
      </c>
      <c r="D112" s="104">
        <v>4477599.2159052789</v>
      </c>
      <c r="E112" s="104">
        <v>9538122.5518358052</v>
      </c>
      <c r="F112" s="104">
        <v>6086973.2458225936</v>
      </c>
      <c r="G112" s="104">
        <v>12069219.304319322</v>
      </c>
      <c r="H112" s="104">
        <v>-2849441.3087451756</v>
      </c>
      <c r="I112" s="104">
        <v>-533767.26516181231</v>
      </c>
    </row>
    <row r="113" spans="2:9">
      <c r="B113" s="102">
        <v>105</v>
      </c>
      <c r="C113" s="104">
        <v>19995429.772118613</v>
      </c>
      <c r="D113" s="104">
        <v>15016894.297376454</v>
      </c>
      <c r="E113" s="104">
        <v>21137514.306923732</v>
      </c>
      <c r="F113" s="104">
        <v>16698736.596038908</v>
      </c>
      <c r="G113" s="104">
        <v>6289290.0226352215</v>
      </c>
      <c r="H113" s="104">
        <v>5195818.0076016933</v>
      </c>
      <c r="I113" s="104">
        <v>3896238.8424339145</v>
      </c>
    </row>
    <row r="114" spans="2:9">
      <c r="B114" s="102">
        <v>106</v>
      </c>
      <c r="C114" s="104">
        <v>16043270.774812013</v>
      </c>
      <c r="D114" s="104">
        <v>20432441.300029844</v>
      </c>
      <c r="E114" s="104">
        <v>21013658.488100842</v>
      </c>
      <c r="F114" s="104">
        <v>19167406.497304022</v>
      </c>
      <c r="G114" s="104">
        <v>-8742994.7359713614</v>
      </c>
      <c r="H114" s="104">
        <v>7728218.7208471894</v>
      </c>
      <c r="I114" s="104">
        <v>-4723365.1372304559</v>
      </c>
    </row>
    <row r="115" spans="2:9">
      <c r="B115" s="102">
        <v>107</v>
      </c>
      <c r="C115" s="104">
        <v>12686820.74153392</v>
      </c>
      <c r="D115" s="104">
        <v>11670939.5779614</v>
      </c>
      <c r="E115" s="104">
        <v>16242423.442249715</v>
      </c>
      <c r="F115" s="104">
        <v>5898209.6589040309</v>
      </c>
      <c r="G115" s="104">
        <v>2869627.344347477</v>
      </c>
      <c r="H115" s="104">
        <v>2944944.0929715484</v>
      </c>
      <c r="I115" s="104">
        <v>6747294.5656957477</v>
      </c>
    </row>
    <row r="116" spans="2:9">
      <c r="B116" s="102">
        <v>108</v>
      </c>
      <c r="C116" s="104">
        <v>14984195.999823183</v>
      </c>
      <c r="D116" s="104">
        <v>19945282.752808452</v>
      </c>
      <c r="E116" s="104">
        <v>18255451.310797289</v>
      </c>
      <c r="F116" s="104">
        <v>14899918.065479159</v>
      </c>
      <c r="G116" s="104">
        <v>-2135092.60402973</v>
      </c>
      <c r="H116" s="104">
        <v>-6403259.6082722545</v>
      </c>
      <c r="I116" s="104">
        <v>7192287.7509360164</v>
      </c>
    </row>
    <row r="117" spans="2:9">
      <c r="B117" s="102">
        <v>109</v>
      </c>
      <c r="C117" s="104">
        <v>22836436.729415968</v>
      </c>
      <c r="D117" s="104">
        <v>18072572.365674362</v>
      </c>
      <c r="E117" s="104">
        <v>24118326.507569864</v>
      </c>
      <c r="F117" s="104">
        <v>-1381936.1560976505</v>
      </c>
      <c r="G117" s="104">
        <v>1830620.750010848</v>
      </c>
      <c r="H117" s="104">
        <v>5503822.2241519094</v>
      </c>
      <c r="I117" s="104">
        <v>11015664.02091141</v>
      </c>
    </row>
    <row r="118" spans="2:9">
      <c r="B118" s="102">
        <v>110</v>
      </c>
      <c r="C118" s="104">
        <v>8739093.8585340381</v>
      </c>
      <c r="D118" s="104">
        <v>16014498.175396532</v>
      </c>
      <c r="E118" s="104">
        <v>5784831.0208277404</v>
      </c>
      <c r="F118" s="104">
        <v>10829515.790295213</v>
      </c>
      <c r="G118" s="104">
        <v>10540395.980437487</v>
      </c>
      <c r="H118" s="104">
        <v>4339654.4011947513</v>
      </c>
      <c r="I118" s="104">
        <v>7249076.1728613675</v>
      </c>
    </row>
    <row r="119" spans="2:9">
      <c r="B119" s="102">
        <v>111</v>
      </c>
      <c r="C119" s="104">
        <v>20186580.974568754</v>
      </c>
      <c r="D119" s="104">
        <v>8348916.4720072448</v>
      </c>
      <c r="E119" s="104">
        <v>8868781.7040685564</v>
      </c>
      <c r="F119" s="104">
        <v>6330071.8480038345</v>
      </c>
      <c r="G119" s="104">
        <v>10591392.351927623</v>
      </c>
      <c r="H119" s="104">
        <v>3410538.0966284871</v>
      </c>
      <c r="I119" s="104">
        <v>22794415.632448837</v>
      </c>
    </row>
    <row r="120" spans="2:9">
      <c r="B120" s="102">
        <v>112</v>
      </c>
      <c r="C120" s="104">
        <v>14777818.724735111</v>
      </c>
      <c r="D120" s="104">
        <v>13177617.594535902</v>
      </c>
      <c r="E120" s="104">
        <v>7985737.8050989211</v>
      </c>
      <c r="F120" s="104">
        <v>12693044.122377068</v>
      </c>
      <c r="G120" s="104">
        <v>8014927.0541159213</v>
      </c>
      <c r="H120" s="104">
        <v>3192992.7162400335</v>
      </c>
      <c r="I120" s="104">
        <v>8488215.7509350032</v>
      </c>
    </row>
    <row r="121" spans="2:9">
      <c r="B121" s="102">
        <v>113</v>
      </c>
      <c r="C121" s="104">
        <v>14829553.515780956</v>
      </c>
      <c r="D121" s="104">
        <v>15105745.827609137</v>
      </c>
      <c r="E121" s="104">
        <v>13406002.840607524</v>
      </c>
      <c r="F121" s="104">
        <v>5487956.9692764133</v>
      </c>
      <c r="G121" s="104">
        <v>5702556.440220952</v>
      </c>
      <c r="H121" s="104">
        <v>8663957.3445699215</v>
      </c>
      <c r="I121" s="104">
        <v>8338820.5908169001</v>
      </c>
    </row>
    <row r="122" spans="2:9">
      <c r="B122" s="102">
        <v>114</v>
      </c>
      <c r="C122" s="104">
        <v>13191071.287578613</v>
      </c>
      <c r="D122" s="104">
        <v>19207160.299069881</v>
      </c>
      <c r="E122" s="104">
        <v>14366306.492955118</v>
      </c>
      <c r="F122" s="104">
        <v>17404344.938024327</v>
      </c>
      <c r="G122" s="104">
        <v>-6448502.1746379733</v>
      </c>
      <c r="H122" s="104">
        <v>1156063.1280730069</v>
      </c>
      <c r="I122" s="104">
        <v>-3414961.2161041945</v>
      </c>
    </row>
    <row r="123" spans="2:9">
      <c r="B123" s="102">
        <v>115</v>
      </c>
      <c r="C123" s="104">
        <v>20222409.049089119</v>
      </c>
      <c r="D123" s="104">
        <v>15420598.62202251</v>
      </c>
      <c r="E123" s="104">
        <v>15463346.642478898</v>
      </c>
      <c r="F123" s="104">
        <v>9156255.0442392528</v>
      </c>
      <c r="G123" s="104">
        <v>7405730.413549304</v>
      </c>
      <c r="H123" s="104">
        <v>-334516.5323241055</v>
      </c>
      <c r="I123" s="104">
        <v>5226849.9225789011</v>
      </c>
    </row>
    <row r="124" spans="2:9">
      <c r="B124" s="102">
        <v>116</v>
      </c>
      <c r="C124" s="104">
        <v>14254372.283104822</v>
      </c>
      <c r="D124" s="104">
        <v>8951396.5484814495</v>
      </c>
      <c r="E124" s="104">
        <v>14691940.545582443</v>
      </c>
      <c r="F124" s="104">
        <v>7515770.9139735997</v>
      </c>
      <c r="G124" s="104">
        <v>20622611.42361407</v>
      </c>
      <c r="H124" s="104">
        <v>-9358360.5473954976</v>
      </c>
      <c r="I124" s="104">
        <v>7815383.143827647</v>
      </c>
    </row>
    <row r="125" spans="2:9">
      <c r="B125" s="102">
        <v>117</v>
      </c>
      <c r="C125" s="104">
        <v>8348891.2098352015</v>
      </c>
      <c r="D125" s="104">
        <v>14955122.093230516</v>
      </c>
      <c r="E125" s="104">
        <v>15435905.744385913</v>
      </c>
      <c r="F125" s="104">
        <v>2568251.5851147473</v>
      </c>
      <c r="G125" s="104">
        <v>8877935.3605981171</v>
      </c>
      <c r="H125" s="104">
        <v>11933612.943054736</v>
      </c>
      <c r="I125" s="104">
        <v>3035494.3679981083</v>
      </c>
    </row>
    <row r="126" spans="2:9">
      <c r="B126" s="102">
        <v>118</v>
      </c>
      <c r="C126" s="104">
        <v>22322841.481818587</v>
      </c>
      <c r="D126" s="104">
        <v>17804482.178562656</v>
      </c>
      <c r="E126" s="104">
        <v>11582652.696807459</v>
      </c>
      <c r="F126" s="104">
        <v>14444692.19749859</v>
      </c>
      <c r="G126" s="104">
        <v>7178934.3043218702</v>
      </c>
      <c r="H126" s="104">
        <v>14118483.001179174</v>
      </c>
      <c r="I126" s="104">
        <v>-9172831.6994211674</v>
      </c>
    </row>
    <row r="127" spans="2:9">
      <c r="B127" s="102">
        <v>119</v>
      </c>
      <c r="C127" s="104">
        <v>16332680.583387524</v>
      </c>
      <c r="D127" s="104">
        <v>15048904.842412084</v>
      </c>
      <c r="E127" s="104">
        <v>7033206.9788316935</v>
      </c>
      <c r="F127" s="104">
        <v>-844396.4816672802</v>
      </c>
      <c r="G127" s="104">
        <v>-988105.77639785409</v>
      </c>
      <c r="H127" s="104">
        <v>6560909.6707950532</v>
      </c>
      <c r="I127" s="104">
        <v>12077680.821658462</v>
      </c>
    </row>
    <row r="128" spans="2:9">
      <c r="B128" s="102">
        <v>120</v>
      </c>
      <c r="C128" s="104">
        <v>16379437.730248645</v>
      </c>
      <c r="D128" s="104">
        <v>3023441.8295179009</v>
      </c>
      <c r="E128" s="104">
        <v>14386817.190686673</v>
      </c>
      <c r="F128" s="104">
        <v>12863154.858129367</v>
      </c>
      <c r="G128" s="104">
        <v>-1967126.1887681186</v>
      </c>
      <c r="H128" s="104">
        <v>1888799.8488652259</v>
      </c>
      <c r="I128" s="104">
        <v>-3857241.5137794316</v>
      </c>
    </row>
    <row r="129" spans="2:9">
      <c r="B129" s="102">
        <v>121</v>
      </c>
      <c r="C129" s="104">
        <v>16379359.754003942</v>
      </c>
      <c r="D129" s="104">
        <v>19052801.308721215</v>
      </c>
      <c r="E129" s="104">
        <v>4833474.2845976502</v>
      </c>
      <c r="F129" s="104">
        <v>9754718.089834407</v>
      </c>
      <c r="G129" s="104">
        <v>21350.887400373816</v>
      </c>
      <c r="H129" s="104">
        <v>3727631.5229614973</v>
      </c>
      <c r="I129" s="104">
        <v>-5079891.8691775501</v>
      </c>
    </row>
    <row r="130" spans="2:9">
      <c r="B130" s="102">
        <v>122</v>
      </c>
      <c r="C130" s="104">
        <v>13216225.892350927</v>
      </c>
      <c r="D130" s="104">
        <v>17015456.299447566</v>
      </c>
      <c r="E130" s="104">
        <v>3643870.5458438396</v>
      </c>
      <c r="F130" s="104">
        <v>21475133.713600278</v>
      </c>
      <c r="G130" s="104">
        <v>3884977.642367959</v>
      </c>
      <c r="H130" s="104">
        <v>-1310633.8396166414</v>
      </c>
      <c r="I130" s="104">
        <v>2376147.6244513392</v>
      </c>
    </row>
    <row r="131" spans="2:9">
      <c r="B131" s="102">
        <v>123</v>
      </c>
      <c r="C131" s="104">
        <v>15387339.363841265</v>
      </c>
      <c r="D131" s="104">
        <v>25048342.690672085</v>
      </c>
      <c r="E131" s="104">
        <v>9895634.9055666625</v>
      </c>
      <c r="F131" s="104">
        <v>-182610.87508200109</v>
      </c>
      <c r="G131" s="104">
        <v>5222725.2924039364</v>
      </c>
      <c r="H131" s="104">
        <v>-4537818.7016406655</v>
      </c>
      <c r="I131" s="104">
        <v>-3345236.8121924698</v>
      </c>
    </row>
    <row r="132" spans="2:9">
      <c r="B132" s="102">
        <v>124</v>
      </c>
      <c r="C132" s="104">
        <v>14402022.17262657</v>
      </c>
      <c r="D132" s="104">
        <v>9550607.7785384804</v>
      </c>
      <c r="E132" s="104">
        <v>11751963.222486213</v>
      </c>
      <c r="F132" s="104">
        <v>9340863.8780439794</v>
      </c>
      <c r="G132" s="104">
        <v>6135471.4218299389</v>
      </c>
      <c r="H132" s="104">
        <v>-4366282.3721364886</v>
      </c>
      <c r="I132" s="104">
        <v>4085994.8912942261</v>
      </c>
    </row>
    <row r="133" spans="2:9">
      <c r="B133" s="102">
        <v>125</v>
      </c>
      <c r="C133" s="104">
        <v>19094938.154756919</v>
      </c>
      <c r="D133" s="104">
        <v>4848337.9194795489</v>
      </c>
      <c r="E133" s="104">
        <v>8503470.7717476934</v>
      </c>
      <c r="F133" s="104">
        <v>-8275589.0923829079</v>
      </c>
      <c r="G133" s="104">
        <v>10819079.208221272</v>
      </c>
      <c r="H133" s="104">
        <v>7467155.667211771</v>
      </c>
      <c r="I133" s="104">
        <v>4474529.248201251</v>
      </c>
    </row>
    <row r="134" spans="2:9">
      <c r="B134" s="102">
        <v>126</v>
      </c>
      <c r="C134" s="104">
        <v>12281357.344381154</v>
      </c>
      <c r="D134" s="104">
        <v>7101844.3961033225</v>
      </c>
      <c r="E134" s="104">
        <v>14202247.927893803</v>
      </c>
      <c r="F134" s="104">
        <v>2775816.0133952945</v>
      </c>
      <c r="G134" s="104">
        <v>664557.27194967866</v>
      </c>
      <c r="H134" s="104">
        <v>8097161.3951188177</v>
      </c>
      <c r="I134" s="104">
        <v>-5073579.7846082151</v>
      </c>
    </row>
    <row r="135" spans="2:9">
      <c r="B135" s="102">
        <v>127</v>
      </c>
      <c r="C135" s="104">
        <v>11863991.585688874</v>
      </c>
      <c r="D135" s="104">
        <v>2803615.7774816751</v>
      </c>
      <c r="E135" s="104">
        <v>11769383.628112286</v>
      </c>
      <c r="F135" s="104">
        <v>14072427.871571541</v>
      </c>
      <c r="G135" s="104">
        <v>8502257.0317861587</v>
      </c>
      <c r="H135" s="104">
        <v>2946527.9452438354</v>
      </c>
      <c r="I135" s="104">
        <v>5866907.9465203881</v>
      </c>
    </row>
    <row r="136" spans="2:9">
      <c r="B136" s="102">
        <v>128</v>
      </c>
      <c r="C136" s="104">
        <v>14915416.160214007</v>
      </c>
      <c r="D136" s="104">
        <v>13840815.344401151</v>
      </c>
      <c r="E136" s="104">
        <v>20558751.516253889</v>
      </c>
      <c r="F136" s="104">
        <v>18564431.770171106</v>
      </c>
      <c r="G136" s="104">
        <v>6321255.8783698082</v>
      </c>
      <c r="H136" s="104">
        <v>17957602.916888297</v>
      </c>
      <c r="I136" s="104">
        <v>15286892.598738626</v>
      </c>
    </row>
    <row r="137" spans="2:9">
      <c r="B137" s="102">
        <v>129</v>
      </c>
      <c r="C137" s="104">
        <v>19361469.561131001</v>
      </c>
      <c r="D137" s="104">
        <v>13851220.739018112</v>
      </c>
      <c r="E137" s="104">
        <v>18223192.315347612</v>
      </c>
      <c r="F137" s="104">
        <v>5669628.3530142307</v>
      </c>
      <c r="G137" s="104">
        <v>7337767.5384711474</v>
      </c>
      <c r="H137" s="104">
        <v>8594626.4813499153</v>
      </c>
      <c r="I137" s="104">
        <v>3783551.1555461586</v>
      </c>
    </row>
    <row r="138" spans="2:9">
      <c r="B138" s="102">
        <v>130</v>
      </c>
      <c r="C138" s="104">
        <v>11384329.898516148</v>
      </c>
      <c r="D138" s="104">
        <v>20333291.707244352</v>
      </c>
      <c r="E138" s="104">
        <v>19287745.776469067</v>
      </c>
      <c r="F138" s="104">
        <v>11931842.808403164</v>
      </c>
      <c r="G138" s="104">
        <v>10398572.730888426</v>
      </c>
      <c r="H138" s="104">
        <v>1152018.294403553</v>
      </c>
      <c r="I138" s="104">
        <v>3235199.7720886469</v>
      </c>
    </row>
    <row r="139" spans="2:9">
      <c r="B139" s="102">
        <v>131</v>
      </c>
      <c r="C139" s="104">
        <v>6787119.3540353328</v>
      </c>
      <c r="D139" s="104">
        <v>15131858.679732144</v>
      </c>
      <c r="E139" s="104">
        <v>11282988.886907041</v>
      </c>
      <c r="F139" s="104">
        <v>5104878.9386053979</v>
      </c>
      <c r="G139" s="104">
        <v>10798276.103067219</v>
      </c>
      <c r="H139" s="104">
        <v>8657302.1740582287</v>
      </c>
      <c r="I139" s="104">
        <v>6843697.9824645519</v>
      </c>
    </row>
    <row r="140" spans="2:9">
      <c r="B140" s="102">
        <v>132</v>
      </c>
      <c r="C140" s="104">
        <v>16640731.585735649</v>
      </c>
      <c r="D140" s="104">
        <v>17179588.785949409</v>
      </c>
      <c r="E140" s="104">
        <v>3523552.1400594264</v>
      </c>
      <c r="F140" s="104">
        <v>5836205.0053054541</v>
      </c>
      <c r="G140" s="104">
        <v>9893887.0809171498</v>
      </c>
      <c r="H140" s="104">
        <v>2521073.0519732386</v>
      </c>
      <c r="I140" s="104">
        <v>-3175572.7198514938</v>
      </c>
    </row>
    <row r="141" spans="2:9">
      <c r="B141" s="102">
        <v>133</v>
      </c>
      <c r="C141" s="104">
        <v>6889719.4275619537</v>
      </c>
      <c r="D141" s="104">
        <v>12346038.727492347</v>
      </c>
      <c r="E141" s="104">
        <v>9548069.0539185703</v>
      </c>
      <c r="F141" s="104">
        <v>8591245.4649345279</v>
      </c>
      <c r="G141" s="104">
        <v>13258744.259374022</v>
      </c>
      <c r="H141" s="104">
        <v>2239961.250499934</v>
      </c>
      <c r="I141" s="104">
        <v>9635854.2203110158</v>
      </c>
    </row>
    <row r="142" spans="2:9">
      <c r="B142" s="102">
        <v>134</v>
      </c>
      <c r="C142" s="104">
        <v>21455182.648992106</v>
      </c>
      <c r="D142" s="104">
        <v>8413496.0463644862</v>
      </c>
      <c r="E142" s="104">
        <v>9565717.3740459383</v>
      </c>
      <c r="F142" s="104">
        <v>3960505.0081230998</v>
      </c>
      <c r="G142" s="104">
        <v>8322539.080082804</v>
      </c>
      <c r="H142" s="104">
        <v>8259991.6599536091</v>
      </c>
      <c r="I142" s="104">
        <v>10185698.330787018</v>
      </c>
    </row>
    <row r="143" spans="2:9">
      <c r="B143" s="102">
        <v>135</v>
      </c>
      <c r="C143" s="104">
        <v>37264128.041191518</v>
      </c>
      <c r="D143" s="104">
        <v>19441218.021824092</v>
      </c>
      <c r="E143" s="104">
        <v>17789481.423181772</v>
      </c>
      <c r="F143" s="104">
        <v>10483457.424052149</v>
      </c>
      <c r="G143" s="104">
        <v>13067637.640306637</v>
      </c>
      <c r="H143" s="104">
        <v>3334374.2604402304</v>
      </c>
      <c r="I143" s="104">
        <v>6154726.9129931033</v>
      </c>
    </row>
    <row r="144" spans="2:9">
      <c r="B144" s="102">
        <v>136</v>
      </c>
      <c r="C144" s="104">
        <v>22830542.836123228</v>
      </c>
      <c r="D144" s="104">
        <v>20457104.432433441</v>
      </c>
      <c r="E144" s="104">
        <v>20456777.463912249</v>
      </c>
      <c r="F144" s="104">
        <v>2721687.8962282091</v>
      </c>
      <c r="G144" s="104">
        <v>9779546.4422910064</v>
      </c>
      <c r="H144" s="104">
        <v>-3046620.2553817034</v>
      </c>
      <c r="I144" s="104">
        <v>-2881052.8161949515</v>
      </c>
    </row>
    <row r="145" spans="2:9">
      <c r="B145" s="102">
        <v>137</v>
      </c>
      <c r="C145" s="104">
        <v>7602655.2902680337</v>
      </c>
      <c r="D145" s="104">
        <v>9945775.2092483491</v>
      </c>
      <c r="E145" s="104">
        <v>22107877.149625301</v>
      </c>
      <c r="F145" s="104">
        <v>10009077.772126943</v>
      </c>
      <c r="G145" s="104">
        <v>11702606.941540197</v>
      </c>
      <c r="H145" s="104">
        <v>2460717.6767048389</v>
      </c>
      <c r="I145" s="104">
        <v>19996421.16316089</v>
      </c>
    </row>
    <row r="146" spans="2:9">
      <c r="B146" s="102">
        <v>138</v>
      </c>
      <c r="C146" s="104">
        <v>18249810.462224379</v>
      </c>
      <c r="D146" s="104">
        <v>4515497.508374691</v>
      </c>
      <c r="E146" s="104">
        <v>7812384.6341492087</v>
      </c>
      <c r="F146" s="104">
        <v>3566704.0717132539</v>
      </c>
      <c r="G146" s="104">
        <v>15281880.837878585</v>
      </c>
      <c r="H146" s="104">
        <v>184072.82438421249</v>
      </c>
      <c r="I146" s="104">
        <v>5990888.6084850729</v>
      </c>
    </row>
    <row r="147" spans="2:9">
      <c r="B147" s="102">
        <v>139</v>
      </c>
      <c r="C147" s="104">
        <v>9551504.359605208</v>
      </c>
      <c r="D147" s="104">
        <v>18057139.938021749</v>
      </c>
      <c r="E147" s="104">
        <v>23584169.531508341</v>
      </c>
      <c r="F147" s="104">
        <v>10817011.834767669</v>
      </c>
      <c r="G147" s="104">
        <v>19525431.425928637</v>
      </c>
      <c r="H147" s="104">
        <v>6949840.0609332025</v>
      </c>
      <c r="I147" s="104">
        <v>5441704.4934884608</v>
      </c>
    </row>
    <row r="148" spans="2:9">
      <c r="B148" s="102">
        <v>140</v>
      </c>
      <c r="C148" s="104">
        <v>9004952.0359557271</v>
      </c>
      <c r="D148" s="104">
        <v>7358526.5679028332</v>
      </c>
      <c r="E148" s="104">
        <v>17111317.598133743</v>
      </c>
      <c r="F148" s="104">
        <v>2802147.3272987902</v>
      </c>
      <c r="G148" s="104">
        <v>25825665.908784583</v>
      </c>
      <c r="H148" s="104">
        <v>-4457003.0908596516</v>
      </c>
      <c r="I148" s="104">
        <v>5522447.8470402509</v>
      </c>
    </row>
    <row r="149" spans="2:9">
      <c r="B149" s="102">
        <v>141</v>
      </c>
      <c r="C149" s="104">
        <v>4649843.3995999694</v>
      </c>
      <c r="D149" s="104">
        <v>15282484.655058801</v>
      </c>
      <c r="E149" s="104">
        <v>17799444.975320458</v>
      </c>
      <c r="F149" s="104">
        <v>11983084.575657457</v>
      </c>
      <c r="G149" s="104">
        <v>11321514.018002376</v>
      </c>
      <c r="H149" s="104">
        <v>12896713.638282746</v>
      </c>
      <c r="I149" s="104">
        <v>5803277.0684769601</v>
      </c>
    </row>
    <row r="150" spans="2:9">
      <c r="B150" s="102">
        <v>142</v>
      </c>
      <c r="C150" s="104">
        <v>11558871.322904006</v>
      </c>
      <c r="D150" s="104">
        <v>18861426.145179495</v>
      </c>
      <c r="E150" s="104">
        <v>19196100.721475601</v>
      </c>
      <c r="F150" s="104">
        <v>12598348.950772941</v>
      </c>
      <c r="G150" s="104">
        <v>10274817.0183689</v>
      </c>
      <c r="H150" s="104">
        <v>7143621.2637387514</v>
      </c>
      <c r="I150" s="104">
        <v>-7905306.4664632529</v>
      </c>
    </row>
    <row r="151" spans="2:9">
      <c r="B151" s="102">
        <v>143</v>
      </c>
      <c r="C151" s="104">
        <v>15338112.447220296</v>
      </c>
      <c r="D151" s="104">
        <v>18037116.000126332</v>
      </c>
      <c r="E151" s="104">
        <v>6304926.1463961452</v>
      </c>
      <c r="F151" s="104">
        <v>9795675.4368487895</v>
      </c>
      <c r="G151" s="104">
        <v>6380612.6809712946</v>
      </c>
      <c r="H151" s="104">
        <v>-5736302.8112930357</v>
      </c>
      <c r="I151" s="104">
        <v>-3748809.0688640773</v>
      </c>
    </row>
    <row r="152" spans="2:9">
      <c r="B152" s="102">
        <v>144</v>
      </c>
      <c r="C152" s="104">
        <v>8276036.2554589659</v>
      </c>
      <c r="D152" s="104">
        <v>28648296.609809488</v>
      </c>
      <c r="E152" s="104">
        <v>7351066.4553284943</v>
      </c>
      <c r="F152" s="104">
        <v>1196096.0569830239</v>
      </c>
      <c r="G152" s="104">
        <v>11527132.327149302</v>
      </c>
      <c r="H152" s="104">
        <v>3454958.8941264302</v>
      </c>
      <c r="I152" s="104">
        <v>-2142240.2087062746</v>
      </c>
    </row>
    <row r="153" spans="2:9">
      <c r="B153" s="102">
        <v>145</v>
      </c>
      <c r="C153" s="104">
        <v>5507354.7793375552</v>
      </c>
      <c r="D153" s="104">
        <v>20067603.689198986</v>
      </c>
      <c r="E153" s="104">
        <v>6977428.5633909553</v>
      </c>
      <c r="F153" s="104">
        <v>10585461.030973107</v>
      </c>
      <c r="G153" s="104">
        <v>10411251.072880477</v>
      </c>
      <c r="H153" s="104">
        <v>5157093.8633862436</v>
      </c>
      <c r="I153" s="104">
        <v>-5608553.7225445509</v>
      </c>
    </row>
    <row r="154" spans="2:9">
      <c r="B154" s="102">
        <v>146</v>
      </c>
      <c r="C154" s="104">
        <v>16218762.818343192</v>
      </c>
      <c r="D154" s="104">
        <v>9804907.3581312597</v>
      </c>
      <c r="E154" s="104">
        <v>8563109.7873210758</v>
      </c>
      <c r="F154" s="104">
        <v>14209607.997861475</v>
      </c>
      <c r="G154" s="104">
        <v>8372771.8052443713</v>
      </c>
      <c r="H154" s="104">
        <v>5116611.5166603178</v>
      </c>
      <c r="I154" s="104">
        <v>4618270.1051963568</v>
      </c>
    </row>
    <row r="155" spans="2:9">
      <c r="B155" s="102">
        <v>147</v>
      </c>
      <c r="C155" s="104">
        <v>9510171.0642829388</v>
      </c>
      <c r="D155" s="104">
        <v>17019934.960944697</v>
      </c>
      <c r="E155" s="104">
        <v>10324800.638763428</v>
      </c>
      <c r="F155" s="104">
        <v>10341752.654856518</v>
      </c>
      <c r="G155" s="104">
        <v>11997746.627112329</v>
      </c>
      <c r="H155" s="104">
        <v>450984.95457223058</v>
      </c>
      <c r="I155" s="104">
        <v>34731.62797665596</v>
      </c>
    </row>
    <row r="156" spans="2:9">
      <c r="B156" s="102">
        <v>148</v>
      </c>
      <c r="C156" s="104">
        <v>20904479.609010994</v>
      </c>
      <c r="D156" s="104">
        <v>3173087.9283796847</v>
      </c>
      <c r="E156" s="104">
        <v>4787971.5600714087</v>
      </c>
      <c r="F156" s="104">
        <v>11479012.198447376</v>
      </c>
      <c r="G156" s="104">
        <v>11583625.753316194</v>
      </c>
      <c r="H156" s="104">
        <v>10705322.111391336</v>
      </c>
      <c r="I156" s="104">
        <v>-2955281.0410933048</v>
      </c>
    </row>
    <row r="157" spans="2:9">
      <c r="B157" s="102">
        <v>149</v>
      </c>
      <c r="C157" s="104">
        <v>12526343.821589053</v>
      </c>
      <c r="D157" s="104">
        <v>23396219.422197685</v>
      </c>
      <c r="E157" s="104">
        <v>2466747.1001424789</v>
      </c>
      <c r="F157" s="104">
        <v>10649589.946067572</v>
      </c>
      <c r="G157" s="104">
        <v>2864566.2584258169</v>
      </c>
      <c r="H157" s="104">
        <v>21832384.663085312</v>
      </c>
      <c r="I157" s="104">
        <v>8019623.4030534923</v>
      </c>
    </row>
    <row r="158" spans="2:9">
      <c r="B158" s="102">
        <v>150</v>
      </c>
      <c r="C158" s="104">
        <v>21456577.866519824</v>
      </c>
      <c r="D158" s="104">
        <v>24192877.907339901</v>
      </c>
      <c r="E158" s="104">
        <v>10226684.874065593</v>
      </c>
      <c r="F158" s="104">
        <v>8509271.8588876277</v>
      </c>
      <c r="G158" s="104">
        <v>4042770.7933672816</v>
      </c>
      <c r="H158" s="104">
        <v>5305703.2467613816</v>
      </c>
      <c r="I158" s="104">
        <v>-386359.21806648374</v>
      </c>
    </row>
    <row r="159" spans="2:9">
      <c r="B159" s="102">
        <v>151</v>
      </c>
      <c r="C159" s="104">
        <v>22992821.729969785</v>
      </c>
      <c r="D159" s="104">
        <v>13754028.876510262</v>
      </c>
      <c r="E159" s="104">
        <v>14090525.230073586</v>
      </c>
      <c r="F159" s="104">
        <v>15748782.232421443</v>
      </c>
      <c r="G159" s="104">
        <v>13217536.33772248</v>
      </c>
      <c r="H159" s="104">
        <v>1957556.1793256402</v>
      </c>
      <c r="I159" s="104">
        <v>8920163.683056742</v>
      </c>
    </row>
    <row r="160" spans="2:9">
      <c r="B160" s="102">
        <v>152</v>
      </c>
      <c r="C160" s="104">
        <v>5406040.9403802752</v>
      </c>
      <c r="D160" s="104">
        <v>19340103.201218724</v>
      </c>
      <c r="E160" s="104">
        <v>10294518.843755096</v>
      </c>
      <c r="F160" s="104">
        <v>8130971.6112917811</v>
      </c>
      <c r="G160" s="104">
        <v>12585111.659011841</v>
      </c>
      <c r="H160" s="104">
        <v>-3304693.5716564506</v>
      </c>
      <c r="I160" s="104">
        <v>12148550.35397841</v>
      </c>
    </row>
    <row r="161" spans="2:9">
      <c r="B161" s="102">
        <v>153</v>
      </c>
      <c r="C161" s="104">
        <v>26400904.270707726</v>
      </c>
      <c r="D161" s="104">
        <v>5697444.4030115306</v>
      </c>
      <c r="E161" s="104">
        <v>15923433.044068724</v>
      </c>
      <c r="F161" s="104">
        <v>11281763.283590019</v>
      </c>
      <c r="G161" s="104">
        <v>-1110830.055987224</v>
      </c>
      <c r="H161" s="104">
        <v>5563539.785590142</v>
      </c>
      <c r="I161" s="104">
        <v>6284235.7888276875</v>
      </c>
    </row>
    <row r="162" spans="2:9">
      <c r="B162" s="102">
        <v>154</v>
      </c>
      <c r="C162" s="104">
        <v>10971199.581821337</v>
      </c>
      <c r="D162" s="104">
        <v>10764272.278431326</v>
      </c>
      <c r="E162" s="104">
        <v>17660945.782373831</v>
      </c>
      <c r="F162" s="104">
        <v>2504742.3352651447</v>
      </c>
      <c r="G162" s="104">
        <v>2035145.0033850968</v>
      </c>
      <c r="H162" s="104">
        <v>3068262.459223032</v>
      </c>
      <c r="I162" s="104">
        <v>2288591.9531705827</v>
      </c>
    </row>
    <row r="163" spans="2:9">
      <c r="B163" s="102">
        <v>155</v>
      </c>
      <c r="C163" s="104">
        <v>13452545.554190651</v>
      </c>
      <c r="D163" s="104">
        <v>21855931.408687502</v>
      </c>
      <c r="E163" s="104">
        <v>10436651.700514138</v>
      </c>
      <c r="F163" s="104">
        <v>15561684.319905937</v>
      </c>
      <c r="G163" s="104">
        <v>13972855.575157255</v>
      </c>
      <c r="H163" s="104">
        <v>6350463.8682650626</v>
      </c>
      <c r="I163" s="104">
        <v>4892439.8617935479</v>
      </c>
    </row>
    <row r="164" spans="2:9">
      <c r="B164" s="102">
        <v>156</v>
      </c>
      <c r="C164" s="104">
        <v>15319957.813642159</v>
      </c>
      <c r="D164" s="104">
        <v>9251883.1353024989</v>
      </c>
      <c r="E164" s="104">
        <v>-3728542.8100887984</v>
      </c>
      <c r="F164" s="104">
        <v>17717076.96987097</v>
      </c>
      <c r="G164" s="104">
        <v>5479509.6379335821</v>
      </c>
      <c r="H164" s="104">
        <v>1310874.1254220605</v>
      </c>
      <c r="I164" s="104">
        <v>3455782.2571758777</v>
      </c>
    </row>
    <row r="165" spans="2:9">
      <c r="B165" s="102">
        <v>157</v>
      </c>
      <c r="C165" s="104">
        <v>-3457898.5908578336</v>
      </c>
      <c r="D165" s="104">
        <v>17649845.245618373</v>
      </c>
      <c r="E165" s="104">
        <v>7679644.3775686771</v>
      </c>
      <c r="F165" s="104">
        <v>15453501.414150655</v>
      </c>
      <c r="G165" s="104">
        <v>3938107.8362366855</v>
      </c>
      <c r="H165" s="104">
        <v>1653193.8088401109</v>
      </c>
      <c r="I165" s="104">
        <v>9839499.0310787559</v>
      </c>
    </row>
    <row r="166" spans="2:9">
      <c r="B166" s="102">
        <v>158</v>
      </c>
      <c r="C166" s="104">
        <v>9548836.1603921652</v>
      </c>
      <c r="D166" s="104">
        <v>8184400.9535012245</v>
      </c>
      <c r="E166" s="104">
        <v>9989296.9127419591</v>
      </c>
      <c r="F166" s="104">
        <v>5856465.4284147918</v>
      </c>
      <c r="G166" s="104">
        <v>-3102451.9161267728</v>
      </c>
      <c r="H166" s="104">
        <v>2497833.7510791719</v>
      </c>
      <c r="I166" s="104">
        <v>13390066.500506341</v>
      </c>
    </row>
    <row r="167" spans="2:9">
      <c r="B167" s="102">
        <v>159</v>
      </c>
      <c r="C167" s="104">
        <v>6079267.9787295014</v>
      </c>
      <c r="D167" s="104">
        <v>11574284.699252233</v>
      </c>
      <c r="E167" s="104">
        <v>9768261.3068684638</v>
      </c>
      <c r="F167" s="104">
        <v>19357691.512943998</v>
      </c>
      <c r="G167" s="104">
        <v>12928206.130300745</v>
      </c>
      <c r="H167" s="104">
        <v>10258090.143486023</v>
      </c>
      <c r="I167" s="104">
        <v>6650809.4207860529</v>
      </c>
    </row>
    <row r="168" spans="2:9">
      <c r="B168" s="102">
        <v>160</v>
      </c>
      <c r="C168" s="104">
        <v>23420045.531005979</v>
      </c>
      <c r="D168" s="104">
        <v>19844769.910183102</v>
      </c>
      <c r="E168" s="104">
        <v>12616790.339505404</v>
      </c>
      <c r="F168" s="104">
        <v>7883665.2032280117</v>
      </c>
      <c r="G168" s="104">
        <v>6174435.0702625513</v>
      </c>
      <c r="H168" s="104">
        <v>1128160.9518777132</v>
      </c>
      <c r="I168" s="104">
        <v>-1273992.6571264863</v>
      </c>
    </row>
    <row r="169" spans="2:9">
      <c r="B169" s="102">
        <v>161</v>
      </c>
      <c r="C169" s="104">
        <v>13772867.419089794</v>
      </c>
      <c r="D169" s="104">
        <v>1462821.3607312143</v>
      </c>
      <c r="E169" s="104">
        <v>3544404.7179914862</v>
      </c>
      <c r="F169" s="104">
        <v>-5343276.5716840625</v>
      </c>
      <c r="G169" s="104">
        <v>9674497.1473551542</v>
      </c>
      <c r="H169" s="104">
        <v>11536647.895968676</v>
      </c>
      <c r="I169" s="104">
        <v>3947757.5525717735</v>
      </c>
    </row>
    <row r="170" spans="2:9">
      <c r="B170" s="102">
        <v>162</v>
      </c>
      <c r="C170" s="104">
        <v>25558925.12356475</v>
      </c>
      <c r="D170" s="104">
        <v>12337273.232799068</v>
      </c>
      <c r="E170" s="104">
        <v>12566180.565926448</v>
      </c>
      <c r="F170" s="104">
        <v>22473172.394831032</v>
      </c>
      <c r="G170" s="104">
        <v>585602.44346100092</v>
      </c>
      <c r="H170" s="104">
        <v>-1256508.0862295628</v>
      </c>
      <c r="I170" s="104">
        <v>5008819.941870153</v>
      </c>
    </row>
    <row r="171" spans="2:9">
      <c r="B171" s="102">
        <v>163</v>
      </c>
      <c r="C171" s="104">
        <v>13285013.363431275</v>
      </c>
      <c r="D171" s="104">
        <v>13779740.727840051</v>
      </c>
      <c r="E171" s="104">
        <v>19602002.916422993</v>
      </c>
      <c r="F171" s="104">
        <v>15316094.315277591</v>
      </c>
      <c r="G171" s="104">
        <v>7707754.1297182143</v>
      </c>
      <c r="H171" s="104">
        <v>8389125.2130424678</v>
      </c>
      <c r="I171" s="104">
        <v>3206151.5232367218</v>
      </c>
    </row>
    <row r="172" spans="2:9">
      <c r="B172" s="102">
        <v>164</v>
      </c>
      <c r="C172" s="104">
        <v>19047643.100464433</v>
      </c>
      <c r="D172" s="104">
        <v>19094800.918153539</v>
      </c>
      <c r="E172" s="104">
        <v>9598494.8951262683</v>
      </c>
      <c r="F172" s="104">
        <v>8735684.9035797566</v>
      </c>
      <c r="G172" s="104">
        <v>15643178.967959881</v>
      </c>
      <c r="H172" s="104">
        <v>7259512.0803911239</v>
      </c>
      <c r="I172" s="104">
        <v>-11617894.489090234</v>
      </c>
    </row>
    <row r="173" spans="2:9">
      <c r="B173" s="102">
        <v>165</v>
      </c>
      <c r="C173" s="104">
        <v>17753005.313468397</v>
      </c>
      <c r="D173" s="104">
        <v>14185348.30851528</v>
      </c>
      <c r="E173" s="104">
        <v>6582810.4831699729</v>
      </c>
      <c r="F173" s="104">
        <v>7884802.426910758</v>
      </c>
      <c r="G173" s="104">
        <v>3737387.7408142835</v>
      </c>
      <c r="H173" s="104">
        <v>11765171.517626792</v>
      </c>
      <c r="I173" s="104">
        <v>1873643.7138526589</v>
      </c>
    </row>
    <row r="174" spans="2:9">
      <c r="B174" s="102">
        <v>166</v>
      </c>
      <c r="C174" s="104">
        <v>8086591.437272042</v>
      </c>
      <c r="D174" s="104">
        <v>19400655.425833121</v>
      </c>
      <c r="E174" s="104">
        <v>7679344.5693284571</v>
      </c>
      <c r="F174" s="104">
        <v>13639974.636770561</v>
      </c>
      <c r="G174" s="104">
        <v>17335414.179185346</v>
      </c>
      <c r="H174" s="104">
        <v>-2776978.9661569893</v>
      </c>
      <c r="I174" s="104">
        <v>7745581.2862862051</v>
      </c>
    </row>
    <row r="175" spans="2:9">
      <c r="B175" s="102">
        <v>167</v>
      </c>
      <c r="C175" s="104">
        <v>27877714.779387638</v>
      </c>
      <c r="D175" s="104">
        <v>10900927.995281681</v>
      </c>
      <c r="E175" s="104">
        <v>10413040.940810055</v>
      </c>
      <c r="F175" s="104">
        <v>-8490373.3499437571</v>
      </c>
      <c r="G175" s="104">
        <v>19061301.884113654</v>
      </c>
      <c r="H175" s="104">
        <v>3911360.8541928828</v>
      </c>
      <c r="I175" s="104">
        <v>14164853.380313158</v>
      </c>
    </row>
    <row r="176" spans="2:9">
      <c r="B176" s="102">
        <v>168</v>
      </c>
      <c r="C176" s="104">
        <v>14664874.170716286</v>
      </c>
      <c r="D176" s="104">
        <v>10813549.443179667</v>
      </c>
      <c r="E176" s="104">
        <v>12286636.320608109</v>
      </c>
      <c r="F176" s="104">
        <v>17151320.86508733</v>
      </c>
      <c r="G176" s="104">
        <v>-3039650.1250823885</v>
      </c>
      <c r="H176" s="104">
        <v>1177505.509876281</v>
      </c>
      <c r="I176" s="104">
        <v>9795499.4902067333</v>
      </c>
    </row>
    <row r="177" spans="2:9">
      <c r="B177" s="102">
        <v>169</v>
      </c>
      <c r="C177" s="104">
        <v>14234663.217844084</v>
      </c>
      <c r="D177" s="104">
        <v>15446035.787964478</v>
      </c>
      <c r="E177" s="104">
        <v>16913499.152976632</v>
      </c>
      <c r="F177" s="104">
        <v>13629985.837236494</v>
      </c>
      <c r="G177" s="104">
        <v>-810512.2937194854</v>
      </c>
      <c r="H177" s="104">
        <v>3800425.0328932703</v>
      </c>
      <c r="I177" s="104">
        <v>12159038.907783046</v>
      </c>
    </row>
    <row r="178" spans="2:9">
      <c r="B178" s="102">
        <v>170</v>
      </c>
      <c r="C178" s="104">
        <v>8488549.8889830709</v>
      </c>
      <c r="D178" s="104">
        <v>13021395.318204701</v>
      </c>
      <c r="E178" s="104">
        <v>7546533.2414568961</v>
      </c>
      <c r="F178" s="104">
        <v>3064678.1986635327</v>
      </c>
      <c r="G178" s="104">
        <v>19179644.574703634</v>
      </c>
      <c r="H178" s="104">
        <v>9896718.2230289578</v>
      </c>
      <c r="I178" s="104">
        <v>-3095657.1399222016</v>
      </c>
    </row>
    <row r="179" spans="2:9">
      <c r="B179" s="102">
        <v>171</v>
      </c>
      <c r="C179" s="104">
        <v>6824908.4032011926</v>
      </c>
      <c r="D179" s="104">
        <v>11912025.204996213</v>
      </c>
      <c r="E179" s="104">
        <v>3408814.7182719707</v>
      </c>
      <c r="F179" s="104">
        <v>13614034.903822511</v>
      </c>
      <c r="G179" s="104">
        <v>20591100.72278899</v>
      </c>
      <c r="H179" s="104">
        <v>-2930554.0462849438</v>
      </c>
      <c r="I179" s="104">
        <v>1550922.8928153813</v>
      </c>
    </row>
    <row r="180" spans="2:9">
      <c r="B180" s="102">
        <v>172</v>
      </c>
      <c r="C180" s="104">
        <v>16888394.690305263</v>
      </c>
      <c r="D180" s="104">
        <v>18275613.13026467</v>
      </c>
      <c r="E180" s="104">
        <v>9169495.4440455884</v>
      </c>
      <c r="F180" s="104">
        <v>7098840.3956483155</v>
      </c>
      <c r="G180" s="104">
        <v>15676800.339463741</v>
      </c>
      <c r="H180" s="104">
        <v>3097843.9883524626</v>
      </c>
      <c r="I180" s="104">
        <v>2248555.0682151318</v>
      </c>
    </row>
    <row r="181" spans="2:9">
      <c r="B181" s="102">
        <v>173</v>
      </c>
      <c r="C181" s="104">
        <v>23277891.661771566</v>
      </c>
      <c r="D181" s="104">
        <v>18843831.445003301</v>
      </c>
      <c r="E181" s="104">
        <v>4359639.0132182091</v>
      </c>
      <c r="F181" s="104">
        <v>-5167459.5529849827</v>
      </c>
      <c r="G181" s="104">
        <v>6610833.5347509086</v>
      </c>
      <c r="H181" s="104">
        <v>16308139.847144216</v>
      </c>
      <c r="I181" s="104">
        <v>622934.93397264183</v>
      </c>
    </row>
    <row r="182" spans="2:9">
      <c r="B182" s="102">
        <v>174</v>
      </c>
      <c r="C182" s="104">
        <v>15756504.44624877</v>
      </c>
      <c r="D182" s="104">
        <v>14872143.259465635</v>
      </c>
      <c r="E182" s="104">
        <v>24010289.656324178</v>
      </c>
      <c r="F182" s="104">
        <v>14703408.293257639</v>
      </c>
      <c r="G182" s="104">
        <v>2407304.0900862068</v>
      </c>
      <c r="H182" s="104">
        <v>7520780.0678392947</v>
      </c>
      <c r="I182" s="104">
        <v>15126527.011108994</v>
      </c>
    </row>
    <row r="183" spans="2:9">
      <c r="B183" s="102">
        <v>175</v>
      </c>
      <c r="C183" s="104">
        <v>23692057.223975077</v>
      </c>
      <c r="D183" s="104">
        <v>14849143.509070873</v>
      </c>
      <c r="E183" s="104">
        <v>14557881.194920242</v>
      </c>
      <c r="F183" s="104">
        <v>12948679.456876546</v>
      </c>
      <c r="G183" s="104">
        <v>10563796.023111284</v>
      </c>
      <c r="H183" s="104">
        <v>-8237159.6317299008</v>
      </c>
      <c r="I183" s="104">
        <v>3191539.7030318081</v>
      </c>
    </row>
    <row r="184" spans="2:9">
      <c r="B184" s="102">
        <v>176</v>
      </c>
      <c r="C184" s="104">
        <v>17747875.877772585</v>
      </c>
      <c r="D184" s="104">
        <v>18444201.684747636</v>
      </c>
      <c r="E184" s="104">
        <v>9400632.5333853066</v>
      </c>
      <c r="F184" s="104">
        <v>6486069.301169157</v>
      </c>
      <c r="G184" s="104">
        <v>6346263.5028412044</v>
      </c>
      <c r="H184" s="104">
        <v>5921951.7953199446</v>
      </c>
      <c r="I184" s="104">
        <v>2440021.1552362144</v>
      </c>
    </row>
    <row r="185" spans="2:9">
      <c r="B185" s="102">
        <v>177</v>
      </c>
      <c r="C185" s="104">
        <v>20773812.13656795</v>
      </c>
      <c r="D185" s="104">
        <v>14594289.256836072</v>
      </c>
      <c r="E185" s="104">
        <v>14158123.433339357</v>
      </c>
      <c r="F185" s="104">
        <v>15886950.319127977</v>
      </c>
      <c r="G185" s="104">
        <v>7577545.0048140734</v>
      </c>
      <c r="H185" s="104">
        <v>696194.05982221663</v>
      </c>
      <c r="I185" s="104">
        <v>-7741990.7058773488</v>
      </c>
    </row>
    <row r="186" spans="2:9">
      <c r="B186" s="102">
        <v>178</v>
      </c>
      <c r="C186" s="104">
        <v>13455969.953407481</v>
      </c>
      <c r="D186" s="104">
        <v>24987414.423345327</v>
      </c>
      <c r="E186" s="104">
        <v>10014348.281682581</v>
      </c>
      <c r="F186" s="104">
        <v>14489339.831258595</v>
      </c>
      <c r="G186" s="104">
        <v>20883927.937685475</v>
      </c>
      <c r="H186" s="104">
        <v>-2319098.905628711</v>
      </c>
      <c r="I186" s="104">
        <v>-4294244.7729689926</v>
      </c>
    </row>
    <row r="187" spans="2:9">
      <c r="B187" s="102">
        <v>179</v>
      </c>
      <c r="C187" s="104">
        <v>21363715.024923295</v>
      </c>
      <c r="D187" s="104">
        <v>16515703.01172246</v>
      </c>
      <c r="E187" s="104">
        <v>3348972.2764700949</v>
      </c>
      <c r="F187" s="104">
        <v>6326913.4680616856</v>
      </c>
      <c r="G187" s="104">
        <v>2282280.3835068196</v>
      </c>
      <c r="H187" s="104">
        <v>-1489238.6372205764</v>
      </c>
      <c r="I187" s="104">
        <v>3384697.8719471991</v>
      </c>
    </row>
    <row r="188" spans="2:9">
      <c r="B188" s="102">
        <v>180</v>
      </c>
      <c r="C188" s="104">
        <v>12064584.876697555</v>
      </c>
      <c r="D188" s="104">
        <v>16992790.976178929</v>
      </c>
      <c r="E188" s="104">
        <v>20506384.721191138</v>
      </c>
      <c r="F188" s="104">
        <v>-1416025.814261198</v>
      </c>
      <c r="G188" s="104">
        <v>6048342.5204825997</v>
      </c>
      <c r="H188" s="104">
        <v>4476975.4872147441</v>
      </c>
      <c r="I188" s="104">
        <v>6262828.9200816154</v>
      </c>
    </row>
    <row r="189" spans="2:9">
      <c r="B189" s="102">
        <v>181</v>
      </c>
      <c r="C189" s="104">
        <v>28159574.739832804</v>
      </c>
      <c r="D189" s="104">
        <v>12210979.904668659</v>
      </c>
      <c r="E189" s="104">
        <v>19032784.088687733</v>
      </c>
      <c r="F189" s="104">
        <v>11986071.202725813</v>
      </c>
      <c r="G189" s="104">
        <v>417372.83840553463</v>
      </c>
      <c r="H189" s="104">
        <v>10469984.881758407</v>
      </c>
      <c r="I189" s="104">
        <v>4720257.6252423823</v>
      </c>
    </row>
    <row r="190" spans="2:9">
      <c r="B190" s="102">
        <v>182</v>
      </c>
      <c r="C190" s="104">
        <v>17796416.999746278</v>
      </c>
      <c r="D190" s="104">
        <v>14418582.895570949</v>
      </c>
      <c r="E190" s="104">
        <v>11132594.35740377</v>
      </c>
      <c r="F190" s="104">
        <v>7689185.8850137144</v>
      </c>
      <c r="G190" s="104">
        <v>13462112.077490926</v>
      </c>
      <c r="H190" s="104">
        <v>10993606.44835262</v>
      </c>
      <c r="I190" s="104">
        <v>6524615.7597381771</v>
      </c>
    </row>
    <row r="191" spans="2:9">
      <c r="B191" s="102">
        <v>183</v>
      </c>
      <c r="C191" s="104">
        <v>663934.9143537581</v>
      </c>
      <c r="D191" s="104">
        <v>13560407.523681507</v>
      </c>
      <c r="E191" s="104">
        <v>16895299.618982509</v>
      </c>
      <c r="F191" s="104">
        <v>4068921.1285998821</v>
      </c>
      <c r="G191" s="104">
        <v>20989351.657918394</v>
      </c>
      <c r="H191" s="104">
        <v>-544117.06577783823</v>
      </c>
      <c r="I191" s="104">
        <v>3747344.443074584</v>
      </c>
    </row>
    <row r="192" spans="2:9">
      <c r="B192" s="102">
        <v>184</v>
      </c>
      <c r="C192" s="104">
        <v>4791589.2332463562</v>
      </c>
      <c r="D192" s="104">
        <v>10934447.675837666</v>
      </c>
      <c r="E192" s="104">
        <v>17884732.318561837</v>
      </c>
      <c r="F192" s="104">
        <v>14474913.35608156</v>
      </c>
      <c r="G192" s="104">
        <v>5101003.8473284543</v>
      </c>
      <c r="H192" s="104">
        <v>8643665.1895976216</v>
      </c>
      <c r="I192" s="104">
        <v>11294216.17841509</v>
      </c>
    </row>
    <row r="193" spans="2:9">
      <c r="B193" s="102">
        <v>185</v>
      </c>
      <c r="C193" s="104">
        <v>25618246.493222564</v>
      </c>
      <c r="D193" s="104">
        <v>14186698.69933711</v>
      </c>
      <c r="E193" s="104">
        <v>13806467.748365536</v>
      </c>
      <c r="F193" s="104">
        <v>4645322.0791458935</v>
      </c>
      <c r="G193" s="104">
        <v>-4171877.5209536552</v>
      </c>
      <c r="H193" s="104">
        <v>1710424.0286418498</v>
      </c>
      <c r="I193" s="104">
        <v>7421064.6921622157</v>
      </c>
    </row>
    <row r="194" spans="2:9">
      <c r="B194" s="102">
        <v>186</v>
      </c>
      <c r="C194" s="104">
        <v>16805653.418216169</v>
      </c>
      <c r="D194" s="104">
        <v>10969866.789246738</v>
      </c>
      <c r="E194" s="104">
        <v>12305253.235485777</v>
      </c>
      <c r="F194" s="104">
        <v>18317260.473885387</v>
      </c>
      <c r="G194" s="104">
        <v>12481400.047965974</v>
      </c>
      <c r="H194" s="104">
        <v>13999299.814310938</v>
      </c>
      <c r="I194" s="104">
        <v>10108867.304149359</v>
      </c>
    </row>
    <row r="195" spans="2:9">
      <c r="B195" s="102">
        <v>187</v>
      </c>
      <c r="C195" s="104">
        <v>16091360.654085845</v>
      </c>
      <c r="D195" s="104">
        <v>14575081.065560102</v>
      </c>
      <c r="E195" s="104">
        <v>14018197.312183961</v>
      </c>
      <c r="F195" s="104">
        <v>3975229.5551006496</v>
      </c>
      <c r="G195" s="104">
        <v>2405456.612642169</v>
      </c>
      <c r="H195" s="104">
        <v>8067803.2866716683</v>
      </c>
      <c r="I195" s="104">
        <v>-1305848.5194143504</v>
      </c>
    </row>
    <row r="196" spans="2:9">
      <c r="B196" s="102">
        <v>188</v>
      </c>
      <c r="C196" s="104">
        <v>16950729.571823537</v>
      </c>
      <c r="D196" s="104">
        <v>12485052.818636835</v>
      </c>
      <c r="E196" s="104">
        <v>10115111.328255892</v>
      </c>
      <c r="F196" s="104">
        <v>19423000.750308365</v>
      </c>
      <c r="G196" s="104">
        <v>15113691.321934789</v>
      </c>
      <c r="H196" s="104">
        <v>13051237.408356398</v>
      </c>
      <c r="I196" s="104">
        <v>-798487.25503687561</v>
      </c>
    </row>
    <row r="197" spans="2:9">
      <c r="B197" s="102">
        <v>189</v>
      </c>
      <c r="C197" s="104">
        <v>8303476.2426740676</v>
      </c>
      <c r="D197" s="104">
        <v>14325456.038110003</v>
      </c>
      <c r="E197" s="104">
        <v>-2765511.7400153577</v>
      </c>
      <c r="F197" s="104">
        <v>-1969818.5605865568</v>
      </c>
      <c r="G197" s="104">
        <v>4083852.0529758036</v>
      </c>
      <c r="H197" s="104">
        <v>8902508.1453578621</v>
      </c>
      <c r="I197" s="104">
        <v>-1185930.0666901171</v>
      </c>
    </row>
    <row r="198" spans="2:9">
      <c r="B198" s="102">
        <v>190</v>
      </c>
      <c r="C198" s="104">
        <v>6601704.4156986624</v>
      </c>
      <c r="D198" s="104">
        <v>5206827.7790834606</v>
      </c>
      <c r="E198" s="104">
        <v>4926125.1045309305</v>
      </c>
      <c r="F198" s="104">
        <v>10420105.314962715</v>
      </c>
      <c r="G198" s="104">
        <v>12292560.406585157</v>
      </c>
      <c r="H198" s="104">
        <v>5286827.4876487851</v>
      </c>
      <c r="I198" s="104">
        <v>3753012.7371810377</v>
      </c>
    </row>
    <row r="199" spans="2:9">
      <c r="B199" s="102">
        <v>191</v>
      </c>
      <c r="C199" s="104">
        <v>22112751.018996328</v>
      </c>
      <c r="D199" s="104">
        <v>9768504.6779953092</v>
      </c>
      <c r="E199" s="104">
        <v>7300158.9529852569</v>
      </c>
      <c r="F199" s="104">
        <v>15298182.453406408</v>
      </c>
      <c r="G199" s="104">
        <v>11493167.249519199</v>
      </c>
      <c r="H199" s="104">
        <v>13454036.426783472</v>
      </c>
      <c r="I199" s="104">
        <v>2849694.8488683701</v>
      </c>
    </row>
    <row r="200" spans="2:9">
      <c r="B200" s="102">
        <v>192</v>
      </c>
      <c r="C200" s="104">
        <v>19505220.656772405</v>
      </c>
      <c r="D200" s="104">
        <v>21353209.812411144</v>
      </c>
      <c r="E200" s="104">
        <v>7702429.8008445352</v>
      </c>
      <c r="F200" s="104">
        <v>6140469.817230925</v>
      </c>
      <c r="G200" s="104">
        <v>-814097.62862558663</v>
      </c>
      <c r="H200" s="104">
        <v>1027583.9942235202</v>
      </c>
      <c r="I200" s="104">
        <v>8564353.9267424643</v>
      </c>
    </row>
    <row r="201" spans="2:9">
      <c r="B201" s="102">
        <v>193</v>
      </c>
      <c r="C201" s="104">
        <v>18654879.145411715</v>
      </c>
      <c r="D201" s="104">
        <v>9005977.1691284031</v>
      </c>
      <c r="E201" s="104">
        <v>16643004.14073877</v>
      </c>
      <c r="F201" s="104">
        <v>19809410.790016875</v>
      </c>
      <c r="G201" s="104">
        <v>-771465.83966182172</v>
      </c>
      <c r="H201" s="104">
        <v>9904536.7348686904</v>
      </c>
      <c r="I201" s="104">
        <v>3582916.8083076477</v>
      </c>
    </row>
    <row r="202" spans="2:9">
      <c r="B202" s="102">
        <v>194</v>
      </c>
      <c r="C202" s="104">
        <v>6178221.505865559</v>
      </c>
      <c r="D202" s="104">
        <v>17559588.958630145</v>
      </c>
      <c r="E202" s="104">
        <v>17184077.727363482</v>
      </c>
      <c r="F202" s="104">
        <v>22782963.012589186</v>
      </c>
      <c r="G202" s="104">
        <v>7968338.7158413529</v>
      </c>
      <c r="H202" s="104">
        <v>-1742655.6307888925</v>
      </c>
      <c r="I202" s="104">
        <v>4051530.8598280549</v>
      </c>
    </row>
    <row r="203" spans="2:9">
      <c r="B203" s="102">
        <v>195</v>
      </c>
      <c r="C203" s="104">
        <v>17176222.56333226</v>
      </c>
      <c r="D203" s="104">
        <v>12336744.298382252</v>
      </c>
      <c r="E203" s="104">
        <v>11684543.902162269</v>
      </c>
      <c r="F203" s="104">
        <v>9021381.6541649401</v>
      </c>
      <c r="G203" s="104">
        <v>5777031.2680435479</v>
      </c>
      <c r="H203" s="104">
        <v>-4049214.4564692378</v>
      </c>
      <c r="I203" s="104">
        <v>7287731.8575629592</v>
      </c>
    </row>
    <row r="204" spans="2:9">
      <c r="B204" s="102">
        <v>196</v>
      </c>
      <c r="C204" s="104">
        <v>16762627.699102253</v>
      </c>
      <c r="D204" s="104">
        <v>11980306.793050855</v>
      </c>
      <c r="E204" s="104">
        <v>13616798.614999816</v>
      </c>
      <c r="F204" s="104">
        <v>1842982.1413777173</v>
      </c>
      <c r="G204" s="104">
        <v>613579.42867536843</v>
      </c>
      <c r="H204" s="104">
        <v>13355180.741451025</v>
      </c>
      <c r="I204" s="104">
        <v>3699699.5306697488</v>
      </c>
    </row>
    <row r="205" spans="2:9">
      <c r="B205" s="102">
        <v>197</v>
      </c>
      <c r="C205" s="104">
        <v>19997817.740936324</v>
      </c>
      <c r="D205" s="104">
        <v>17499676.684935033</v>
      </c>
      <c r="E205" s="104">
        <v>12416983.016960979</v>
      </c>
      <c r="F205" s="104">
        <v>3107510.3515711874</v>
      </c>
      <c r="G205" s="104">
        <v>14085726.254629195</v>
      </c>
      <c r="H205" s="104">
        <v>20034297.206475228</v>
      </c>
      <c r="I205" s="104">
        <v>-3195164.1567901671</v>
      </c>
    </row>
    <row r="206" spans="2:9">
      <c r="B206" s="102">
        <v>198</v>
      </c>
      <c r="C206" s="104">
        <v>12688900.951122031</v>
      </c>
      <c r="D206" s="104">
        <v>15820543.249841169</v>
      </c>
      <c r="E206" s="104">
        <v>6953341.4307335019</v>
      </c>
      <c r="F206" s="104">
        <v>15692226.587901339</v>
      </c>
      <c r="G206" s="104">
        <v>13054807.253757477</v>
      </c>
      <c r="H206" s="104">
        <v>6395718.4611448348</v>
      </c>
      <c r="I206" s="104">
        <v>1556769.6716350913</v>
      </c>
    </row>
    <row r="207" spans="2:9">
      <c r="B207" s="102">
        <v>199</v>
      </c>
      <c r="C207" s="104">
        <v>7917101.3153572083</v>
      </c>
      <c r="D207" s="104">
        <v>18764521.448823661</v>
      </c>
      <c r="E207" s="104">
        <v>16868077.064894184</v>
      </c>
      <c r="F207" s="104">
        <v>7048396.5481120646</v>
      </c>
      <c r="G207" s="104">
        <v>8643204.9237475991</v>
      </c>
      <c r="H207" s="104">
        <v>12241365.345483005</v>
      </c>
      <c r="I207" s="104">
        <v>2942247.7196496725</v>
      </c>
    </row>
    <row r="208" spans="2:9">
      <c r="B208" s="102">
        <v>200</v>
      </c>
      <c r="C208" s="104">
        <v>14683170.993513942</v>
      </c>
      <c r="D208" s="104">
        <v>6255546.7356345654</v>
      </c>
      <c r="E208" s="104">
        <v>3226853.7741523981</v>
      </c>
      <c r="F208" s="104">
        <v>8364615.0927834511</v>
      </c>
      <c r="G208" s="104">
        <v>10053413.594779789</v>
      </c>
      <c r="H208" s="104">
        <v>10771257.72628291</v>
      </c>
      <c r="I208" s="104">
        <v>5933590.7414160073</v>
      </c>
    </row>
  </sheetData>
  <mergeCells count="1">
    <mergeCell ref="C6:I6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393652-B5FC-8B4D-B25E-B1458CD080F7}">
  <sheetPr codeName="Arkusz26">
    <tabColor theme="0" tint="-0.499984740745262"/>
  </sheetPr>
  <dimension ref="A4:I208"/>
  <sheetViews>
    <sheetView workbookViewId="0"/>
  </sheetViews>
  <sheetFormatPr defaultColWidth="10.77734375" defaultRowHeight="13.2"/>
  <cols>
    <col min="1" max="1" width="10.77734375" style="33"/>
    <col min="2" max="5" width="17.44140625" style="33" customWidth="1"/>
    <col min="6" max="6" width="15.6640625" style="33" customWidth="1"/>
    <col min="7" max="9" width="17.44140625" style="33" customWidth="1"/>
    <col min="10" max="16384" width="10.77734375" style="33"/>
  </cols>
  <sheetData>
    <row r="4" spans="1:9">
      <c r="B4" s="70" t="s">
        <v>121</v>
      </c>
      <c r="C4" s="94">
        <f>AVERAGE(C9:C208)</f>
        <v>18510822.054508783</v>
      </c>
      <c r="D4" s="94">
        <f t="shared" ref="D4:I4" si="0">AVERAGE(D9:D208)</f>
        <v>15193819.531227419</v>
      </c>
      <c r="E4" s="94">
        <f t="shared" si="0"/>
        <v>13204574.93339036</v>
      </c>
      <c r="F4" s="94">
        <f t="shared" si="0"/>
        <v>11668814.019053221</v>
      </c>
      <c r="G4" s="94">
        <f t="shared" si="0"/>
        <v>9166191.116360696</v>
      </c>
      <c r="H4" s="94">
        <f t="shared" si="0"/>
        <v>6564603.671820377</v>
      </c>
      <c r="I4" s="94">
        <f t="shared" si="0"/>
        <v>5130383.5575279538</v>
      </c>
    </row>
    <row r="6" spans="1:9" ht="15.6">
      <c r="C6" s="205" t="s">
        <v>133</v>
      </c>
      <c r="D6" s="205"/>
      <c r="E6" s="205"/>
      <c r="F6" s="205"/>
      <c r="G6" s="205"/>
      <c r="H6" s="205"/>
      <c r="I6" s="205"/>
    </row>
    <row r="7" spans="1:9">
      <c r="B7" s="101" t="s">
        <v>10</v>
      </c>
      <c r="C7" s="103">
        <v>-0.15</v>
      </c>
      <c r="D7" s="103">
        <v>-0.1</v>
      </c>
      <c r="E7" s="103">
        <v>-0.05</v>
      </c>
      <c r="F7" s="103">
        <v>0</v>
      </c>
      <c r="G7" s="103">
        <v>0.05</v>
      </c>
      <c r="H7" s="103">
        <v>0.1</v>
      </c>
      <c r="I7" s="103">
        <v>0.15</v>
      </c>
    </row>
    <row r="8" spans="1:9">
      <c r="A8" s="70" t="s">
        <v>134</v>
      </c>
      <c r="B8" s="105">
        <v>3580272.1297307611</v>
      </c>
      <c r="C8" s="106">
        <v>36341606.868500002</v>
      </c>
      <c r="D8" s="106">
        <v>38479348.449000001</v>
      </c>
      <c r="E8" s="106">
        <v>40617090.0295</v>
      </c>
      <c r="F8" s="106">
        <v>42754831.609999999</v>
      </c>
      <c r="G8" s="106">
        <v>44892573.190499999</v>
      </c>
      <c r="H8" s="106">
        <v>47030314.771000005</v>
      </c>
      <c r="I8" s="106">
        <v>49168056.351499997</v>
      </c>
    </row>
    <row r="9" spans="1:9">
      <c r="B9" s="102">
        <v>1</v>
      </c>
      <c r="C9" s="104">
        <v>8616435.2812540531</v>
      </c>
      <c r="D9" s="104">
        <v>16539120.167006895</v>
      </c>
      <c r="E9" s="104">
        <v>29745435.46563825</v>
      </c>
      <c r="F9" s="104">
        <v>8693577.976608932</v>
      </c>
      <c r="G9" s="104">
        <v>9472416.1505265534</v>
      </c>
      <c r="H9" s="104">
        <v>-2079421.3586842567</v>
      </c>
      <c r="I9" s="104">
        <v>1718390.399125427</v>
      </c>
    </row>
    <row r="10" spans="1:9">
      <c r="B10" s="102">
        <v>2</v>
      </c>
      <c r="C10" s="104">
        <v>19850352.898325488</v>
      </c>
      <c r="D10" s="104">
        <v>29513771.422677115</v>
      </c>
      <c r="E10" s="104">
        <v>10244578.370802909</v>
      </c>
      <c r="F10" s="104">
        <v>22420800.666875899</v>
      </c>
      <c r="G10" s="104">
        <v>9461110.5663647056</v>
      </c>
      <c r="H10" s="104">
        <v>5073172.921410799</v>
      </c>
      <c r="I10" s="104">
        <v>-3452929.7039084733</v>
      </c>
    </row>
    <row r="11" spans="1:9">
      <c r="B11" s="102">
        <v>3</v>
      </c>
      <c r="C11" s="104">
        <v>12247414.890403643</v>
      </c>
      <c r="D11" s="104">
        <v>6605042.3927305639</v>
      </c>
      <c r="E11" s="104">
        <v>9692125.2400398254</v>
      </c>
      <c r="F11" s="104">
        <v>9580684.8776973635</v>
      </c>
      <c r="G11" s="104">
        <v>14732654.222990379</v>
      </c>
      <c r="H11" s="104">
        <v>5815862.9448228627</v>
      </c>
      <c r="I11" s="104">
        <v>5867663.6853613108</v>
      </c>
    </row>
    <row r="12" spans="1:9">
      <c r="B12" s="102">
        <v>4</v>
      </c>
      <c r="C12" s="104">
        <v>25916210.096313193</v>
      </c>
      <c r="D12" s="104">
        <v>17509344.503227636</v>
      </c>
      <c r="E12" s="104">
        <v>7836819.9454692453</v>
      </c>
      <c r="F12" s="104">
        <v>17261639.377215728</v>
      </c>
      <c r="G12" s="104">
        <v>9647189.8415860832</v>
      </c>
      <c r="H12" s="104">
        <v>4235245.7017024606</v>
      </c>
      <c r="I12" s="104">
        <v>5387778.8214704096</v>
      </c>
    </row>
    <row r="13" spans="1:9">
      <c r="B13" s="102">
        <v>5</v>
      </c>
      <c r="C13" s="104">
        <v>16910930.588702381</v>
      </c>
      <c r="D13" s="104">
        <v>16109555.327219814</v>
      </c>
      <c r="E13" s="104">
        <v>18139390.003371999</v>
      </c>
      <c r="F13" s="104">
        <v>-610439.41153021157</v>
      </c>
      <c r="G13" s="104">
        <v>9697159.3288243562</v>
      </c>
      <c r="H13" s="104">
        <v>1376643.3582618535</v>
      </c>
      <c r="I13" s="104">
        <v>7877843.3547955602</v>
      </c>
    </row>
    <row r="14" spans="1:9">
      <c r="B14" s="102">
        <v>6</v>
      </c>
      <c r="C14" s="104">
        <v>21573836.695519909</v>
      </c>
      <c r="D14" s="104">
        <v>19889543.682288766</v>
      </c>
      <c r="E14" s="104">
        <v>4961243.5608936548</v>
      </c>
      <c r="F14" s="104">
        <v>12625851.823141381</v>
      </c>
      <c r="G14" s="104">
        <v>8626407.3687212467</v>
      </c>
      <c r="H14" s="104">
        <v>12846682.421798334</v>
      </c>
      <c r="I14" s="104">
        <v>-3729167.1987711787</v>
      </c>
    </row>
    <row r="15" spans="1:9">
      <c r="B15" s="102">
        <v>7</v>
      </c>
      <c r="C15" s="104">
        <v>17015201.549678564</v>
      </c>
      <c r="D15" s="104">
        <v>14975403.646178901</v>
      </c>
      <c r="E15" s="104">
        <v>22156063.221504435</v>
      </c>
      <c r="F15" s="104">
        <v>10042052.134388909</v>
      </c>
      <c r="G15" s="104">
        <v>5411016.0262652785</v>
      </c>
      <c r="H15" s="104">
        <v>4720250.7169397026</v>
      </c>
      <c r="I15" s="104">
        <v>6558602.137475729</v>
      </c>
    </row>
    <row r="16" spans="1:9">
      <c r="B16" s="102">
        <v>8</v>
      </c>
      <c r="C16" s="104">
        <v>24339810.18816489</v>
      </c>
      <c r="D16" s="104">
        <v>10854793.551342636</v>
      </c>
      <c r="E16" s="104">
        <v>14339773.895470783</v>
      </c>
      <c r="F16" s="104">
        <v>14021922.931425393</v>
      </c>
      <c r="G16" s="104">
        <v>8961103.0046489686</v>
      </c>
      <c r="H16" s="104">
        <v>10179950.754323453</v>
      </c>
      <c r="I16" s="104">
        <v>6148572.2995663881</v>
      </c>
    </row>
    <row r="17" spans="2:9">
      <c r="B17" s="102">
        <v>9</v>
      </c>
      <c r="C17" s="104">
        <v>31461837.132417262</v>
      </c>
      <c r="D17" s="104">
        <v>8607292.1676304787</v>
      </c>
      <c r="E17" s="104">
        <v>6318616.43095164</v>
      </c>
      <c r="F17" s="104">
        <v>6318613.1976870447</v>
      </c>
      <c r="G17" s="104">
        <v>12964549.14492546</v>
      </c>
      <c r="H17" s="104">
        <v>2646555.9402095377</v>
      </c>
      <c r="I17" s="104">
        <v>1579622.8123675287</v>
      </c>
    </row>
    <row r="18" spans="2:9">
      <c r="B18" s="102">
        <v>10</v>
      </c>
      <c r="C18" s="104">
        <v>15900164.609332785</v>
      </c>
      <c r="D18" s="104">
        <v>23197784.776753411</v>
      </c>
      <c r="E18" s="104">
        <v>17161403.130727246</v>
      </c>
      <c r="F18" s="104">
        <v>10467831.746202126</v>
      </c>
      <c r="G18" s="104">
        <v>-1268456.6623652577</v>
      </c>
      <c r="H18" s="104">
        <v>9640045.8672321588</v>
      </c>
      <c r="I18" s="104">
        <v>9168340.0509482175</v>
      </c>
    </row>
    <row r="19" spans="2:9">
      <c r="B19" s="102">
        <v>11</v>
      </c>
      <c r="C19" s="104">
        <v>17596799.900894269</v>
      </c>
      <c r="D19" s="104">
        <v>21684688.276260152</v>
      </c>
      <c r="E19" s="104">
        <v>21879550.972639501</v>
      </c>
      <c r="F19" s="104">
        <v>-658140.51880173385</v>
      </c>
      <c r="G19" s="104">
        <v>24042288.507684812</v>
      </c>
      <c r="H19" s="104">
        <v>17462552.245045006</v>
      </c>
      <c r="I19" s="104">
        <v>4754518.6638240218</v>
      </c>
    </row>
    <row r="20" spans="2:9">
      <c r="B20" s="102">
        <v>12</v>
      </c>
      <c r="C20" s="104">
        <v>15623600.353674009</v>
      </c>
      <c r="D20" s="104">
        <v>13828735.440837935</v>
      </c>
      <c r="E20" s="104">
        <v>21693482.086591184</v>
      </c>
      <c r="F20" s="104">
        <v>5181376.8722328842</v>
      </c>
      <c r="G20" s="104">
        <v>13914745.764842033</v>
      </c>
      <c r="H20" s="104">
        <v>-2958132.5429239124</v>
      </c>
      <c r="I20" s="104">
        <v>6953498.6713747978</v>
      </c>
    </row>
    <row r="21" spans="2:9">
      <c r="B21" s="102">
        <v>13</v>
      </c>
      <c r="C21" s="104">
        <v>10828537.46227631</v>
      </c>
      <c r="D21" s="104">
        <v>12231343.320904121</v>
      </c>
      <c r="E21" s="104">
        <v>12897348.215651572</v>
      </c>
      <c r="F21" s="104">
        <v>11487077.478114575</v>
      </c>
      <c r="G21" s="104">
        <v>14792993.706817687</v>
      </c>
      <c r="H21" s="104">
        <v>9068418.6600616723</v>
      </c>
      <c r="I21" s="104">
        <v>112145.61141355336</v>
      </c>
    </row>
    <row r="22" spans="2:9">
      <c r="B22" s="102">
        <v>14</v>
      </c>
      <c r="C22" s="104">
        <v>24916134.224735022</v>
      </c>
      <c r="D22" s="104">
        <v>17563180.110300213</v>
      </c>
      <c r="E22" s="104">
        <v>13156485.396517262</v>
      </c>
      <c r="F22" s="104">
        <v>17791930.905203357</v>
      </c>
      <c r="G22" s="104">
        <v>9650146.1609675288</v>
      </c>
      <c r="H22" s="104">
        <v>4720620.6485895663</v>
      </c>
      <c r="I22" s="104">
        <v>5225328.4556003958</v>
      </c>
    </row>
    <row r="23" spans="2:9">
      <c r="B23" s="102">
        <v>15</v>
      </c>
      <c r="C23" s="104">
        <v>20357235.784198508</v>
      </c>
      <c r="D23" s="104">
        <v>7602611.9624411613</v>
      </c>
      <c r="E23" s="104">
        <v>18669141.211409286</v>
      </c>
      <c r="F23" s="104">
        <v>13835079.261480987</v>
      </c>
      <c r="G23" s="104">
        <v>13275175.74279809</v>
      </c>
      <c r="H23" s="104">
        <v>420545.5817964226</v>
      </c>
      <c r="I23" s="104">
        <v>6008925.0512994379</v>
      </c>
    </row>
    <row r="24" spans="2:9">
      <c r="B24" s="102">
        <v>16</v>
      </c>
      <c r="C24" s="104">
        <v>17761491.380296618</v>
      </c>
      <c r="D24" s="104">
        <v>16884157.823036909</v>
      </c>
      <c r="E24" s="104">
        <v>16671209.71514678</v>
      </c>
      <c r="F24" s="104">
        <v>7587332.4881385416</v>
      </c>
      <c r="G24" s="104">
        <v>12177502.14822115</v>
      </c>
      <c r="H24" s="104">
        <v>5491349.9839427024</v>
      </c>
      <c r="I24" s="104">
        <v>9451921.2857465744</v>
      </c>
    </row>
    <row r="25" spans="2:9">
      <c r="B25" s="102">
        <v>17</v>
      </c>
      <c r="C25" s="104">
        <v>8559305.8051245213</v>
      </c>
      <c r="D25" s="104">
        <v>8959144.377165705</v>
      </c>
      <c r="E25" s="104">
        <v>11105680.224415392</v>
      </c>
      <c r="F25" s="104">
        <v>3683578.3902428895</v>
      </c>
      <c r="G25" s="104">
        <v>1569941.4385391027</v>
      </c>
      <c r="H25" s="104">
        <v>10253579.205572113</v>
      </c>
      <c r="I25" s="104">
        <v>4707881.1042161435</v>
      </c>
    </row>
    <row r="26" spans="2:9">
      <c r="B26" s="102">
        <v>18</v>
      </c>
      <c r="C26" s="104">
        <v>25056203.308711544</v>
      </c>
      <c r="D26" s="104">
        <v>8880140.0858144909</v>
      </c>
      <c r="E26" s="104">
        <v>3684243.8915270567</v>
      </c>
      <c r="F26" s="104">
        <v>16725174.855189651</v>
      </c>
      <c r="G26" s="104">
        <v>9501809.1133664846</v>
      </c>
      <c r="H26" s="104">
        <v>5550118.9274128228</v>
      </c>
      <c r="I26" s="104">
        <v>-2901486.6290677935</v>
      </c>
    </row>
    <row r="27" spans="2:9">
      <c r="B27" s="102">
        <v>19</v>
      </c>
      <c r="C27" s="104">
        <v>14557753.430529892</v>
      </c>
      <c r="D27" s="104">
        <v>18610843.837437823</v>
      </c>
      <c r="E27" s="104">
        <v>11750707.146591648</v>
      </c>
      <c r="F27" s="104">
        <v>16178818.898004264</v>
      </c>
      <c r="G27" s="104">
        <v>6410119.0393324047</v>
      </c>
      <c r="H27" s="104">
        <v>3265537.8539482653</v>
      </c>
      <c r="I27" s="104">
        <v>1010465.9701096565</v>
      </c>
    </row>
    <row r="28" spans="2:9">
      <c r="B28" s="102">
        <v>20</v>
      </c>
      <c r="C28" s="104">
        <v>14550323.275917381</v>
      </c>
      <c r="D28" s="104">
        <v>9633335.0064901412</v>
      </c>
      <c r="E28" s="104">
        <v>6587343.4357714057</v>
      </c>
      <c r="F28" s="104">
        <v>12516987.449158952</v>
      </c>
      <c r="G28" s="104">
        <v>15027957.24583599</v>
      </c>
      <c r="H28" s="104">
        <v>9814731.0524127185</v>
      </c>
      <c r="I28" s="104">
        <v>2000598.6034415066</v>
      </c>
    </row>
    <row r="29" spans="2:9">
      <c r="B29" s="102">
        <v>21</v>
      </c>
      <c r="C29" s="104">
        <v>18808500.670734391</v>
      </c>
      <c r="D29" s="104">
        <v>15708527.113671526</v>
      </c>
      <c r="E29" s="104">
        <v>6767703.4846520275</v>
      </c>
      <c r="F29" s="104">
        <v>16594677.106569052</v>
      </c>
      <c r="G29" s="104">
        <v>10708023.382332176</v>
      </c>
      <c r="H29" s="104">
        <v>1855687.8421214521</v>
      </c>
      <c r="I29" s="104">
        <v>3852989.4498429</v>
      </c>
    </row>
    <row r="30" spans="2:9">
      <c r="B30" s="102">
        <v>22</v>
      </c>
      <c r="C30" s="104">
        <v>24876121.481264859</v>
      </c>
      <c r="D30" s="104">
        <v>13268231.343903556</v>
      </c>
      <c r="E30" s="104">
        <v>25404749.939268753</v>
      </c>
      <c r="F30" s="104">
        <v>6889298.4777729511</v>
      </c>
      <c r="G30" s="104">
        <v>5010094.0380455703</v>
      </c>
      <c r="H30" s="104">
        <v>6303236.4316336364</v>
      </c>
      <c r="I30" s="104">
        <v>17368474.116661489</v>
      </c>
    </row>
    <row r="31" spans="2:9">
      <c r="B31" s="102">
        <v>23</v>
      </c>
      <c r="C31" s="104">
        <v>14917816.988058761</v>
      </c>
      <c r="D31" s="104">
        <v>11854158.992385224</v>
      </c>
      <c r="E31" s="104">
        <v>13811322.133985117</v>
      </c>
      <c r="F31" s="104">
        <v>12046349.788923621</v>
      </c>
      <c r="G31" s="104">
        <v>-2990644.7116274238</v>
      </c>
      <c r="H31" s="104">
        <v>14667821.004705384</v>
      </c>
      <c r="I31" s="104">
        <v>2629007.2839468867</v>
      </c>
    </row>
    <row r="32" spans="2:9">
      <c r="B32" s="102">
        <v>24</v>
      </c>
      <c r="C32" s="104">
        <v>22582299.081393629</v>
      </c>
      <c r="D32" s="104">
        <v>14390537.505326107</v>
      </c>
      <c r="E32" s="104">
        <v>15372378.382615775</v>
      </c>
      <c r="F32" s="104">
        <v>-3645172.8556978256</v>
      </c>
      <c r="G32" s="104">
        <v>6433818.6256732941</v>
      </c>
      <c r="H32" s="104">
        <v>7816970.9022432119</v>
      </c>
      <c r="I32" s="104">
        <v>4515276.0048135966</v>
      </c>
    </row>
    <row r="33" spans="2:9">
      <c r="B33" s="102">
        <v>25</v>
      </c>
      <c r="C33" s="104">
        <v>32010985.904380843</v>
      </c>
      <c r="D33" s="104">
        <v>17548255.145243257</v>
      </c>
      <c r="E33" s="104">
        <v>16594114.266095296</v>
      </c>
      <c r="F33" s="104">
        <v>3015696.4932018816</v>
      </c>
      <c r="G33" s="104">
        <v>8674381.6761040092</v>
      </c>
      <c r="H33" s="104">
        <v>1002611.3894464076</v>
      </c>
      <c r="I33" s="104">
        <v>5876427.8217836171</v>
      </c>
    </row>
    <row r="34" spans="2:9">
      <c r="B34" s="102">
        <v>26</v>
      </c>
      <c r="C34" s="104">
        <v>25562295.945579454</v>
      </c>
      <c r="D34" s="104">
        <v>9503526.2678437978</v>
      </c>
      <c r="E34" s="104">
        <v>11420780.030871466</v>
      </c>
      <c r="F34" s="104">
        <v>12886243.601075545</v>
      </c>
      <c r="G34" s="104">
        <v>11594684.435176164</v>
      </c>
      <c r="H34" s="104">
        <v>8031169.098849088</v>
      </c>
      <c r="I34" s="104">
        <v>14864569.178888693</v>
      </c>
    </row>
    <row r="35" spans="2:9">
      <c r="B35" s="102">
        <v>27</v>
      </c>
      <c r="C35" s="104">
        <v>18215691.178267092</v>
      </c>
      <c r="D35" s="104">
        <v>17670307.232163027</v>
      </c>
      <c r="E35" s="104">
        <v>10011828.000785232</v>
      </c>
      <c r="F35" s="104">
        <v>11693446.32468003</v>
      </c>
      <c r="G35" s="104">
        <v>13227859.833623648</v>
      </c>
      <c r="H35" s="104">
        <v>12555920.638173938</v>
      </c>
      <c r="I35" s="104">
        <v>-217189.28088134527</v>
      </c>
    </row>
    <row r="36" spans="2:9">
      <c r="B36" s="102">
        <v>28</v>
      </c>
      <c r="C36" s="104">
        <v>17612822.963155955</v>
      </c>
      <c r="D36" s="104">
        <v>20964476.700797662</v>
      </c>
      <c r="E36" s="104">
        <v>14279814.518015131</v>
      </c>
      <c r="F36" s="104">
        <v>5090976.7622978985</v>
      </c>
      <c r="G36" s="104">
        <v>16768439.367886752</v>
      </c>
      <c r="H36" s="104">
        <v>-2350234.4970273226</v>
      </c>
      <c r="I36" s="104">
        <v>2752971.4274946451</v>
      </c>
    </row>
    <row r="37" spans="2:9">
      <c r="B37" s="102">
        <v>29</v>
      </c>
      <c r="C37" s="104">
        <v>16791270.40580754</v>
      </c>
      <c r="D37" s="104">
        <v>10605188.363644823</v>
      </c>
      <c r="E37" s="104">
        <v>8757806.9755736589</v>
      </c>
      <c r="F37" s="104">
        <v>9602516.3318353593</v>
      </c>
      <c r="G37" s="104">
        <v>11225485.771133825</v>
      </c>
      <c r="H37" s="104">
        <v>11143656.752838254</v>
      </c>
      <c r="I37" s="104">
        <v>11015997.793969095</v>
      </c>
    </row>
    <row r="38" spans="2:9">
      <c r="B38" s="102">
        <v>30</v>
      </c>
      <c r="C38" s="104">
        <v>13906936.042263374</v>
      </c>
      <c r="D38" s="104">
        <v>2890393.3528029174</v>
      </c>
      <c r="E38" s="104">
        <v>13217683.03090097</v>
      </c>
      <c r="F38" s="104">
        <v>13074049.949556008</v>
      </c>
      <c r="G38" s="104">
        <v>6509210.4358337075</v>
      </c>
      <c r="H38" s="104">
        <v>7858062.7265029401</v>
      </c>
      <c r="I38" s="104">
        <v>4869283.5673682094</v>
      </c>
    </row>
    <row r="39" spans="2:9">
      <c r="B39" s="102">
        <v>31</v>
      </c>
      <c r="C39" s="104">
        <v>27343607.133111596</v>
      </c>
      <c r="D39" s="104">
        <v>10349865.564960629</v>
      </c>
      <c r="E39" s="104">
        <v>11724259.036989525</v>
      </c>
      <c r="F39" s="104">
        <v>735045.30321872234</v>
      </c>
      <c r="G39" s="104">
        <v>22706459.83312127</v>
      </c>
      <c r="H39" s="104">
        <v>1822534.0900259465</v>
      </c>
      <c r="I39" s="104">
        <v>19429014.132579923</v>
      </c>
    </row>
    <row r="40" spans="2:9">
      <c r="B40" s="102">
        <v>32</v>
      </c>
      <c r="C40" s="104">
        <v>18784594.72000581</v>
      </c>
      <c r="D40" s="104">
        <v>6318072.8519013822</v>
      </c>
      <c r="E40" s="104">
        <v>21223566.542871967</v>
      </c>
      <c r="F40" s="104">
        <v>21754859.799378559</v>
      </c>
      <c r="G40" s="104">
        <v>9635718.9490603209</v>
      </c>
      <c r="H40" s="104">
        <v>6226240.4469927102</v>
      </c>
      <c r="I40" s="104">
        <v>-2713192.8979487866</v>
      </c>
    </row>
    <row r="41" spans="2:9">
      <c r="B41" s="102">
        <v>33</v>
      </c>
      <c r="C41" s="104">
        <v>3366828.9004108757</v>
      </c>
      <c r="D41" s="104">
        <v>9875032.6092216671</v>
      </c>
      <c r="E41" s="104">
        <v>19594966.21343872</v>
      </c>
      <c r="F41" s="104">
        <v>16766340.455799803</v>
      </c>
      <c r="G41" s="104">
        <v>9770966.4793002754</v>
      </c>
      <c r="H41" s="104">
        <v>7158748.7022737414</v>
      </c>
      <c r="I41" s="104">
        <v>-5496535.0418956727</v>
      </c>
    </row>
    <row r="42" spans="2:9">
      <c r="B42" s="102">
        <v>34</v>
      </c>
      <c r="C42" s="104">
        <v>11073988.45287627</v>
      </c>
      <c r="D42" s="104">
        <v>10530349.711059257</v>
      </c>
      <c r="E42" s="104">
        <v>9018576.2534796596</v>
      </c>
      <c r="F42" s="104">
        <v>11025520.193282858</v>
      </c>
      <c r="G42" s="104">
        <v>2074716.1521786004</v>
      </c>
      <c r="H42" s="104">
        <v>12710616.480063543</v>
      </c>
      <c r="I42" s="104">
        <v>4773460.0840598494</v>
      </c>
    </row>
    <row r="43" spans="2:9">
      <c r="B43" s="102">
        <v>35</v>
      </c>
      <c r="C43" s="104">
        <v>19845899.335361555</v>
      </c>
      <c r="D43" s="104">
        <v>14136559.567949146</v>
      </c>
      <c r="E43" s="104">
        <v>12871007.984473944</v>
      </c>
      <c r="F43" s="104">
        <v>1566267.1151121557</v>
      </c>
      <c r="G43" s="104">
        <v>11980356.536139488</v>
      </c>
      <c r="H43" s="104">
        <v>14613093.70486322</v>
      </c>
      <c r="I43" s="104">
        <v>5453617.9291456789</v>
      </c>
    </row>
    <row r="44" spans="2:9">
      <c r="B44" s="102">
        <v>36</v>
      </c>
      <c r="C44" s="104">
        <v>16300443.206810012</v>
      </c>
      <c r="D44" s="104">
        <v>18655264.002581581</v>
      </c>
      <c r="E44" s="104">
        <v>10474224.947478175</v>
      </c>
      <c r="F44" s="104">
        <v>15829050.011403114</v>
      </c>
      <c r="G44" s="104">
        <v>8912717.8296015859</v>
      </c>
      <c r="H44" s="104">
        <v>12811355.192306742</v>
      </c>
      <c r="I44" s="104">
        <v>2797839.5507374853</v>
      </c>
    </row>
    <row r="45" spans="2:9">
      <c r="B45" s="102">
        <v>37</v>
      </c>
      <c r="C45" s="104">
        <v>24277357.062833518</v>
      </c>
      <c r="D45" s="104">
        <v>17420748.388332039</v>
      </c>
      <c r="E45" s="104">
        <v>10245170.554479361</v>
      </c>
      <c r="F45" s="104">
        <v>12311603.39233619</v>
      </c>
      <c r="G45" s="104">
        <v>11519758.259161472</v>
      </c>
      <c r="H45" s="104">
        <v>-2272035.7886759639</v>
      </c>
      <c r="I45" s="104">
        <v>-2016561.1058486402</v>
      </c>
    </row>
    <row r="46" spans="2:9">
      <c r="B46" s="102">
        <v>38</v>
      </c>
      <c r="C46" s="104">
        <v>17006095.489444852</v>
      </c>
      <c r="D46" s="104">
        <v>12823366.218804508</v>
      </c>
      <c r="E46" s="104">
        <v>19399972.184246242</v>
      </c>
      <c r="F46" s="104">
        <v>6854098.8006515056</v>
      </c>
      <c r="G46" s="104">
        <v>5322228.9107331485</v>
      </c>
      <c r="H46" s="104">
        <v>3893553.4185057282</v>
      </c>
      <c r="I46" s="104">
        <v>205072.0772831589</v>
      </c>
    </row>
    <row r="47" spans="2:9">
      <c r="B47" s="102">
        <v>39</v>
      </c>
      <c r="C47" s="104">
        <v>14043239.804603949</v>
      </c>
      <c r="D47" s="104">
        <v>20885536.494332179</v>
      </c>
      <c r="E47" s="104">
        <v>19791600.996965602</v>
      </c>
      <c r="F47" s="104">
        <v>5653802.750950411</v>
      </c>
      <c r="G47" s="104">
        <v>5481148.4958117455</v>
      </c>
      <c r="H47" s="104">
        <v>3722490.6122830212</v>
      </c>
      <c r="I47" s="104">
        <v>-2260173.1877556741</v>
      </c>
    </row>
    <row r="48" spans="2:9">
      <c r="B48" s="102">
        <v>40</v>
      </c>
      <c r="C48" s="104">
        <v>7009277.7154399157</v>
      </c>
      <c r="D48" s="104">
        <v>15052589.664210841</v>
      </c>
      <c r="E48" s="104">
        <v>16108508.376887798</v>
      </c>
      <c r="F48" s="104">
        <v>9340616.7713309377</v>
      </c>
      <c r="G48" s="104">
        <v>-1809590.7956413627</v>
      </c>
      <c r="H48" s="104">
        <v>2964870.0311328173</v>
      </c>
      <c r="I48" s="104">
        <v>5238974.1645558029</v>
      </c>
    </row>
    <row r="49" spans="2:9">
      <c r="B49" s="102">
        <v>41</v>
      </c>
      <c r="C49" s="104">
        <v>16454591.916889906</v>
      </c>
      <c r="D49" s="104">
        <v>15051816.490599632</v>
      </c>
      <c r="E49" s="104">
        <v>17108810.601151854</v>
      </c>
      <c r="F49" s="104">
        <v>7392704.61172764</v>
      </c>
      <c r="G49" s="104">
        <v>14949809.187275141</v>
      </c>
      <c r="H49" s="104">
        <v>11560630.034471184</v>
      </c>
      <c r="I49" s="104">
        <v>20461413.850190595</v>
      </c>
    </row>
    <row r="50" spans="2:9">
      <c r="B50" s="102">
        <v>42</v>
      </c>
      <c r="C50" s="104">
        <v>29243350.743117571</v>
      </c>
      <c r="D50" s="104">
        <v>15251991.820060194</v>
      </c>
      <c r="E50" s="104">
        <v>6727260.3658154458</v>
      </c>
      <c r="F50" s="104">
        <v>17324575.950185061</v>
      </c>
      <c r="G50" s="104">
        <v>11003794.690027356</v>
      </c>
      <c r="H50" s="104">
        <v>8650993.7200820744</v>
      </c>
      <c r="I50" s="104">
        <v>7234493.3118326664</v>
      </c>
    </row>
    <row r="51" spans="2:9">
      <c r="B51" s="102">
        <v>43</v>
      </c>
      <c r="C51" s="104">
        <v>29493263.112115845</v>
      </c>
      <c r="D51" s="104">
        <v>17217447.129564703</v>
      </c>
      <c r="E51" s="104">
        <v>21042930.690763116</v>
      </c>
      <c r="F51" s="104">
        <v>17363848.68812418</v>
      </c>
      <c r="G51" s="104">
        <v>5519014.1228140593</v>
      </c>
      <c r="H51" s="104">
        <v>5426301.4229965508</v>
      </c>
      <c r="I51" s="104">
        <v>7244960.3844619542</v>
      </c>
    </row>
    <row r="52" spans="2:9">
      <c r="B52" s="102">
        <v>44</v>
      </c>
      <c r="C52" s="104">
        <v>10912730.494610727</v>
      </c>
      <c r="D52" s="104">
        <v>14162504.375684291</v>
      </c>
      <c r="E52" s="104">
        <v>18770712.429596677</v>
      </c>
      <c r="F52" s="104">
        <v>16812031.208849832</v>
      </c>
      <c r="G52" s="104">
        <v>13956742.218306705</v>
      </c>
      <c r="H52" s="104">
        <v>17106024.445383072</v>
      </c>
      <c r="I52" s="104">
        <v>5843028.338481158</v>
      </c>
    </row>
    <row r="53" spans="2:9">
      <c r="B53" s="102">
        <v>45</v>
      </c>
      <c r="C53" s="104">
        <v>23454219.85089004</v>
      </c>
      <c r="D53" s="104">
        <v>21273884.173653409</v>
      </c>
      <c r="E53" s="104">
        <v>20220789.474181533</v>
      </c>
      <c r="F53" s="104">
        <v>12267692.663808569</v>
      </c>
      <c r="G53" s="104">
        <v>2942822.3788210303</v>
      </c>
      <c r="H53" s="104">
        <v>8446494.9703246057</v>
      </c>
      <c r="I53" s="104">
        <v>5079743.2927004546</v>
      </c>
    </row>
    <row r="54" spans="2:9">
      <c r="B54" s="102">
        <v>46</v>
      </c>
      <c r="C54" s="104">
        <v>15981853.295868024</v>
      </c>
      <c r="D54" s="104">
        <v>17346120.942980245</v>
      </c>
      <c r="E54" s="104">
        <v>12812520.209146947</v>
      </c>
      <c r="F54" s="104">
        <v>7654332.2683288902</v>
      </c>
      <c r="G54" s="104">
        <v>11528790.152289718</v>
      </c>
      <c r="H54" s="104">
        <v>7731630.4846406579</v>
      </c>
      <c r="I54" s="104">
        <v>-381167.55917441845</v>
      </c>
    </row>
    <row r="55" spans="2:9">
      <c r="B55" s="102">
        <v>47</v>
      </c>
      <c r="C55" s="104">
        <v>22243368.419919834</v>
      </c>
      <c r="D55" s="104">
        <v>13033812.667247951</v>
      </c>
      <c r="E55" s="104">
        <v>20721152.952940583</v>
      </c>
      <c r="F55" s="104">
        <v>7607749.6833278537</v>
      </c>
      <c r="G55" s="104">
        <v>10273642.905489549</v>
      </c>
      <c r="H55" s="104">
        <v>12079641.231500804</v>
      </c>
      <c r="I55" s="104">
        <v>6898531.5328222066</v>
      </c>
    </row>
    <row r="56" spans="2:9">
      <c r="B56" s="102">
        <v>48</v>
      </c>
      <c r="C56" s="104">
        <v>4025651.9305850267</v>
      </c>
      <c r="D56" s="104">
        <v>11560268.388764977</v>
      </c>
      <c r="E56" s="104">
        <v>15828749.04653728</v>
      </c>
      <c r="F56" s="104">
        <v>19483321.157989874</v>
      </c>
      <c r="G56" s="104">
        <v>10489101.224665254</v>
      </c>
      <c r="H56" s="104">
        <v>-1540476.6384637356</v>
      </c>
      <c r="I56" s="104">
        <v>-5695338.7669106275</v>
      </c>
    </row>
    <row r="57" spans="2:9">
      <c r="B57" s="102">
        <v>49</v>
      </c>
      <c r="C57" s="104">
        <v>23809243.61654073</v>
      </c>
      <c r="D57" s="104">
        <v>22110091.434645221</v>
      </c>
      <c r="E57" s="104">
        <v>16847522.964598969</v>
      </c>
      <c r="F57" s="104">
        <v>11304589.547414169</v>
      </c>
      <c r="G57" s="104">
        <v>13762238.848787189</v>
      </c>
      <c r="H57" s="104">
        <v>1811742.4394078851</v>
      </c>
      <c r="I57" s="104">
        <v>11148396.417545646</v>
      </c>
    </row>
    <row r="58" spans="2:9">
      <c r="B58" s="102">
        <v>50</v>
      </c>
      <c r="C58" s="104">
        <v>20815895.309589818</v>
      </c>
      <c r="D58" s="104">
        <v>17835076.322325543</v>
      </c>
      <c r="E58" s="104">
        <v>7391909.9521679729</v>
      </c>
      <c r="F58" s="104">
        <v>15219462.10429275</v>
      </c>
      <c r="G58" s="104">
        <v>11943740.093312338</v>
      </c>
      <c r="H58" s="104">
        <v>13359212.675708309</v>
      </c>
      <c r="I58" s="104">
        <v>7033655.9158733934</v>
      </c>
    </row>
    <row r="59" spans="2:9">
      <c r="B59" s="102">
        <v>51</v>
      </c>
      <c r="C59" s="104">
        <v>13258304.229857653</v>
      </c>
      <c r="D59" s="104">
        <v>17701824.961825788</v>
      </c>
      <c r="E59" s="104">
        <v>9027243.5577544868</v>
      </c>
      <c r="F59" s="104">
        <v>13398479.065912738</v>
      </c>
      <c r="G59" s="104">
        <v>4731836.4192584455</v>
      </c>
      <c r="H59" s="104">
        <v>3988756.108335644</v>
      </c>
      <c r="I59" s="104">
        <v>10422816.106861904</v>
      </c>
    </row>
    <row r="60" spans="2:9">
      <c r="B60" s="102">
        <v>52</v>
      </c>
      <c r="C60" s="104">
        <v>21459688.904343411</v>
      </c>
      <c r="D60" s="104">
        <v>12546350.084038764</v>
      </c>
      <c r="E60" s="104">
        <v>14946668.842548802</v>
      </c>
      <c r="F60" s="104">
        <v>12197460.302207842</v>
      </c>
      <c r="G60" s="104">
        <v>9628612.578092441</v>
      </c>
      <c r="H60" s="104">
        <v>17830399.238839284</v>
      </c>
      <c r="I60" s="104">
        <v>8506260.0850244612</v>
      </c>
    </row>
    <row r="61" spans="2:9">
      <c r="B61" s="102">
        <v>53</v>
      </c>
      <c r="C61" s="104">
        <v>10753538.948482379</v>
      </c>
      <c r="D61" s="104">
        <v>6093832.3955414891</v>
      </c>
      <c r="E61" s="104">
        <v>8796764.6152683198</v>
      </c>
      <c r="F61" s="104">
        <v>10411639.404914364</v>
      </c>
      <c r="G61" s="104">
        <v>3321356.2561470866</v>
      </c>
      <c r="H61" s="104">
        <v>10589189.629775912</v>
      </c>
      <c r="I61" s="104">
        <v>5747619.1314058751</v>
      </c>
    </row>
    <row r="62" spans="2:9">
      <c r="B62" s="102">
        <v>54</v>
      </c>
      <c r="C62" s="104">
        <v>20172530.247284949</v>
      </c>
      <c r="D62" s="104">
        <v>21391089.683952436</v>
      </c>
      <c r="E62" s="104">
        <v>17457131.97618866</v>
      </c>
      <c r="F62" s="104">
        <v>5024633.8502227366</v>
      </c>
      <c r="G62" s="104">
        <v>2680047.6773150116</v>
      </c>
      <c r="H62" s="104">
        <v>6563648.8226688802</v>
      </c>
      <c r="I62" s="104">
        <v>5857323.2577942759</v>
      </c>
    </row>
    <row r="63" spans="2:9">
      <c r="B63" s="102">
        <v>55</v>
      </c>
      <c r="C63" s="104">
        <v>23052618.082179248</v>
      </c>
      <c r="D63" s="104">
        <v>23446203.593258649</v>
      </c>
      <c r="E63" s="104">
        <v>19298208.455022767</v>
      </c>
      <c r="F63" s="104">
        <v>20518325.004020959</v>
      </c>
      <c r="G63" s="104">
        <v>5365587.8264952749</v>
      </c>
      <c r="H63" s="104">
        <v>16112030.284226954</v>
      </c>
      <c r="I63" s="104">
        <v>7104298.6626270562</v>
      </c>
    </row>
    <row r="64" spans="2:9">
      <c r="B64" s="102">
        <v>56</v>
      </c>
      <c r="C64" s="104">
        <v>6018737.1806394607</v>
      </c>
      <c r="D64" s="104">
        <v>6020188.2218358517</v>
      </c>
      <c r="E64" s="104">
        <v>16990769.398184001</v>
      </c>
      <c r="F64" s="104">
        <v>18331066.251643255</v>
      </c>
      <c r="G64" s="104">
        <v>3304837.2716682702</v>
      </c>
      <c r="H64" s="104">
        <v>6279236.0443610847</v>
      </c>
      <c r="I64" s="104">
        <v>13358003.090650752</v>
      </c>
    </row>
    <row r="65" spans="2:9">
      <c r="B65" s="102">
        <v>57</v>
      </c>
      <c r="C65" s="104">
        <v>24812127.713282749</v>
      </c>
      <c r="D65" s="104">
        <v>25515574.995420799</v>
      </c>
      <c r="E65" s="104">
        <v>10080954.730022982</v>
      </c>
      <c r="F65" s="104">
        <v>9560000.9039262831</v>
      </c>
      <c r="G65" s="104">
        <v>12821525.129452169</v>
      </c>
      <c r="H65" s="104">
        <v>7189462.0654386729</v>
      </c>
      <c r="I65" s="104">
        <v>8410283.578661859</v>
      </c>
    </row>
    <row r="66" spans="2:9">
      <c r="B66" s="102">
        <v>58</v>
      </c>
      <c r="C66" s="104">
        <v>25389254.651123568</v>
      </c>
      <c r="D66" s="104">
        <v>13872911.640994012</v>
      </c>
      <c r="E66" s="104">
        <v>18401155.003864139</v>
      </c>
      <c r="F66" s="104">
        <v>15983598.179612592</v>
      </c>
      <c r="G66" s="104">
        <v>12540693.915799841</v>
      </c>
      <c r="H66" s="104">
        <v>6407561.8813034743</v>
      </c>
      <c r="I66" s="104">
        <v>4024483.7298062593</v>
      </c>
    </row>
    <row r="67" spans="2:9">
      <c r="B67" s="102">
        <v>59</v>
      </c>
      <c r="C67" s="104">
        <v>16470876.361712694</v>
      </c>
      <c r="D67" s="104">
        <v>23521107.366604716</v>
      </c>
      <c r="E67" s="104">
        <v>19558250.238101065</v>
      </c>
      <c r="F67" s="104">
        <v>15537278.288883612</v>
      </c>
      <c r="G67" s="104">
        <v>10295188.29422313</v>
      </c>
      <c r="H67" s="104">
        <v>5876366.3584233224</v>
      </c>
      <c r="I67" s="104">
        <v>5199682.7561804652</v>
      </c>
    </row>
    <row r="68" spans="2:9">
      <c r="B68" s="102">
        <v>60</v>
      </c>
      <c r="C68" s="104">
        <v>33239621.312403977</v>
      </c>
      <c r="D68" s="104">
        <v>17874900.533424601</v>
      </c>
      <c r="E68" s="104">
        <v>12016806.134533972</v>
      </c>
      <c r="F68" s="104">
        <v>9369909.4973083436</v>
      </c>
      <c r="G68" s="104">
        <v>-3896694.6886417568</v>
      </c>
      <c r="H68" s="104">
        <v>8391939.7357224822</v>
      </c>
      <c r="I68" s="104">
        <v>7758748.8897982389</v>
      </c>
    </row>
    <row r="69" spans="2:9">
      <c r="B69" s="102">
        <v>61</v>
      </c>
      <c r="C69" s="104">
        <v>24175898.761426404</v>
      </c>
      <c r="D69" s="104">
        <v>24000975.754524916</v>
      </c>
      <c r="E69" s="104">
        <v>6373327.9283854067</v>
      </c>
      <c r="F69" s="104">
        <v>10472289.793153495</v>
      </c>
      <c r="G69" s="104">
        <v>4989823.8053226024</v>
      </c>
      <c r="H69" s="104">
        <v>5823048.8233617842</v>
      </c>
      <c r="I69" s="104">
        <v>-3046891.8407011181</v>
      </c>
    </row>
    <row r="70" spans="2:9">
      <c r="B70" s="102">
        <v>62</v>
      </c>
      <c r="C70" s="104">
        <v>23431005.999928281</v>
      </c>
      <c r="D70" s="104">
        <v>18041747.032362968</v>
      </c>
      <c r="E70" s="104">
        <v>14821447.653831705</v>
      </c>
      <c r="F70" s="104">
        <v>21722269.377697006</v>
      </c>
      <c r="G70" s="104">
        <v>14147354.855264083</v>
      </c>
      <c r="H70" s="104">
        <v>9860627.5251191258</v>
      </c>
      <c r="I70" s="104">
        <v>8060997.3159768283</v>
      </c>
    </row>
    <row r="71" spans="2:9">
      <c r="B71" s="102">
        <v>63</v>
      </c>
      <c r="C71" s="104">
        <v>11148519.168456897</v>
      </c>
      <c r="D71" s="104">
        <v>8248794.3716100305</v>
      </c>
      <c r="E71" s="104">
        <v>10587652.184293121</v>
      </c>
      <c r="F71" s="104">
        <v>9617408.7525733411</v>
      </c>
      <c r="G71" s="104">
        <v>9486297.2574088424</v>
      </c>
      <c r="H71" s="104">
        <v>11581650.691396937</v>
      </c>
      <c r="I71" s="104">
        <v>-2526414.0082520247</v>
      </c>
    </row>
    <row r="72" spans="2:9">
      <c r="B72" s="102">
        <v>64</v>
      </c>
      <c r="C72" s="104">
        <v>12570195.504361823</v>
      </c>
      <c r="D72" s="104">
        <v>17049427.753127545</v>
      </c>
      <c r="E72" s="104">
        <v>6228220.4451766014</v>
      </c>
      <c r="F72" s="104">
        <v>20081937.182163179</v>
      </c>
      <c r="G72" s="104">
        <v>9432015.2035233825</v>
      </c>
      <c r="H72" s="104">
        <v>7554202.935882166</v>
      </c>
      <c r="I72" s="104">
        <v>9639983.332246542</v>
      </c>
    </row>
    <row r="73" spans="2:9">
      <c r="B73" s="102">
        <v>65</v>
      </c>
      <c r="C73" s="104">
        <v>24056310.768976241</v>
      </c>
      <c r="D73" s="104">
        <v>14898892.482698277</v>
      </c>
      <c r="E73" s="104">
        <v>15078267.089610234</v>
      </c>
      <c r="F73" s="104">
        <v>11556606.043103948</v>
      </c>
      <c r="G73" s="104">
        <v>11197138.498825431</v>
      </c>
      <c r="H73" s="104">
        <v>14120264.986374438</v>
      </c>
      <c r="I73" s="104">
        <v>7986460.6095161587</v>
      </c>
    </row>
    <row r="74" spans="2:9">
      <c r="B74" s="102">
        <v>66</v>
      </c>
      <c r="C74" s="104">
        <v>16622845.333208084</v>
      </c>
      <c r="D74" s="104">
        <v>14000779.54424943</v>
      </c>
      <c r="E74" s="104">
        <v>14522876.415840968</v>
      </c>
      <c r="F74" s="104">
        <v>11198368.805558279</v>
      </c>
      <c r="G74" s="104">
        <v>11968136.429364994</v>
      </c>
      <c r="H74" s="104">
        <v>-1452989.7660722733</v>
      </c>
      <c r="I74" s="104">
        <v>4610803.9871599823</v>
      </c>
    </row>
    <row r="75" spans="2:9">
      <c r="B75" s="102">
        <v>67</v>
      </c>
      <c r="C75" s="104">
        <v>18478069.444333136</v>
      </c>
      <c r="D75" s="104">
        <v>7798894.9278729856</v>
      </c>
      <c r="E75" s="104">
        <v>7144976.1659068465</v>
      </c>
      <c r="F75" s="104">
        <v>21005238.947627977</v>
      </c>
      <c r="G75" s="104">
        <v>10054543.061516091</v>
      </c>
      <c r="H75" s="104">
        <v>1842734.0990187824</v>
      </c>
      <c r="I75" s="104">
        <v>1121684.7805567086</v>
      </c>
    </row>
    <row r="76" spans="2:9">
      <c r="B76" s="102">
        <v>68</v>
      </c>
      <c r="C76" s="104">
        <v>10144407.66475001</v>
      </c>
      <c r="D76" s="104">
        <v>10110816.703676209</v>
      </c>
      <c r="E76" s="104">
        <v>10435450.464018732</v>
      </c>
      <c r="F76" s="104">
        <v>9545841.2324181646</v>
      </c>
      <c r="G76" s="104">
        <v>5157999.5659203827</v>
      </c>
      <c r="H76" s="104">
        <v>13580527.477188319</v>
      </c>
      <c r="I76" s="104">
        <v>-3684880.2053929418</v>
      </c>
    </row>
    <row r="77" spans="2:9">
      <c r="B77" s="102">
        <v>69</v>
      </c>
      <c r="C77" s="104">
        <v>25358205.862278566</v>
      </c>
      <c r="D77" s="104">
        <v>20159444.594432175</v>
      </c>
      <c r="E77" s="104">
        <v>9882829.7445943654</v>
      </c>
      <c r="F77" s="104">
        <v>12828314.57121174</v>
      </c>
      <c r="G77" s="104">
        <v>17908214.919742256</v>
      </c>
      <c r="H77" s="104">
        <v>1644819.8021939695</v>
      </c>
      <c r="I77" s="104">
        <v>5965243.4350306392</v>
      </c>
    </row>
    <row r="78" spans="2:9">
      <c r="B78" s="102">
        <v>70</v>
      </c>
      <c r="C78" s="104">
        <v>19822079.647477105</v>
      </c>
      <c r="D78" s="104">
        <v>14495175.75689131</v>
      </c>
      <c r="E78" s="104">
        <v>7857645.2831039429</v>
      </c>
      <c r="F78" s="104">
        <v>10580522.260462299</v>
      </c>
      <c r="G78" s="104">
        <v>7690868.1639954299</v>
      </c>
      <c r="H78" s="104">
        <v>15321207.312233403</v>
      </c>
      <c r="I78" s="104">
        <v>-1918373.5483402163</v>
      </c>
    </row>
    <row r="79" spans="2:9">
      <c r="B79" s="102">
        <v>71</v>
      </c>
      <c r="C79" s="104">
        <v>26624709.774375305</v>
      </c>
      <c r="D79" s="104">
        <v>12816198.815063849</v>
      </c>
      <c r="E79" s="104">
        <v>20690853.657390833</v>
      </c>
      <c r="F79" s="104">
        <v>13839907.237943664</v>
      </c>
      <c r="G79" s="104">
        <v>17902384.214880824</v>
      </c>
      <c r="H79" s="104">
        <v>-2177846.9994532317</v>
      </c>
      <c r="I79" s="104">
        <v>19708788.153214619</v>
      </c>
    </row>
    <row r="80" spans="2:9">
      <c r="B80" s="102">
        <v>72</v>
      </c>
      <c r="C80" s="104">
        <v>18602590.606623128</v>
      </c>
      <c r="D80" s="104">
        <v>10956422.222636834</v>
      </c>
      <c r="E80" s="104">
        <v>9314691.4894377738</v>
      </c>
      <c r="F80" s="104">
        <v>10595102.273749039</v>
      </c>
      <c r="G80" s="104">
        <v>12121801.965626583</v>
      </c>
      <c r="H80" s="104">
        <v>-3112310.2150147408</v>
      </c>
      <c r="I80" s="104">
        <v>6148253.7730870098</v>
      </c>
    </row>
    <row r="81" spans="2:9">
      <c r="B81" s="102">
        <v>73</v>
      </c>
      <c r="C81" s="104">
        <v>21605233.5987304</v>
      </c>
      <c r="D81" s="104">
        <v>6821745.3422747403</v>
      </c>
      <c r="E81" s="104">
        <v>5080674.4896134734</v>
      </c>
      <c r="F81" s="104">
        <v>10396768.154591367</v>
      </c>
      <c r="G81" s="104">
        <v>11600470.896752611</v>
      </c>
      <c r="H81" s="104">
        <v>3115568.513634786</v>
      </c>
      <c r="I81" s="104">
        <v>-2076412.4732069373</v>
      </c>
    </row>
    <row r="82" spans="2:9">
      <c r="B82" s="102">
        <v>74</v>
      </c>
      <c r="C82" s="104">
        <v>27592386.359823018</v>
      </c>
      <c r="D82" s="104">
        <v>5015408.1245901287</v>
      </c>
      <c r="E82" s="104">
        <v>16816032.68328774</v>
      </c>
      <c r="F82" s="104">
        <v>2666922.9364700317</v>
      </c>
      <c r="G82" s="104">
        <v>11303503.56393069</v>
      </c>
      <c r="H82" s="104">
        <v>753327.00203372538</v>
      </c>
      <c r="I82" s="104">
        <v>5674903.6622609496</v>
      </c>
    </row>
    <row r="83" spans="2:9">
      <c r="B83" s="102">
        <v>75</v>
      </c>
      <c r="C83" s="104">
        <v>21671471.48881565</v>
      </c>
      <c r="D83" s="104">
        <v>10539277.171650052</v>
      </c>
      <c r="E83" s="104">
        <v>16479655.8673269</v>
      </c>
      <c r="F83" s="104">
        <v>15749259.35698764</v>
      </c>
      <c r="G83" s="104">
        <v>5635965.5307175517</v>
      </c>
      <c r="H83" s="104">
        <v>5560804.7075417042</v>
      </c>
      <c r="I83" s="104">
        <v>14529753.461892262</v>
      </c>
    </row>
    <row r="84" spans="2:9">
      <c r="B84" s="102">
        <v>76</v>
      </c>
      <c r="C84" s="104">
        <v>15265788.305023506</v>
      </c>
      <c r="D84" s="104">
        <v>16993770.937228054</v>
      </c>
      <c r="E84" s="104">
        <v>12361040.435766473</v>
      </c>
      <c r="F84" s="104">
        <v>5718197.0992529392</v>
      </c>
      <c r="G84" s="104">
        <v>16262504.319556355</v>
      </c>
      <c r="H84" s="104">
        <v>14864660.036123335</v>
      </c>
      <c r="I84" s="104">
        <v>9147532.7102858126</v>
      </c>
    </row>
    <row r="85" spans="2:9">
      <c r="B85" s="102">
        <v>77</v>
      </c>
      <c r="C85" s="104">
        <v>19448604.568899274</v>
      </c>
      <c r="D85" s="104">
        <v>13673254.084563211</v>
      </c>
      <c r="E85" s="104">
        <v>14241697.452791527</v>
      </c>
      <c r="F85" s="104">
        <v>10738727.461184949</v>
      </c>
      <c r="G85" s="104">
        <v>11859315.091122106</v>
      </c>
      <c r="H85" s="104">
        <v>12491985.422105387</v>
      </c>
      <c r="I85" s="104">
        <v>7197668.0754039586</v>
      </c>
    </row>
    <row r="86" spans="2:9">
      <c r="B86" s="102">
        <v>78</v>
      </c>
      <c r="C86" s="104">
        <v>15444405.16849421</v>
      </c>
      <c r="D86" s="104">
        <v>14640221.764405906</v>
      </c>
      <c r="E86" s="104">
        <v>17236007.504776046</v>
      </c>
      <c r="F86" s="104">
        <v>-262385.91105973721</v>
      </c>
      <c r="G86" s="104">
        <v>8187932.3800118864</v>
      </c>
      <c r="H86" s="104">
        <v>5897850.7420807481</v>
      </c>
      <c r="I86" s="104">
        <v>2369375.5773455054</v>
      </c>
    </row>
    <row r="87" spans="2:9">
      <c r="B87" s="102">
        <v>79</v>
      </c>
      <c r="C87" s="104">
        <v>19727903.842554525</v>
      </c>
      <c r="D87" s="104">
        <v>12272292.262248412</v>
      </c>
      <c r="E87" s="104">
        <v>10868361.913903877</v>
      </c>
      <c r="F87" s="104">
        <v>-3477243.7949411422</v>
      </c>
      <c r="G87" s="104">
        <v>4654530.2587070614</v>
      </c>
      <c r="H87" s="104">
        <v>-75583.363504514098</v>
      </c>
      <c r="I87" s="104">
        <v>-1815046.5522619188</v>
      </c>
    </row>
    <row r="88" spans="2:9">
      <c r="B88" s="102">
        <v>80</v>
      </c>
      <c r="C88" s="104">
        <v>14663178.488076985</v>
      </c>
      <c r="D88" s="104">
        <v>11417017.285203278</v>
      </c>
      <c r="E88" s="104">
        <v>19178210.646595478</v>
      </c>
      <c r="F88" s="104">
        <v>13906324.996338025</v>
      </c>
      <c r="G88" s="104">
        <v>8837896.3274709135</v>
      </c>
      <c r="H88" s="104">
        <v>15439964.050504953</v>
      </c>
      <c r="I88" s="104">
        <v>2521335.9526830763</v>
      </c>
    </row>
    <row r="89" spans="2:9">
      <c r="B89" s="102">
        <v>81</v>
      </c>
      <c r="C89" s="104">
        <v>27561280.929608405</v>
      </c>
      <c r="D89" s="104">
        <v>12716748.610272706</v>
      </c>
      <c r="E89" s="104">
        <v>227348.81293722987</v>
      </c>
      <c r="F89" s="104">
        <v>12547736.601969004</v>
      </c>
      <c r="G89" s="104">
        <v>9635278.9840459824</v>
      </c>
      <c r="H89" s="104">
        <v>2884475.8739965856</v>
      </c>
      <c r="I89" s="104">
        <v>3016381.7306211889</v>
      </c>
    </row>
    <row r="90" spans="2:9">
      <c r="B90" s="102">
        <v>82</v>
      </c>
      <c r="C90" s="104">
        <v>23488797.545184359</v>
      </c>
      <c r="D90" s="104">
        <v>18890609.240763113</v>
      </c>
      <c r="E90" s="104">
        <v>18607054.28278397</v>
      </c>
      <c r="F90" s="104">
        <v>21259664.241084203</v>
      </c>
      <c r="G90" s="104">
        <v>17689400.83667089</v>
      </c>
      <c r="H90" s="104">
        <v>476866.20424887538</v>
      </c>
      <c r="I90" s="104">
        <v>-274246.58871850371</v>
      </c>
    </row>
    <row r="91" spans="2:9">
      <c r="B91" s="102">
        <v>83</v>
      </c>
      <c r="C91" s="104">
        <v>13556216.091943279</v>
      </c>
      <c r="D91" s="104">
        <v>12769979.31183432</v>
      </c>
      <c r="E91" s="104">
        <v>13986860.647562161</v>
      </c>
      <c r="F91" s="104">
        <v>17475063.414321005</v>
      </c>
      <c r="G91" s="104">
        <v>17202678.438832328</v>
      </c>
      <c r="H91" s="104">
        <v>8741960.9683793336</v>
      </c>
      <c r="I91" s="104">
        <v>-4619007.2685638219</v>
      </c>
    </row>
    <row r="92" spans="2:9">
      <c r="B92" s="102">
        <v>84</v>
      </c>
      <c r="C92" s="104">
        <v>17156168.976640463</v>
      </c>
      <c r="D92" s="104">
        <v>9364750.0768047571</v>
      </c>
      <c r="E92" s="104">
        <v>13263525.904653698</v>
      </c>
      <c r="F92" s="104">
        <v>16544329.328025624</v>
      </c>
      <c r="G92" s="104">
        <v>3094521.7631286532</v>
      </c>
      <c r="H92" s="104">
        <v>5378769.7146927267</v>
      </c>
      <c r="I92" s="104">
        <v>3134072.7810234278</v>
      </c>
    </row>
    <row r="93" spans="2:9">
      <c r="B93" s="102">
        <v>85</v>
      </c>
      <c r="C93" s="104">
        <v>20369012.768082961</v>
      </c>
      <c r="D93" s="104">
        <v>20039368.15739584</v>
      </c>
      <c r="E93" s="104">
        <v>18290147.678498775</v>
      </c>
      <c r="F93" s="104">
        <v>7444119.1485964507</v>
      </c>
      <c r="G93" s="104">
        <v>10590416.082757235</v>
      </c>
      <c r="H93" s="104">
        <v>7912864.1233445108</v>
      </c>
      <c r="I93" s="104">
        <v>14024691.229146391</v>
      </c>
    </row>
    <row r="94" spans="2:9">
      <c r="B94" s="102">
        <v>86</v>
      </c>
      <c r="C94" s="104">
        <v>16218130.830848426</v>
      </c>
      <c r="D94" s="104">
        <v>6245127.8350217044</v>
      </c>
      <c r="E94" s="104">
        <v>14311608.702049181</v>
      </c>
      <c r="F94" s="104">
        <v>18953700.711697936</v>
      </c>
      <c r="G94" s="104">
        <v>3584306.2183481902</v>
      </c>
      <c r="H94" s="104">
        <v>316935.53050124645</v>
      </c>
      <c r="I94" s="104">
        <v>8057726.6142401993</v>
      </c>
    </row>
    <row r="95" spans="2:9">
      <c r="B95" s="102">
        <v>87</v>
      </c>
      <c r="C95" s="104">
        <v>24158581.387274086</v>
      </c>
      <c r="D95" s="104">
        <v>24260530.648637429</v>
      </c>
      <c r="E95" s="104">
        <v>9296320.8304205835</v>
      </c>
      <c r="F95" s="104">
        <v>5581085.8844000548</v>
      </c>
      <c r="G95" s="104">
        <v>5705177.4379644096</v>
      </c>
      <c r="H95" s="104">
        <v>-2656318.4315933436</v>
      </c>
      <c r="I95" s="104">
        <v>3737715.7623886317</v>
      </c>
    </row>
    <row r="96" spans="2:9">
      <c r="B96" s="102">
        <v>88</v>
      </c>
      <c r="C96" s="104">
        <v>21418595.872145042</v>
      </c>
      <c r="D96" s="104">
        <v>18689040.422555715</v>
      </c>
      <c r="E96" s="104">
        <v>5514288.753869459</v>
      </c>
      <c r="F96" s="104">
        <v>12871353.277996048</v>
      </c>
      <c r="G96" s="104">
        <v>7787815.3071931303</v>
      </c>
      <c r="H96" s="104">
        <v>-2946282.9956158102</v>
      </c>
      <c r="I96" s="104">
        <v>-2482997.6254120618</v>
      </c>
    </row>
    <row r="97" spans="2:9">
      <c r="B97" s="102">
        <v>89</v>
      </c>
      <c r="C97" s="104">
        <v>18834101.748481378</v>
      </c>
      <c r="D97" s="104">
        <v>6362688.2310363352</v>
      </c>
      <c r="E97" s="104">
        <v>15234826.721317485</v>
      </c>
      <c r="F97" s="104">
        <v>17415206.712317243</v>
      </c>
      <c r="G97" s="104">
        <v>7545719.4357239306</v>
      </c>
      <c r="H97" s="104">
        <v>13278384.243945196</v>
      </c>
      <c r="I97" s="104">
        <v>6585102.2286883742</v>
      </c>
    </row>
    <row r="98" spans="2:9">
      <c r="B98" s="102">
        <v>90</v>
      </c>
      <c r="C98" s="104">
        <v>22204222.510696456</v>
      </c>
      <c r="D98" s="104">
        <v>7199546.8422965854</v>
      </c>
      <c r="E98" s="104">
        <v>17151087.462276399</v>
      </c>
      <c r="F98" s="104">
        <v>11234437.007927284</v>
      </c>
      <c r="G98" s="104">
        <v>8582172.9318756014</v>
      </c>
      <c r="H98" s="104">
        <v>4758113.4307380319</v>
      </c>
      <c r="I98" s="104">
        <v>11577891.891630888</v>
      </c>
    </row>
    <row r="99" spans="2:9">
      <c r="B99" s="102">
        <v>91</v>
      </c>
      <c r="C99" s="104">
        <v>23614860.878326505</v>
      </c>
      <c r="D99" s="104">
        <v>12953364.827891082</v>
      </c>
      <c r="E99" s="104">
        <v>9243368.1498997957</v>
      </c>
      <c r="F99" s="104">
        <v>12461312.117410064</v>
      </c>
      <c r="G99" s="104">
        <v>2864659.6913584769</v>
      </c>
      <c r="H99" s="104">
        <v>5536223.1170959622</v>
      </c>
      <c r="I99" s="104">
        <v>5981188.7247271985</v>
      </c>
    </row>
    <row r="100" spans="2:9">
      <c r="B100" s="102">
        <v>92</v>
      </c>
      <c r="C100" s="104">
        <v>15468169.433386147</v>
      </c>
      <c r="D100" s="104">
        <v>24558603.375757739</v>
      </c>
      <c r="E100" s="104">
        <v>13943715.989303082</v>
      </c>
      <c r="F100" s="104">
        <v>14070897.112665623</v>
      </c>
      <c r="G100" s="104">
        <v>11229283.272298694</v>
      </c>
      <c r="H100" s="104">
        <v>-1355683.3718772233</v>
      </c>
      <c r="I100" s="104">
        <v>218820.10366262496</v>
      </c>
    </row>
    <row r="101" spans="2:9">
      <c r="B101" s="102">
        <v>93</v>
      </c>
      <c r="C101" s="104">
        <v>14491320.316397801</v>
      </c>
      <c r="D101" s="104">
        <v>30106896.804117322</v>
      </c>
      <c r="E101" s="104">
        <v>10311910.452161312</v>
      </c>
      <c r="F101" s="104">
        <v>14555601.502265215</v>
      </c>
      <c r="G101" s="104">
        <v>12027356.57397078</v>
      </c>
      <c r="H101" s="104">
        <v>10107729.280373797</v>
      </c>
      <c r="I101" s="104">
        <v>8228740.5055451989</v>
      </c>
    </row>
    <row r="102" spans="2:9">
      <c r="B102" s="102">
        <v>94</v>
      </c>
      <c r="C102" s="104">
        <v>16434337.555952609</v>
      </c>
      <c r="D102" s="104">
        <v>15134959.705784559</v>
      </c>
      <c r="E102" s="104">
        <v>14350601.065044329</v>
      </c>
      <c r="F102" s="104">
        <v>1210483.4352229089</v>
      </c>
      <c r="G102" s="104">
        <v>19150657.788814515</v>
      </c>
      <c r="H102" s="104">
        <v>6953076.4478516281</v>
      </c>
      <c r="I102" s="104">
        <v>10077770.074255154</v>
      </c>
    </row>
    <row r="103" spans="2:9">
      <c r="B103" s="102">
        <v>95</v>
      </c>
      <c r="C103" s="104">
        <v>10081569.543954521</v>
      </c>
      <c r="D103" s="104">
        <v>15273997.606132656</v>
      </c>
      <c r="E103" s="104">
        <v>17034378.798853889</v>
      </c>
      <c r="F103" s="104">
        <v>17378240.163427606</v>
      </c>
      <c r="G103" s="104">
        <v>11743630.102182001</v>
      </c>
      <c r="H103" s="104">
        <v>-4434194.0610149503</v>
      </c>
      <c r="I103" s="104">
        <v>10986570.867357388</v>
      </c>
    </row>
    <row r="104" spans="2:9">
      <c r="B104" s="102">
        <v>96</v>
      </c>
      <c r="C104" s="104">
        <v>16646143.870804846</v>
      </c>
      <c r="D104" s="104">
        <v>17747177.734131739</v>
      </c>
      <c r="E104" s="104">
        <v>14742071.470572278</v>
      </c>
      <c r="F104" s="104">
        <v>14747190.097093314</v>
      </c>
      <c r="G104" s="104">
        <v>15835937.39346683</v>
      </c>
      <c r="H104" s="104">
        <v>-42661.043672442436</v>
      </c>
      <c r="I104" s="104">
        <v>2200944.7201322019</v>
      </c>
    </row>
    <row r="105" spans="2:9">
      <c r="B105" s="102">
        <v>97</v>
      </c>
      <c r="C105" s="104">
        <v>21574722.259667963</v>
      </c>
      <c r="D105" s="104">
        <v>19631251.323058397</v>
      </c>
      <c r="E105" s="104">
        <v>4629428.2240306586</v>
      </c>
      <c r="F105" s="104">
        <v>13837370.019957408</v>
      </c>
      <c r="G105" s="104">
        <v>7311169.4002542794</v>
      </c>
      <c r="H105" s="104">
        <v>9922396.5734717101</v>
      </c>
      <c r="I105" s="104">
        <v>10757044.947977319</v>
      </c>
    </row>
    <row r="106" spans="2:9">
      <c r="B106" s="102">
        <v>98</v>
      </c>
      <c r="C106" s="104">
        <v>30316953.29237695</v>
      </c>
      <c r="D106" s="104">
        <v>23358295.27698651</v>
      </c>
      <c r="E106" s="104">
        <v>9064863.2298192382</v>
      </c>
      <c r="F106" s="104">
        <v>9781393.1105771661</v>
      </c>
      <c r="G106" s="104">
        <v>18348702.870682701</v>
      </c>
      <c r="H106" s="104">
        <v>8865728.2209905684</v>
      </c>
      <c r="I106" s="104">
        <v>7565493.4917002171</v>
      </c>
    </row>
    <row r="107" spans="2:9">
      <c r="B107" s="102">
        <v>99</v>
      </c>
      <c r="C107" s="104">
        <v>10502884.282504454</v>
      </c>
      <c r="D107" s="104">
        <v>16514465.339005172</v>
      </c>
      <c r="E107" s="104">
        <v>11336452.810781375</v>
      </c>
      <c r="F107" s="104">
        <v>11845896.175871029</v>
      </c>
      <c r="G107" s="104">
        <v>9899894.0135065168</v>
      </c>
      <c r="H107" s="104">
        <v>-780150.54751886427</v>
      </c>
      <c r="I107" s="104">
        <v>10554194.023559034</v>
      </c>
    </row>
    <row r="108" spans="2:9">
      <c r="B108" s="102">
        <v>100</v>
      </c>
      <c r="C108" s="104">
        <v>20927403.346863836</v>
      </c>
      <c r="D108" s="104">
        <v>21774447.838509142</v>
      </c>
      <c r="E108" s="104">
        <v>13627945.42571561</v>
      </c>
      <c r="F108" s="104">
        <v>11739654.460832775</v>
      </c>
      <c r="G108" s="104">
        <v>-3898136.207278356</v>
      </c>
      <c r="H108" s="104">
        <v>7135284.5421307683</v>
      </c>
      <c r="I108" s="104">
        <v>10979360.567801535</v>
      </c>
    </row>
    <row r="109" spans="2:9">
      <c r="B109" s="102">
        <v>101</v>
      </c>
      <c r="C109" s="104">
        <v>13536041.477686852</v>
      </c>
      <c r="D109" s="104">
        <v>13020979.027156115</v>
      </c>
      <c r="E109" s="104">
        <v>12097991.883622825</v>
      </c>
      <c r="F109" s="104">
        <v>10600736.820705742</v>
      </c>
      <c r="G109" s="104">
        <v>9605800.2034444064</v>
      </c>
      <c r="H109" s="104">
        <v>10991926.996566311</v>
      </c>
      <c r="I109" s="104">
        <v>6809775.9093004167</v>
      </c>
    </row>
    <row r="110" spans="2:9">
      <c r="B110" s="102">
        <v>102</v>
      </c>
      <c r="C110" s="104">
        <v>15113058.865580156</v>
      </c>
      <c r="D110" s="104">
        <v>10691600.988573745</v>
      </c>
      <c r="E110" s="104">
        <v>20635820.834123611</v>
      </c>
      <c r="F110" s="104">
        <v>8260820.5530569702</v>
      </c>
      <c r="G110" s="104">
        <v>15344675.022107273</v>
      </c>
      <c r="H110" s="104">
        <v>12690282.311919391</v>
      </c>
      <c r="I110" s="104">
        <v>7311758.1323466152</v>
      </c>
    </row>
    <row r="111" spans="2:9">
      <c r="B111" s="102">
        <v>103</v>
      </c>
      <c r="C111" s="104">
        <v>6242837.8607260287</v>
      </c>
      <c r="D111" s="104">
        <v>23743721.888650924</v>
      </c>
      <c r="E111" s="104">
        <v>23706152.209513411</v>
      </c>
      <c r="F111" s="104">
        <v>4883156.1991452426</v>
      </c>
      <c r="G111" s="104">
        <v>4309080.9587868601</v>
      </c>
      <c r="H111" s="104">
        <v>9494368.9223749936</v>
      </c>
      <c r="I111" s="104">
        <v>-7802471.6877449453</v>
      </c>
    </row>
    <row r="112" spans="2:9">
      <c r="B112" s="102">
        <v>104</v>
      </c>
      <c r="C112" s="104">
        <v>23524882.893757433</v>
      </c>
      <c r="D112" s="104">
        <v>14661162.951217696</v>
      </c>
      <c r="E112" s="104">
        <v>10058849.366866335</v>
      </c>
      <c r="F112" s="104">
        <v>6905967.6788677126</v>
      </c>
      <c r="G112" s="104">
        <v>17554371.77400358</v>
      </c>
      <c r="H112" s="104">
        <v>17804697.034762204</v>
      </c>
      <c r="I112" s="104">
        <v>-6442676.4653406888</v>
      </c>
    </row>
    <row r="113" spans="2:9">
      <c r="B113" s="102">
        <v>105</v>
      </c>
      <c r="C113" s="104">
        <v>23577855.615565434</v>
      </c>
      <c r="D113" s="104">
        <v>8552675.6103619635</v>
      </c>
      <c r="E113" s="104">
        <v>13858867.907641396</v>
      </c>
      <c r="F113" s="104">
        <v>14622143.204016671</v>
      </c>
      <c r="G113" s="104">
        <v>8718697.2908220589</v>
      </c>
      <c r="H113" s="104">
        <v>13207570.544690147</v>
      </c>
      <c r="I113" s="104">
        <v>3076487.2953064889</v>
      </c>
    </row>
    <row r="114" spans="2:9">
      <c r="B114" s="102">
        <v>106</v>
      </c>
      <c r="C114" s="104">
        <v>20922897.413087159</v>
      </c>
      <c r="D114" s="104">
        <v>21030958.88910535</v>
      </c>
      <c r="E114" s="104">
        <v>15145613.960817233</v>
      </c>
      <c r="F114" s="104">
        <v>13106765.395502865</v>
      </c>
      <c r="G114" s="104">
        <v>13659500.835199654</v>
      </c>
      <c r="H114" s="104">
        <v>4388271.2876869291</v>
      </c>
      <c r="I114" s="104">
        <v>-219445.348507002</v>
      </c>
    </row>
    <row r="115" spans="2:9">
      <c r="B115" s="102">
        <v>107</v>
      </c>
      <c r="C115" s="104">
        <v>21633054.865527108</v>
      </c>
      <c r="D115" s="104">
        <v>9103877.7066000998</v>
      </c>
      <c r="E115" s="104">
        <v>8852759.7046844959</v>
      </c>
      <c r="F115" s="104">
        <v>8066201.44970119</v>
      </c>
      <c r="G115" s="104">
        <v>1905780.4616722018</v>
      </c>
      <c r="H115" s="104">
        <v>6621129.3170847148</v>
      </c>
      <c r="I115" s="104">
        <v>-2424459.4506404847</v>
      </c>
    </row>
    <row r="116" spans="2:9">
      <c r="B116" s="102">
        <v>108</v>
      </c>
      <c r="C116" s="104">
        <v>23259687.581011921</v>
      </c>
      <c r="D116" s="104">
        <v>14401303.779513031</v>
      </c>
      <c r="E116" s="104">
        <v>4033885.0898768455</v>
      </c>
      <c r="F116" s="104">
        <v>14946102.131660298</v>
      </c>
      <c r="G116" s="104">
        <v>20708260.642075211</v>
      </c>
      <c r="H116" s="104">
        <v>7107390.8553395122</v>
      </c>
      <c r="I116" s="104">
        <v>-4761492.4653193951</v>
      </c>
    </row>
    <row r="117" spans="2:9">
      <c r="B117" s="102">
        <v>109</v>
      </c>
      <c r="C117" s="104">
        <v>15375769.938793421</v>
      </c>
      <c r="D117" s="104">
        <v>18140498.961306423</v>
      </c>
      <c r="E117" s="104">
        <v>10523088.821940497</v>
      </c>
      <c r="F117" s="104">
        <v>13173114.31222257</v>
      </c>
      <c r="G117" s="104">
        <v>10434229.648753464</v>
      </c>
      <c r="H117" s="104">
        <v>3420640.6599057168</v>
      </c>
      <c r="I117" s="104">
        <v>-7880943.6824039519</v>
      </c>
    </row>
    <row r="118" spans="2:9">
      <c r="B118" s="102">
        <v>110</v>
      </c>
      <c r="C118" s="104">
        <v>16788280.388826996</v>
      </c>
      <c r="D118" s="104">
        <v>20456891.446905673</v>
      </c>
      <c r="E118" s="104">
        <v>12173341.42091915</v>
      </c>
      <c r="F118" s="104">
        <v>13985854.164616451</v>
      </c>
      <c r="G118" s="104">
        <v>16532018.832530096</v>
      </c>
      <c r="H118" s="104">
        <v>-867241.19638234377</v>
      </c>
      <c r="I118" s="104">
        <v>2938957.4025720805</v>
      </c>
    </row>
    <row r="119" spans="2:9">
      <c r="B119" s="102">
        <v>111</v>
      </c>
      <c r="C119" s="104">
        <v>21519747.061003536</v>
      </c>
      <c r="D119" s="104">
        <v>19387199.578610763</v>
      </c>
      <c r="E119" s="104">
        <v>15119927.028549492</v>
      </c>
      <c r="F119" s="104">
        <v>15227951.235270694</v>
      </c>
      <c r="G119" s="104">
        <v>11182266.576559037</v>
      </c>
      <c r="H119" s="104">
        <v>10444923.707154438</v>
      </c>
      <c r="I119" s="104">
        <v>1808683.3895042837</v>
      </c>
    </row>
    <row r="120" spans="2:9">
      <c r="B120" s="102">
        <v>112</v>
      </c>
      <c r="C120" s="104">
        <v>17528933.869520128</v>
      </c>
      <c r="D120" s="104">
        <v>14912204.277387947</v>
      </c>
      <c r="E120" s="104">
        <v>10073612.063166037</v>
      </c>
      <c r="F120" s="104">
        <v>10564953.969774142</v>
      </c>
      <c r="G120" s="104">
        <v>-1002458.652394861</v>
      </c>
      <c r="H120" s="104">
        <v>3027312.7317869067</v>
      </c>
      <c r="I120" s="104">
        <v>-4598249.2983438373</v>
      </c>
    </row>
    <row r="121" spans="2:9">
      <c r="B121" s="102">
        <v>113</v>
      </c>
      <c r="C121" s="104">
        <v>14119173.236011893</v>
      </c>
      <c r="D121" s="104">
        <v>21600404.037512273</v>
      </c>
      <c r="E121" s="104">
        <v>12029022.976335689</v>
      </c>
      <c r="F121" s="104">
        <v>3277840.1537822783</v>
      </c>
      <c r="G121" s="104">
        <v>10470834.381575778</v>
      </c>
      <c r="H121" s="104">
        <v>-229671.46533215046</v>
      </c>
      <c r="I121" s="104">
        <v>5310755.7529625297</v>
      </c>
    </row>
    <row r="122" spans="2:9">
      <c r="B122" s="102">
        <v>114</v>
      </c>
      <c r="C122" s="104">
        <v>9417375.0485172123</v>
      </c>
      <c r="D122" s="104">
        <v>22855573.096413717</v>
      </c>
      <c r="E122" s="104">
        <v>13226202.717775211</v>
      </c>
      <c r="F122" s="104">
        <v>11141753.313232407</v>
      </c>
      <c r="G122" s="104">
        <v>12155479.814620644</v>
      </c>
      <c r="H122" s="104">
        <v>14812663.966916934</v>
      </c>
      <c r="I122" s="104">
        <v>1001169.0765471607</v>
      </c>
    </row>
    <row r="123" spans="2:9">
      <c r="B123" s="102">
        <v>115</v>
      </c>
      <c r="C123" s="104">
        <v>19330166.407791495</v>
      </c>
      <c r="D123" s="104">
        <v>9216402.266343981</v>
      </c>
      <c r="E123" s="104">
        <v>8870367.4629633278</v>
      </c>
      <c r="F123" s="104">
        <v>12674779.799726516</v>
      </c>
      <c r="G123" s="104">
        <v>10146043.985620677</v>
      </c>
      <c r="H123" s="104">
        <v>3314857.5679561943</v>
      </c>
      <c r="I123" s="104">
        <v>1523034.5126692355</v>
      </c>
    </row>
    <row r="124" spans="2:9">
      <c r="B124" s="102">
        <v>116</v>
      </c>
      <c r="C124" s="104">
        <v>16657701.041739866</v>
      </c>
      <c r="D124" s="104">
        <v>20502678.128542513</v>
      </c>
      <c r="E124" s="104">
        <v>17924944.06897153</v>
      </c>
      <c r="F124" s="104">
        <v>13533868.372631282</v>
      </c>
      <c r="G124" s="104">
        <v>9137563.8477116227</v>
      </c>
      <c r="H124" s="104">
        <v>13380831.970800042</v>
      </c>
      <c r="I124" s="104">
        <v>-1437689.542917639</v>
      </c>
    </row>
    <row r="125" spans="2:9">
      <c r="B125" s="102">
        <v>117</v>
      </c>
      <c r="C125" s="104">
        <v>24921724.275494069</v>
      </c>
      <c r="D125" s="104">
        <v>18701293.712397918</v>
      </c>
      <c r="E125" s="104">
        <v>17133258.229329422</v>
      </c>
      <c r="F125" s="104">
        <v>6893246.591879651</v>
      </c>
      <c r="G125" s="104">
        <v>9311086.8933761567</v>
      </c>
      <c r="H125" s="104">
        <v>2153351.8727201819</v>
      </c>
      <c r="I125" s="104">
        <v>3003168.3268467784</v>
      </c>
    </row>
    <row r="126" spans="2:9">
      <c r="B126" s="102">
        <v>118</v>
      </c>
      <c r="C126" s="104">
        <v>22609009.450246349</v>
      </c>
      <c r="D126" s="104">
        <v>20880188.994578823</v>
      </c>
      <c r="E126" s="104">
        <v>13197766.889649197</v>
      </c>
      <c r="F126" s="104">
        <v>7366938.4167877436</v>
      </c>
      <c r="G126" s="104">
        <v>9854263.3830536902</v>
      </c>
      <c r="H126" s="104">
        <v>9091913.6504646987</v>
      </c>
      <c r="I126" s="104">
        <v>-3119030.2019716054</v>
      </c>
    </row>
    <row r="127" spans="2:9">
      <c r="B127" s="102">
        <v>119</v>
      </c>
      <c r="C127" s="104">
        <v>17563977.415589511</v>
      </c>
      <c r="D127" s="104">
        <v>7188710.8177995384</v>
      </c>
      <c r="E127" s="104">
        <v>8494493.0656834394</v>
      </c>
      <c r="F127" s="104">
        <v>22084819.548491195</v>
      </c>
      <c r="G127" s="104">
        <v>-1057509.7973388582</v>
      </c>
      <c r="H127" s="104">
        <v>-256192.66151937842</v>
      </c>
      <c r="I127" s="104">
        <v>-1074984.194491595</v>
      </c>
    </row>
    <row r="128" spans="2:9">
      <c r="B128" s="102">
        <v>120</v>
      </c>
      <c r="C128" s="104">
        <v>13017453.380759001</v>
      </c>
      <c r="D128" s="104">
        <v>15639717.075750709</v>
      </c>
      <c r="E128" s="104">
        <v>22292454.843603849</v>
      </c>
      <c r="F128" s="104">
        <v>12103455.898358509</v>
      </c>
      <c r="G128" s="104">
        <v>9946764.1742596179</v>
      </c>
      <c r="H128" s="104">
        <v>3665076.7436169982</v>
      </c>
      <c r="I128" s="104">
        <v>4020144.9541911185</v>
      </c>
    </row>
    <row r="129" spans="2:9">
      <c r="B129" s="102">
        <v>121</v>
      </c>
      <c r="C129" s="104">
        <v>29098838.684292912</v>
      </c>
      <c r="D129" s="104">
        <v>11746825.256581381</v>
      </c>
      <c r="E129" s="104">
        <v>14796857.519210249</v>
      </c>
      <c r="F129" s="104">
        <v>9831206.9658281654</v>
      </c>
      <c r="G129" s="104">
        <v>6172977.4570849389</v>
      </c>
      <c r="H129" s="104">
        <v>16465721.933995366</v>
      </c>
      <c r="I129" s="104">
        <v>10859282.934307635</v>
      </c>
    </row>
    <row r="130" spans="2:9">
      <c r="B130" s="102">
        <v>122</v>
      </c>
      <c r="C130" s="104">
        <v>21453895.669143498</v>
      </c>
      <c r="D130" s="104">
        <v>7588520.84842439</v>
      </c>
      <c r="E130" s="104">
        <v>11469782.191054851</v>
      </c>
      <c r="F130" s="104">
        <v>8777710.6125891209</v>
      </c>
      <c r="G130" s="104">
        <v>-4180598.2751747966</v>
      </c>
      <c r="H130" s="104">
        <v>79789.039106801152</v>
      </c>
      <c r="I130" s="104">
        <v>10132585.646403477</v>
      </c>
    </row>
    <row r="131" spans="2:9">
      <c r="B131" s="102">
        <v>123</v>
      </c>
      <c r="C131" s="104">
        <v>13999387.266142726</v>
      </c>
      <c r="D131" s="104">
        <v>7208422.8995360583</v>
      </c>
      <c r="E131" s="104">
        <v>11734594.372672349</v>
      </c>
      <c r="F131" s="104">
        <v>16927456.534354582</v>
      </c>
      <c r="G131" s="104">
        <v>14341658.45251821</v>
      </c>
      <c r="H131" s="104">
        <v>-2847711.9132128954</v>
      </c>
      <c r="I131" s="104">
        <v>474649.28408510983</v>
      </c>
    </row>
    <row r="132" spans="2:9">
      <c r="B132" s="102">
        <v>124</v>
      </c>
      <c r="C132" s="104">
        <v>14433428.991265863</v>
      </c>
      <c r="D132" s="104">
        <v>10727972.164438665</v>
      </c>
      <c r="E132" s="104">
        <v>23567966.775814041</v>
      </c>
      <c r="F132" s="104">
        <v>13603475.913596466</v>
      </c>
      <c r="G132" s="104">
        <v>8176824.0240321904</v>
      </c>
      <c r="H132" s="104">
        <v>1130829.0112009197</v>
      </c>
      <c r="I132" s="104">
        <v>-358092.85166950524</v>
      </c>
    </row>
    <row r="133" spans="2:9">
      <c r="B133" s="102">
        <v>125</v>
      </c>
      <c r="C133" s="104">
        <v>21203835.106439143</v>
      </c>
      <c r="D133" s="104">
        <v>1211390.218817845</v>
      </c>
      <c r="E133" s="104">
        <v>12820251.363232076</v>
      </c>
      <c r="F133" s="104">
        <v>13519559.393627718</v>
      </c>
      <c r="G133" s="104">
        <v>-712079.64547605813</v>
      </c>
      <c r="H133" s="104">
        <v>4739385.405154109</v>
      </c>
      <c r="I133" s="104">
        <v>19493470.090792045</v>
      </c>
    </row>
    <row r="134" spans="2:9">
      <c r="B134" s="102">
        <v>126</v>
      </c>
      <c r="C134" s="104">
        <v>18529887.036689863</v>
      </c>
      <c r="D134" s="104">
        <v>17123614.780427262</v>
      </c>
      <c r="E134" s="104">
        <v>12879870.384766594</v>
      </c>
      <c r="F134" s="104">
        <v>7017293.9815961272</v>
      </c>
      <c r="G134" s="104">
        <v>1156306.359348163</v>
      </c>
      <c r="H134" s="104">
        <v>13492143.234715283</v>
      </c>
      <c r="I134" s="104">
        <v>-1492308.1598698199</v>
      </c>
    </row>
    <row r="135" spans="2:9">
      <c r="B135" s="102">
        <v>127</v>
      </c>
      <c r="C135" s="104">
        <v>18070035.437833905</v>
      </c>
      <c r="D135" s="104">
        <v>11753624.084051058</v>
      </c>
      <c r="E135" s="104">
        <v>7510814.3647238761</v>
      </c>
      <c r="F135" s="104">
        <v>7105225.9575779438</v>
      </c>
      <c r="G135" s="104">
        <v>11803780.694061726</v>
      </c>
      <c r="H135" s="104">
        <v>538328.61161723733</v>
      </c>
      <c r="I135" s="104">
        <v>6210782.5662695169</v>
      </c>
    </row>
    <row r="136" spans="2:9">
      <c r="B136" s="102">
        <v>128</v>
      </c>
      <c r="C136" s="104">
        <v>11783995.955335036</v>
      </c>
      <c r="D136" s="104">
        <v>17468288.630903974</v>
      </c>
      <c r="E136" s="104">
        <v>5293814.1922747791</v>
      </c>
      <c r="F136" s="104">
        <v>23076826.591487125</v>
      </c>
      <c r="G136" s="104">
        <v>14994715.294513673</v>
      </c>
      <c r="H136" s="104">
        <v>9027190.0362382829</v>
      </c>
      <c r="I136" s="104">
        <v>5426683.9768287092</v>
      </c>
    </row>
    <row r="137" spans="2:9">
      <c r="B137" s="102">
        <v>129</v>
      </c>
      <c r="C137" s="104">
        <v>16166056.620899543</v>
      </c>
      <c r="D137" s="104">
        <v>12246908.350785241</v>
      </c>
      <c r="E137" s="104">
        <v>15739442.120050251</v>
      </c>
      <c r="F137" s="104">
        <v>5773891.8601693958</v>
      </c>
      <c r="G137" s="104">
        <v>10352281.18706955</v>
      </c>
      <c r="H137" s="104">
        <v>15995586.540629864</v>
      </c>
      <c r="I137" s="104">
        <v>8925905.9920787513</v>
      </c>
    </row>
    <row r="138" spans="2:9">
      <c r="B138" s="102">
        <v>130</v>
      </c>
      <c r="C138" s="104">
        <v>15771059.726747468</v>
      </c>
      <c r="D138" s="104">
        <v>13390069.854494885</v>
      </c>
      <c r="E138" s="104">
        <v>10226030.721205652</v>
      </c>
      <c r="F138" s="104">
        <v>21554449.639330059</v>
      </c>
      <c r="G138" s="104">
        <v>11687353.93405503</v>
      </c>
      <c r="H138" s="104">
        <v>4122645.2320589572</v>
      </c>
      <c r="I138" s="104">
        <v>1760009.9889125079</v>
      </c>
    </row>
    <row r="139" spans="2:9">
      <c r="B139" s="102">
        <v>131</v>
      </c>
      <c r="C139" s="104">
        <v>16923744.225256488</v>
      </c>
      <c r="D139" s="104">
        <v>15304273.196137473</v>
      </c>
      <c r="E139" s="104">
        <v>12386103.545875356</v>
      </c>
      <c r="F139" s="104">
        <v>7717900.3969721347</v>
      </c>
      <c r="G139" s="104">
        <v>14460076.160880744</v>
      </c>
      <c r="H139" s="104">
        <v>5701517.5975119174</v>
      </c>
      <c r="I139" s="104">
        <v>858007.80154576898</v>
      </c>
    </row>
    <row r="140" spans="2:9">
      <c r="B140" s="102">
        <v>132</v>
      </c>
      <c r="C140" s="104">
        <v>19151894.319051564</v>
      </c>
      <c r="D140" s="104">
        <v>17430944.511080742</v>
      </c>
      <c r="E140" s="104">
        <v>9099306.5787722617</v>
      </c>
      <c r="F140" s="104">
        <v>23860791.891369045</v>
      </c>
      <c r="G140" s="104">
        <v>6587724.1162502617</v>
      </c>
      <c r="H140" s="104">
        <v>3393331.87484698</v>
      </c>
      <c r="I140" s="104">
        <v>10874241.968108341</v>
      </c>
    </row>
    <row r="141" spans="2:9">
      <c r="B141" s="102">
        <v>133</v>
      </c>
      <c r="C141" s="104">
        <v>18816776.489263952</v>
      </c>
      <c r="D141" s="104">
        <v>34029703.383634731</v>
      </c>
      <c r="E141" s="104">
        <v>23365122.217779055</v>
      </c>
      <c r="F141" s="104">
        <v>12949645.299671963</v>
      </c>
      <c r="G141" s="104">
        <v>16565133.324215963</v>
      </c>
      <c r="H141" s="104">
        <v>9468579.2200494707</v>
      </c>
      <c r="I141" s="104">
        <v>8551689.9568504244</v>
      </c>
    </row>
    <row r="142" spans="2:9">
      <c r="B142" s="102">
        <v>134</v>
      </c>
      <c r="C142" s="104">
        <v>25767235.800666958</v>
      </c>
      <c r="D142" s="104">
        <v>8935601.2356289923</v>
      </c>
      <c r="E142" s="104">
        <v>11212838.584064871</v>
      </c>
      <c r="F142" s="104">
        <v>18513189.936295331</v>
      </c>
      <c r="G142" s="104">
        <v>7332931.0228165686</v>
      </c>
      <c r="H142" s="104">
        <v>12705467.420557112</v>
      </c>
      <c r="I142" s="104">
        <v>2750632.79853113</v>
      </c>
    </row>
    <row r="143" spans="2:9">
      <c r="B143" s="102">
        <v>135</v>
      </c>
      <c r="C143" s="104">
        <v>18335480.641559348</v>
      </c>
      <c r="D143" s="104">
        <v>18851172.942394495</v>
      </c>
      <c r="E143" s="104">
        <v>19490967.174264774</v>
      </c>
      <c r="F143" s="104">
        <v>8390819.8200056404</v>
      </c>
      <c r="G143" s="104">
        <v>16686928.496688351</v>
      </c>
      <c r="H143" s="104">
        <v>8043182.0044789165</v>
      </c>
      <c r="I143" s="104">
        <v>12526214.417353898</v>
      </c>
    </row>
    <row r="144" spans="2:9">
      <c r="B144" s="102">
        <v>136</v>
      </c>
      <c r="C144" s="104">
        <v>11168346.551157176</v>
      </c>
      <c r="D144" s="104">
        <v>14366868.769819096</v>
      </c>
      <c r="E144" s="104">
        <v>16794323.677563608</v>
      </c>
      <c r="F144" s="104">
        <v>8923042.5975785255</v>
      </c>
      <c r="G144" s="104">
        <v>11019235.639487997</v>
      </c>
      <c r="H144" s="104">
        <v>480058.97690084577</v>
      </c>
      <c r="I144" s="104">
        <v>-6173525.157928139</v>
      </c>
    </row>
    <row r="145" spans="2:9">
      <c r="B145" s="102">
        <v>137</v>
      </c>
      <c r="C145" s="104">
        <v>23381808.234652087</v>
      </c>
      <c r="D145" s="104">
        <v>15413782.531099409</v>
      </c>
      <c r="E145" s="104">
        <v>8880689.2358163297</v>
      </c>
      <c r="F145" s="104">
        <v>14652387.312909648</v>
      </c>
      <c r="G145" s="104">
        <v>-1896276.6038977057</v>
      </c>
      <c r="H145" s="104">
        <v>16058384.087834194</v>
      </c>
      <c r="I145" s="104">
        <v>1322411.2753672302</v>
      </c>
    </row>
    <row r="146" spans="2:9">
      <c r="B146" s="102">
        <v>138</v>
      </c>
      <c r="C146" s="104">
        <v>26662950.875898287</v>
      </c>
      <c r="D146" s="104">
        <v>16728826.460027903</v>
      </c>
      <c r="E146" s="104">
        <v>12944344.311401352</v>
      </c>
      <c r="F146" s="104">
        <v>11613862.438662276</v>
      </c>
      <c r="G146" s="104">
        <v>13464186.80430533</v>
      </c>
      <c r="H146" s="104">
        <v>9717498.109760344</v>
      </c>
      <c r="I146" s="104">
        <v>6872408.6185770929</v>
      </c>
    </row>
    <row r="147" spans="2:9">
      <c r="B147" s="102">
        <v>139</v>
      </c>
      <c r="C147" s="104">
        <v>14236129.763514742</v>
      </c>
      <c r="D147" s="104">
        <v>20307206.319202274</v>
      </c>
      <c r="E147" s="104">
        <v>12952947.740182281</v>
      </c>
      <c r="F147" s="104">
        <v>14800633.384027511</v>
      </c>
      <c r="G147" s="104">
        <v>3020232.8641593158</v>
      </c>
      <c r="H147" s="104">
        <v>7282008.1062545031</v>
      </c>
      <c r="I147" s="104">
        <v>7117711.9049586058</v>
      </c>
    </row>
    <row r="148" spans="2:9">
      <c r="B148" s="102">
        <v>140</v>
      </c>
      <c r="C148" s="104">
        <v>7232489.8362558037</v>
      </c>
      <c r="D148" s="104">
        <v>19407019.547313228</v>
      </c>
      <c r="E148" s="104">
        <v>11117257.52145949</v>
      </c>
      <c r="F148" s="104">
        <v>22543899.900705904</v>
      </c>
      <c r="G148" s="104">
        <v>16687103.538145542</v>
      </c>
      <c r="H148" s="104">
        <v>8059981.024755165</v>
      </c>
      <c r="I148" s="104">
        <v>14881831.288986996</v>
      </c>
    </row>
    <row r="149" spans="2:9">
      <c r="B149" s="102">
        <v>141</v>
      </c>
      <c r="C149" s="104">
        <v>25616143.21649991</v>
      </c>
      <c r="D149" s="104">
        <v>10787706.417844355</v>
      </c>
      <c r="E149" s="104">
        <v>13402174.426347449</v>
      </c>
      <c r="F149" s="104">
        <v>15305562.193714991</v>
      </c>
      <c r="G149" s="104">
        <v>6624909.7303649932</v>
      </c>
      <c r="H149" s="104">
        <v>7476092.7589732707</v>
      </c>
      <c r="I149" s="104">
        <v>328847.24959594011</v>
      </c>
    </row>
    <row r="150" spans="2:9">
      <c r="B150" s="102">
        <v>142</v>
      </c>
      <c r="C150" s="104">
        <v>14331777.174370468</v>
      </c>
      <c r="D150" s="104">
        <v>16678421.207090572</v>
      </c>
      <c r="E150" s="104">
        <v>12036891.019379631</v>
      </c>
      <c r="F150" s="104">
        <v>7102658.2317004353</v>
      </c>
      <c r="G150" s="104">
        <v>3825260.0381315053</v>
      </c>
      <c r="H150" s="104">
        <v>9959548.6890725195</v>
      </c>
      <c r="I150" s="104">
        <v>17152333.076998085</v>
      </c>
    </row>
    <row r="151" spans="2:9">
      <c r="B151" s="102">
        <v>143</v>
      </c>
      <c r="C151" s="104">
        <v>12378585.211808845</v>
      </c>
      <c r="D151" s="104">
        <v>13249875.524124786</v>
      </c>
      <c r="E151" s="104">
        <v>-723636.76035781205</v>
      </c>
      <c r="F151" s="104">
        <v>13679253.382998705</v>
      </c>
      <c r="G151" s="104">
        <v>20309428.532346472</v>
      </c>
      <c r="H151" s="104">
        <v>4789265.8745517582</v>
      </c>
      <c r="I151" s="104">
        <v>-1247336.9840004742</v>
      </c>
    </row>
    <row r="152" spans="2:9">
      <c r="B152" s="102">
        <v>144</v>
      </c>
      <c r="C152" s="104">
        <v>27366572.254177496</v>
      </c>
      <c r="D152" s="104">
        <v>13723430.740608186</v>
      </c>
      <c r="E152" s="104">
        <v>16087379.080947623</v>
      </c>
      <c r="F152" s="104">
        <v>16529625.498508617</v>
      </c>
      <c r="G152" s="104">
        <v>4813020.7504509836</v>
      </c>
      <c r="H152" s="104">
        <v>3029912.7453266382</v>
      </c>
      <c r="I152" s="104">
        <v>10428091.744722545</v>
      </c>
    </row>
    <row r="153" spans="2:9">
      <c r="B153" s="102">
        <v>145</v>
      </c>
      <c r="C153" s="104">
        <v>6259465.375330776</v>
      </c>
      <c r="D153" s="104">
        <v>17470533.531552121</v>
      </c>
      <c r="E153" s="104">
        <v>16239767.316066846</v>
      </c>
      <c r="F153" s="104">
        <v>14854698.082572967</v>
      </c>
      <c r="G153" s="104">
        <v>8552526.8894341588</v>
      </c>
      <c r="H153" s="104">
        <v>14534447.5655009</v>
      </c>
      <c r="I153" s="104">
        <v>21478269.545215353</v>
      </c>
    </row>
    <row r="154" spans="2:9">
      <c r="B154" s="102">
        <v>146</v>
      </c>
      <c r="C154" s="104">
        <v>18934772.590800524</v>
      </c>
      <c r="D154" s="104">
        <v>14206410.559450224</v>
      </c>
      <c r="E154" s="104">
        <v>20164085.82518822</v>
      </c>
      <c r="F154" s="104">
        <v>22521720.556464955</v>
      </c>
      <c r="G154" s="104">
        <v>-1234755.895598501</v>
      </c>
      <c r="H154" s="104">
        <v>4761856.9626667053</v>
      </c>
      <c r="I154" s="104">
        <v>16745618.42474027</v>
      </c>
    </row>
    <row r="155" spans="2:9">
      <c r="B155" s="102">
        <v>147</v>
      </c>
      <c r="C155" s="104">
        <v>17831894.993010402</v>
      </c>
      <c r="D155" s="104">
        <v>10774779.703148857</v>
      </c>
      <c r="E155" s="104">
        <v>15666623.302794561</v>
      </c>
      <c r="F155" s="104">
        <v>6975950.8315532953</v>
      </c>
      <c r="G155" s="104">
        <v>14358993.840698972</v>
      </c>
      <c r="H155" s="104">
        <v>5231048.5019606203</v>
      </c>
      <c r="I155" s="104">
        <v>16029282.754315153</v>
      </c>
    </row>
    <row r="156" spans="2:9">
      <c r="B156" s="102">
        <v>148</v>
      </c>
      <c r="C156" s="104">
        <v>29237986.54289864</v>
      </c>
      <c r="D156" s="104">
        <v>18751056.148685575</v>
      </c>
      <c r="E156" s="104">
        <v>13450428.670008168</v>
      </c>
      <c r="F156" s="104">
        <v>8264891.4515221417</v>
      </c>
      <c r="G156" s="104">
        <v>9940536.5861376524</v>
      </c>
      <c r="H156" s="104">
        <v>1525850.0935910046</v>
      </c>
      <c r="I156" s="104">
        <v>11594325.892661661</v>
      </c>
    </row>
    <row r="157" spans="2:9">
      <c r="B157" s="102">
        <v>149</v>
      </c>
      <c r="C157" s="104">
        <v>26438662.676388785</v>
      </c>
      <c r="D157" s="104">
        <v>24377720.552759975</v>
      </c>
      <c r="E157" s="104">
        <v>13911627.044883043</v>
      </c>
      <c r="F157" s="104">
        <v>764373.13524933159</v>
      </c>
      <c r="G157" s="104">
        <v>22656602.97694315</v>
      </c>
      <c r="H157" s="104">
        <v>14316637.004634514</v>
      </c>
      <c r="I157" s="104">
        <v>9361626.6588480473</v>
      </c>
    </row>
    <row r="158" spans="2:9">
      <c r="B158" s="102">
        <v>150</v>
      </c>
      <c r="C158" s="104">
        <v>27564082.339477122</v>
      </c>
      <c r="D158" s="104">
        <v>18230718.639264122</v>
      </c>
      <c r="E158" s="104">
        <v>14673414.090532035</v>
      </c>
      <c r="F158" s="104">
        <v>-1135634.0064905882</v>
      </c>
      <c r="G158" s="104">
        <v>7573040.0593611747</v>
      </c>
      <c r="H158" s="104">
        <v>-835213.92800393701</v>
      </c>
      <c r="I158" s="104">
        <v>2491078.8553948998</v>
      </c>
    </row>
    <row r="159" spans="2:9">
      <c r="B159" s="102">
        <v>151</v>
      </c>
      <c r="C159" s="104">
        <v>20915839.267448038</v>
      </c>
      <c r="D159" s="104">
        <v>8809513.2091834992</v>
      </c>
      <c r="E159" s="104">
        <v>10346371.744158953</v>
      </c>
      <c r="F159" s="104">
        <v>10206379.579235807</v>
      </c>
      <c r="G159" s="104">
        <v>7211836.3161816001</v>
      </c>
      <c r="H159" s="104">
        <v>12502730.649868146</v>
      </c>
      <c r="I159" s="104">
        <v>5124233.2489822507</v>
      </c>
    </row>
    <row r="160" spans="2:9">
      <c r="B160" s="102">
        <v>152</v>
      </c>
      <c r="C160" s="104">
        <v>21779280.678841874</v>
      </c>
      <c r="D160" s="104">
        <v>12408311.800774544</v>
      </c>
      <c r="E160" s="104">
        <v>16001097.275799096</v>
      </c>
      <c r="F160" s="104">
        <v>16373801.480475962</v>
      </c>
      <c r="G160" s="104">
        <v>12788681.396706074</v>
      </c>
      <c r="H160" s="104">
        <v>19752966.838257104</v>
      </c>
      <c r="I160" s="104">
        <v>6503734.9284978062</v>
      </c>
    </row>
    <row r="161" spans="2:9">
      <c r="B161" s="102">
        <v>153</v>
      </c>
      <c r="C161" s="104">
        <v>18762181.864716068</v>
      </c>
      <c r="D161" s="104">
        <v>23711379.39874053</v>
      </c>
      <c r="E161" s="104">
        <v>9854952.6509629935</v>
      </c>
      <c r="F161" s="104">
        <v>10303349.038867831</v>
      </c>
      <c r="G161" s="104">
        <v>-7825439.2102853209</v>
      </c>
      <c r="H161" s="104">
        <v>-2724488.4824804813</v>
      </c>
      <c r="I161" s="104">
        <v>1768296.1740475893</v>
      </c>
    </row>
    <row r="162" spans="2:9">
      <c r="B162" s="102">
        <v>154</v>
      </c>
      <c r="C162" s="104">
        <v>24335255.381948277</v>
      </c>
      <c r="D162" s="104">
        <v>20168261.804451615</v>
      </c>
      <c r="E162" s="104">
        <v>12857488.342466846</v>
      </c>
      <c r="F162" s="104">
        <v>6008474.2830944806</v>
      </c>
      <c r="G162" s="104">
        <v>18217858.431179434</v>
      </c>
      <c r="H162" s="104">
        <v>4315095.8590520471</v>
      </c>
      <c r="I162" s="104">
        <v>-2875631.7743255794</v>
      </c>
    </row>
    <row r="163" spans="2:9">
      <c r="B163" s="102">
        <v>155</v>
      </c>
      <c r="C163" s="104">
        <v>18570679.667665616</v>
      </c>
      <c r="D163" s="104">
        <v>8686734.3428630084</v>
      </c>
      <c r="E163" s="104">
        <v>11951332.97057347</v>
      </c>
      <c r="F163" s="104">
        <v>19422171.39352484</v>
      </c>
      <c r="G163" s="104">
        <v>-842805.12295684218</v>
      </c>
      <c r="H163" s="104">
        <v>6072167.9458760321</v>
      </c>
      <c r="I163" s="104">
        <v>5384119.8643070608</v>
      </c>
    </row>
    <row r="164" spans="2:9">
      <c r="B164" s="102">
        <v>156</v>
      </c>
      <c r="C164" s="104">
        <v>18498292.582993686</v>
      </c>
      <c r="D164" s="104">
        <v>8509899.0169549733</v>
      </c>
      <c r="E164" s="104">
        <v>8988373.4714481235</v>
      </c>
      <c r="F164" s="104">
        <v>7106462.5224262327</v>
      </c>
      <c r="G164" s="104">
        <v>7180727.8396205008</v>
      </c>
      <c r="H164" s="104">
        <v>12108495.701479629</v>
      </c>
      <c r="I164" s="104">
        <v>9857080.5420648158</v>
      </c>
    </row>
    <row r="165" spans="2:9">
      <c r="B165" s="102">
        <v>157</v>
      </c>
      <c r="C165" s="104">
        <v>20771301.105166033</v>
      </c>
      <c r="D165" s="104">
        <v>12089039.928495675</v>
      </c>
      <c r="E165" s="104">
        <v>16052470.08331725</v>
      </c>
      <c r="F165" s="104">
        <v>13236652.305416375</v>
      </c>
      <c r="G165" s="104">
        <v>5113577.2067077756</v>
      </c>
      <c r="H165" s="104">
        <v>11508375.991720602</v>
      </c>
      <c r="I165" s="104">
        <v>9957399.6988631189</v>
      </c>
    </row>
    <row r="166" spans="2:9">
      <c r="B166" s="102">
        <v>158</v>
      </c>
      <c r="C166" s="104">
        <v>12233092.761283353</v>
      </c>
      <c r="D166" s="104">
        <v>15056594.408457637</v>
      </c>
      <c r="E166" s="104">
        <v>11628041.522468969</v>
      </c>
      <c r="F166" s="104">
        <v>12446864.789239541</v>
      </c>
      <c r="G166" s="104">
        <v>11591179.344180524</v>
      </c>
      <c r="H166" s="104">
        <v>19111419.780173317</v>
      </c>
      <c r="I166" s="104">
        <v>9381969.3200374246</v>
      </c>
    </row>
    <row r="167" spans="2:9">
      <c r="B167" s="102">
        <v>159</v>
      </c>
      <c r="C167" s="104">
        <v>17850829.374160573</v>
      </c>
      <c r="D167" s="104">
        <v>12667114.172546014</v>
      </c>
      <c r="E167" s="104">
        <v>5981805.519777894</v>
      </c>
      <c r="F167" s="104">
        <v>5023780.9780687243</v>
      </c>
      <c r="G167" s="104">
        <v>11625609.288495794</v>
      </c>
      <c r="H167" s="104">
        <v>8415191.6413101405</v>
      </c>
      <c r="I167" s="104">
        <v>3114579.1383844763</v>
      </c>
    </row>
    <row r="168" spans="2:9">
      <c r="B168" s="102">
        <v>160</v>
      </c>
      <c r="C168" s="104">
        <v>20893987.577933043</v>
      </c>
      <c r="D168" s="104">
        <v>13620290.373675227</v>
      </c>
      <c r="E168" s="104">
        <v>8970977.510095641</v>
      </c>
      <c r="F168" s="104">
        <v>13501620.595773682</v>
      </c>
      <c r="G168" s="104">
        <v>10858085.923623666</v>
      </c>
      <c r="H168" s="104">
        <v>6028277.8272319138</v>
      </c>
      <c r="I168" s="104">
        <v>-410706.70662097633</v>
      </c>
    </row>
    <row r="169" spans="2:9">
      <c r="B169" s="102">
        <v>161</v>
      </c>
      <c r="C169" s="104">
        <v>19110040.381462365</v>
      </c>
      <c r="D169" s="104">
        <v>17590215.645485997</v>
      </c>
      <c r="E169" s="104">
        <v>5801063.0437984169</v>
      </c>
      <c r="F169" s="104">
        <v>15588160.120025933</v>
      </c>
      <c r="G169" s="104">
        <v>5208184.6229235381</v>
      </c>
      <c r="H169" s="104">
        <v>8728521.7133785933</v>
      </c>
      <c r="I169" s="104">
        <v>14925696.095542237</v>
      </c>
    </row>
    <row r="170" spans="2:9">
      <c r="B170" s="102">
        <v>162</v>
      </c>
      <c r="C170" s="104">
        <v>22510155.08600086</v>
      </c>
      <c r="D170" s="104">
        <v>16385465.841147363</v>
      </c>
      <c r="E170" s="104">
        <v>14282859.616763964</v>
      </c>
      <c r="F170" s="104">
        <v>8205517.0765973479</v>
      </c>
      <c r="G170" s="104">
        <v>16372154.282757208</v>
      </c>
      <c r="H170" s="104">
        <v>17447217.674044505</v>
      </c>
      <c r="I170" s="104">
        <v>6133975.891082868</v>
      </c>
    </row>
    <row r="171" spans="2:9">
      <c r="B171" s="102">
        <v>163</v>
      </c>
      <c r="C171" s="104">
        <v>19264917.910396293</v>
      </c>
      <c r="D171" s="104">
        <v>19018214.87184228</v>
      </c>
      <c r="E171" s="104">
        <v>4696407.755137518</v>
      </c>
      <c r="F171" s="104">
        <v>20228270.259838402</v>
      </c>
      <c r="G171" s="104">
        <v>5121100.6020163</v>
      </c>
      <c r="H171" s="104">
        <v>4491530.4916714877</v>
      </c>
      <c r="I171" s="104">
        <v>5175673.9617506266</v>
      </c>
    </row>
    <row r="172" spans="2:9">
      <c r="B172" s="102">
        <v>164</v>
      </c>
      <c r="C172" s="104">
        <v>14256278.439952359</v>
      </c>
      <c r="D172" s="104">
        <v>24445388.573477075</v>
      </c>
      <c r="E172" s="104">
        <v>14514967.501633704</v>
      </c>
      <c r="F172" s="104">
        <v>11659623.225210324</v>
      </c>
      <c r="G172" s="104">
        <v>8933376.9718082547</v>
      </c>
      <c r="H172" s="104">
        <v>167178.83445164561</v>
      </c>
      <c r="I172" s="104">
        <v>9490181.566463396</v>
      </c>
    </row>
    <row r="173" spans="2:9">
      <c r="B173" s="102">
        <v>165</v>
      </c>
      <c r="C173" s="104">
        <v>15975242.404850796</v>
      </c>
      <c r="D173" s="104">
        <v>20614438.01121524</v>
      </c>
      <c r="E173" s="104">
        <v>21128155.924968258</v>
      </c>
      <c r="F173" s="104">
        <v>23623065.564788505</v>
      </c>
      <c r="G173" s="104">
        <v>4597786.100318566</v>
      </c>
      <c r="H173" s="104">
        <v>-3002873.0010724515</v>
      </c>
      <c r="I173" s="104">
        <v>5573231.7552456707</v>
      </c>
    </row>
    <row r="174" spans="2:9">
      <c r="B174" s="102">
        <v>166</v>
      </c>
      <c r="C174" s="104">
        <v>23669965.726100549</v>
      </c>
      <c r="D174" s="104">
        <v>14710148.521850169</v>
      </c>
      <c r="E174" s="104">
        <v>-3202047.8680016696</v>
      </c>
      <c r="F174" s="104">
        <v>5002535.756024912</v>
      </c>
      <c r="G174" s="104">
        <v>10842758.417758346</v>
      </c>
      <c r="H174" s="104">
        <v>2740562.9442912638</v>
      </c>
      <c r="I174" s="104">
        <v>-655089.82489326596</v>
      </c>
    </row>
    <row r="175" spans="2:9">
      <c r="B175" s="102">
        <v>167</v>
      </c>
      <c r="C175" s="104">
        <v>27378129.001964197</v>
      </c>
      <c r="D175" s="104">
        <v>3747576.4232759178</v>
      </c>
      <c r="E175" s="104">
        <v>9666708.8019756526</v>
      </c>
      <c r="F175" s="104">
        <v>13405303.871746838</v>
      </c>
      <c r="G175" s="104">
        <v>4540345.9355506897</v>
      </c>
      <c r="H175" s="104">
        <v>11506393.743096143</v>
      </c>
      <c r="I175" s="104">
        <v>-404491.87510751188</v>
      </c>
    </row>
    <row r="176" spans="2:9">
      <c r="B176" s="102">
        <v>168</v>
      </c>
      <c r="C176" s="104">
        <v>20453888.16726844</v>
      </c>
      <c r="D176" s="104">
        <v>18949050.196393669</v>
      </c>
      <c r="E176" s="104">
        <v>15016508.363013074</v>
      </c>
      <c r="F176" s="104">
        <v>8503358.0526548326</v>
      </c>
      <c r="G176" s="104">
        <v>8421974.0352969468</v>
      </c>
      <c r="H176" s="104">
        <v>11956086.039612785</v>
      </c>
      <c r="I176" s="104">
        <v>6339473.1031468511</v>
      </c>
    </row>
    <row r="177" spans="2:9">
      <c r="B177" s="102">
        <v>169</v>
      </c>
      <c r="C177" s="104">
        <v>17830716.874956489</v>
      </c>
      <c r="D177" s="104">
        <v>2724544.9319828302</v>
      </c>
      <c r="E177" s="104">
        <v>7365318.7257623225</v>
      </c>
      <c r="F177" s="104">
        <v>16804025.334206015</v>
      </c>
      <c r="G177" s="104">
        <v>6808834.6675475091</v>
      </c>
      <c r="H177" s="104">
        <v>9967662.7535819858</v>
      </c>
      <c r="I177" s="104">
        <v>12618700.917003542</v>
      </c>
    </row>
    <row r="178" spans="2:9">
      <c r="B178" s="102">
        <v>170</v>
      </c>
      <c r="C178" s="104">
        <v>13479036.807575464</v>
      </c>
      <c r="D178" s="104">
        <v>18842407.780620754</v>
      </c>
      <c r="E178" s="104">
        <v>10824157.162643388</v>
      </c>
      <c r="F178" s="104">
        <v>8018951.0910136998</v>
      </c>
      <c r="G178" s="104">
        <v>17361219.433026046</v>
      </c>
      <c r="H178" s="104">
        <v>-10830505.289036915</v>
      </c>
      <c r="I178" s="104">
        <v>14767368.602502525</v>
      </c>
    </row>
    <row r="179" spans="2:9">
      <c r="B179" s="102">
        <v>171</v>
      </c>
      <c r="C179" s="104">
        <v>11362282.976629898</v>
      </c>
      <c r="D179" s="104">
        <v>18788209.14667739</v>
      </c>
      <c r="E179" s="104">
        <v>8755524.1476182491</v>
      </c>
      <c r="F179" s="104">
        <v>6266255.9178076833</v>
      </c>
      <c r="G179" s="104">
        <v>-3104685.3510897756</v>
      </c>
      <c r="H179" s="104">
        <v>2327136.7707113326</v>
      </c>
      <c r="I179" s="104">
        <v>4145763.6762198359</v>
      </c>
    </row>
    <row r="180" spans="2:9">
      <c r="B180" s="102">
        <v>172</v>
      </c>
      <c r="C180" s="104">
        <v>21262618.084448218</v>
      </c>
      <c r="D180" s="104">
        <v>17029591.135992914</v>
      </c>
      <c r="E180" s="104">
        <v>6493467.0916938484</v>
      </c>
      <c r="F180" s="104">
        <v>14374027.49625659</v>
      </c>
      <c r="G180" s="104">
        <v>11711198.069632769</v>
      </c>
      <c r="H180" s="104">
        <v>968587.09668926895</v>
      </c>
      <c r="I180" s="104">
        <v>-6989643.6858466715</v>
      </c>
    </row>
    <row r="181" spans="2:9">
      <c r="B181" s="102">
        <v>173</v>
      </c>
      <c r="C181" s="104">
        <v>15514860.64746654</v>
      </c>
      <c r="D181" s="104">
        <v>19508239.992164493</v>
      </c>
      <c r="E181" s="104">
        <v>10920067.866747394</v>
      </c>
      <c r="F181" s="104">
        <v>14834678.385581031</v>
      </c>
      <c r="G181" s="104">
        <v>2480477.4048339576</v>
      </c>
      <c r="H181" s="104">
        <v>4784974.7006719112</v>
      </c>
      <c r="I181" s="104">
        <v>11167288.262409896</v>
      </c>
    </row>
    <row r="182" spans="2:9">
      <c r="B182" s="102">
        <v>174</v>
      </c>
      <c r="C182" s="104">
        <v>19011938.77709657</v>
      </c>
      <c r="D182" s="104">
        <v>18742613.315329835</v>
      </c>
      <c r="E182" s="104">
        <v>22995742.285620838</v>
      </c>
      <c r="F182" s="104">
        <v>20095925.815716326</v>
      </c>
      <c r="G182" s="104">
        <v>11690418.050706491</v>
      </c>
      <c r="H182" s="104">
        <v>14033569.200521559</v>
      </c>
      <c r="I182" s="104">
        <v>3736701.2731542289</v>
      </c>
    </row>
    <row r="183" spans="2:9">
      <c r="B183" s="102">
        <v>175</v>
      </c>
      <c r="C183" s="104">
        <v>19068413.820361838</v>
      </c>
      <c r="D183" s="104">
        <v>17513952.356972262</v>
      </c>
      <c r="E183" s="104">
        <v>15704501.53734462</v>
      </c>
      <c r="F183" s="104">
        <v>6892991.6514302343</v>
      </c>
      <c r="G183" s="104">
        <v>8590652.5269212574</v>
      </c>
      <c r="H183" s="104">
        <v>4402863.6031250954</v>
      </c>
      <c r="I183" s="104">
        <v>21082929.691799134</v>
      </c>
    </row>
    <row r="184" spans="2:9">
      <c r="B184" s="102">
        <v>176</v>
      </c>
      <c r="C184" s="104">
        <v>13519570.317884609</v>
      </c>
      <c r="D184" s="104">
        <v>29513564.361353606</v>
      </c>
      <c r="E184" s="104">
        <v>11006323.541890651</v>
      </c>
      <c r="F184" s="104">
        <v>15563882.927220255</v>
      </c>
      <c r="G184" s="104">
        <v>5912933.1099491268</v>
      </c>
      <c r="H184" s="104">
        <v>12191613.756624684</v>
      </c>
      <c r="I184" s="104">
        <v>15070727.926724255</v>
      </c>
    </row>
    <row r="185" spans="2:9">
      <c r="B185" s="102">
        <v>177</v>
      </c>
      <c r="C185" s="104">
        <v>16294388.079043224</v>
      </c>
      <c r="D185" s="104">
        <v>17063434.938247293</v>
      </c>
      <c r="E185" s="104">
        <v>15842664.561295763</v>
      </c>
      <c r="F185" s="104">
        <v>12511253.528452158</v>
      </c>
      <c r="G185" s="104">
        <v>12189341.721662432</v>
      </c>
      <c r="H185" s="104">
        <v>5799727.15367423</v>
      </c>
      <c r="I185" s="104">
        <v>3558453.152101323</v>
      </c>
    </row>
    <row r="186" spans="2:9">
      <c r="B186" s="102">
        <v>178</v>
      </c>
      <c r="C186" s="104">
        <v>28174498.993779242</v>
      </c>
      <c r="D186" s="104">
        <v>13416054.49238722</v>
      </c>
      <c r="E186" s="104">
        <v>12620298.757215589</v>
      </c>
      <c r="F186" s="104">
        <v>13386145.92361182</v>
      </c>
      <c r="G186" s="104">
        <v>5897477.1453570426</v>
      </c>
      <c r="H186" s="104">
        <v>11146573.583312154</v>
      </c>
      <c r="I186" s="104">
        <v>302786.24217814207</v>
      </c>
    </row>
    <row r="187" spans="2:9">
      <c r="B187" s="102">
        <v>179</v>
      </c>
      <c r="C187" s="104">
        <v>26446022.418845206</v>
      </c>
      <c r="D187" s="104">
        <v>10360903.780710548</v>
      </c>
      <c r="E187" s="104">
        <v>17153675.572900102</v>
      </c>
      <c r="F187" s="104">
        <v>9100895.1982778162</v>
      </c>
      <c r="G187" s="104">
        <v>-1564634.0145379901</v>
      </c>
      <c r="H187" s="104">
        <v>-1806658.6433111131</v>
      </c>
      <c r="I187" s="104">
        <v>3571534.384391278</v>
      </c>
    </row>
    <row r="188" spans="2:9">
      <c r="B188" s="102">
        <v>180</v>
      </c>
      <c r="C188" s="104">
        <v>17357986.74588263</v>
      </c>
      <c r="D188" s="104">
        <v>24868912.554976419</v>
      </c>
      <c r="E188" s="104">
        <v>15910624.230937809</v>
      </c>
      <c r="F188" s="104">
        <v>15709070.674085796</v>
      </c>
      <c r="G188" s="104">
        <v>14567560.485587642</v>
      </c>
      <c r="H188" s="104">
        <v>5885832.0978661329</v>
      </c>
      <c r="I188" s="104">
        <v>4362158.6621547341</v>
      </c>
    </row>
    <row r="189" spans="2:9">
      <c r="B189" s="102">
        <v>181</v>
      </c>
      <c r="C189" s="104">
        <v>26923705.458330378</v>
      </c>
      <c r="D189" s="104">
        <v>16948176.925968081</v>
      </c>
      <c r="E189" s="104">
        <v>20177650.643648967</v>
      </c>
      <c r="F189" s="104">
        <v>12166155.998799592</v>
      </c>
      <c r="G189" s="104">
        <v>8357994.9205666631</v>
      </c>
      <c r="H189" s="104">
        <v>-3360856.7381351888</v>
      </c>
      <c r="I189" s="104">
        <v>225477.87753933668</v>
      </c>
    </row>
    <row r="190" spans="2:9">
      <c r="B190" s="102">
        <v>182</v>
      </c>
      <c r="C190" s="104">
        <v>17306219.016729206</v>
      </c>
      <c r="D190" s="104">
        <v>9231972.5628087074</v>
      </c>
      <c r="E190" s="104">
        <v>25979879.713378742</v>
      </c>
      <c r="F190" s="104">
        <v>5373416.3731990755</v>
      </c>
      <c r="G190" s="104">
        <v>10255559.518668503</v>
      </c>
      <c r="H190" s="104">
        <v>103211.39388869703</v>
      </c>
      <c r="I190" s="104">
        <v>-9032865.0663933605</v>
      </c>
    </row>
    <row r="191" spans="2:9">
      <c r="B191" s="102">
        <v>183</v>
      </c>
      <c r="C191" s="104">
        <v>14626024.594768092</v>
      </c>
      <c r="D191" s="104">
        <v>14227758.98947145</v>
      </c>
      <c r="E191" s="104">
        <v>12568304.414294735</v>
      </c>
      <c r="F191" s="104">
        <v>13589835.385354981</v>
      </c>
      <c r="G191" s="104">
        <v>-1886806.3222928792</v>
      </c>
      <c r="H191" s="104">
        <v>692020.73629669845</v>
      </c>
      <c r="I191" s="104">
        <v>10909914.717561528</v>
      </c>
    </row>
    <row r="192" spans="2:9">
      <c r="B192" s="102">
        <v>184</v>
      </c>
      <c r="C192" s="104">
        <v>13985921.487176508</v>
      </c>
      <c r="D192" s="104">
        <v>12349310.736762464</v>
      </c>
      <c r="E192" s="104">
        <v>10732669.892422438</v>
      </c>
      <c r="F192" s="104">
        <v>19929434.914082602</v>
      </c>
      <c r="G192" s="104">
        <v>4164205.6151338518</v>
      </c>
      <c r="H192" s="104">
        <v>2559773.3322707713</v>
      </c>
      <c r="I192" s="104">
        <v>5700215.377138719</v>
      </c>
    </row>
    <row r="193" spans="2:9">
      <c r="B193" s="102">
        <v>185</v>
      </c>
      <c r="C193" s="104">
        <v>18119382.995885119</v>
      </c>
      <c r="D193" s="104">
        <v>14208346.018279374</v>
      </c>
      <c r="E193" s="104">
        <v>10823525.612516776</v>
      </c>
      <c r="F193" s="104">
        <v>14548744.257551283</v>
      </c>
      <c r="G193" s="104">
        <v>24269873.079220057</v>
      </c>
      <c r="H193" s="104">
        <v>6440202.6615472287</v>
      </c>
      <c r="I193" s="104">
        <v>15185530.293930933</v>
      </c>
    </row>
    <row r="194" spans="2:9">
      <c r="B194" s="102">
        <v>186</v>
      </c>
      <c r="C194" s="104">
        <v>12843107.902648941</v>
      </c>
      <c r="D194" s="104">
        <v>15656370.058994502</v>
      </c>
      <c r="E194" s="104">
        <v>7116584.853556633</v>
      </c>
      <c r="F194" s="104">
        <v>7256705.423889935</v>
      </c>
      <c r="G194" s="104">
        <v>5892970.2819531709</v>
      </c>
      <c r="H194" s="104">
        <v>11217556.006677508</v>
      </c>
      <c r="I194" s="104">
        <v>10633692.744905487</v>
      </c>
    </row>
    <row r="195" spans="2:9">
      <c r="B195" s="102">
        <v>187</v>
      </c>
      <c r="C195" s="104">
        <v>17446978.63842541</v>
      </c>
      <c r="D195" s="104">
        <v>13034714.624019191</v>
      </c>
      <c r="E195" s="104">
        <v>6868060.8329877704</v>
      </c>
      <c r="F195" s="104">
        <v>11823761.738069147</v>
      </c>
      <c r="G195" s="104">
        <v>4316649.3739034683</v>
      </c>
      <c r="H195" s="104">
        <v>10602207.827870056</v>
      </c>
      <c r="I195" s="104">
        <v>8385509.5859196335</v>
      </c>
    </row>
    <row r="196" spans="2:9">
      <c r="B196" s="102">
        <v>188</v>
      </c>
      <c r="C196" s="104">
        <v>6059914.0591140389</v>
      </c>
      <c r="D196" s="104">
        <v>9183652.9730455279</v>
      </c>
      <c r="E196" s="104">
        <v>16545231.509895116</v>
      </c>
      <c r="F196" s="104">
        <v>-2590617.2109954804</v>
      </c>
      <c r="G196" s="104">
        <v>8857313.3387179375</v>
      </c>
      <c r="H196" s="104">
        <v>4655099.8684732914</v>
      </c>
      <c r="I196" s="104">
        <v>4580106.1502113044</v>
      </c>
    </row>
    <row r="197" spans="2:9">
      <c r="B197" s="102">
        <v>189</v>
      </c>
      <c r="C197" s="104">
        <v>18816845.709575683</v>
      </c>
      <c r="D197" s="104">
        <v>14777130.057959259</v>
      </c>
      <c r="E197" s="104">
        <v>5967075.1725325137</v>
      </c>
      <c r="F197" s="104">
        <v>2065252.5778419524</v>
      </c>
      <c r="G197" s="104">
        <v>15707502.209540963</v>
      </c>
      <c r="H197" s="104">
        <v>958138.75317440927</v>
      </c>
      <c r="I197" s="104">
        <v>-791857.94771914184</v>
      </c>
    </row>
    <row r="198" spans="2:9">
      <c r="B198" s="102">
        <v>190</v>
      </c>
      <c r="C198" s="104">
        <v>7099286.6432120204</v>
      </c>
      <c r="D198" s="104">
        <v>16148225.974843889</v>
      </c>
      <c r="E198" s="104">
        <v>21724086.617788032</v>
      </c>
      <c r="F198" s="104">
        <v>10352298.128998592</v>
      </c>
      <c r="G198" s="104">
        <v>7288418.8327758759</v>
      </c>
      <c r="H198" s="104">
        <v>5159553.9431376755</v>
      </c>
      <c r="I198" s="104">
        <v>4201173.2601020783</v>
      </c>
    </row>
    <row r="199" spans="2:9">
      <c r="B199" s="102">
        <v>191</v>
      </c>
      <c r="C199" s="104">
        <v>17035785.825007305</v>
      </c>
      <c r="D199" s="104">
        <v>5128876.1811174899</v>
      </c>
      <c r="E199" s="104">
        <v>14235642.601833403</v>
      </c>
      <c r="F199" s="104">
        <v>-653226.82558317482</v>
      </c>
      <c r="G199" s="104">
        <v>14494265.4345081</v>
      </c>
      <c r="H199" s="104">
        <v>3055934.1426149011</v>
      </c>
      <c r="I199" s="104">
        <v>7425701.1058026999</v>
      </c>
    </row>
    <row r="200" spans="2:9">
      <c r="B200" s="102">
        <v>192</v>
      </c>
      <c r="C200" s="104">
        <v>10204980.726628676</v>
      </c>
      <c r="D200" s="104">
        <v>3494548.2145485878</v>
      </c>
      <c r="E200" s="104">
        <v>5930298.9701604992</v>
      </c>
      <c r="F200" s="104">
        <v>23927214.673044831</v>
      </c>
      <c r="G200" s="104">
        <v>6476905.5422891974</v>
      </c>
      <c r="H200" s="104">
        <v>9232718.710980013</v>
      </c>
      <c r="I200" s="104">
        <v>-2330159.1760113537</v>
      </c>
    </row>
    <row r="201" spans="2:9">
      <c r="B201" s="102">
        <v>193</v>
      </c>
      <c r="C201" s="104">
        <v>26660206.616178811</v>
      </c>
      <c r="D201" s="104">
        <v>15376845.348134279</v>
      </c>
      <c r="E201" s="104">
        <v>18031789.875572786</v>
      </c>
      <c r="F201" s="104">
        <v>13791650.920169219</v>
      </c>
      <c r="G201" s="104">
        <v>8131774.2130948454</v>
      </c>
      <c r="H201" s="104">
        <v>-224659.21654562652</v>
      </c>
      <c r="I201" s="104">
        <v>-1441804.76713036</v>
      </c>
    </row>
    <row r="202" spans="2:9">
      <c r="B202" s="102">
        <v>194</v>
      </c>
      <c r="C202" s="104">
        <v>6840016.6956674159</v>
      </c>
      <c r="D202" s="104">
        <v>25679893.972491279</v>
      </c>
      <c r="E202" s="104">
        <v>11646981.608308032</v>
      </c>
      <c r="F202" s="104">
        <v>19209196.240001798</v>
      </c>
      <c r="G202" s="104">
        <v>12096996.567103013</v>
      </c>
      <c r="H202" s="104">
        <v>14049585.961292461</v>
      </c>
      <c r="I202" s="104">
        <v>11262083.8703513</v>
      </c>
    </row>
    <row r="203" spans="2:9">
      <c r="B203" s="102">
        <v>195</v>
      </c>
      <c r="C203" s="104">
        <v>17932902.353915021</v>
      </c>
      <c r="D203" s="104">
        <v>16784577.414689794</v>
      </c>
      <c r="E203" s="104">
        <v>20089946.966432422</v>
      </c>
      <c r="F203" s="104">
        <v>6379341.9992714673</v>
      </c>
      <c r="G203" s="104">
        <v>7763322.8398932517</v>
      </c>
      <c r="H203" s="104">
        <v>16516397.410826907</v>
      </c>
      <c r="I203" s="104">
        <v>6313738.97680825</v>
      </c>
    </row>
    <row r="204" spans="2:9">
      <c r="B204" s="102">
        <v>196</v>
      </c>
      <c r="C204" s="104">
        <v>19630141.234243855</v>
      </c>
      <c r="D204" s="104">
        <v>19218592.475568697</v>
      </c>
      <c r="E204" s="104">
        <v>9825672.0305937082</v>
      </c>
      <c r="F204" s="104">
        <v>18828225.410249949</v>
      </c>
      <c r="G204" s="104">
        <v>7448819.179315716</v>
      </c>
      <c r="H204" s="104">
        <v>-1990747.7142001688</v>
      </c>
      <c r="I204" s="104">
        <v>2085093.0065609515</v>
      </c>
    </row>
    <row r="205" spans="2:9">
      <c r="B205" s="102">
        <v>197</v>
      </c>
      <c r="C205" s="104">
        <v>23408501.533371642</v>
      </c>
      <c r="D205" s="104">
        <v>13126300.25823991</v>
      </c>
      <c r="E205" s="104">
        <v>10404554.779064178</v>
      </c>
      <c r="F205" s="104">
        <v>3871413.0288972557</v>
      </c>
      <c r="G205" s="104">
        <v>-2518003.6404584497</v>
      </c>
      <c r="H205" s="104">
        <v>5507853.6284499913</v>
      </c>
      <c r="I205" s="104">
        <v>15982428.807056278</v>
      </c>
    </row>
    <row r="206" spans="2:9">
      <c r="B206" s="102">
        <v>198</v>
      </c>
      <c r="C206" s="104">
        <v>5698902.8596530259</v>
      </c>
      <c r="D206" s="104">
        <v>13163898.469137862</v>
      </c>
      <c r="E206" s="104">
        <v>9651105.6342290491</v>
      </c>
      <c r="F206" s="104">
        <v>9128252.7615657598</v>
      </c>
      <c r="G206" s="104">
        <v>11240113.05684334</v>
      </c>
      <c r="H206" s="104">
        <v>6390524.7400897592</v>
      </c>
      <c r="I206" s="104">
        <v>8120218.5334557295</v>
      </c>
    </row>
    <row r="207" spans="2:9">
      <c r="B207" s="102">
        <v>199</v>
      </c>
      <c r="C207" s="104">
        <v>10787312.78655234</v>
      </c>
      <c r="D207" s="104">
        <v>29015040.368758455</v>
      </c>
      <c r="E207" s="104">
        <v>20808707.264722407</v>
      </c>
      <c r="F207" s="104">
        <v>10985533.94759047</v>
      </c>
      <c r="G207" s="104">
        <v>6158578.121539101</v>
      </c>
      <c r="H207" s="104">
        <v>7559737.6451572329</v>
      </c>
      <c r="I207" s="104">
        <v>2434565.8848066479</v>
      </c>
    </row>
    <row r="208" spans="2:9">
      <c r="B208" s="102">
        <v>200</v>
      </c>
      <c r="C208" s="104">
        <v>18865332.689022243</v>
      </c>
      <c r="D208" s="104">
        <v>7769654.7177350074</v>
      </c>
      <c r="E208" s="104">
        <v>4822106.8362981379</v>
      </c>
      <c r="F208" s="104">
        <v>12505032.331194922</v>
      </c>
      <c r="G208" s="104">
        <v>13851490.33695361</v>
      </c>
      <c r="H208" s="104">
        <v>14463289.031079501</v>
      </c>
      <c r="I208" s="104">
        <v>3462932.582795158</v>
      </c>
    </row>
  </sheetData>
  <mergeCells count="1">
    <mergeCell ref="C6:I6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DE9A57-8A5A-564B-A735-9D6903CD906D}">
  <sheetPr codeName="Arkusz27">
    <tabColor theme="0" tint="-0.499984740745262"/>
  </sheetPr>
  <dimension ref="A4:I208"/>
  <sheetViews>
    <sheetView workbookViewId="0">
      <selection activeCell="M38" sqref="M38"/>
    </sheetView>
  </sheetViews>
  <sheetFormatPr defaultColWidth="10.77734375" defaultRowHeight="13.2"/>
  <cols>
    <col min="1" max="1" width="13.44140625" style="33" bestFit="1" customWidth="1"/>
    <col min="2" max="9" width="16.33203125" style="33" customWidth="1"/>
    <col min="10" max="16384" width="10.77734375" style="33"/>
  </cols>
  <sheetData>
    <row r="4" spans="1:9">
      <c r="B4" s="70" t="s">
        <v>121</v>
      </c>
      <c r="C4" s="94">
        <f>AVERAGE(C9:C208)</f>
        <v>18162928.620534997</v>
      </c>
      <c r="D4" s="94">
        <f t="shared" ref="D4:I4" si="0">AVERAGE(D9:D208)</f>
        <v>15678174.482811002</v>
      </c>
      <c r="E4" s="94">
        <f t="shared" si="0"/>
        <v>14078946.533902993</v>
      </c>
      <c r="F4" s="94">
        <f t="shared" si="0"/>
        <v>11195634.619155502</v>
      </c>
      <c r="G4" s="94">
        <f t="shared" si="0"/>
        <v>8853726.8948394973</v>
      </c>
      <c r="H4" s="94">
        <f t="shared" si="0"/>
        <v>7239100.4648416974</v>
      </c>
      <c r="I4" s="94">
        <f t="shared" si="0"/>
        <v>5589876.4381939163</v>
      </c>
    </row>
    <row r="6" spans="1:9" ht="15.6">
      <c r="C6" s="205" t="s">
        <v>133</v>
      </c>
      <c r="D6" s="205"/>
      <c r="E6" s="205"/>
      <c r="F6" s="205"/>
      <c r="G6" s="205"/>
      <c r="H6" s="205"/>
      <c r="I6" s="205"/>
    </row>
    <row r="7" spans="1:9">
      <c r="B7" s="101"/>
      <c r="C7" s="103">
        <v>-0.15</v>
      </c>
      <c r="D7" s="103">
        <v>-0.1</v>
      </c>
      <c r="E7" s="103">
        <v>-0.05</v>
      </c>
      <c r="F7" s="103">
        <v>0</v>
      </c>
      <c r="G7" s="103">
        <v>0.05</v>
      </c>
      <c r="H7" s="103">
        <v>0.1</v>
      </c>
      <c r="I7" s="103">
        <v>0.15</v>
      </c>
    </row>
    <row r="8" spans="1:9">
      <c r="A8" s="70" t="s">
        <v>132</v>
      </c>
      <c r="B8" s="105" t="s">
        <v>131</v>
      </c>
      <c r="C8" s="106" t="s">
        <v>125</v>
      </c>
      <c r="D8" s="106" t="s">
        <v>126</v>
      </c>
      <c r="E8" s="106" t="s">
        <v>127</v>
      </c>
      <c r="F8" s="106" t="s">
        <v>123</v>
      </c>
      <c r="G8" s="106" t="s">
        <v>128</v>
      </c>
      <c r="H8" s="106" t="s">
        <v>129</v>
      </c>
      <c r="I8" s="106" t="s">
        <v>130</v>
      </c>
    </row>
    <row r="9" spans="1:9">
      <c r="B9" s="102">
        <v>1</v>
      </c>
      <c r="C9" s="104">
        <v>24818663.640000001</v>
      </c>
      <c r="D9" s="104">
        <v>29024128.280000001</v>
      </c>
      <c r="E9" s="104">
        <v>20246413.98</v>
      </c>
      <c r="F9" s="104">
        <v>17182028.670000002</v>
      </c>
      <c r="G9" s="104">
        <v>11677608.26</v>
      </c>
      <c r="H9" s="104">
        <v>-447373.18969999999</v>
      </c>
      <c r="I9" s="104">
        <v>9934740.3780000005</v>
      </c>
    </row>
    <row r="10" spans="1:9">
      <c r="B10" s="102">
        <v>2</v>
      </c>
      <c r="C10" s="104">
        <v>22985400.34</v>
      </c>
      <c r="D10" s="104">
        <v>17050213.420000002</v>
      </c>
      <c r="E10" s="104">
        <v>9345682.7310000006</v>
      </c>
      <c r="F10" s="104">
        <v>16062522.17</v>
      </c>
      <c r="G10" s="104">
        <v>595209.24230000004</v>
      </c>
      <c r="H10" s="104">
        <v>-3907969.531</v>
      </c>
      <c r="I10" s="104">
        <v>11144503.27</v>
      </c>
    </row>
    <row r="11" spans="1:9">
      <c r="B11" s="102">
        <v>3</v>
      </c>
      <c r="C11" s="104">
        <v>14827041.76</v>
      </c>
      <c r="D11" s="104">
        <v>14548577.85</v>
      </c>
      <c r="E11" s="104">
        <v>22530901.359999999</v>
      </c>
      <c r="F11" s="104">
        <v>24721333.719999999</v>
      </c>
      <c r="G11" s="104">
        <v>9778802.5270000007</v>
      </c>
      <c r="H11" s="104">
        <v>14840103.890000001</v>
      </c>
      <c r="I11" s="104">
        <v>-233107.2016</v>
      </c>
    </row>
    <row r="12" spans="1:9">
      <c r="B12" s="102">
        <v>4</v>
      </c>
      <c r="C12" s="104">
        <v>17145159.690000001</v>
      </c>
      <c r="D12" s="104">
        <v>18943606.379999999</v>
      </c>
      <c r="E12" s="104">
        <v>1792273.0379999999</v>
      </c>
      <c r="F12" s="104">
        <v>-320322.35810000001</v>
      </c>
      <c r="G12" s="104">
        <v>11569281.439999999</v>
      </c>
      <c r="H12" s="104">
        <v>15291729.34</v>
      </c>
      <c r="I12" s="104">
        <v>3948773.281</v>
      </c>
    </row>
    <row r="13" spans="1:9">
      <c r="B13" s="102">
        <v>5</v>
      </c>
      <c r="C13" s="104">
        <v>20359793.41</v>
      </c>
      <c r="D13" s="104">
        <v>11618889.310000001</v>
      </c>
      <c r="E13" s="104">
        <v>15697030.41</v>
      </c>
      <c r="F13" s="104">
        <v>11957766.640000001</v>
      </c>
      <c r="G13" s="104">
        <v>2691859.1150000002</v>
      </c>
      <c r="H13" s="104">
        <v>2969945.4720000001</v>
      </c>
      <c r="I13" s="104">
        <v>-4877108.0209999997</v>
      </c>
    </row>
    <row r="14" spans="1:9">
      <c r="B14" s="102">
        <v>6</v>
      </c>
      <c r="C14" s="104">
        <v>15408583.48</v>
      </c>
      <c r="D14" s="104">
        <v>16994991.350000001</v>
      </c>
      <c r="E14" s="104">
        <v>15094124.380000001</v>
      </c>
      <c r="F14" s="104">
        <v>16115616.800000001</v>
      </c>
      <c r="G14" s="104">
        <v>15879704.210000001</v>
      </c>
      <c r="H14" s="104">
        <v>-3801689.06</v>
      </c>
      <c r="I14" s="104">
        <v>3886797.662</v>
      </c>
    </row>
    <row r="15" spans="1:9">
      <c r="B15" s="102">
        <v>7</v>
      </c>
      <c r="C15" s="104">
        <v>20202700.949999999</v>
      </c>
      <c r="D15" s="104">
        <v>18682719.34</v>
      </c>
      <c r="E15" s="104">
        <v>5781349.352</v>
      </c>
      <c r="F15" s="104">
        <v>11621964.51</v>
      </c>
      <c r="G15" s="104">
        <v>15492604.289999999</v>
      </c>
      <c r="H15" s="104">
        <v>2903877.4479999999</v>
      </c>
      <c r="I15" s="104">
        <v>3267024.68</v>
      </c>
    </row>
    <row r="16" spans="1:9">
      <c r="B16" s="102">
        <v>8</v>
      </c>
      <c r="C16" s="104">
        <v>17295650.100000001</v>
      </c>
      <c r="D16" s="104">
        <v>6602440.8260000004</v>
      </c>
      <c r="E16" s="104">
        <v>11790109.039999999</v>
      </c>
      <c r="F16" s="104">
        <v>12521838.85</v>
      </c>
      <c r="G16" s="104">
        <v>7914760.8279999997</v>
      </c>
      <c r="H16" s="104">
        <v>9503813.2609999999</v>
      </c>
      <c r="I16" s="104">
        <v>7592784.7869999995</v>
      </c>
    </row>
    <row r="17" spans="2:9">
      <c r="B17" s="102">
        <v>9</v>
      </c>
      <c r="C17" s="104">
        <v>17324029.760000002</v>
      </c>
      <c r="D17" s="104">
        <v>19304603.620000001</v>
      </c>
      <c r="E17" s="104">
        <v>17866414.109999999</v>
      </c>
      <c r="F17" s="104">
        <v>15015565.609999999</v>
      </c>
      <c r="G17" s="104">
        <v>7488148.9390000002</v>
      </c>
      <c r="H17" s="104">
        <v>3828012.9929999998</v>
      </c>
      <c r="I17" s="104">
        <v>7681198.2199999997</v>
      </c>
    </row>
    <row r="18" spans="2:9">
      <c r="B18" s="102">
        <v>10</v>
      </c>
      <c r="C18" s="104">
        <v>12982997.310000001</v>
      </c>
      <c r="D18" s="104">
        <v>20738287.27</v>
      </c>
      <c r="E18" s="104">
        <v>23132276.809999999</v>
      </c>
      <c r="F18" s="104">
        <v>3656400.642</v>
      </c>
      <c r="G18" s="104">
        <v>-2197524.3020000001</v>
      </c>
      <c r="H18" s="104">
        <v>-1437689.227</v>
      </c>
      <c r="I18" s="104">
        <v>10399544.939999999</v>
      </c>
    </row>
    <row r="19" spans="2:9">
      <c r="B19" s="102">
        <v>11</v>
      </c>
      <c r="C19" s="104">
        <v>13395558.789999999</v>
      </c>
      <c r="D19" s="104">
        <v>16403210.810000001</v>
      </c>
      <c r="E19" s="104">
        <v>3317009.0159999998</v>
      </c>
      <c r="F19" s="104">
        <v>9921304.2229999993</v>
      </c>
      <c r="G19" s="104">
        <v>4428795.1349999998</v>
      </c>
      <c r="H19" s="104">
        <v>12133358.32</v>
      </c>
      <c r="I19" s="104">
        <v>8683428.5050000008</v>
      </c>
    </row>
    <row r="20" spans="2:9">
      <c r="B20" s="102">
        <v>12</v>
      </c>
      <c r="C20" s="104">
        <v>21519851.219999999</v>
      </c>
      <c r="D20" s="104">
        <v>18693373.140000001</v>
      </c>
      <c r="E20" s="104">
        <v>10180681.52</v>
      </c>
      <c r="F20" s="104">
        <v>13705945.34</v>
      </c>
      <c r="G20" s="104">
        <v>8369283.182</v>
      </c>
      <c r="H20" s="104">
        <v>10346919.060000001</v>
      </c>
      <c r="I20" s="104">
        <v>-1705364.8289999999</v>
      </c>
    </row>
    <row r="21" spans="2:9">
      <c r="B21" s="102">
        <v>13</v>
      </c>
      <c r="C21" s="104">
        <v>26349698.41</v>
      </c>
      <c r="D21" s="104">
        <v>16523534.789999999</v>
      </c>
      <c r="E21" s="104">
        <v>11310387.800000001</v>
      </c>
      <c r="F21" s="104">
        <v>-582266.73800000001</v>
      </c>
      <c r="G21" s="104">
        <v>3008714.4720000001</v>
      </c>
      <c r="H21" s="104">
        <v>-5515555.7549999999</v>
      </c>
      <c r="I21" s="104">
        <v>-677497.50809999998</v>
      </c>
    </row>
    <row r="22" spans="2:9">
      <c r="B22" s="102">
        <v>14</v>
      </c>
      <c r="C22" s="104">
        <v>23912304.879999999</v>
      </c>
      <c r="D22" s="104">
        <v>21812130.739999998</v>
      </c>
      <c r="E22" s="104">
        <v>20905347.100000001</v>
      </c>
      <c r="F22" s="104">
        <v>2471552.338</v>
      </c>
      <c r="G22" s="104">
        <v>9989674.2029999997</v>
      </c>
      <c r="H22" s="104">
        <v>8079136.9230000004</v>
      </c>
      <c r="I22" s="104">
        <v>-681782.62349999999</v>
      </c>
    </row>
    <row r="23" spans="2:9">
      <c r="B23" s="102">
        <v>15</v>
      </c>
      <c r="C23" s="104">
        <v>22511929.34</v>
      </c>
      <c r="D23" s="104">
        <v>11909052.25</v>
      </c>
      <c r="E23" s="104">
        <v>10716568.59</v>
      </c>
      <c r="F23" s="104">
        <v>10946488.07</v>
      </c>
      <c r="G23" s="104">
        <v>4638925.1399999997</v>
      </c>
      <c r="H23" s="104">
        <v>7869192.7170000002</v>
      </c>
      <c r="I23" s="104">
        <v>8287985.8030000003</v>
      </c>
    </row>
    <row r="24" spans="2:9">
      <c r="B24" s="102">
        <v>16</v>
      </c>
      <c r="C24" s="104">
        <v>17112031.039999999</v>
      </c>
      <c r="D24" s="104">
        <v>32544114.399999999</v>
      </c>
      <c r="E24" s="104">
        <v>17155505.25</v>
      </c>
      <c r="F24" s="104">
        <v>10054037.210000001</v>
      </c>
      <c r="G24" s="104">
        <v>14988800.630000001</v>
      </c>
      <c r="H24" s="104">
        <v>10466465.699999999</v>
      </c>
      <c r="I24" s="104">
        <v>12467945.890000001</v>
      </c>
    </row>
    <row r="25" spans="2:9">
      <c r="B25" s="102">
        <v>17</v>
      </c>
      <c r="C25" s="104">
        <v>9089594.0189999994</v>
      </c>
      <c r="D25" s="104">
        <v>18600052.07</v>
      </c>
      <c r="E25" s="104">
        <v>3637152.7039999999</v>
      </c>
      <c r="F25" s="104">
        <v>21105744.699999999</v>
      </c>
      <c r="G25" s="104">
        <v>10186764.689999999</v>
      </c>
      <c r="H25" s="104">
        <v>-5824362.6150000002</v>
      </c>
      <c r="I25" s="104">
        <v>-4324959.1509999996</v>
      </c>
    </row>
    <row r="26" spans="2:9">
      <c r="B26" s="102">
        <v>18</v>
      </c>
      <c r="C26" s="104">
        <v>21640469</v>
      </c>
      <c r="D26" s="104">
        <v>20414167.949999999</v>
      </c>
      <c r="E26" s="104">
        <v>15897031.01</v>
      </c>
      <c r="F26" s="104">
        <v>21911989.02</v>
      </c>
      <c r="G26" s="104">
        <v>5581912.6979999999</v>
      </c>
      <c r="H26" s="104">
        <v>921132.12849999999</v>
      </c>
      <c r="I26" s="104">
        <v>11929658.970000001</v>
      </c>
    </row>
    <row r="27" spans="2:9">
      <c r="B27" s="102">
        <v>19</v>
      </c>
      <c r="C27" s="104">
        <v>29525973.73</v>
      </c>
      <c r="D27" s="104">
        <v>13180067.73</v>
      </c>
      <c r="E27" s="104">
        <v>17263519.25</v>
      </c>
      <c r="F27" s="104">
        <v>11848937.25</v>
      </c>
      <c r="G27" s="104">
        <v>9935613.977</v>
      </c>
      <c r="H27" s="104">
        <v>25125961.75</v>
      </c>
      <c r="I27" s="104">
        <v>7799213.7769999998</v>
      </c>
    </row>
    <row r="28" spans="2:9">
      <c r="B28" s="102">
        <v>20</v>
      </c>
      <c r="C28" s="104">
        <v>11566648.41</v>
      </c>
      <c r="D28" s="104">
        <v>8256265.5</v>
      </c>
      <c r="E28" s="104">
        <v>33097785.34</v>
      </c>
      <c r="F28" s="104">
        <v>17478908.920000002</v>
      </c>
      <c r="G28" s="104">
        <v>13058690.23</v>
      </c>
      <c r="H28" s="104">
        <v>8021145.335</v>
      </c>
      <c r="I28" s="104">
        <v>11329714.279999999</v>
      </c>
    </row>
    <row r="29" spans="2:9">
      <c r="B29" s="102">
        <v>21</v>
      </c>
      <c r="C29" s="104">
        <v>14251189.33</v>
      </c>
      <c r="D29" s="104">
        <v>24412955.75</v>
      </c>
      <c r="E29" s="104">
        <v>2211623.2519999999</v>
      </c>
      <c r="F29" s="104">
        <v>15817644.140000001</v>
      </c>
      <c r="G29" s="104">
        <v>7262740.6030000001</v>
      </c>
      <c r="H29" s="104">
        <v>6280618.2999999998</v>
      </c>
      <c r="I29" s="104">
        <v>12609201.26</v>
      </c>
    </row>
    <row r="30" spans="2:9">
      <c r="B30" s="102">
        <v>22</v>
      </c>
      <c r="C30" s="104">
        <v>22191543.920000002</v>
      </c>
      <c r="D30" s="104">
        <v>19760161.199999999</v>
      </c>
      <c r="E30" s="104">
        <v>21235632.670000002</v>
      </c>
      <c r="F30" s="104">
        <v>15092203.640000001</v>
      </c>
      <c r="G30" s="104">
        <v>13108770.77</v>
      </c>
      <c r="H30" s="104">
        <v>2193882.128</v>
      </c>
      <c r="I30" s="104">
        <v>11442256.460000001</v>
      </c>
    </row>
    <row r="31" spans="2:9">
      <c r="B31" s="102">
        <v>23</v>
      </c>
      <c r="C31" s="104">
        <v>28017067.489999998</v>
      </c>
      <c r="D31" s="104">
        <v>12535388.91</v>
      </c>
      <c r="E31" s="104">
        <v>22321517.059999999</v>
      </c>
      <c r="F31" s="104">
        <v>14043527.470000001</v>
      </c>
      <c r="G31" s="104">
        <v>15752148.77</v>
      </c>
      <c r="H31" s="104">
        <v>8924850.0189999994</v>
      </c>
      <c r="I31" s="104">
        <v>4421507.5219999999</v>
      </c>
    </row>
    <row r="32" spans="2:9">
      <c r="B32" s="102">
        <v>24</v>
      </c>
      <c r="C32" s="104">
        <v>21313023.510000002</v>
      </c>
      <c r="D32" s="104">
        <v>21108206.16</v>
      </c>
      <c r="E32" s="104">
        <v>11170669.92</v>
      </c>
      <c r="F32" s="104">
        <v>5325312.7560000001</v>
      </c>
      <c r="G32" s="104">
        <v>11814089.67</v>
      </c>
      <c r="H32" s="104">
        <v>8411553.1559999995</v>
      </c>
      <c r="I32" s="104">
        <v>17378922.18</v>
      </c>
    </row>
    <row r="33" spans="2:9">
      <c r="B33" s="102">
        <v>25</v>
      </c>
      <c r="C33" s="104">
        <v>11315429</v>
      </c>
      <c r="D33" s="104">
        <v>-1118012.08</v>
      </c>
      <c r="E33" s="104">
        <v>7968668.2089999998</v>
      </c>
      <c r="F33" s="104">
        <v>18390813.969999999</v>
      </c>
      <c r="G33" s="104">
        <v>18187136.82</v>
      </c>
      <c r="H33" s="104">
        <v>4852027.0530000003</v>
      </c>
      <c r="I33" s="104">
        <v>3457281.8730000001</v>
      </c>
    </row>
    <row r="34" spans="2:9">
      <c r="B34" s="102">
        <v>26</v>
      </c>
      <c r="C34" s="104">
        <v>12539914.529999999</v>
      </c>
      <c r="D34" s="104">
        <v>12224643.529999999</v>
      </c>
      <c r="E34" s="104">
        <v>14674151.060000001</v>
      </c>
      <c r="F34" s="104">
        <v>15429690.98</v>
      </c>
      <c r="G34" s="104">
        <v>10326043.66</v>
      </c>
      <c r="H34" s="104">
        <v>8310850.2549999999</v>
      </c>
      <c r="I34" s="104">
        <v>14829250.689999999</v>
      </c>
    </row>
    <row r="35" spans="2:9">
      <c r="B35" s="102">
        <v>27</v>
      </c>
      <c r="C35" s="104">
        <v>17173993.879999999</v>
      </c>
      <c r="D35" s="104">
        <v>18793791.640000001</v>
      </c>
      <c r="E35" s="104">
        <v>18731573.800000001</v>
      </c>
      <c r="F35" s="104">
        <v>3246336.801</v>
      </c>
      <c r="G35" s="104">
        <v>5870179.1469999999</v>
      </c>
      <c r="H35" s="104">
        <v>13682243.210000001</v>
      </c>
      <c r="I35" s="104">
        <v>5716820.6160000004</v>
      </c>
    </row>
    <row r="36" spans="2:9">
      <c r="B36" s="102">
        <v>28</v>
      </c>
      <c r="C36" s="104">
        <v>10147393</v>
      </c>
      <c r="D36" s="104">
        <v>25388226.899999999</v>
      </c>
      <c r="E36" s="104">
        <v>3477533.0060000001</v>
      </c>
      <c r="F36" s="104">
        <v>2246363.8760000002</v>
      </c>
      <c r="G36" s="104">
        <v>4024919.8110000002</v>
      </c>
      <c r="H36" s="104">
        <v>10733362.630000001</v>
      </c>
      <c r="I36" s="104">
        <v>3252271.699</v>
      </c>
    </row>
    <row r="37" spans="2:9">
      <c r="B37" s="102">
        <v>29</v>
      </c>
      <c r="C37" s="104">
        <v>20642612.239999998</v>
      </c>
      <c r="D37" s="104">
        <v>17406709.23</v>
      </c>
      <c r="E37" s="104">
        <v>13985488.18</v>
      </c>
      <c r="F37" s="104">
        <v>9127051.1429999992</v>
      </c>
      <c r="G37" s="104">
        <v>4917299.8459999999</v>
      </c>
      <c r="H37" s="104">
        <v>9037544.5460000001</v>
      </c>
      <c r="I37" s="104">
        <v>7058859.4510000004</v>
      </c>
    </row>
    <row r="38" spans="2:9">
      <c r="B38" s="102">
        <v>30</v>
      </c>
      <c r="C38" s="104">
        <v>23330586.809999999</v>
      </c>
      <c r="D38" s="104">
        <v>24782701.780000001</v>
      </c>
      <c r="E38" s="104">
        <v>4337110.5109999999</v>
      </c>
      <c r="F38" s="104">
        <v>-217377.78599999999</v>
      </c>
      <c r="G38" s="104">
        <v>6473205.0800000001</v>
      </c>
      <c r="H38" s="104">
        <v>-2376698.1359999999</v>
      </c>
      <c r="I38" s="104">
        <v>5137843.2759999996</v>
      </c>
    </row>
    <row r="39" spans="2:9">
      <c r="B39" s="102">
        <v>31</v>
      </c>
      <c r="C39" s="104">
        <v>14951958.539999999</v>
      </c>
      <c r="D39" s="104">
        <v>19727579.989999998</v>
      </c>
      <c r="E39" s="104">
        <v>24973324.760000002</v>
      </c>
      <c r="F39" s="104">
        <v>7388462.409</v>
      </c>
      <c r="G39" s="104">
        <v>13548512.689999999</v>
      </c>
      <c r="H39" s="104">
        <v>7351613.3820000002</v>
      </c>
      <c r="I39" s="104">
        <v>4018222.5529999998</v>
      </c>
    </row>
    <row r="40" spans="2:9">
      <c r="B40" s="102">
        <v>32</v>
      </c>
      <c r="C40" s="104">
        <v>11392080.869999999</v>
      </c>
      <c r="D40" s="104">
        <v>20409479.84</v>
      </c>
      <c r="E40" s="104">
        <v>13323992.710000001</v>
      </c>
      <c r="F40" s="104">
        <v>18798001.949999999</v>
      </c>
      <c r="G40" s="104">
        <v>9079265.1710000001</v>
      </c>
      <c r="H40" s="104">
        <v>7366955.2070000004</v>
      </c>
      <c r="I40" s="104">
        <v>12008529.41</v>
      </c>
    </row>
    <row r="41" spans="2:9">
      <c r="B41" s="102">
        <v>33</v>
      </c>
      <c r="C41" s="104">
        <v>16293600.300000001</v>
      </c>
      <c r="D41" s="104">
        <v>19645694.850000001</v>
      </c>
      <c r="E41" s="104">
        <v>5591705.5420000004</v>
      </c>
      <c r="F41" s="104">
        <v>18777324.52</v>
      </c>
      <c r="G41" s="104">
        <v>6145981.3640000001</v>
      </c>
      <c r="H41" s="104">
        <v>3731453.1370000001</v>
      </c>
      <c r="I41" s="104">
        <v>7703144.5619999999</v>
      </c>
    </row>
    <row r="42" spans="2:9">
      <c r="B42" s="102">
        <v>34</v>
      </c>
      <c r="C42" s="104">
        <v>18779615.809999999</v>
      </c>
      <c r="D42" s="104">
        <v>8168369.3810000001</v>
      </c>
      <c r="E42" s="104">
        <v>14760992.880000001</v>
      </c>
      <c r="F42" s="104">
        <v>10413220.34</v>
      </c>
      <c r="G42" s="104">
        <v>8003597.21</v>
      </c>
      <c r="H42" s="104">
        <v>14787077.289999999</v>
      </c>
      <c r="I42" s="104">
        <v>3232586.074</v>
      </c>
    </row>
    <row r="43" spans="2:9">
      <c r="B43" s="102">
        <v>35</v>
      </c>
      <c r="C43" s="104">
        <v>15110343.67</v>
      </c>
      <c r="D43" s="104">
        <v>22378400.100000001</v>
      </c>
      <c r="E43" s="104">
        <v>14911346.060000001</v>
      </c>
      <c r="F43" s="104">
        <v>20018607.41</v>
      </c>
      <c r="G43" s="104">
        <v>14398467.220000001</v>
      </c>
      <c r="H43" s="104">
        <v>8046661.3499999996</v>
      </c>
      <c r="I43" s="104">
        <v>7921350.3720000004</v>
      </c>
    </row>
    <row r="44" spans="2:9">
      <c r="B44" s="102">
        <v>36</v>
      </c>
      <c r="C44" s="104">
        <v>21389001.640000001</v>
      </c>
      <c r="D44" s="104">
        <v>19109239.52</v>
      </c>
      <c r="E44" s="104">
        <v>20438626.93</v>
      </c>
      <c r="F44" s="104">
        <v>5091037.2570000002</v>
      </c>
      <c r="G44" s="104">
        <v>3561826.2370000002</v>
      </c>
      <c r="H44" s="104">
        <v>14145516.199999999</v>
      </c>
      <c r="I44" s="104">
        <v>-4873382.4749999996</v>
      </c>
    </row>
    <row r="45" spans="2:9">
      <c r="B45" s="102">
        <v>37</v>
      </c>
      <c r="C45" s="104">
        <v>26635564.66</v>
      </c>
      <c r="D45" s="104">
        <v>23798111.780000001</v>
      </c>
      <c r="E45" s="104">
        <v>7282437.0350000001</v>
      </c>
      <c r="F45" s="104">
        <v>3396932.3229999999</v>
      </c>
      <c r="G45" s="104">
        <v>13266297.93</v>
      </c>
      <c r="H45" s="104">
        <v>12075639.289999999</v>
      </c>
      <c r="I45" s="104">
        <v>2488804.3020000001</v>
      </c>
    </row>
    <row r="46" spans="2:9">
      <c r="B46" s="102">
        <v>38</v>
      </c>
      <c r="C46" s="104">
        <v>13190388.35</v>
      </c>
      <c r="D46" s="104">
        <v>5570568.3870000001</v>
      </c>
      <c r="E46" s="104">
        <v>11878828.4</v>
      </c>
      <c r="F46" s="104">
        <v>11402986.109999999</v>
      </c>
      <c r="G46" s="104">
        <v>2203031.8960000002</v>
      </c>
      <c r="H46" s="104">
        <v>10602403.85</v>
      </c>
      <c r="I46" s="104">
        <v>9892039.7290000003</v>
      </c>
    </row>
    <row r="47" spans="2:9">
      <c r="B47" s="102">
        <v>39</v>
      </c>
      <c r="C47" s="104">
        <v>11470966.85</v>
      </c>
      <c r="D47" s="104">
        <v>10430621.57</v>
      </c>
      <c r="E47" s="104">
        <v>21052598.289999999</v>
      </c>
      <c r="F47" s="104">
        <v>12344465.68</v>
      </c>
      <c r="G47" s="104">
        <v>-868290.59750000003</v>
      </c>
      <c r="H47" s="104">
        <v>13342608.539999999</v>
      </c>
      <c r="I47" s="104">
        <v>86569.252389999994</v>
      </c>
    </row>
    <row r="48" spans="2:9">
      <c r="B48" s="102">
        <v>40</v>
      </c>
      <c r="C48" s="104">
        <v>16564665.800000001</v>
      </c>
      <c r="D48" s="104">
        <v>31941139.210000001</v>
      </c>
      <c r="E48" s="104">
        <v>18546844.91</v>
      </c>
      <c r="F48" s="104">
        <v>17814712.050000001</v>
      </c>
      <c r="G48" s="104">
        <v>11161507.84</v>
      </c>
      <c r="H48" s="104">
        <v>2734699.29</v>
      </c>
      <c r="I48" s="104">
        <v>11493195.93</v>
      </c>
    </row>
    <row r="49" spans="2:9">
      <c r="B49" s="102">
        <v>41</v>
      </c>
      <c r="C49" s="104">
        <v>15490674.6</v>
      </c>
      <c r="D49" s="104">
        <v>21770887.760000002</v>
      </c>
      <c r="E49" s="104">
        <v>19607037.68</v>
      </c>
      <c r="F49" s="104">
        <v>16824712.149999999</v>
      </c>
      <c r="G49" s="104">
        <v>11910878.689999999</v>
      </c>
      <c r="H49" s="104">
        <v>2590894.7200000002</v>
      </c>
      <c r="I49" s="104">
        <v>2553168.6320000002</v>
      </c>
    </row>
    <row r="50" spans="2:9">
      <c r="B50" s="102">
        <v>42</v>
      </c>
      <c r="C50" s="104">
        <v>12751324.35</v>
      </c>
      <c r="D50" s="104">
        <v>16479879.27</v>
      </c>
      <c r="E50" s="104">
        <v>14397201.039999999</v>
      </c>
      <c r="F50" s="104">
        <v>11600970.43</v>
      </c>
      <c r="G50" s="104">
        <v>15331134.34</v>
      </c>
      <c r="H50" s="104">
        <v>15493482.439999999</v>
      </c>
      <c r="I50" s="104">
        <v>16233238.43</v>
      </c>
    </row>
    <row r="51" spans="2:9">
      <c r="B51" s="102">
        <v>43</v>
      </c>
      <c r="C51" s="104">
        <v>14956587.310000001</v>
      </c>
      <c r="D51" s="104">
        <v>11178011.210000001</v>
      </c>
      <c r="E51" s="104">
        <v>8324169.7170000002</v>
      </c>
      <c r="F51" s="104">
        <v>10274289.42</v>
      </c>
      <c r="G51" s="104">
        <v>21724673.550000001</v>
      </c>
      <c r="H51" s="104">
        <v>4671774.1579999998</v>
      </c>
      <c r="I51" s="104">
        <v>3308696.0729999999</v>
      </c>
    </row>
    <row r="52" spans="2:9">
      <c r="B52" s="102">
        <v>44</v>
      </c>
      <c r="C52" s="104">
        <v>17873550.949999999</v>
      </c>
      <c r="D52" s="104">
        <v>12809003.359999999</v>
      </c>
      <c r="E52" s="104">
        <v>8414177.9550000001</v>
      </c>
      <c r="F52" s="104">
        <v>16618216.35</v>
      </c>
      <c r="G52" s="104">
        <v>6244867.9560000002</v>
      </c>
      <c r="H52" s="104">
        <v>8249547.8169999998</v>
      </c>
      <c r="I52" s="104">
        <v>-488701.3688</v>
      </c>
    </row>
    <row r="53" spans="2:9">
      <c r="B53" s="102">
        <v>45</v>
      </c>
      <c r="C53" s="104">
        <v>23448867.16</v>
      </c>
      <c r="D53" s="104">
        <v>14784851.82</v>
      </c>
      <c r="E53" s="104">
        <v>29603495.09</v>
      </c>
      <c r="F53" s="104">
        <v>8873721.1909999996</v>
      </c>
      <c r="G53" s="104">
        <v>12931146.550000001</v>
      </c>
      <c r="H53" s="104">
        <v>4372195.6189999999</v>
      </c>
      <c r="I53" s="104">
        <v>15251846.810000001</v>
      </c>
    </row>
    <row r="54" spans="2:9">
      <c r="B54" s="102">
        <v>46</v>
      </c>
      <c r="C54" s="104">
        <v>22466627.52</v>
      </c>
      <c r="D54" s="104">
        <v>24055666.609999999</v>
      </c>
      <c r="E54" s="104">
        <v>21079989.809999999</v>
      </c>
      <c r="F54" s="104">
        <v>7902914.46</v>
      </c>
      <c r="G54" s="104">
        <v>-692993.98609999998</v>
      </c>
      <c r="H54" s="104">
        <v>9923644.8780000005</v>
      </c>
      <c r="I54" s="104">
        <v>-3238724.2409999999</v>
      </c>
    </row>
    <row r="55" spans="2:9">
      <c r="B55" s="102">
        <v>47</v>
      </c>
      <c r="C55" s="104">
        <v>22348642.010000002</v>
      </c>
      <c r="D55" s="104">
        <v>26600891.199999999</v>
      </c>
      <c r="E55" s="104">
        <v>20497050.960000001</v>
      </c>
      <c r="F55" s="104">
        <v>13510436.470000001</v>
      </c>
      <c r="G55" s="104">
        <v>8796610.6919999998</v>
      </c>
      <c r="H55" s="104">
        <v>11356554.630000001</v>
      </c>
      <c r="I55" s="104">
        <v>13870180.92</v>
      </c>
    </row>
    <row r="56" spans="2:9">
      <c r="B56" s="102">
        <v>48</v>
      </c>
      <c r="C56" s="104">
        <v>15554283.060000001</v>
      </c>
      <c r="D56" s="104">
        <v>14964198.24</v>
      </c>
      <c r="E56" s="104">
        <v>20221437.16</v>
      </c>
      <c r="F56" s="104">
        <v>10570896.32</v>
      </c>
      <c r="G56" s="104">
        <v>14247849.84</v>
      </c>
      <c r="H56" s="104">
        <v>9268562.5</v>
      </c>
      <c r="I56" s="104">
        <v>6339886.0240000002</v>
      </c>
    </row>
    <row r="57" spans="2:9">
      <c r="B57" s="102">
        <v>49</v>
      </c>
      <c r="C57" s="104">
        <v>21534230.030000001</v>
      </c>
      <c r="D57" s="104">
        <v>11929755.24</v>
      </c>
      <c r="E57" s="104">
        <v>17250428.859999999</v>
      </c>
      <c r="F57" s="104">
        <v>14838849.17</v>
      </c>
      <c r="G57" s="104">
        <v>8134688.6950000003</v>
      </c>
      <c r="H57" s="104">
        <v>12968630.289999999</v>
      </c>
      <c r="I57" s="104">
        <v>10384.051530000001</v>
      </c>
    </row>
    <row r="58" spans="2:9">
      <c r="B58" s="102">
        <v>50</v>
      </c>
      <c r="C58" s="104">
        <v>24719030.530000001</v>
      </c>
      <c r="D58" s="104">
        <v>3320084.0389999999</v>
      </c>
      <c r="E58" s="104">
        <v>6522228.8810000001</v>
      </c>
      <c r="F58" s="104">
        <v>17648498.5</v>
      </c>
      <c r="G58" s="104">
        <v>16511723.41</v>
      </c>
      <c r="H58" s="104">
        <v>15466577.390000001</v>
      </c>
      <c r="I58" s="104">
        <v>-1009027.036</v>
      </c>
    </row>
    <row r="59" spans="2:9">
      <c r="B59" s="102">
        <v>51</v>
      </c>
      <c r="C59" s="104">
        <v>16270884.439999999</v>
      </c>
      <c r="D59" s="104">
        <v>18252553.289999999</v>
      </c>
      <c r="E59" s="104">
        <v>24624648.539999999</v>
      </c>
      <c r="F59" s="104">
        <v>14907823.449999999</v>
      </c>
      <c r="G59" s="104">
        <v>-2201248.9569999999</v>
      </c>
      <c r="H59" s="104">
        <v>5318107.6090000002</v>
      </c>
      <c r="I59" s="104">
        <v>8822114.1889999993</v>
      </c>
    </row>
    <row r="60" spans="2:9">
      <c r="B60" s="102">
        <v>52</v>
      </c>
      <c r="C60" s="104">
        <v>13052345.710000001</v>
      </c>
      <c r="D60" s="104">
        <v>11849032.75</v>
      </c>
      <c r="E60" s="104">
        <v>11152561.42</v>
      </c>
      <c r="F60" s="104">
        <v>3069497.8730000001</v>
      </c>
      <c r="G60" s="104">
        <v>12800986.789999999</v>
      </c>
      <c r="H60" s="104">
        <v>6059592.8700000001</v>
      </c>
      <c r="I60" s="104">
        <v>10561205.619999999</v>
      </c>
    </row>
    <row r="61" spans="2:9">
      <c r="B61" s="102">
        <v>53</v>
      </c>
      <c r="C61" s="104">
        <v>21794235.27</v>
      </c>
      <c r="D61" s="104">
        <v>21586407.84</v>
      </c>
      <c r="E61" s="104">
        <v>13452924.83</v>
      </c>
      <c r="F61" s="104">
        <v>9814018.6940000001</v>
      </c>
      <c r="G61" s="104">
        <v>8443505.0020000003</v>
      </c>
      <c r="H61" s="104">
        <v>412125.51250000001</v>
      </c>
      <c r="I61" s="104">
        <v>12488172.300000001</v>
      </c>
    </row>
    <row r="62" spans="2:9">
      <c r="B62" s="102">
        <v>54</v>
      </c>
      <c r="C62" s="104">
        <v>19497119.079999998</v>
      </c>
      <c r="D62" s="104">
        <v>12594843.01</v>
      </c>
      <c r="E62" s="104">
        <v>12517599.83</v>
      </c>
      <c r="F62" s="104">
        <v>14172189.390000001</v>
      </c>
      <c r="G62" s="104">
        <v>-901700.99710000004</v>
      </c>
      <c r="H62" s="104">
        <v>6307358.8540000003</v>
      </c>
      <c r="I62" s="104">
        <v>6312091.432</v>
      </c>
    </row>
    <row r="63" spans="2:9">
      <c r="B63" s="102">
        <v>55</v>
      </c>
      <c r="C63" s="104">
        <v>20216298.77</v>
      </c>
      <c r="D63" s="104">
        <v>18842372.440000001</v>
      </c>
      <c r="E63" s="104">
        <v>11875536.15</v>
      </c>
      <c r="F63" s="104">
        <v>25335742.34</v>
      </c>
      <c r="G63" s="104">
        <v>11442125.789999999</v>
      </c>
      <c r="H63" s="104">
        <v>2514643.5290000001</v>
      </c>
      <c r="I63" s="104">
        <v>6392536.3969999999</v>
      </c>
    </row>
    <row r="64" spans="2:9">
      <c r="B64" s="102">
        <v>56</v>
      </c>
      <c r="C64" s="104">
        <v>13954427.84</v>
      </c>
      <c r="D64" s="104">
        <v>23570634.699999999</v>
      </c>
      <c r="E64" s="104">
        <v>14168970.310000001</v>
      </c>
      <c r="F64" s="104">
        <v>22747667.850000001</v>
      </c>
      <c r="G64" s="104">
        <v>13052491.109999999</v>
      </c>
      <c r="H64" s="104">
        <v>7626879.4539999999</v>
      </c>
      <c r="I64" s="104">
        <v>9821341.2090000007</v>
      </c>
    </row>
    <row r="65" spans="2:9">
      <c r="B65" s="102">
        <v>57</v>
      </c>
      <c r="C65" s="104">
        <v>13621754.369999999</v>
      </c>
      <c r="D65" s="104">
        <v>18423660.23</v>
      </c>
      <c r="E65" s="104">
        <v>5551625.2209999999</v>
      </c>
      <c r="F65" s="104">
        <v>25486447.199999999</v>
      </c>
      <c r="G65" s="104">
        <v>4243197.7220000001</v>
      </c>
      <c r="H65" s="104">
        <v>3565660.7560000001</v>
      </c>
      <c r="I65" s="104">
        <v>3248930.5079999999</v>
      </c>
    </row>
    <row r="66" spans="2:9">
      <c r="B66" s="102">
        <v>58</v>
      </c>
      <c r="C66" s="104">
        <v>13642436.77</v>
      </c>
      <c r="D66" s="104">
        <v>22425554.399999999</v>
      </c>
      <c r="E66" s="104">
        <v>18247348.93</v>
      </c>
      <c r="F66" s="104">
        <v>17422333.52</v>
      </c>
      <c r="G66" s="104">
        <v>13967121.84</v>
      </c>
      <c r="H66" s="104">
        <v>9054975.7070000004</v>
      </c>
      <c r="I66" s="104">
        <v>6006172.5190000003</v>
      </c>
    </row>
    <row r="67" spans="2:9">
      <c r="B67" s="102">
        <v>59</v>
      </c>
      <c r="C67" s="104">
        <v>17701579.93</v>
      </c>
      <c r="D67" s="104">
        <v>15826439.23</v>
      </c>
      <c r="E67" s="104">
        <v>6223884.3770000003</v>
      </c>
      <c r="F67" s="104">
        <v>18835568.52</v>
      </c>
      <c r="G67" s="104">
        <v>-1063569.8929999999</v>
      </c>
      <c r="H67" s="104">
        <v>7152568.9689999996</v>
      </c>
      <c r="I67" s="104">
        <v>-3396685.727</v>
      </c>
    </row>
    <row r="68" spans="2:9">
      <c r="B68" s="102">
        <v>60</v>
      </c>
      <c r="C68" s="104">
        <v>18058307.07</v>
      </c>
      <c r="D68" s="104">
        <v>9065244.8220000006</v>
      </c>
      <c r="E68" s="104">
        <v>13149295.970000001</v>
      </c>
      <c r="F68" s="104">
        <v>21722813.949999999</v>
      </c>
      <c r="G68" s="104">
        <v>6172116.2429999998</v>
      </c>
      <c r="H68" s="104">
        <v>7029323.2659999998</v>
      </c>
      <c r="I68" s="104">
        <v>-8077794.676</v>
      </c>
    </row>
    <row r="69" spans="2:9">
      <c r="B69" s="102">
        <v>61</v>
      </c>
      <c r="C69" s="104">
        <v>2983879.3220000002</v>
      </c>
      <c r="D69" s="104">
        <v>20570219.780000001</v>
      </c>
      <c r="E69" s="104">
        <v>13838739.52</v>
      </c>
      <c r="F69" s="104">
        <v>20759466.469999999</v>
      </c>
      <c r="G69" s="104">
        <v>16745624.310000001</v>
      </c>
      <c r="H69" s="104">
        <v>12395071.99</v>
      </c>
      <c r="I69" s="104">
        <v>9241637.1960000005</v>
      </c>
    </row>
    <row r="70" spans="2:9">
      <c r="B70" s="102">
        <v>62</v>
      </c>
      <c r="C70" s="104">
        <v>18838472.649999999</v>
      </c>
      <c r="D70" s="104">
        <v>9382410.7550000008</v>
      </c>
      <c r="E70" s="104">
        <v>1060525.311</v>
      </c>
      <c r="F70" s="104">
        <v>11944734.199999999</v>
      </c>
      <c r="G70" s="104">
        <v>14034832.42</v>
      </c>
      <c r="H70" s="104">
        <v>6194621.3990000002</v>
      </c>
      <c r="I70" s="104">
        <v>3713969.9879999999</v>
      </c>
    </row>
    <row r="71" spans="2:9">
      <c r="B71" s="102">
        <v>63</v>
      </c>
      <c r="C71" s="104">
        <v>13067982.779999999</v>
      </c>
      <c r="D71" s="104">
        <v>14083907.58</v>
      </c>
      <c r="E71" s="104">
        <v>11935946.68</v>
      </c>
      <c r="F71" s="104">
        <v>1505015.3389999999</v>
      </c>
      <c r="G71" s="104">
        <v>23500908.260000002</v>
      </c>
      <c r="H71" s="104">
        <v>4988344.8530000001</v>
      </c>
      <c r="I71" s="104">
        <v>12993462.279999999</v>
      </c>
    </row>
    <row r="72" spans="2:9">
      <c r="B72" s="102">
        <v>64</v>
      </c>
      <c r="C72" s="104">
        <v>28541060.850000001</v>
      </c>
      <c r="D72" s="104">
        <v>16370009.439999999</v>
      </c>
      <c r="E72" s="104">
        <v>22328694.260000002</v>
      </c>
      <c r="F72" s="104">
        <v>2639760.074</v>
      </c>
      <c r="G72" s="104">
        <v>15638493.42</v>
      </c>
      <c r="H72" s="104">
        <v>-640664.64419999998</v>
      </c>
      <c r="I72" s="104">
        <v>2654334.1030000001</v>
      </c>
    </row>
    <row r="73" spans="2:9">
      <c r="B73" s="102">
        <v>65</v>
      </c>
      <c r="C73" s="104">
        <v>19908608.079999998</v>
      </c>
      <c r="D73" s="104">
        <v>13295776.25</v>
      </c>
      <c r="E73" s="104">
        <v>21929599.010000002</v>
      </c>
      <c r="F73" s="104">
        <v>7610935.0899999999</v>
      </c>
      <c r="G73" s="104">
        <v>17610552.300000001</v>
      </c>
      <c r="H73" s="104">
        <v>6828949.233</v>
      </c>
      <c r="I73" s="104">
        <v>4829074.443</v>
      </c>
    </row>
    <row r="74" spans="2:9">
      <c r="B74" s="102">
        <v>66</v>
      </c>
      <c r="C74" s="104">
        <v>15898617.68</v>
      </c>
      <c r="D74" s="104">
        <v>12995252.27</v>
      </c>
      <c r="E74" s="104">
        <v>17557146.050000001</v>
      </c>
      <c r="F74" s="104">
        <v>4321903.0290000001</v>
      </c>
      <c r="G74" s="104">
        <v>11899677.67</v>
      </c>
      <c r="H74" s="104">
        <v>54673.310140000001</v>
      </c>
      <c r="I74" s="104">
        <v>6027038.6950000003</v>
      </c>
    </row>
    <row r="75" spans="2:9">
      <c r="B75" s="102">
        <v>67</v>
      </c>
      <c r="C75" s="104">
        <v>27593957.91</v>
      </c>
      <c r="D75" s="104">
        <v>11944592.779999999</v>
      </c>
      <c r="E75" s="104">
        <v>8654163.4140000008</v>
      </c>
      <c r="F75" s="104">
        <v>1300933.3230000001</v>
      </c>
      <c r="G75" s="104">
        <v>7901273.7910000002</v>
      </c>
      <c r="H75" s="104">
        <v>-2479353.196</v>
      </c>
      <c r="I75" s="104">
        <v>6202061.2970000003</v>
      </c>
    </row>
    <row r="76" spans="2:9">
      <c r="B76" s="102">
        <v>68</v>
      </c>
      <c r="C76" s="104">
        <v>18009694.57</v>
      </c>
      <c r="D76" s="104">
        <v>19033974.739999998</v>
      </c>
      <c r="E76" s="104">
        <v>16789157.649999999</v>
      </c>
      <c r="F76" s="104">
        <v>19523308.27</v>
      </c>
      <c r="G76" s="104">
        <v>7793900.4510000004</v>
      </c>
      <c r="H76" s="104">
        <v>-3375405.65</v>
      </c>
      <c r="I76" s="104">
        <v>9928258.3239999991</v>
      </c>
    </row>
    <row r="77" spans="2:9">
      <c r="B77" s="102">
        <v>69</v>
      </c>
      <c r="C77" s="104">
        <v>26560108.82</v>
      </c>
      <c r="D77" s="104">
        <v>25591497.109999999</v>
      </c>
      <c r="E77" s="104">
        <v>7243794.9189999998</v>
      </c>
      <c r="F77" s="104">
        <v>4860160.6919999998</v>
      </c>
      <c r="G77" s="104">
        <v>14088192.98</v>
      </c>
      <c r="H77" s="104">
        <v>1988427.63</v>
      </c>
      <c r="I77" s="104">
        <v>96941.063399999999</v>
      </c>
    </row>
    <row r="78" spans="2:9">
      <c r="B78" s="102">
        <v>70</v>
      </c>
      <c r="C78" s="104">
        <v>23676117.68</v>
      </c>
      <c r="D78" s="104">
        <v>16987308.629999999</v>
      </c>
      <c r="E78" s="104">
        <v>11836933.23</v>
      </c>
      <c r="F78" s="104">
        <v>3932916.96</v>
      </c>
      <c r="G78" s="104">
        <v>13663943.380000001</v>
      </c>
      <c r="H78" s="104">
        <v>4502056.8830000004</v>
      </c>
      <c r="I78" s="104">
        <v>3576523.2110000001</v>
      </c>
    </row>
    <row r="79" spans="2:9">
      <c r="B79" s="102">
        <v>71</v>
      </c>
      <c r="C79" s="104">
        <v>13481188.75</v>
      </c>
      <c r="D79" s="104">
        <v>13739033.57</v>
      </c>
      <c r="E79" s="104">
        <v>14457011.199999999</v>
      </c>
      <c r="F79" s="104">
        <v>23429048.850000001</v>
      </c>
      <c r="G79" s="104">
        <v>9567521.7109999992</v>
      </c>
      <c r="H79" s="104">
        <v>8196563.3849999998</v>
      </c>
      <c r="I79" s="104">
        <v>-2098855.0950000002</v>
      </c>
    </row>
    <row r="80" spans="2:9">
      <c r="B80" s="102">
        <v>72</v>
      </c>
      <c r="C80" s="104">
        <v>17612904.350000001</v>
      </c>
      <c r="D80" s="104">
        <v>12786428.27</v>
      </c>
      <c r="E80" s="104">
        <v>5084008.159</v>
      </c>
      <c r="F80" s="104">
        <v>15759055.810000001</v>
      </c>
      <c r="G80" s="104">
        <v>-818437.83490000002</v>
      </c>
      <c r="H80" s="104">
        <v>10070287.869999999</v>
      </c>
      <c r="I80" s="104">
        <v>-5693234.415</v>
      </c>
    </row>
    <row r="81" spans="2:9">
      <c r="B81" s="102">
        <v>73</v>
      </c>
      <c r="C81" s="104">
        <v>20405570.25</v>
      </c>
      <c r="D81" s="104">
        <v>14841789.07</v>
      </c>
      <c r="E81" s="104">
        <v>6747900.324</v>
      </c>
      <c r="F81" s="104">
        <v>1321636.9639999999</v>
      </c>
      <c r="G81" s="104">
        <v>9097373.9480000008</v>
      </c>
      <c r="H81" s="104">
        <v>18029748.23</v>
      </c>
      <c r="I81" s="104">
        <v>13348532.130000001</v>
      </c>
    </row>
    <row r="82" spans="2:9">
      <c r="B82" s="102">
        <v>74</v>
      </c>
      <c r="C82" s="104">
        <v>22328308.760000002</v>
      </c>
      <c r="D82" s="104">
        <v>6693871.8150000004</v>
      </c>
      <c r="E82" s="104">
        <v>13121328.93</v>
      </c>
      <c r="F82" s="104">
        <v>14617426.07</v>
      </c>
      <c r="G82" s="104">
        <v>5372117.9069999997</v>
      </c>
      <c r="H82" s="104">
        <v>5129426.5650000004</v>
      </c>
      <c r="I82" s="104">
        <v>5838862.642</v>
      </c>
    </row>
    <row r="83" spans="2:9">
      <c r="B83" s="102">
        <v>75</v>
      </c>
      <c r="C83" s="104">
        <v>15689199.77</v>
      </c>
      <c r="D83" s="104">
        <v>12149630.380000001</v>
      </c>
      <c r="E83" s="104">
        <v>14767324.42</v>
      </c>
      <c r="F83" s="104">
        <v>13379891.91</v>
      </c>
      <c r="G83" s="104">
        <v>9005392.1569999997</v>
      </c>
      <c r="H83" s="104">
        <v>10851410.609999999</v>
      </c>
      <c r="I83" s="104">
        <v>-811402.89170000004</v>
      </c>
    </row>
    <row r="84" spans="2:9">
      <c r="B84" s="102">
        <v>76</v>
      </c>
      <c r="C84" s="104">
        <v>24883130.27</v>
      </c>
      <c r="D84" s="104">
        <v>16745927.01</v>
      </c>
      <c r="E84" s="104">
        <v>10806105.18</v>
      </c>
      <c r="F84" s="104">
        <v>5908827.267</v>
      </c>
      <c r="G84" s="104">
        <v>6023567.7989999996</v>
      </c>
      <c r="H84" s="104">
        <v>10431456.050000001</v>
      </c>
      <c r="I84" s="104">
        <v>-1787880.419</v>
      </c>
    </row>
    <row r="85" spans="2:9">
      <c r="B85" s="102">
        <v>77</v>
      </c>
      <c r="C85" s="104">
        <v>34085723.18</v>
      </c>
      <c r="D85" s="104">
        <v>13783841.24</v>
      </c>
      <c r="E85" s="104">
        <v>20339222.469999999</v>
      </c>
      <c r="F85" s="104">
        <v>18334059.879999999</v>
      </c>
      <c r="G85" s="104">
        <v>10514020.619999999</v>
      </c>
      <c r="H85" s="104">
        <v>7996547.4950000001</v>
      </c>
      <c r="I85" s="104">
        <v>10622672.890000001</v>
      </c>
    </row>
    <row r="86" spans="2:9">
      <c r="B86" s="102">
        <v>78</v>
      </c>
      <c r="C86" s="104">
        <v>18457071.75</v>
      </c>
      <c r="D86" s="104">
        <v>7565373.9699999997</v>
      </c>
      <c r="E86" s="104">
        <v>26259593.100000001</v>
      </c>
      <c r="F86" s="104">
        <v>6872546.6509999996</v>
      </c>
      <c r="G86" s="104">
        <v>6668332.6789999995</v>
      </c>
      <c r="H86" s="104">
        <v>2384115.0950000002</v>
      </c>
      <c r="I86" s="104">
        <v>-3016948.2179999999</v>
      </c>
    </row>
    <row r="87" spans="2:9">
      <c r="B87" s="102">
        <v>79</v>
      </c>
      <c r="C87" s="104">
        <v>9999970.1669999994</v>
      </c>
      <c r="D87" s="104">
        <v>20380488.34</v>
      </c>
      <c r="E87" s="104">
        <v>15828090.49</v>
      </c>
      <c r="F87" s="104">
        <v>10911644.960000001</v>
      </c>
      <c r="G87" s="104">
        <v>-973416.56409999996</v>
      </c>
      <c r="H87" s="104">
        <v>13354208.560000001</v>
      </c>
      <c r="I87" s="104">
        <v>16454661.529999999</v>
      </c>
    </row>
    <row r="88" spans="2:9">
      <c r="B88" s="102">
        <v>80</v>
      </c>
      <c r="C88" s="104">
        <v>14279652.640000001</v>
      </c>
      <c r="D88" s="104">
        <v>19039896.300000001</v>
      </c>
      <c r="E88" s="104">
        <v>15532615.4</v>
      </c>
      <c r="F88" s="104">
        <v>5021314.6169999996</v>
      </c>
      <c r="G88" s="104">
        <v>-8061937.0070000002</v>
      </c>
      <c r="H88" s="104">
        <v>6375889.7980000004</v>
      </c>
      <c r="I88" s="104">
        <v>12747480.130000001</v>
      </c>
    </row>
    <row r="89" spans="2:9">
      <c r="B89" s="102">
        <v>81</v>
      </c>
      <c r="C89" s="104">
        <v>25352503.370000001</v>
      </c>
      <c r="D89" s="104">
        <v>17721874.219999999</v>
      </c>
      <c r="E89" s="104">
        <v>11619376.23</v>
      </c>
      <c r="F89" s="104">
        <v>5512774.0429999996</v>
      </c>
      <c r="G89" s="104">
        <v>11225093.77</v>
      </c>
      <c r="H89" s="104">
        <v>952702.91460000002</v>
      </c>
      <c r="I89" s="104">
        <v>-1441561.544</v>
      </c>
    </row>
    <row r="90" spans="2:9">
      <c r="B90" s="102">
        <v>82</v>
      </c>
      <c r="C90" s="104">
        <v>15652472.199999999</v>
      </c>
      <c r="D90" s="104">
        <v>16615253.869999999</v>
      </c>
      <c r="E90" s="104">
        <v>21574280.760000002</v>
      </c>
      <c r="F90" s="104">
        <v>1904240.6880000001</v>
      </c>
      <c r="G90" s="104">
        <v>-3544162.199</v>
      </c>
      <c r="H90" s="104">
        <v>10680847.810000001</v>
      </c>
      <c r="I90" s="104">
        <v>4333142.9809999997</v>
      </c>
    </row>
    <row r="91" spans="2:9">
      <c r="B91" s="102">
        <v>83</v>
      </c>
      <c r="C91" s="104">
        <v>17296541.199999999</v>
      </c>
      <c r="D91" s="104">
        <v>18117675.59</v>
      </c>
      <c r="E91" s="104">
        <v>22859683.23</v>
      </c>
      <c r="F91" s="104">
        <v>3748723.5950000002</v>
      </c>
      <c r="G91" s="104">
        <v>6808061.3509999998</v>
      </c>
      <c r="H91" s="104">
        <v>11209415.07</v>
      </c>
      <c r="I91" s="104">
        <v>8946948.7149999999</v>
      </c>
    </row>
    <row r="92" spans="2:9">
      <c r="B92" s="102">
        <v>84</v>
      </c>
      <c r="C92" s="104">
        <v>25737473.07</v>
      </c>
      <c r="D92" s="104">
        <v>17405357.48</v>
      </c>
      <c r="E92" s="104">
        <v>13109313.82</v>
      </c>
      <c r="F92" s="104">
        <v>5603363.0489999996</v>
      </c>
      <c r="G92" s="104">
        <v>-48451.781499999997</v>
      </c>
      <c r="H92" s="104">
        <v>-353579.81540000002</v>
      </c>
      <c r="I92" s="104">
        <v>4983030.4720000001</v>
      </c>
    </row>
    <row r="93" spans="2:9">
      <c r="B93" s="102">
        <v>85</v>
      </c>
      <c r="C93" s="104">
        <v>23365676.079999998</v>
      </c>
      <c r="D93" s="104">
        <v>13774952.109999999</v>
      </c>
      <c r="E93" s="104">
        <v>12886559.33</v>
      </c>
      <c r="F93" s="104">
        <v>5942041.0240000002</v>
      </c>
      <c r="G93" s="104">
        <v>9945497.2630000003</v>
      </c>
      <c r="H93" s="104">
        <v>3520235.1069999998</v>
      </c>
      <c r="I93" s="104">
        <v>5799248.6359999999</v>
      </c>
    </row>
    <row r="94" spans="2:9">
      <c r="B94" s="102">
        <v>86</v>
      </c>
      <c r="C94" s="104">
        <v>29597310.84</v>
      </c>
      <c r="D94" s="104">
        <v>16535906.060000001</v>
      </c>
      <c r="E94" s="104">
        <v>15961581.66</v>
      </c>
      <c r="F94" s="104">
        <v>9977435.9519999996</v>
      </c>
      <c r="G94" s="104">
        <v>13189627.380000001</v>
      </c>
      <c r="H94" s="104">
        <v>-961409.18339999998</v>
      </c>
      <c r="I94" s="104">
        <v>9158421.2239999995</v>
      </c>
    </row>
    <row r="95" spans="2:9">
      <c r="B95" s="102">
        <v>87</v>
      </c>
      <c r="C95" s="104">
        <v>22887649.52</v>
      </c>
      <c r="D95" s="104">
        <v>10485382.300000001</v>
      </c>
      <c r="E95" s="104">
        <v>13124217.470000001</v>
      </c>
      <c r="F95" s="104">
        <v>18466220.350000001</v>
      </c>
      <c r="G95" s="104">
        <v>8922041.7530000005</v>
      </c>
      <c r="H95" s="104">
        <v>388763.75339999999</v>
      </c>
      <c r="I95" s="104">
        <v>16699118.130000001</v>
      </c>
    </row>
    <row r="96" spans="2:9">
      <c r="B96" s="102">
        <v>88</v>
      </c>
      <c r="C96" s="104">
        <v>20896466.850000001</v>
      </c>
      <c r="D96" s="104">
        <v>16505794.630000001</v>
      </c>
      <c r="E96" s="104">
        <v>15047109.310000001</v>
      </c>
      <c r="F96" s="104">
        <v>10169232.109999999</v>
      </c>
      <c r="G96" s="104">
        <v>12574603.109999999</v>
      </c>
      <c r="H96" s="104">
        <v>10735876.960000001</v>
      </c>
      <c r="I96" s="104">
        <v>-833260.32039999997</v>
      </c>
    </row>
    <row r="97" spans="2:9">
      <c r="B97" s="102">
        <v>89</v>
      </c>
      <c r="C97" s="104">
        <v>21362211.760000002</v>
      </c>
      <c r="D97" s="104">
        <v>25391248.82</v>
      </c>
      <c r="E97" s="104">
        <v>10458533.539999999</v>
      </c>
      <c r="F97" s="104">
        <v>11711763.84</v>
      </c>
      <c r="G97" s="104">
        <v>5823645.7520000003</v>
      </c>
      <c r="H97" s="104">
        <v>2427879.1850000001</v>
      </c>
      <c r="I97" s="104">
        <v>3107962.1039999998</v>
      </c>
    </row>
    <row r="98" spans="2:9">
      <c r="B98" s="102">
        <v>90</v>
      </c>
      <c r="C98" s="104">
        <v>21033607.129999999</v>
      </c>
      <c r="D98" s="104">
        <v>12061920.619999999</v>
      </c>
      <c r="E98" s="104">
        <v>19594760.219999999</v>
      </c>
      <c r="F98" s="104">
        <v>15537278.869999999</v>
      </c>
      <c r="G98" s="104">
        <v>18294060.41</v>
      </c>
      <c r="H98" s="104">
        <v>3392323.2009999999</v>
      </c>
      <c r="I98" s="104">
        <v>1111768.6170000001</v>
      </c>
    </row>
    <row r="99" spans="2:9">
      <c r="B99" s="102">
        <v>91</v>
      </c>
      <c r="C99" s="104">
        <v>24203985.719999999</v>
      </c>
      <c r="D99" s="104">
        <v>18044173.77</v>
      </c>
      <c r="E99" s="104">
        <v>15062149.109999999</v>
      </c>
      <c r="F99" s="104">
        <v>13720666.85</v>
      </c>
      <c r="G99" s="104">
        <v>4921034.0020000003</v>
      </c>
      <c r="H99" s="104">
        <v>25011773.100000001</v>
      </c>
      <c r="I99" s="104">
        <v>6566116.5439999998</v>
      </c>
    </row>
    <row r="100" spans="2:9">
      <c r="B100" s="102">
        <v>92</v>
      </c>
      <c r="C100" s="104">
        <v>23662882.579999998</v>
      </c>
      <c r="D100" s="104">
        <v>9724024.7850000001</v>
      </c>
      <c r="E100" s="104">
        <v>17653615.719999999</v>
      </c>
      <c r="F100" s="104">
        <v>-924088.48609999998</v>
      </c>
      <c r="G100" s="104">
        <v>21413323.989999998</v>
      </c>
      <c r="H100" s="104">
        <v>15821585.859999999</v>
      </c>
      <c r="I100" s="104">
        <v>-234705.1942</v>
      </c>
    </row>
    <row r="101" spans="2:9">
      <c r="B101" s="102">
        <v>93</v>
      </c>
      <c r="C101" s="104">
        <v>27352746.02</v>
      </c>
      <c r="D101" s="104">
        <v>11134500.76</v>
      </c>
      <c r="E101" s="104">
        <v>11290705.52</v>
      </c>
      <c r="F101" s="104">
        <v>9514385.3509999998</v>
      </c>
      <c r="G101" s="104">
        <v>14013516.15</v>
      </c>
      <c r="H101" s="104">
        <v>10344818.07</v>
      </c>
      <c r="I101" s="104">
        <v>2783834.0320000001</v>
      </c>
    </row>
    <row r="102" spans="2:9">
      <c r="B102" s="102">
        <v>94</v>
      </c>
      <c r="C102" s="104">
        <v>19058044.379999999</v>
      </c>
      <c r="D102" s="104">
        <v>26635987.829999998</v>
      </c>
      <c r="E102" s="104">
        <v>10519818.68</v>
      </c>
      <c r="F102" s="104">
        <v>19403860.449999999</v>
      </c>
      <c r="G102" s="104">
        <v>7052572.6749999998</v>
      </c>
      <c r="H102" s="104">
        <v>2151084.1170000001</v>
      </c>
      <c r="I102" s="104">
        <v>-12823899.49</v>
      </c>
    </row>
    <row r="103" spans="2:9">
      <c r="B103" s="102">
        <v>95</v>
      </c>
      <c r="C103" s="104">
        <v>9008410.3499999996</v>
      </c>
      <c r="D103" s="104">
        <v>14402682</v>
      </c>
      <c r="E103" s="104">
        <v>16451788.82</v>
      </c>
      <c r="F103" s="104">
        <v>6982801.1739999996</v>
      </c>
      <c r="G103" s="104">
        <v>1414795.064</v>
      </c>
      <c r="H103" s="104">
        <v>9053514.1280000005</v>
      </c>
      <c r="I103" s="104">
        <v>3914544.227</v>
      </c>
    </row>
    <row r="104" spans="2:9">
      <c r="B104" s="102">
        <v>96</v>
      </c>
      <c r="C104" s="104">
        <v>13471931.710000001</v>
      </c>
      <c r="D104" s="104">
        <v>18683647.760000002</v>
      </c>
      <c r="E104" s="104">
        <v>11217223.58</v>
      </c>
      <c r="F104" s="104">
        <v>18087396.719999999</v>
      </c>
      <c r="G104" s="104">
        <v>5700549.7419999996</v>
      </c>
      <c r="H104" s="104">
        <v>8609166.5280000009</v>
      </c>
      <c r="I104" s="104">
        <v>3025735.9330000002</v>
      </c>
    </row>
    <row r="105" spans="2:9">
      <c r="B105" s="102">
        <v>97</v>
      </c>
      <c r="C105" s="104">
        <v>7209258.4639999997</v>
      </c>
      <c r="D105" s="104">
        <v>13740019.73</v>
      </c>
      <c r="E105" s="104">
        <v>10079554.77</v>
      </c>
      <c r="F105" s="104">
        <v>7923008.7309999997</v>
      </c>
      <c r="G105" s="104">
        <v>47116.507400000002</v>
      </c>
      <c r="H105" s="104">
        <v>1473287.2879999999</v>
      </c>
      <c r="I105" s="104">
        <v>10303067.560000001</v>
      </c>
    </row>
    <row r="106" spans="2:9">
      <c r="B106" s="102">
        <v>98</v>
      </c>
      <c r="C106" s="104">
        <v>27049932.75</v>
      </c>
      <c r="D106" s="104">
        <v>5853778.6859999998</v>
      </c>
      <c r="E106" s="104">
        <v>8514217.8239999991</v>
      </c>
      <c r="F106" s="104">
        <v>-2151752.1529999999</v>
      </c>
      <c r="G106" s="104">
        <v>17024388.98</v>
      </c>
      <c r="H106" s="104">
        <v>1130585.439</v>
      </c>
      <c r="I106" s="104">
        <v>2302261.162</v>
      </c>
    </row>
    <row r="107" spans="2:9">
      <c r="B107" s="102">
        <v>99</v>
      </c>
      <c r="C107" s="104">
        <v>14171842.08</v>
      </c>
      <c r="D107" s="104">
        <v>3766621.9789999998</v>
      </c>
      <c r="E107" s="104">
        <v>19100046.32</v>
      </c>
      <c r="F107" s="104">
        <v>11364605.779999999</v>
      </c>
      <c r="G107" s="104">
        <v>2376158.81</v>
      </c>
      <c r="H107" s="104">
        <v>12171841.23</v>
      </c>
      <c r="I107" s="104">
        <v>-5315077.3059999999</v>
      </c>
    </row>
    <row r="108" spans="2:9">
      <c r="B108" s="102">
        <v>100</v>
      </c>
      <c r="C108" s="104">
        <v>18549064.690000001</v>
      </c>
      <c r="D108" s="104">
        <v>16534403.630000001</v>
      </c>
      <c r="E108" s="104">
        <v>16521060.449999999</v>
      </c>
      <c r="F108" s="104">
        <v>15364620.039999999</v>
      </c>
      <c r="G108" s="104">
        <v>6141946.432</v>
      </c>
      <c r="H108" s="104">
        <v>5184908.4620000003</v>
      </c>
      <c r="I108" s="104">
        <v>497639.11969999998</v>
      </c>
    </row>
    <row r="109" spans="2:9">
      <c r="B109" s="102">
        <v>101</v>
      </c>
      <c r="C109" s="104">
        <v>12966495</v>
      </c>
      <c r="D109" s="104">
        <v>14306232.84</v>
      </c>
      <c r="E109" s="104">
        <v>6929391.7189999996</v>
      </c>
      <c r="F109" s="104">
        <v>20370395.18</v>
      </c>
      <c r="G109" s="104">
        <v>15756710.59</v>
      </c>
      <c r="H109" s="104">
        <v>-1193182.9750000001</v>
      </c>
      <c r="I109" s="104">
        <v>5617668.3760000002</v>
      </c>
    </row>
    <row r="110" spans="2:9">
      <c r="B110" s="102">
        <v>102</v>
      </c>
      <c r="C110" s="104">
        <v>2301497.915</v>
      </c>
      <c r="D110" s="104">
        <v>7473315.0029999996</v>
      </c>
      <c r="E110" s="104">
        <v>1356300.044</v>
      </c>
      <c r="F110" s="104">
        <v>13750023.689999999</v>
      </c>
      <c r="G110" s="104">
        <v>13548011.57</v>
      </c>
      <c r="H110" s="104">
        <v>6151452.3499999996</v>
      </c>
      <c r="I110" s="104">
        <v>8708558.1669999994</v>
      </c>
    </row>
    <row r="111" spans="2:9">
      <c r="B111" s="102">
        <v>103</v>
      </c>
      <c r="C111" s="104">
        <v>24323301.809999999</v>
      </c>
      <c r="D111" s="104">
        <v>22285897.800000001</v>
      </c>
      <c r="E111" s="104">
        <v>19434581.620000001</v>
      </c>
      <c r="F111" s="104">
        <v>9322630.1549999993</v>
      </c>
      <c r="G111" s="104">
        <v>635609.08779999998</v>
      </c>
      <c r="H111" s="104">
        <v>10550129.710000001</v>
      </c>
      <c r="I111" s="104">
        <v>1260442.2009999999</v>
      </c>
    </row>
    <row r="112" spans="2:9">
      <c r="B112" s="102">
        <v>104</v>
      </c>
      <c r="C112" s="104">
        <v>16089974.49</v>
      </c>
      <c r="D112" s="104">
        <v>21219175.140000001</v>
      </c>
      <c r="E112" s="104">
        <v>18586766.02</v>
      </c>
      <c r="F112" s="104">
        <v>16454358.359999999</v>
      </c>
      <c r="G112" s="104">
        <v>16514345.630000001</v>
      </c>
      <c r="H112" s="104">
        <v>6454287.8200000003</v>
      </c>
      <c r="I112" s="104">
        <v>11540006.380000001</v>
      </c>
    </row>
    <row r="113" spans="2:9">
      <c r="B113" s="102">
        <v>105</v>
      </c>
      <c r="C113" s="104">
        <v>18968893.079999998</v>
      </c>
      <c r="D113" s="104">
        <v>8483424.4330000002</v>
      </c>
      <c r="E113" s="104">
        <v>9728197.966</v>
      </c>
      <c r="F113" s="104">
        <v>23587583.649999999</v>
      </c>
      <c r="G113" s="104">
        <v>4134680.5180000002</v>
      </c>
      <c r="H113" s="104">
        <v>16721135.640000001</v>
      </c>
      <c r="I113" s="104">
        <v>7468723.1129999999</v>
      </c>
    </row>
    <row r="114" spans="2:9">
      <c r="B114" s="102">
        <v>106</v>
      </c>
      <c r="C114" s="104">
        <v>16146508.76</v>
      </c>
      <c r="D114" s="104">
        <v>7929212.5499999998</v>
      </c>
      <c r="E114" s="104">
        <v>-4571379.091</v>
      </c>
      <c r="F114" s="104">
        <v>5475545.8710000003</v>
      </c>
      <c r="G114" s="104">
        <v>7109971.3820000002</v>
      </c>
      <c r="H114" s="104">
        <v>14192929.960000001</v>
      </c>
      <c r="I114" s="104">
        <v>2173936.227</v>
      </c>
    </row>
    <row r="115" spans="2:9">
      <c r="B115" s="102">
        <v>107</v>
      </c>
      <c r="C115" s="104">
        <v>10226801.9</v>
      </c>
      <c r="D115" s="104">
        <v>12875674.75</v>
      </c>
      <c r="E115" s="104">
        <v>8739543.2569999993</v>
      </c>
      <c r="F115" s="104">
        <v>17804330.579999998</v>
      </c>
      <c r="G115" s="104">
        <v>14567568.15</v>
      </c>
      <c r="H115" s="104">
        <v>5465934.8109999998</v>
      </c>
      <c r="I115" s="104">
        <v>8994100.6030000001</v>
      </c>
    </row>
    <row r="116" spans="2:9">
      <c r="B116" s="102">
        <v>108</v>
      </c>
      <c r="C116" s="104">
        <v>16818308.489999998</v>
      </c>
      <c r="D116" s="104">
        <v>19164928.350000001</v>
      </c>
      <c r="E116" s="104">
        <v>14269048.34</v>
      </c>
      <c r="F116" s="104">
        <v>6320823.0460000001</v>
      </c>
      <c r="G116" s="104">
        <v>4118638.3059999999</v>
      </c>
      <c r="H116" s="104">
        <v>5149615.7290000003</v>
      </c>
      <c r="I116" s="104">
        <v>4935996.835</v>
      </c>
    </row>
    <row r="117" spans="2:9">
      <c r="B117" s="102">
        <v>109</v>
      </c>
      <c r="C117" s="104">
        <v>15827221.130000001</v>
      </c>
      <c r="D117" s="104">
        <v>13024835.34</v>
      </c>
      <c r="E117" s="104">
        <v>13929720.039999999</v>
      </c>
      <c r="F117" s="104">
        <v>3394438.926</v>
      </c>
      <c r="G117" s="104">
        <v>7197217.5750000002</v>
      </c>
      <c r="H117" s="104">
        <v>-362434.14620000002</v>
      </c>
      <c r="I117" s="104">
        <v>1450944.35</v>
      </c>
    </row>
    <row r="118" spans="2:9">
      <c r="B118" s="102">
        <v>110</v>
      </c>
      <c r="C118" s="104">
        <v>21111356.719999999</v>
      </c>
      <c r="D118" s="104">
        <v>15345141.699999999</v>
      </c>
      <c r="E118" s="104">
        <v>9569897.9389999993</v>
      </c>
      <c r="F118" s="104">
        <v>8835256.1579999998</v>
      </c>
      <c r="G118" s="104">
        <v>9864972.8340000007</v>
      </c>
      <c r="H118" s="104">
        <v>9808335.0480000004</v>
      </c>
      <c r="I118" s="104">
        <v>17944539.260000002</v>
      </c>
    </row>
    <row r="119" spans="2:9">
      <c r="B119" s="102">
        <v>111</v>
      </c>
      <c r="C119" s="104">
        <v>16469269.539999999</v>
      </c>
      <c r="D119" s="104">
        <v>19092877.510000002</v>
      </c>
      <c r="E119" s="104">
        <v>10407721.130000001</v>
      </c>
      <c r="F119" s="104">
        <v>7329314.8310000002</v>
      </c>
      <c r="G119" s="104">
        <v>14182105.970000001</v>
      </c>
      <c r="H119" s="104">
        <v>16578300.789999999</v>
      </c>
      <c r="I119" s="104">
        <v>7245157.5499999998</v>
      </c>
    </row>
    <row r="120" spans="2:9">
      <c r="B120" s="102">
        <v>112</v>
      </c>
      <c r="C120" s="104">
        <v>31505695.100000001</v>
      </c>
      <c r="D120" s="104">
        <v>8374877.3949999996</v>
      </c>
      <c r="E120" s="104">
        <v>13394081.17</v>
      </c>
      <c r="F120" s="104">
        <v>5484721.7170000002</v>
      </c>
      <c r="G120" s="104">
        <v>3146722.2949999999</v>
      </c>
      <c r="H120" s="104">
        <v>2827985.5529999998</v>
      </c>
      <c r="I120" s="104">
        <v>9859136.4550000001</v>
      </c>
    </row>
    <row r="121" spans="2:9">
      <c r="B121" s="102">
        <v>113</v>
      </c>
      <c r="C121" s="104">
        <v>22837699.199999999</v>
      </c>
      <c r="D121" s="104">
        <v>5042610.8890000004</v>
      </c>
      <c r="E121" s="104">
        <v>23565880</v>
      </c>
      <c r="F121" s="104">
        <v>11999752.85</v>
      </c>
      <c r="G121" s="104">
        <v>11440225.640000001</v>
      </c>
      <c r="H121" s="104">
        <v>6785151.5310000004</v>
      </c>
      <c r="I121" s="104">
        <v>10110999.84</v>
      </c>
    </row>
    <row r="122" spans="2:9">
      <c r="B122" s="102">
        <v>114</v>
      </c>
      <c r="C122" s="104">
        <v>21467309.559999999</v>
      </c>
      <c r="D122" s="104">
        <v>9687540.3540000003</v>
      </c>
      <c r="E122" s="104">
        <v>20802675.620000001</v>
      </c>
      <c r="F122" s="104">
        <v>7852598.0130000003</v>
      </c>
      <c r="G122" s="104">
        <v>5111750.0290000001</v>
      </c>
      <c r="H122" s="104">
        <v>2441209.2050000001</v>
      </c>
      <c r="I122" s="104">
        <v>9036059.4419999998</v>
      </c>
    </row>
    <row r="123" spans="2:9">
      <c r="B123" s="102">
        <v>115</v>
      </c>
      <c r="C123" s="104">
        <v>30142691.73</v>
      </c>
      <c r="D123" s="104">
        <v>11717013.960000001</v>
      </c>
      <c r="E123" s="104">
        <v>13617889.4</v>
      </c>
      <c r="F123" s="104">
        <v>5011026.9939999999</v>
      </c>
      <c r="G123" s="104">
        <v>23238222.609999999</v>
      </c>
      <c r="H123" s="104">
        <v>13072745.92</v>
      </c>
      <c r="I123" s="104">
        <v>8518458.4480000008</v>
      </c>
    </row>
    <row r="124" spans="2:9">
      <c r="B124" s="102">
        <v>116</v>
      </c>
      <c r="C124" s="104">
        <v>19433162.890000001</v>
      </c>
      <c r="D124" s="104">
        <v>7434961.3030000003</v>
      </c>
      <c r="E124" s="104">
        <v>13555019.109999999</v>
      </c>
      <c r="F124" s="104">
        <v>8841233.8839999996</v>
      </c>
      <c r="G124" s="104">
        <v>12210013.33</v>
      </c>
      <c r="H124" s="104">
        <v>11799193.77</v>
      </c>
      <c r="I124" s="104">
        <v>9997126.5380000006</v>
      </c>
    </row>
    <row r="125" spans="2:9">
      <c r="B125" s="102">
        <v>117</v>
      </c>
      <c r="C125" s="104">
        <v>15826680.92</v>
      </c>
      <c r="D125" s="104">
        <v>12530905.82</v>
      </c>
      <c r="E125" s="104">
        <v>13078935.09</v>
      </c>
      <c r="F125" s="104">
        <v>13942586.939999999</v>
      </c>
      <c r="G125" s="104">
        <v>11871379.720000001</v>
      </c>
      <c r="H125" s="104">
        <v>16810908.25</v>
      </c>
      <c r="I125" s="104">
        <v>9141686.0189999994</v>
      </c>
    </row>
    <row r="126" spans="2:9">
      <c r="B126" s="102">
        <v>118</v>
      </c>
      <c r="C126" s="104">
        <v>10534246.57</v>
      </c>
      <c r="D126" s="104">
        <v>24138045.84</v>
      </c>
      <c r="E126" s="104">
        <v>26774767.48</v>
      </c>
      <c r="F126" s="104">
        <v>20078055.489999998</v>
      </c>
      <c r="G126" s="104">
        <v>5466634.898</v>
      </c>
      <c r="H126" s="104">
        <v>12856045.960000001</v>
      </c>
      <c r="I126" s="104">
        <v>12337206.83</v>
      </c>
    </row>
    <row r="127" spans="2:9">
      <c r="B127" s="102">
        <v>119</v>
      </c>
      <c r="C127" s="104">
        <v>22377567.039999999</v>
      </c>
      <c r="D127" s="104">
        <v>8891271.6449999996</v>
      </c>
      <c r="E127" s="104">
        <v>9079034.3570000008</v>
      </c>
      <c r="F127" s="104">
        <v>7373398.7709999997</v>
      </c>
      <c r="G127" s="104">
        <v>8313699.9869999997</v>
      </c>
      <c r="H127" s="104">
        <v>6203714.0889999997</v>
      </c>
      <c r="I127" s="104">
        <v>2632266.5320000001</v>
      </c>
    </row>
    <row r="128" spans="2:9">
      <c r="B128" s="102">
        <v>120</v>
      </c>
      <c r="C128" s="104">
        <v>7074575.4299999997</v>
      </c>
      <c r="D128" s="104">
        <v>18596652.199999999</v>
      </c>
      <c r="E128" s="104">
        <v>23225604.5</v>
      </c>
      <c r="F128" s="104">
        <v>10889972.92</v>
      </c>
      <c r="G128" s="104">
        <v>4480188.2419999996</v>
      </c>
      <c r="H128" s="104">
        <v>17471969.82</v>
      </c>
      <c r="I128" s="104">
        <v>810409.62860000005</v>
      </c>
    </row>
    <row r="129" spans="2:9">
      <c r="B129" s="102">
        <v>121</v>
      </c>
      <c r="C129" s="104">
        <v>18594606.109999999</v>
      </c>
      <c r="D129" s="104">
        <v>14522762.99</v>
      </c>
      <c r="E129" s="104">
        <v>28180957.09</v>
      </c>
      <c r="F129" s="104">
        <v>5605636.2489999998</v>
      </c>
      <c r="G129" s="104">
        <v>21028230.530000001</v>
      </c>
      <c r="H129" s="104">
        <v>13221778.130000001</v>
      </c>
      <c r="I129" s="104">
        <v>1268674.4539999999</v>
      </c>
    </row>
    <row r="130" spans="2:9">
      <c r="B130" s="102">
        <v>122</v>
      </c>
      <c r="C130" s="104">
        <v>23803334.559999999</v>
      </c>
      <c r="D130" s="104">
        <v>8352965.4939999999</v>
      </c>
      <c r="E130" s="104">
        <v>18686064.02</v>
      </c>
      <c r="F130" s="104">
        <v>12975412.24</v>
      </c>
      <c r="G130" s="104">
        <v>6529236.8229999999</v>
      </c>
      <c r="H130" s="104">
        <v>-3034268.3119999999</v>
      </c>
      <c r="I130" s="104">
        <v>4038124.1120000002</v>
      </c>
    </row>
    <row r="131" spans="2:9">
      <c r="B131" s="102">
        <v>123</v>
      </c>
      <c r="C131" s="104">
        <v>14058730.51</v>
      </c>
      <c r="D131" s="104">
        <v>14826102.25</v>
      </c>
      <c r="E131" s="104">
        <v>3006133.102</v>
      </c>
      <c r="F131" s="104">
        <v>11361458.42</v>
      </c>
      <c r="G131" s="104">
        <v>1113009.2990000001</v>
      </c>
      <c r="H131" s="104">
        <v>7855959.2259999998</v>
      </c>
      <c r="I131" s="104">
        <v>13243029.02</v>
      </c>
    </row>
    <row r="132" spans="2:9">
      <c r="B132" s="102">
        <v>124</v>
      </c>
      <c r="C132" s="104">
        <v>22171230.379999999</v>
      </c>
      <c r="D132" s="104">
        <v>8338432.4019999998</v>
      </c>
      <c r="E132" s="104">
        <v>19267637.710000001</v>
      </c>
      <c r="F132" s="104">
        <v>4273012.9840000002</v>
      </c>
      <c r="G132" s="104">
        <v>6634411.8439999996</v>
      </c>
      <c r="H132" s="104">
        <v>7595670.9749999996</v>
      </c>
      <c r="I132" s="104">
        <v>5636214.4390000002</v>
      </c>
    </row>
    <row r="133" spans="2:9">
      <c r="B133" s="102">
        <v>125</v>
      </c>
      <c r="C133" s="104">
        <v>13555060.43</v>
      </c>
      <c r="D133" s="104">
        <v>21563445.07</v>
      </c>
      <c r="E133" s="104">
        <v>11986306.66</v>
      </c>
      <c r="F133" s="104">
        <v>1785402.398</v>
      </c>
      <c r="G133" s="104">
        <v>18612991.02</v>
      </c>
      <c r="H133" s="104">
        <v>9189010.7630000003</v>
      </c>
      <c r="I133" s="104">
        <v>9583389.7750000004</v>
      </c>
    </row>
    <row r="134" spans="2:9">
      <c r="B134" s="102">
        <v>126</v>
      </c>
      <c r="C134" s="104">
        <v>20365322.260000002</v>
      </c>
      <c r="D134" s="104">
        <v>12898913.390000001</v>
      </c>
      <c r="E134" s="104">
        <v>20130699.82</v>
      </c>
      <c r="F134" s="104">
        <v>6569141.9390000002</v>
      </c>
      <c r="G134" s="104">
        <v>14880920.359999999</v>
      </c>
      <c r="H134" s="104">
        <v>6300217.6770000001</v>
      </c>
      <c r="I134" s="104">
        <v>9055217.5920000002</v>
      </c>
    </row>
    <row r="135" spans="2:9">
      <c r="B135" s="102">
        <v>127</v>
      </c>
      <c r="C135" s="104">
        <v>20420064.079999998</v>
      </c>
      <c r="D135" s="104">
        <v>-1534097.3219999999</v>
      </c>
      <c r="E135" s="104">
        <v>20614016.629999999</v>
      </c>
      <c r="F135" s="104">
        <v>20282841.899999999</v>
      </c>
      <c r="G135" s="104">
        <v>8282848.0920000002</v>
      </c>
      <c r="H135" s="104">
        <v>2531053.0010000002</v>
      </c>
      <c r="I135" s="104">
        <v>6954.7481630000002</v>
      </c>
    </row>
    <row r="136" spans="2:9">
      <c r="B136" s="102">
        <v>128</v>
      </c>
      <c r="C136" s="104">
        <v>28581954.350000001</v>
      </c>
      <c r="D136" s="104">
        <v>23175505.77</v>
      </c>
      <c r="E136" s="104">
        <v>10073334.98</v>
      </c>
      <c r="F136" s="104">
        <v>14306704.42</v>
      </c>
      <c r="G136" s="104">
        <v>2220126.287</v>
      </c>
      <c r="H136" s="104">
        <v>7835848.4759999998</v>
      </c>
      <c r="I136" s="104">
        <v>9614396.0010000002</v>
      </c>
    </row>
    <row r="137" spans="2:9">
      <c r="B137" s="102">
        <v>129</v>
      </c>
      <c r="C137" s="104">
        <v>11513840.82</v>
      </c>
      <c r="D137" s="104">
        <v>20123420.32</v>
      </c>
      <c r="E137" s="104">
        <v>13315935.810000001</v>
      </c>
      <c r="F137" s="104">
        <v>19445239.109999999</v>
      </c>
      <c r="G137" s="104">
        <v>9393203.182</v>
      </c>
      <c r="H137" s="104">
        <v>15391520.699999999</v>
      </c>
      <c r="I137" s="104">
        <v>4747561.8310000002</v>
      </c>
    </row>
    <row r="138" spans="2:9">
      <c r="B138" s="102">
        <v>130</v>
      </c>
      <c r="C138" s="104">
        <v>13914546.24</v>
      </c>
      <c r="D138" s="104">
        <v>28128493.859999999</v>
      </c>
      <c r="E138" s="104">
        <v>10738746.5</v>
      </c>
      <c r="F138" s="104">
        <v>4842706.4790000003</v>
      </c>
      <c r="G138" s="104">
        <v>18705036.82</v>
      </c>
      <c r="H138" s="104">
        <v>3497284.676</v>
      </c>
      <c r="I138" s="104">
        <v>9970838.1559999995</v>
      </c>
    </row>
    <row r="139" spans="2:9">
      <c r="B139" s="102">
        <v>131</v>
      </c>
      <c r="C139" s="104">
        <v>12332498.310000001</v>
      </c>
      <c r="D139" s="104">
        <v>23786171.460000001</v>
      </c>
      <c r="E139" s="104">
        <v>23268384.18</v>
      </c>
      <c r="F139" s="104">
        <v>7010003.3940000003</v>
      </c>
      <c r="G139" s="104">
        <v>5470482.4340000004</v>
      </c>
      <c r="H139" s="104">
        <v>4318317.0839999998</v>
      </c>
      <c r="I139" s="104">
        <v>7680986.0590000004</v>
      </c>
    </row>
    <row r="140" spans="2:9">
      <c r="B140" s="102">
        <v>132</v>
      </c>
      <c r="C140" s="104">
        <v>21691417.43</v>
      </c>
      <c r="D140" s="104">
        <v>14131827.52</v>
      </c>
      <c r="E140" s="104">
        <v>7251230.5039999997</v>
      </c>
      <c r="F140" s="104">
        <v>19089088.440000001</v>
      </c>
      <c r="G140" s="104">
        <v>8400274.1950000003</v>
      </c>
      <c r="H140" s="104">
        <v>5843246.0800000001</v>
      </c>
      <c r="I140" s="104">
        <v>-5015265.6579999998</v>
      </c>
    </row>
    <row r="141" spans="2:9">
      <c r="B141" s="102">
        <v>133</v>
      </c>
      <c r="C141" s="104">
        <v>18936344.670000002</v>
      </c>
      <c r="D141" s="104">
        <v>17252627.960000001</v>
      </c>
      <c r="E141" s="104">
        <v>13004109.07</v>
      </c>
      <c r="F141" s="104">
        <v>1213771.274</v>
      </c>
      <c r="G141" s="104">
        <v>8527524.0920000002</v>
      </c>
      <c r="H141" s="104">
        <v>2285499.5410000002</v>
      </c>
      <c r="I141" s="104">
        <v>6257899.1739999996</v>
      </c>
    </row>
    <row r="142" spans="2:9">
      <c r="B142" s="102">
        <v>134</v>
      </c>
      <c r="C142" s="104">
        <v>20469138.850000001</v>
      </c>
      <c r="D142" s="104">
        <v>15929409.83</v>
      </c>
      <c r="E142" s="104">
        <v>19225089.829999998</v>
      </c>
      <c r="F142" s="104">
        <v>4245241.9639999997</v>
      </c>
      <c r="G142" s="104">
        <v>2367002.4339999999</v>
      </c>
      <c r="H142" s="104">
        <v>11497229.23</v>
      </c>
      <c r="I142" s="104">
        <v>3751322.2149999999</v>
      </c>
    </row>
    <row r="143" spans="2:9">
      <c r="B143" s="102">
        <v>135</v>
      </c>
      <c r="C143" s="104">
        <v>-3955557.7259999998</v>
      </c>
      <c r="D143" s="104">
        <v>18418585.010000002</v>
      </c>
      <c r="E143" s="104">
        <v>7869346.9630000005</v>
      </c>
      <c r="F143" s="104">
        <v>6759844.2810000004</v>
      </c>
      <c r="G143" s="104">
        <v>-1488768.5330000001</v>
      </c>
      <c r="H143" s="104">
        <v>12583570.289999999</v>
      </c>
      <c r="I143" s="104">
        <v>10448259.59</v>
      </c>
    </row>
    <row r="144" spans="2:9">
      <c r="B144" s="102">
        <v>136</v>
      </c>
      <c r="C144" s="104">
        <v>16334243.17</v>
      </c>
      <c r="D144" s="104">
        <v>10782823.4</v>
      </c>
      <c r="E144" s="104">
        <v>28992166.859999999</v>
      </c>
      <c r="F144" s="104">
        <v>8802614.7290000003</v>
      </c>
      <c r="G144" s="104">
        <v>7039725.3789999997</v>
      </c>
      <c r="H144" s="104">
        <v>4013630.1239999998</v>
      </c>
      <c r="I144" s="104">
        <v>10436539.4</v>
      </c>
    </row>
    <row r="145" spans="2:9">
      <c r="B145" s="102">
        <v>137</v>
      </c>
      <c r="C145" s="104">
        <v>18889743.719999999</v>
      </c>
      <c r="D145" s="104">
        <v>16864678.84</v>
      </c>
      <c r="E145" s="104">
        <v>27244663.050000001</v>
      </c>
      <c r="F145" s="104">
        <v>16582475.33</v>
      </c>
      <c r="G145" s="104">
        <v>13130130.49</v>
      </c>
      <c r="H145" s="104">
        <v>14516501.220000001</v>
      </c>
      <c r="I145" s="104">
        <v>-4107135.9530000002</v>
      </c>
    </row>
    <row r="146" spans="2:9">
      <c r="B146" s="102">
        <v>138</v>
      </c>
      <c r="C146" s="104">
        <v>19760034.399999999</v>
      </c>
      <c r="D146" s="104">
        <v>26713673.649999999</v>
      </c>
      <c r="E146" s="104">
        <v>5752896.2410000004</v>
      </c>
      <c r="F146" s="104">
        <v>11490454.039999999</v>
      </c>
      <c r="G146" s="104">
        <v>2957622.4019999998</v>
      </c>
      <c r="H146" s="104">
        <v>1658604.189</v>
      </c>
      <c r="I146" s="104">
        <v>2640088.7919999999</v>
      </c>
    </row>
    <row r="147" spans="2:9">
      <c r="B147" s="102">
        <v>139</v>
      </c>
      <c r="C147" s="104">
        <v>29801969.23</v>
      </c>
      <c r="D147" s="104">
        <v>19611516.940000001</v>
      </c>
      <c r="E147" s="104">
        <v>25134434.890000001</v>
      </c>
      <c r="F147" s="104">
        <v>-2083936.0730000001</v>
      </c>
      <c r="G147" s="104">
        <v>-1177477.929</v>
      </c>
      <c r="H147" s="104">
        <v>3571553.35</v>
      </c>
      <c r="I147" s="104">
        <v>1275808.1980000001</v>
      </c>
    </row>
    <row r="148" spans="2:9">
      <c r="B148" s="102">
        <v>140</v>
      </c>
      <c r="C148" s="104">
        <v>10586102.1</v>
      </c>
      <c r="D148" s="104">
        <v>14698842.039999999</v>
      </c>
      <c r="E148" s="104">
        <v>17494797.030000001</v>
      </c>
      <c r="F148" s="104">
        <v>19166025.670000002</v>
      </c>
      <c r="G148" s="104">
        <v>3768454.5430000001</v>
      </c>
      <c r="H148" s="104">
        <v>6267201.5209999997</v>
      </c>
      <c r="I148" s="104">
        <v>5387995.9910000004</v>
      </c>
    </row>
    <row r="149" spans="2:9">
      <c r="B149" s="102">
        <v>141</v>
      </c>
      <c r="C149" s="104">
        <v>11895632.16</v>
      </c>
      <c r="D149" s="104">
        <v>4517828.4639999997</v>
      </c>
      <c r="E149" s="104">
        <v>34403114.049999997</v>
      </c>
      <c r="F149" s="104">
        <v>7468564.7759999996</v>
      </c>
      <c r="G149" s="104">
        <v>5185115.2010000004</v>
      </c>
      <c r="H149" s="104">
        <v>8780390.3690000009</v>
      </c>
      <c r="I149" s="104">
        <v>4673708.1550000003</v>
      </c>
    </row>
    <row r="150" spans="2:9">
      <c r="B150" s="102">
        <v>142</v>
      </c>
      <c r="C150" s="104">
        <v>17830024.199999999</v>
      </c>
      <c r="D150" s="104">
        <v>12752082.67</v>
      </c>
      <c r="E150" s="104">
        <v>17694600.859999999</v>
      </c>
      <c r="F150" s="104">
        <v>19889508.34</v>
      </c>
      <c r="G150" s="104">
        <v>7974327.4299999997</v>
      </c>
      <c r="H150" s="104">
        <v>4382355.1679999996</v>
      </c>
      <c r="I150" s="104">
        <v>-1166459.5379999999</v>
      </c>
    </row>
    <row r="151" spans="2:9">
      <c r="B151" s="102">
        <v>143</v>
      </c>
      <c r="C151" s="104">
        <v>15051022.390000001</v>
      </c>
      <c r="D151" s="104">
        <v>4095744.2969999998</v>
      </c>
      <c r="E151" s="104">
        <v>3805147.5049999999</v>
      </c>
      <c r="F151" s="104">
        <v>4627578.9610000001</v>
      </c>
      <c r="G151" s="104">
        <v>13086134.16</v>
      </c>
      <c r="H151" s="104">
        <v>6859690.2369999997</v>
      </c>
      <c r="I151" s="104">
        <v>9015732.8619999997</v>
      </c>
    </row>
    <row r="152" spans="2:9">
      <c r="B152" s="102">
        <v>144</v>
      </c>
      <c r="C152" s="104">
        <v>15488245.869999999</v>
      </c>
      <c r="D152" s="104">
        <v>20039851.800000001</v>
      </c>
      <c r="E152" s="104">
        <v>-194386.8634</v>
      </c>
      <c r="F152" s="104">
        <v>4995118.4709999999</v>
      </c>
      <c r="G152" s="104">
        <v>18112356.48</v>
      </c>
      <c r="H152" s="104">
        <v>10365318.33</v>
      </c>
      <c r="I152" s="104">
        <v>9575772.0899999999</v>
      </c>
    </row>
    <row r="153" spans="2:9">
      <c r="B153" s="102">
        <v>145</v>
      </c>
      <c r="C153" s="104">
        <v>12904908.710000001</v>
      </c>
      <c r="D153" s="104">
        <v>18197796.969999999</v>
      </c>
      <c r="E153" s="104">
        <v>8000664.9859999996</v>
      </c>
      <c r="F153" s="104">
        <v>16929159.449999999</v>
      </c>
      <c r="G153" s="104">
        <v>18122176.809999999</v>
      </c>
      <c r="H153" s="104">
        <v>10609306.060000001</v>
      </c>
      <c r="I153" s="104">
        <v>-1970930.956</v>
      </c>
    </row>
    <row r="154" spans="2:9">
      <c r="B154" s="102">
        <v>146</v>
      </c>
      <c r="C154" s="104">
        <v>21284136.77</v>
      </c>
      <c r="D154" s="104">
        <v>23768899.43</v>
      </c>
      <c r="E154" s="104">
        <v>22679346.399999999</v>
      </c>
      <c r="F154" s="104">
        <v>3569527.344</v>
      </c>
      <c r="G154" s="104">
        <v>8141740.0930000003</v>
      </c>
      <c r="H154" s="104">
        <v>2058262.4720000001</v>
      </c>
      <c r="I154" s="104">
        <v>5920422.3119999999</v>
      </c>
    </row>
    <row r="155" spans="2:9">
      <c r="B155" s="102">
        <v>147</v>
      </c>
      <c r="C155" s="104">
        <v>25323637</v>
      </c>
      <c r="D155" s="104">
        <v>19707397.77</v>
      </c>
      <c r="E155" s="104">
        <v>17292372</v>
      </c>
      <c r="F155" s="104">
        <v>23023183.260000002</v>
      </c>
      <c r="G155" s="104">
        <v>9416076.8939999994</v>
      </c>
      <c r="H155" s="104">
        <v>9348630.2970000003</v>
      </c>
      <c r="I155" s="104">
        <v>2168065.963</v>
      </c>
    </row>
    <row r="156" spans="2:9">
      <c r="B156" s="102">
        <v>148</v>
      </c>
      <c r="C156" s="104">
        <v>13669102.699999999</v>
      </c>
      <c r="D156" s="104">
        <v>31483287.030000001</v>
      </c>
      <c r="E156" s="104">
        <v>10613521.09</v>
      </c>
      <c r="F156" s="104">
        <v>9742402.4639999997</v>
      </c>
      <c r="G156" s="104">
        <v>15175706.83</v>
      </c>
      <c r="H156" s="104">
        <v>8193064.2249999996</v>
      </c>
      <c r="I156" s="104">
        <v>13256618.85</v>
      </c>
    </row>
    <row r="157" spans="2:9">
      <c r="B157" s="102">
        <v>149</v>
      </c>
      <c r="C157" s="104">
        <v>15207968.359999999</v>
      </c>
      <c r="D157" s="104">
        <v>12650722.970000001</v>
      </c>
      <c r="E157" s="104">
        <v>7296558.6540000001</v>
      </c>
      <c r="F157" s="104">
        <v>8895334.9609999992</v>
      </c>
      <c r="G157" s="104">
        <v>10587482.26</v>
      </c>
      <c r="H157" s="104">
        <v>17013887.420000002</v>
      </c>
      <c r="I157" s="104">
        <v>7871263.6330000004</v>
      </c>
    </row>
    <row r="158" spans="2:9">
      <c r="B158" s="102">
        <v>150</v>
      </c>
      <c r="C158" s="104">
        <v>16372893.970000001</v>
      </c>
      <c r="D158" s="104">
        <v>8095924.3289999999</v>
      </c>
      <c r="E158" s="104">
        <v>9878574.5610000007</v>
      </c>
      <c r="F158" s="104">
        <v>16747573.220000001</v>
      </c>
      <c r="G158" s="104">
        <v>9208380.9030000009</v>
      </c>
      <c r="H158" s="104">
        <v>7651857.1459999997</v>
      </c>
      <c r="I158" s="104">
        <v>-1052803.443</v>
      </c>
    </row>
    <row r="159" spans="2:9">
      <c r="B159" s="102">
        <v>151</v>
      </c>
      <c r="C159" s="104">
        <v>18095144.57</v>
      </c>
      <c r="D159" s="104">
        <v>15505313.189999999</v>
      </c>
      <c r="E159" s="104">
        <v>17487309.690000001</v>
      </c>
      <c r="F159" s="104">
        <v>18385911.359999999</v>
      </c>
      <c r="G159" s="104">
        <v>4475788.6059999997</v>
      </c>
      <c r="H159" s="104">
        <v>4937102.9680000003</v>
      </c>
      <c r="I159" s="104">
        <v>9062242.9700000007</v>
      </c>
    </row>
    <row r="160" spans="2:9">
      <c r="B160" s="102">
        <v>152</v>
      </c>
      <c r="C160" s="104">
        <v>21108104.920000002</v>
      </c>
      <c r="D160" s="104">
        <v>15892203.34</v>
      </c>
      <c r="E160" s="104">
        <v>15309699.699999999</v>
      </c>
      <c r="F160" s="104">
        <v>18364761.34</v>
      </c>
      <c r="G160" s="104">
        <v>6085957.6059999997</v>
      </c>
      <c r="H160" s="104">
        <v>11359516.77</v>
      </c>
      <c r="I160" s="104">
        <v>935543.9915</v>
      </c>
    </row>
    <row r="161" spans="2:9">
      <c r="B161" s="102">
        <v>153</v>
      </c>
      <c r="C161" s="104">
        <v>14090185.17</v>
      </c>
      <c r="D161" s="104">
        <v>13109771.810000001</v>
      </c>
      <c r="E161" s="104">
        <v>23592283.370000001</v>
      </c>
      <c r="F161" s="104">
        <v>9723468.4829999991</v>
      </c>
      <c r="G161" s="104">
        <v>14428776.52</v>
      </c>
      <c r="H161" s="104">
        <v>11267831.529999999</v>
      </c>
      <c r="I161" s="104">
        <v>20428550.52</v>
      </c>
    </row>
    <row r="162" spans="2:9">
      <c r="B162" s="102">
        <v>154</v>
      </c>
      <c r="C162" s="104">
        <v>19707207.420000002</v>
      </c>
      <c r="D162" s="104">
        <v>14528201.550000001</v>
      </c>
      <c r="E162" s="104">
        <v>15611427.5</v>
      </c>
      <c r="F162" s="104">
        <v>13674373.41</v>
      </c>
      <c r="G162" s="104">
        <v>3797863.0649999999</v>
      </c>
      <c r="H162" s="104">
        <v>15925293.9</v>
      </c>
      <c r="I162" s="104">
        <v>10797295.050000001</v>
      </c>
    </row>
    <row r="163" spans="2:9">
      <c r="B163" s="102">
        <v>155</v>
      </c>
      <c r="C163" s="104">
        <v>30315301.609999999</v>
      </c>
      <c r="D163" s="104">
        <v>22961031.629999999</v>
      </c>
      <c r="E163" s="104">
        <v>23297480.02</v>
      </c>
      <c r="F163" s="104">
        <v>1864398.2990000001</v>
      </c>
      <c r="G163" s="104">
        <v>10828811.960000001</v>
      </c>
      <c r="H163" s="104">
        <v>6697839.8109999998</v>
      </c>
      <c r="I163" s="104">
        <v>12274214.359999999</v>
      </c>
    </row>
    <row r="164" spans="2:9">
      <c r="B164" s="102">
        <v>156</v>
      </c>
      <c r="C164" s="104">
        <v>14357504.449999999</v>
      </c>
      <c r="D164" s="104">
        <v>14719040.76</v>
      </c>
      <c r="E164" s="104">
        <v>18276779.510000002</v>
      </c>
      <c r="F164" s="104">
        <v>4329511.7920000004</v>
      </c>
      <c r="G164" s="104">
        <v>4982340.1150000002</v>
      </c>
      <c r="H164" s="104">
        <v>3650268.1349999998</v>
      </c>
      <c r="I164" s="104">
        <v>388811.07569999999</v>
      </c>
    </row>
    <row r="165" spans="2:9">
      <c r="B165" s="102">
        <v>157</v>
      </c>
      <c r="C165" s="104">
        <v>22631206.760000002</v>
      </c>
      <c r="D165" s="104">
        <v>17166742.059999999</v>
      </c>
      <c r="E165" s="104">
        <v>7768318.1560000004</v>
      </c>
      <c r="F165" s="104">
        <v>21334932.34</v>
      </c>
      <c r="G165" s="104">
        <v>921174.55370000005</v>
      </c>
      <c r="H165" s="104">
        <v>-7767165.0369999995</v>
      </c>
      <c r="I165" s="104">
        <v>5321333.4630000005</v>
      </c>
    </row>
    <row r="166" spans="2:9">
      <c r="B166" s="102">
        <v>158</v>
      </c>
      <c r="C166" s="104">
        <v>25613342.66</v>
      </c>
      <c r="D166" s="104">
        <v>14178214.85</v>
      </c>
      <c r="E166" s="104">
        <v>12832460.800000001</v>
      </c>
      <c r="F166" s="104">
        <v>20946123.620000001</v>
      </c>
      <c r="G166" s="104">
        <v>4130538.7459999998</v>
      </c>
      <c r="H166" s="104">
        <v>13946929.1</v>
      </c>
      <c r="I166" s="104">
        <v>10296376.51</v>
      </c>
    </row>
    <row r="167" spans="2:9">
      <c r="B167" s="102">
        <v>159</v>
      </c>
      <c r="C167" s="104">
        <v>25526840.16</v>
      </c>
      <c r="D167" s="104">
        <v>22413327.300000001</v>
      </c>
      <c r="E167" s="104">
        <v>6332878.1979999999</v>
      </c>
      <c r="F167" s="104">
        <v>10154761.029999999</v>
      </c>
      <c r="G167" s="104">
        <v>11778768.02</v>
      </c>
      <c r="H167" s="104">
        <v>7814254.7810000004</v>
      </c>
      <c r="I167" s="104">
        <v>-439672.82290000003</v>
      </c>
    </row>
    <row r="168" spans="2:9">
      <c r="B168" s="102">
        <v>160</v>
      </c>
      <c r="C168" s="104">
        <v>20381301.609999999</v>
      </c>
      <c r="D168" s="104">
        <v>19347543.670000002</v>
      </c>
      <c r="E168" s="104">
        <v>21312347.879999999</v>
      </c>
      <c r="F168" s="104">
        <v>4301021.6169999996</v>
      </c>
      <c r="G168" s="104">
        <v>3716187.301</v>
      </c>
      <c r="H168" s="104">
        <v>8972494.7060000002</v>
      </c>
      <c r="I168" s="104">
        <v>8893285.2359999996</v>
      </c>
    </row>
    <row r="169" spans="2:9">
      <c r="B169" s="102">
        <v>161</v>
      </c>
      <c r="C169" s="104">
        <v>12264202.359999999</v>
      </c>
      <c r="D169" s="104">
        <v>10410456.6</v>
      </c>
      <c r="E169" s="104">
        <v>18200957.640000001</v>
      </c>
      <c r="F169" s="104">
        <v>10560988.359999999</v>
      </c>
      <c r="G169" s="104">
        <v>9174242.7410000004</v>
      </c>
      <c r="H169" s="104">
        <v>2836338.9920000001</v>
      </c>
      <c r="I169" s="104">
        <v>6497892.9419999998</v>
      </c>
    </row>
    <row r="170" spans="2:9">
      <c r="B170" s="102">
        <v>162</v>
      </c>
      <c r="C170" s="104">
        <v>13085762.539999999</v>
      </c>
      <c r="D170" s="104">
        <v>20102156.620000001</v>
      </c>
      <c r="E170" s="104">
        <v>17203636.969999999</v>
      </c>
      <c r="F170" s="104">
        <v>4589686.9689999996</v>
      </c>
      <c r="G170" s="104">
        <v>14050687.460000001</v>
      </c>
      <c r="H170" s="104">
        <v>3922340.7560000001</v>
      </c>
      <c r="I170" s="104">
        <v>5317641.4369999999</v>
      </c>
    </row>
    <row r="171" spans="2:9">
      <c r="B171" s="102">
        <v>163</v>
      </c>
      <c r="C171" s="104">
        <v>18982846.960000001</v>
      </c>
      <c r="D171" s="104">
        <v>14858376.52</v>
      </c>
      <c r="E171" s="104">
        <v>11328150.869999999</v>
      </c>
      <c r="F171" s="104">
        <v>10305272.27</v>
      </c>
      <c r="G171" s="104">
        <v>8118775.4340000004</v>
      </c>
      <c r="H171" s="104">
        <v>3219482.36</v>
      </c>
      <c r="I171" s="104">
        <v>10773230.16</v>
      </c>
    </row>
    <row r="172" spans="2:9">
      <c r="B172" s="102">
        <v>164</v>
      </c>
      <c r="C172" s="104">
        <v>13490229.26</v>
      </c>
      <c r="D172" s="104">
        <v>13217510.59</v>
      </c>
      <c r="E172" s="104">
        <v>16998402.640000001</v>
      </c>
      <c r="F172" s="104">
        <v>6440125.9340000004</v>
      </c>
      <c r="G172" s="104">
        <v>10356380.99</v>
      </c>
      <c r="H172" s="104">
        <v>2823262.318</v>
      </c>
      <c r="I172" s="104">
        <v>10162340.029999999</v>
      </c>
    </row>
    <row r="173" spans="2:9">
      <c r="B173" s="102">
        <v>165</v>
      </c>
      <c r="C173" s="104">
        <v>21496100.309999999</v>
      </c>
      <c r="D173" s="104">
        <v>278134.87349999999</v>
      </c>
      <c r="E173" s="104">
        <v>12989080.130000001</v>
      </c>
      <c r="F173" s="104">
        <v>2445859.8810000001</v>
      </c>
      <c r="G173" s="104">
        <v>3168269.2769999998</v>
      </c>
      <c r="H173" s="104">
        <v>5333155.0039999997</v>
      </c>
      <c r="I173" s="104">
        <v>4047973.06</v>
      </c>
    </row>
    <row r="174" spans="2:9">
      <c r="B174" s="102">
        <v>166</v>
      </c>
      <c r="C174" s="104">
        <v>14646286.859999999</v>
      </c>
      <c r="D174" s="104">
        <v>11692029.199999999</v>
      </c>
      <c r="E174" s="104">
        <v>24401794.02</v>
      </c>
      <c r="F174" s="104">
        <v>3328168.969</v>
      </c>
      <c r="G174" s="104">
        <v>13218533.43</v>
      </c>
      <c r="H174" s="104">
        <v>10818475.060000001</v>
      </c>
      <c r="I174" s="104">
        <v>9045848.068</v>
      </c>
    </row>
    <row r="175" spans="2:9">
      <c r="B175" s="102">
        <v>167</v>
      </c>
      <c r="C175" s="104">
        <v>10703192.66</v>
      </c>
      <c r="D175" s="104">
        <v>23516548.379999999</v>
      </c>
      <c r="E175" s="104">
        <v>19214423.239999998</v>
      </c>
      <c r="F175" s="104">
        <v>15440255.4</v>
      </c>
      <c r="G175" s="104">
        <v>10385605.02</v>
      </c>
      <c r="H175" s="104">
        <v>1857837.5630000001</v>
      </c>
      <c r="I175" s="104">
        <v>4418687.8710000003</v>
      </c>
    </row>
    <row r="176" spans="2:9">
      <c r="B176" s="102">
        <v>168</v>
      </c>
      <c r="C176" s="104">
        <v>8191453.8540000003</v>
      </c>
      <c r="D176" s="104">
        <v>17914267.800000001</v>
      </c>
      <c r="E176" s="104">
        <v>18332209.760000002</v>
      </c>
      <c r="F176" s="104">
        <v>14075648.439999999</v>
      </c>
      <c r="G176" s="104">
        <v>6542640.0259999996</v>
      </c>
      <c r="H176" s="104">
        <v>-7203952.9199999999</v>
      </c>
      <c r="I176" s="104">
        <v>6843622.2829999998</v>
      </c>
    </row>
    <row r="177" spans="2:9">
      <c r="B177" s="102">
        <v>169</v>
      </c>
      <c r="C177" s="104">
        <v>10318702.66</v>
      </c>
      <c r="D177" s="104">
        <v>10635684.210000001</v>
      </c>
      <c r="E177" s="104">
        <v>7302708.9950000001</v>
      </c>
      <c r="F177" s="104">
        <v>14166591.970000001</v>
      </c>
      <c r="G177" s="104">
        <v>8127969.585</v>
      </c>
      <c r="H177" s="104">
        <v>8489806.2070000004</v>
      </c>
      <c r="I177" s="104">
        <v>2354210.2480000001</v>
      </c>
    </row>
    <row r="178" spans="2:9">
      <c r="B178" s="102">
        <v>170</v>
      </c>
      <c r="C178" s="104">
        <v>15398507.9</v>
      </c>
      <c r="D178" s="104">
        <v>15074225.51</v>
      </c>
      <c r="E178" s="104">
        <v>12524958.279999999</v>
      </c>
      <c r="F178" s="104">
        <v>7596410.8559999997</v>
      </c>
      <c r="G178" s="104">
        <v>3199734.7829999998</v>
      </c>
      <c r="H178" s="104">
        <v>9463818.3379999995</v>
      </c>
      <c r="I178" s="104">
        <v>-822976.22490000003</v>
      </c>
    </row>
    <row r="179" spans="2:9">
      <c r="B179" s="102">
        <v>171</v>
      </c>
      <c r="C179" s="104">
        <v>8710513.2630000003</v>
      </c>
      <c r="D179" s="104">
        <v>8851872.7630000003</v>
      </c>
      <c r="E179" s="104">
        <v>9555795.8310000002</v>
      </c>
      <c r="F179" s="104">
        <v>12523654.199999999</v>
      </c>
      <c r="G179" s="104">
        <v>4042551.2439999999</v>
      </c>
      <c r="H179" s="104">
        <v>6987353.0240000002</v>
      </c>
      <c r="I179" s="104">
        <v>13558425.5</v>
      </c>
    </row>
    <row r="180" spans="2:9">
      <c r="B180" s="102">
        <v>172</v>
      </c>
      <c r="C180" s="104">
        <v>25485986.32</v>
      </c>
      <c r="D180" s="104">
        <v>26685582.039999999</v>
      </c>
      <c r="E180" s="104">
        <v>3666496.7289999998</v>
      </c>
      <c r="F180" s="104">
        <v>10189772.57</v>
      </c>
      <c r="G180" s="104">
        <v>13651370.77</v>
      </c>
      <c r="H180" s="104">
        <v>13179489.550000001</v>
      </c>
      <c r="I180" s="104">
        <v>10062169.77</v>
      </c>
    </row>
    <row r="181" spans="2:9">
      <c r="B181" s="102">
        <v>173</v>
      </c>
      <c r="C181" s="104">
        <v>26769047.75</v>
      </c>
      <c r="D181" s="104">
        <v>19338005.170000002</v>
      </c>
      <c r="E181" s="104">
        <v>19659931.920000002</v>
      </c>
      <c r="F181" s="104">
        <v>12980012.57</v>
      </c>
      <c r="G181" s="104">
        <v>1809661.325</v>
      </c>
      <c r="H181" s="104">
        <v>2714505.6889999998</v>
      </c>
      <c r="I181" s="104">
        <v>-4918189.5789999999</v>
      </c>
    </row>
    <row r="182" spans="2:9">
      <c r="B182" s="102">
        <v>174</v>
      </c>
      <c r="C182" s="104">
        <v>26717600.190000001</v>
      </c>
      <c r="D182" s="104">
        <v>17973743.690000001</v>
      </c>
      <c r="E182" s="104">
        <v>17242481.629999999</v>
      </c>
      <c r="F182" s="104">
        <v>21117954.530000001</v>
      </c>
      <c r="G182" s="104">
        <v>4603886.0310000004</v>
      </c>
      <c r="H182" s="104">
        <v>6971592.4550000001</v>
      </c>
      <c r="I182" s="104">
        <v>2943113.6919999998</v>
      </c>
    </row>
    <row r="183" spans="2:9">
      <c r="B183" s="102">
        <v>175</v>
      </c>
      <c r="C183" s="104">
        <v>17589990.280000001</v>
      </c>
      <c r="D183" s="104">
        <v>27016217.329999998</v>
      </c>
      <c r="E183" s="104">
        <v>7304925.4330000002</v>
      </c>
      <c r="F183" s="104">
        <v>17589306.489999998</v>
      </c>
      <c r="G183" s="104">
        <v>8290092.8969999999</v>
      </c>
      <c r="H183" s="104">
        <v>8839379.6620000005</v>
      </c>
      <c r="I183" s="104">
        <v>11093231.359999999</v>
      </c>
    </row>
    <row r="184" spans="2:9">
      <c r="B184" s="102">
        <v>176</v>
      </c>
      <c r="C184" s="104">
        <v>17580838.010000002</v>
      </c>
      <c r="D184" s="104">
        <v>15931764.27</v>
      </c>
      <c r="E184" s="104">
        <v>13734129.85</v>
      </c>
      <c r="F184" s="104">
        <v>17720877.91</v>
      </c>
      <c r="G184" s="104">
        <v>24397411.239999998</v>
      </c>
      <c r="H184" s="104">
        <v>8764842.0350000001</v>
      </c>
      <c r="I184" s="104">
        <v>2008786.7420000001</v>
      </c>
    </row>
    <row r="185" spans="2:9">
      <c r="B185" s="102">
        <v>177</v>
      </c>
      <c r="C185" s="104">
        <v>10417449.949999999</v>
      </c>
      <c r="D185" s="104">
        <v>399459.6937</v>
      </c>
      <c r="E185" s="104">
        <v>3295652.1269999999</v>
      </c>
      <c r="F185" s="104">
        <v>10407392.859999999</v>
      </c>
      <c r="G185" s="104">
        <v>11950621.810000001</v>
      </c>
      <c r="H185" s="104">
        <v>10687701.49</v>
      </c>
      <c r="I185" s="104">
        <v>-4008150.5660000001</v>
      </c>
    </row>
    <row r="186" spans="2:9">
      <c r="B186" s="102">
        <v>178</v>
      </c>
      <c r="C186" s="104">
        <v>20534849.469999999</v>
      </c>
      <c r="D186" s="104">
        <v>14513816.83</v>
      </c>
      <c r="E186" s="104">
        <v>24537753.300000001</v>
      </c>
      <c r="F186" s="104">
        <v>3474655.111</v>
      </c>
      <c r="G186" s="104">
        <v>11742176.380000001</v>
      </c>
      <c r="H186" s="104">
        <v>9300233.8959999997</v>
      </c>
      <c r="I186" s="104">
        <v>-705130.58770000003</v>
      </c>
    </row>
    <row r="187" spans="2:9">
      <c r="B187" s="102">
        <v>179</v>
      </c>
      <c r="C187" s="104">
        <v>17997098.949999999</v>
      </c>
      <c r="D187" s="104">
        <v>7200582.6780000003</v>
      </c>
      <c r="E187" s="104">
        <v>9373365.8619999997</v>
      </c>
      <c r="F187" s="104">
        <v>2512383.9780000001</v>
      </c>
      <c r="G187" s="104">
        <v>16662259.16</v>
      </c>
      <c r="H187" s="104">
        <v>14310710.85</v>
      </c>
      <c r="I187" s="104">
        <v>-3601985.5469999998</v>
      </c>
    </row>
    <row r="188" spans="2:9">
      <c r="B188" s="102">
        <v>180</v>
      </c>
      <c r="C188" s="104">
        <v>23386507.59</v>
      </c>
      <c r="D188" s="104">
        <v>8729633.0789999999</v>
      </c>
      <c r="E188" s="104">
        <v>17248460.68</v>
      </c>
      <c r="F188" s="104">
        <v>14117257.32</v>
      </c>
      <c r="G188" s="104">
        <v>-101237.1756</v>
      </c>
      <c r="H188" s="104">
        <v>18269894.829999998</v>
      </c>
      <c r="I188" s="104">
        <v>4485429.7769999998</v>
      </c>
    </row>
    <row r="189" spans="2:9">
      <c r="B189" s="102">
        <v>181</v>
      </c>
      <c r="C189" s="104">
        <v>21903905.809999999</v>
      </c>
      <c r="D189" s="104">
        <v>6827813.193</v>
      </c>
      <c r="E189" s="104">
        <v>15741446.01</v>
      </c>
      <c r="F189" s="104">
        <v>-496744.1557</v>
      </c>
      <c r="G189" s="104">
        <v>10271382.85</v>
      </c>
      <c r="H189" s="104">
        <v>3478801.3730000001</v>
      </c>
      <c r="I189" s="104">
        <v>8615849.6190000009</v>
      </c>
    </row>
    <row r="190" spans="2:9">
      <c r="B190" s="102">
        <v>182</v>
      </c>
      <c r="C190" s="104">
        <v>18738378.18</v>
      </c>
      <c r="D190" s="104">
        <v>10179799.199999999</v>
      </c>
      <c r="E190" s="104">
        <v>15790866.359999999</v>
      </c>
      <c r="F190" s="104">
        <v>7149916.9840000002</v>
      </c>
      <c r="G190" s="104">
        <v>12567538.609999999</v>
      </c>
      <c r="H190" s="104">
        <v>11968776.4</v>
      </c>
      <c r="I190" s="104">
        <v>8406891.3039999995</v>
      </c>
    </row>
    <row r="191" spans="2:9">
      <c r="B191" s="102">
        <v>183</v>
      </c>
      <c r="C191" s="104">
        <v>8233780.7410000004</v>
      </c>
      <c r="D191" s="104">
        <v>8724475.3589999992</v>
      </c>
      <c r="E191" s="104">
        <v>18433801.379999999</v>
      </c>
      <c r="F191" s="104">
        <v>17633949.489999998</v>
      </c>
      <c r="G191" s="104">
        <v>14069329.84</v>
      </c>
      <c r="H191" s="104">
        <v>5967171.5049999999</v>
      </c>
      <c r="I191" s="104">
        <v>10145548.27</v>
      </c>
    </row>
    <row r="192" spans="2:9">
      <c r="B192" s="102">
        <v>184</v>
      </c>
      <c r="C192" s="104">
        <v>13323289.92</v>
      </c>
      <c r="D192" s="104">
        <v>9040888.2420000006</v>
      </c>
      <c r="E192" s="104">
        <v>10152428.4</v>
      </c>
      <c r="F192" s="104">
        <v>11650318.310000001</v>
      </c>
      <c r="G192" s="104">
        <v>8734521.7740000002</v>
      </c>
      <c r="H192" s="104">
        <v>3499620.5529999998</v>
      </c>
      <c r="I192" s="104">
        <v>2013543.9439999999</v>
      </c>
    </row>
    <row r="193" spans="2:9">
      <c r="B193" s="102">
        <v>185</v>
      </c>
      <c r="C193" s="104">
        <v>24627368.739999998</v>
      </c>
      <c r="D193" s="104">
        <v>12235102.57</v>
      </c>
      <c r="E193" s="104">
        <v>13220183.960000001</v>
      </c>
      <c r="F193" s="104">
        <v>10364526.15</v>
      </c>
      <c r="G193" s="104">
        <v>9045150.7890000008</v>
      </c>
      <c r="H193" s="104">
        <v>11099298.74</v>
      </c>
      <c r="I193" s="104">
        <v>13447811.34</v>
      </c>
    </row>
    <row r="194" spans="2:9">
      <c r="B194" s="102">
        <v>186</v>
      </c>
      <c r="C194" s="104">
        <v>13043023.130000001</v>
      </c>
      <c r="D194" s="104">
        <v>17063053</v>
      </c>
      <c r="E194" s="104">
        <v>10610319.24</v>
      </c>
      <c r="F194" s="104">
        <v>22761027.420000002</v>
      </c>
      <c r="G194" s="104">
        <v>6834805.8109999998</v>
      </c>
      <c r="H194" s="104">
        <v>1666954.9639999999</v>
      </c>
      <c r="I194" s="104">
        <v>3814429.66</v>
      </c>
    </row>
    <row r="195" spans="2:9">
      <c r="B195" s="102">
        <v>187</v>
      </c>
      <c r="C195" s="104">
        <v>10330118.189999999</v>
      </c>
      <c r="D195" s="104">
        <v>19481868.170000002</v>
      </c>
      <c r="E195" s="104">
        <v>13734646.4</v>
      </c>
      <c r="F195" s="104">
        <v>3919536.5430000001</v>
      </c>
      <c r="G195" s="104">
        <v>-1759325.72</v>
      </c>
      <c r="H195" s="104">
        <v>11192300.289999999</v>
      </c>
      <c r="I195" s="104">
        <v>5890943.8329999996</v>
      </c>
    </row>
    <row r="196" spans="2:9">
      <c r="B196" s="102">
        <v>188</v>
      </c>
      <c r="C196" s="104">
        <v>24917829.949999999</v>
      </c>
      <c r="D196" s="104">
        <v>14428461.83</v>
      </c>
      <c r="E196" s="104">
        <v>4355844.7050000001</v>
      </c>
      <c r="F196" s="104">
        <v>9036781.7190000005</v>
      </c>
      <c r="G196" s="104">
        <v>12726303.810000001</v>
      </c>
      <c r="H196" s="104">
        <v>1902460.9950000001</v>
      </c>
      <c r="I196" s="104">
        <v>9194467.7430000007</v>
      </c>
    </row>
    <row r="197" spans="2:9">
      <c r="B197" s="102">
        <v>189</v>
      </c>
      <c r="C197" s="104">
        <v>22542291.059999999</v>
      </c>
      <c r="D197" s="104">
        <v>16743449.890000001</v>
      </c>
      <c r="E197" s="104">
        <v>4522436.18</v>
      </c>
      <c r="F197" s="104">
        <v>5677603.0539999995</v>
      </c>
      <c r="G197" s="104">
        <v>14055045.85</v>
      </c>
      <c r="H197" s="104">
        <v>2410179.4950000001</v>
      </c>
      <c r="I197" s="104">
        <v>12114649.57</v>
      </c>
    </row>
    <row r="198" spans="2:9">
      <c r="B198" s="102">
        <v>190</v>
      </c>
      <c r="C198" s="104">
        <v>6031969.108</v>
      </c>
      <c r="D198" s="104">
        <v>19437606.440000001</v>
      </c>
      <c r="E198" s="104">
        <v>11180295.390000001</v>
      </c>
      <c r="F198" s="104">
        <v>6477339.108</v>
      </c>
      <c r="G198" s="104">
        <v>6424448.1579999998</v>
      </c>
      <c r="H198" s="104">
        <v>9349892.3220000006</v>
      </c>
      <c r="I198" s="104">
        <v>3440691.6979999999</v>
      </c>
    </row>
    <row r="199" spans="2:9">
      <c r="B199" s="102">
        <v>191</v>
      </c>
      <c r="C199" s="104">
        <v>12862112.83</v>
      </c>
      <c r="D199" s="104">
        <v>18479144.350000001</v>
      </c>
      <c r="E199" s="104">
        <v>12056193.699999999</v>
      </c>
      <c r="F199" s="104">
        <v>9418457.8910000008</v>
      </c>
      <c r="G199" s="104">
        <v>9469004.7770000007</v>
      </c>
      <c r="H199" s="104">
        <v>5367958.2869999995</v>
      </c>
      <c r="I199" s="104">
        <v>9996184.5089999996</v>
      </c>
    </row>
    <row r="200" spans="2:9">
      <c r="B200" s="102">
        <v>192</v>
      </c>
      <c r="C200" s="104">
        <v>19706100.629999999</v>
      </c>
      <c r="D200" s="104">
        <v>16767558.390000001</v>
      </c>
      <c r="E200" s="104">
        <v>10490515.4</v>
      </c>
      <c r="F200" s="104">
        <v>20652492.280000001</v>
      </c>
      <c r="G200" s="104">
        <v>7980667.9469999997</v>
      </c>
      <c r="H200" s="104">
        <v>4428875.9359999998</v>
      </c>
      <c r="I200" s="104">
        <v>6111798.4510000004</v>
      </c>
    </row>
    <row r="201" spans="2:9">
      <c r="B201" s="102">
        <v>193</v>
      </c>
      <c r="C201" s="104">
        <v>18212399.829999998</v>
      </c>
      <c r="D201" s="104">
        <v>15507899.25</v>
      </c>
      <c r="E201" s="104">
        <v>10706379.5</v>
      </c>
      <c r="F201" s="104">
        <v>9698960.0539999995</v>
      </c>
      <c r="G201" s="104">
        <v>6508646.1519999998</v>
      </c>
      <c r="H201" s="104">
        <v>3894164.9440000001</v>
      </c>
      <c r="I201" s="104">
        <v>9113097.409</v>
      </c>
    </row>
    <row r="202" spans="2:9">
      <c r="B202" s="102">
        <v>194</v>
      </c>
      <c r="C202" s="104">
        <v>21605297.809999999</v>
      </c>
      <c r="D202" s="104">
        <v>18674585.859999999</v>
      </c>
      <c r="E202" s="104">
        <v>6216857.358</v>
      </c>
      <c r="F202" s="104">
        <v>18305241</v>
      </c>
      <c r="G202" s="104">
        <v>16300520.43</v>
      </c>
      <c r="H202" s="104">
        <v>14301485.619999999</v>
      </c>
      <c r="I202" s="104">
        <v>17754915.620000001</v>
      </c>
    </row>
    <row r="203" spans="2:9">
      <c r="B203" s="102">
        <v>195</v>
      </c>
      <c r="C203" s="104">
        <v>11499923.800000001</v>
      </c>
      <c r="D203" s="104">
        <v>11975794.85</v>
      </c>
      <c r="E203" s="104">
        <v>3421295.48</v>
      </c>
      <c r="F203" s="104">
        <v>15390761.09</v>
      </c>
      <c r="G203" s="104">
        <v>11158502.390000001</v>
      </c>
      <c r="H203" s="104">
        <v>5730062.1339999996</v>
      </c>
      <c r="I203" s="104">
        <v>821395.81660000002</v>
      </c>
    </row>
    <row r="204" spans="2:9">
      <c r="B204" s="102">
        <v>196</v>
      </c>
      <c r="C204" s="104">
        <v>13580026.529999999</v>
      </c>
      <c r="D204" s="104">
        <v>19741234.539999999</v>
      </c>
      <c r="E204" s="104">
        <v>13055069.359999999</v>
      </c>
      <c r="F204" s="104">
        <v>9524008.1970000006</v>
      </c>
      <c r="G204" s="104">
        <v>5475038.165</v>
      </c>
      <c r="H204" s="104">
        <v>10673744.16</v>
      </c>
      <c r="I204" s="104">
        <v>2651674.7790000001</v>
      </c>
    </row>
    <row r="205" spans="2:9">
      <c r="B205" s="102">
        <v>197</v>
      </c>
      <c r="C205" s="104">
        <v>14836546.949999999</v>
      </c>
      <c r="D205" s="104">
        <v>19737983.420000002</v>
      </c>
      <c r="E205" s="104">
        <v>13245214.23</v>
      </c>
      <c r="F205" s="104">
        <v>14724653.699999999</v>
      </c>
      <c r="G205" s="104">
        <v>225003.1735</v>
      </c>
      <c r="H205" s="104">
        <v>13587134.9</v>
      </c>
      <c r="I205" s="104">
        <v>2380815.1540000001</v>
      </c>
    </row>
    <row r="206" spans="2:9">
      <c r="B206" s="102">
        <v>198</v>
      </c>
      <c r="C206" s="104">
        <v>14799709.98</v>
      </c>
      <c r="D206" s="104">
        <v>11469750.869999999</v>
      </c>
      <c r="E206" s="104">
        <v>8583974.7630000003</v>
      </c>
      <c r="F206" s="104">
        <v>13436453.23</v>
      </c>
      <c r="G206" s="104">
        <v>1658776.6040000001</v>
      </c>
      <c r="H206" s="104">
        <v>14080881.119999999</v>
      </c>
      <c r="I206" s="104">
        <v>1121763.1140000001</v>
      </c>
    </row>
    <row r="207" spans="2:9">
      <c r="B207" s="102">
        <v>199</v>
      </c>
      <c r="C207" s="104">
        <v>29616844.629999999</v>
      </c>
      <c r="D207" s="104">
        <v>11698041.220000001</v>
      </c>
      <c r="E207" s="104">
        <v>12269463.93</v>
      </c>
      <c r="F207" s="104">
        <v>6389761.4110000003</v>
      </c>
      <c r="G207" s="104">
        <v>18035474.109999999</v>
      </c>
      <c r="H207" s="104">
        <v>391353.06209999998</v>
      </c>
      <c r="I207" s="104">
        <v>-1100726.763</v>
      </c>
    </row>
    <row r="208" spans="2:9">
      <c r="B208" s="102">
        <v>200</v>
      </c>
      <c r="C208" s="104">
        <v>18430589.280000001</v>
      </c>
      <c r="D208" s="104">
        <v>11983884.42</v>
      </c>
      <c r="E208" s="104">
        <v>8608297.6219999995</v>
      </c>
      <c r="F208" s="104">
        <v>3685757.7379999999</v>
      </c>
      <c r="G208" s="104">
        <v>11136237.35</v>
      </c>
      <c r="H208" s="104">
        <v>11224612.529999999</v>
      </c>
      <c r="I208" s="104">
        <v>2640354.7239999999</v>
      </c>
    </row>
  </sheetData>
  <mergeCells count="1">
    <mergeCell ref="C6:I6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5C7E8E-73AC-654F-B435-7CF81E4D9A6E}">
  <sheetPr codeName="Arkusz28">
    <tabColor theme="0" tint="-0.499984740745262"/>
  </sheetPr>
  <dimension ref="A4:I208"/>
  <sheetViews>
    <sheetView workbookViewId="0">
      <selection activeCell="M38" sqref="M38"/>
    </sheetView>
  </sheetViews>
  <sheetFormatPr defaultColWidth="10.77734375" defaultRowHeight="13.2"/>
  <cols>
    <col min="1" max="1" width="10.77734375" style="33"/>
    <col min="2" max="9" width="19.44140625" style="33" customWidth="1"/>
    <col min="10" max="16384" width="10.77734375" style="33"/>
  </cols>
  <sheetData>
    <row r="4" spans="1:9">
      <c r="B4" s="70" t="s">
        <v>121</v>
      </c>
      <c r="C4" s="94">
        <f>AVERAGE(C9:C208)</f>
        <v>16005554.486395247</v>
      </c>
      <c r="D4" s="94">
        <f t="shared" ref="D4:I4" si="0">AVERAGE(D9:D208)</f>
        <v>14531514.761308823</v>
      </c>
      <c r="E4" s="94">
        <f t="shared" si="0"/>
        <v>13301025.644199599</v>
      </c>
      <c r="F4" s="94">
        <f t="shared" si="0"/>
        <v>10838028.745430751</v>
      </c>
      <c r="G4" s="94">
        <f t="shared" si="0"/>
        <v>8534197.8426616061</v>
      </c>
      <c r="H4" s="94">
        <f t="shared" si="0"/>
        <v>6435914.3458638303</v>
      </c>
      <c r="I4" s="94">
        <f t="shared" si="0"/>
        <v>4554742.2882225923</v>
      </c>
    </row>
    <row r="6" spans="1:9" ht="15.6">
      <c r="C6" s="207" t="s">
        <v>133</v>
      </c>
      <c r="D6" s="207"/>
      <c r="E6" s="207"/>
      <c r="F6" s="207"/>
      <c r="G6" s="207"/>
      <c r="H6" s="207"/>
      <c r="I6" s="207"/>
    </row>
    <row r="7" spans="1:9">
      <c r="B7" s="72" t="s">
        <v>10</v>
      </c>
      <c r="C7" s="109">
        <v>-0.15</v>
      </c>
      <c r="D7" s="109">
        <v>-0.1</v>
      </c>
      <c r="E7" s="109">
        <v>-0.05</v>
      </c>
      <c r="F7" s="109">
        <v>0</v>
      </c>
      <c r="G7" s="109">
        <v>0.05</v>
      </c>
      <c r="H7" s="109">
        <v>0.1</v>
      </c>
      <c r="I7" s="109">
        <v>0.15</v>
      </c>
    </row>
    <row r="8" spans="1:9">
      <c r="A8" s="70" t="s">
        <v>134</v>
      </c>
      <c r="B8" s="98">
        <v>13516093.382045731</v>
      </c>
      <c r="C8" s="99">
        <v>36341606.868500002</v>
      </c>
      <c r="D8" s="99">
        <v>38479348.449000001</v>
      </c>
      <c r="E8" s="99">
        <v>40617090.0295</v>
      </c>
      <c r="F8" s="110">
        <v>42754831.609999999</v>
      </c>
      <c r="G8" s="99">
        <v>44892573.190499999</v>
      </c>
      <c r="H8" s="99">
        <v>47030314.771000005</v>
      </c>
      <c r="I8" s="99">
        <v>49168056.351499997</v>
      </c>
    </row>
    <row r="9" spans="1:9">
      <c r="B9" s="33">
        <v>1</v>
      </c>
      <c r="C9" s="111">
        <v>10810425.979765877</v>
      </c>
      <c r="D9" s="111">
        <v>8134809.6504844129</v>
      </c>
      <c r="E9" s="111">
        <v>14526925.87717706</v>
      </c>
      <c r="F9" s="111">
        <v>1341895.3184776306</v>
      </c>
      <c r="G9" s="111">
        <v>9200609.570202589</v>
      </c>
      <c r="H9" s="111">
        <v>3549458.9397139549</v>
      </c>
      <c r="I9" s="111">
        <v>6118466.1581092924</v>
      </c>
    </row>
    <row r="10" spans="1:9">
      <c r="B10" s="33">
        <v>2</v>
      </c>
      <c r="C10" s="111">
        <v>22718630.849762037</v>
      </c>
      <c r="D10" s="111">
        <v>18549339.254716158</v>
      </c>
      <c r="E10" s="111">
        <v>13671526.861404374</v>
      </c>
      <c r="F10" s="111">
        <v>11409981.825986341</v>
      </c>
      <c r="G10" s="111">
        <v>-26282.322471946478</v>
      </c>
      <c r="H10" s="111">
        <v>8340418.1105052531</v>
      </c>
      <c r="I10" s="111">
        <v>14276516.821865007</v>
      </c>
    </row>
    <row r="11" spans="1:9">
      <c r="B11" s="33">
        <v>3</v>
      </c>
      <c r="C11" s="111">
        <v>20328371.733093739</v>
      </c>
      <c r="D11" s="111">
        <v>12004216.298039421</v>
      </c>
      <c r="E11" s="111">
        <v>25558105.337530792</v>
      </c>
      <c r="F11" s="111">
        <v>18956713.401194558</v>
      </c>
      <c r="G11" s="111">
        <v>8741136.7431971878</v>
      </c>
      <c r="H11" s="111">
        <v>7070880.9023337066</v>
      </c>
      <c r="I11" s="111">
        <v>4909418.7237913013</v>
      </c>
    </row>
    <row r="12" spans="1:9">
      <c r="B12" s="33">
        <v>4</v>
      </c>
      <c r="C12" s="111">
        <v>17432216.051789969</v>
      </c>
      <c r="D12" s="111">
        <v>16507568.295879841</v>
      </c>
      <c r="E12" s="111">
        <v>16554061.335033149</v>
      </c>
      <c r="F12" s="111">
        <v>14561556.852032259</v>
      </c>
      <c r="G12" s="111">
        <v>8743199.0593385249</v>
      </c>
      <c r="H12" s="111">
        <v>4684463.909876138</v>
      </c>
      <c r="I12" s="111">
        <v>13847249.587614298</v>
      </c>
    </row>
    <row r="13" spans="1:9">
      <c r="B13" s="33">
        <v>5</v>
      </c>
      <c r="C13" s="111">
        <v>25581205.328286499</v>
      </c>
      <c r="D13" s="111">
        <v>18306808.489396632</v>
      </c>
      <c r="E13" s="111">
        <v>15920307.71976915</v>
      </c>
      <c r="F13" s="111">
        <v>13011265.02110742</v>
      </c>
      <c r="G13" s="111">
        <v>6059296.6425794959</v>
      </c>
      <c r="H13" s="111">
        <v>71930.670780241489</v>
      </c>
      <c r="I13" s="111">
        <v>4418093.8576518446</v>
      </c>
    </row>
    <row r="14" spans="1:9">
      <c r="B14" s="33">
        <v>6</v>
      </c>
      <c r="C14" s="111">
        <v>18716565.50728178</v>
      </c>
      <c r="D14" s="111">
        <v>2028137.0526396781</v>
      </c>
      <c r="E14" s="111">
        <v>19069918.581313089</v>
      </c>
      <c r="F14" s="111">
        <v>17048667.936338112</v>
      </c>
      <c r="G14" s="111">
        <v>951124.18726548553</v>
      </c>
      <c r="H14" s="111">
        <v>-954257.6393790096</v>
      </c>
      <c r="I14" s="111">
        <v>-1470657.4743424654</v>
      </c>
    </row>
    <row r="15" spans="1:9">
      <c r="B15" s="33">
        <v>7</v>
      </c>
      <c r="C15" s="111">
        <v>10556795.102461413</v>
      </c>
      <c r="D15" s="111">
        <v>20391977.906160474</v>
      </c>
      <c r="E15" s="111">
        <v>27344395.634874523</v>
      </c>
      <c r="F15" s="111">
        <v>14009778.566344753</v>
      </c>
      <c r="G15" s="111">
        <v>4313493.4219481945</v>
      </c>
      <c r="H15" s="111">
        <v>6907227.7076424658</v>
      </c>
      <c r="I15" s="111">
        <v>13930190.483180001</v>
      </c>
    </row>
    <row r="16" spans="1:9">
      <c r="B16" s="33">
        <v>8</v>
      </c>
      <c r="C16" s="111">
        <v>13974524.83101581</v>
      </c>
      <c r="D16" s="111">
        <v>12815256.004563868</v>
      </c>
      <c r="E16" s="111">
        <v>13643039.769312009</v>
      </c>
      <c r="F16" s="111">
        <v>1341102.4152599722</v>
      </c>
      <c r="G16" s="111">
        <v>768070.24775996804</v>
      </c>
      <c r="H16" s="111">
        <v>11640160.603240043</v>
      </c>
      <c r="I16" s="111">
        <v>4017329.6002502441</v>
      </c>
    </row>
    <row r="17" spans="2:9">
      <c r="B17" s="33">
        <v>9</v>
      </c>
      <c r="C17" s="111">
        <v>22859934.368131518</v>
      </c>
      <c r="D17" s="111">
        <v>22759462.85320279</v>
      </c>
      <c r="E17" s="111">
        <v>10157631.886339828</v>
      </c>
      <c r="F17" s="111">
        <v>6244591.5178134441</v>
      </c>
      <c r="G17" s="111">
        <v>22726927.753413931</v>
      </c>
      <c r="H17" s="111">
        <v>19794949.583609238</v>
      </c>
      <c r="I17" s="111">
        <v>8433315.5472109169</v>
      </c>
    </row>
    <row r="18" spans="2:9">
      <c r="B18" s="33">
        <v>10</v>
      </c>
      <c r="C18" s="111">
        <v>7977168.7120147645</v>
      </c>
      <c r="D18" s="111">
        <v>9065835.7920205593</v>
      </c>
      <c r="E18" s="111">
        <v>20460005.898984283</v>
      </c>
      <c r="F18" s="111">
        <v>9949579.9157074094</v>
      </c>
      <c r="G18" s="111">
        <v>12045004.553152353</v>
      </c>
      <c r="H18" s="111">
        <v>6785874.4306249768</v>
      </c>
      <c r="I18" s="111">
        <v>10834022.381212831</v>
      </c>
    </row>
    <row r="19" spans="2:9">
      <c r="B19" s="33">
        <v>11</v>
      </c>
      <c r="C19" s="111">
        <v>15284586.705708817</v>
      </c>
      <c r="D19" s="111">
        <v>6686883.1894164979</v>
      </c>
      <c r="E19" s="111">
        <v>20327181.790913582</v>
      </c>
      <c r="F19" s="111">
        <v>5394411.5006299615</v>
      </c>
      <c r="G19" s="111">
        <v>7119638.2222477198</v>
      </c>
      <c r="H19" s="111">
        <v>10986276.725933224</v>
      </c>
      <c r="I19" s="111">
        <v>995360.84778019786</v>
      </c>
    </row>
    <row r="20" spans="2:9">
      <c r="B20" s="33">
        <v>12</v>
      </c>
      <c r="C20" s="111">
        <v>18563693.919950336</v>
      </c>
      <c r="D20" s="111">
        <v>5196299.1804460436</v>
      </c>
      <c r="E20" s="111">
        <v>20055818.911777511</v>
      </c>
      <c r="F20" s="111">
        <v>12228575.222932085</v>
      </c>
      <c r="G20" s="111">
        <v>15860905.247493714</v>
      </c>
      <c r="H20" s="111">
        <v>4271975.4042273164</v>
      </c>
      <c r="I20" s="111">
        <v>4881515.7512836158</v>
      </c>
    </row>
    <row r="21" spans="2:9">
      <c r="B21" s="33">
        <v>13</v>
      </c>
      <c r="C21" s="111">
        <v>12240480.736892357</v>
      </c>
      <c r="D21" s="111">
        <v>14305074.094920844</v>
      </c>
      <c r="E21" s="111">
        <v>9747745.2719694078</v>
      </c>
      <c r="F21" s="111">
        <v>6484572.4310976416</v>
      </c>
      <c r="G21" s="111">
        <v>6460444.9990405142</v>
      </c>
      <c r="H21" s="111">
        <v>4648318.8449793607</v>
      </c>
      <c r="I21" s="111">
        <v>-1910256.4381506592</v>
      </c>
    </row>
    <row r="22" spans="2:9">
      <c r="B22" s="33">
        <v>14</v>
      </c>
      <c r="C22" s="111">
        <v>18784077.179726869</v>
      </c>
      <c r="D22" s="111">
        <v>10462560.930685014</v>
      </c>
      <c r="E22" s="111">
        <v>12158674.467545599</v>
      </c>
      <c r="F22" s="111">
        <v>17442990.438660577</v>
      </c>
      <c r="G22" s="111">
        <v>5116734.0214859247</v>
      </c>
      <c r="H22" s="111">
        <v>16794369.280940861</v>
      </c>
      <c r="I22" s="111">
        <v>9282957.0846613348</v>
      </c>
    </row>
    <row r="23" spans="2:9">
      <c r="B23" s="33">
        <v>15</v>
      </c>
      <c r="C23" s="111">
        <v>18987802.313170895</v>
      </c>
      <c r="D23" s="111">
        <v>2388562.1201938242</v>
      </c>
      <c r="E23" s="111">
        <v>3938559.8506192267</v>
      </c>
      <c r="F23" s="111">
        <v>12932762.939221188</v>
      </c>
      <c r="G23" s="111">
        <v>13345503.750114173</v>
      </c>
      <c r="H23" s="111">
        <v>3505374.1418221146</v>
      </c>
      <c r="I23" s="111">
        <v>4783533.0723858923</v>
      </c>
    </row>
    <row r="24" spans="2:9">
      <c r="B24" s="33">
        <v>16</v>
      </c>
      <c r="C24" s="111">
        <v>9624386.6026518941</v>
      </c>
      <c r="D24" s="111">
        <v>8504932.317014575</v>
      </c>
      <c r="E24" s="111">
        <v>11146213.537505388</v>
      </c>
      <c r="F24" s="111">
        <v>5978774.1792564094</v>
      </c>
      <c r="G24" s="111">
        <v>6372454.7932734638</v>
      </c>
      <c r="H24" s="111">
        <v>4665186.1215039939</v>
      </c>
      <c r="I24" s="111">
        <v>20594151.881672174</v>
      </c>
    </row>
    <row r="25" spans="2:9">
      <c r="B25" s="33">
        <v>17</v>
      </c>
      <c r="C25" s="111">
        <v>18376057.466908321</v>
      </c>
      <c r="D25" s="111">
        <v>19673297.481077328</v>
      </c>
      <c r="E25" s="111">
        <v>9892393.9566838443</v>
      </c>
      <c r="F25" s="111">
        <v>5363713.7331902534</v>
      </c>
      <c r="G25" s="111">
        <v>2553663.2084458768</v>
      </c>
      <c r="H25" s="111">
        <v>-1066517.7356888503</v>
      </c>
      <c r="I25" s="111">
        <v>-688182.22944639623</v>
      </c>
    </row>
    <row r="26" spans="2:9">
      <c r="B26" s="33">
        <v>18</v>
      </c>
      <c r="C26" s="111">
        <v>18828879.112480178</v>
      </c>
      <c r="D26" s="111">
        <v>6864096.7324338257</v>
      </c>
      <c r="E26" s="111">
        <v>3132760.2682237923</v>
      </c>
      <c r="F26" s="111">
        <v>13171534.618839815</v>
      </c>
      <c r="G26" s="111">
        <v>6541461.3021779805</v>
      </c>
      <c r="H26" s="111">
        <v>9123712.1521542817</v>
      </c>
      <c r="I26" s="111">
        <v>1355241.7447970062</v>
      </c>
    </row>
    <row r="27" spans="2:9">
      <c r="B27" s="33">
        <v>19</v>
      </c>
      <c r="C27" s="111">
        <v>13102040.633120582</v>
      </c>
      <c r="D27" s="111">
        <v>14206286.117165595</v>
      </c>
      <c r="E27" s="111">
        <v>6478973.0053794086</v>
      </c>
      <c r="F27" s="111">
        <v>3734898.5912627727</v>
      </c>
      <c r="G27" s="111">
        <v>3154184.3944452554</v>
      </c>
      <c r="H27" s="111">
        <v>-2396090.499995932</v>
      </c>
      <c r="I27" s="111">
        <v>3739770.2176144868</v>
      </c>
    </row>
    <row r="28" spans="2:9">
      <c r="B28" s="33">
        <v>20</v>
      </c>
      <c r="C28" s="111">
        <v>27739686.134644628</v>
      </c>
      <c r="D28" s="111">
        <v>7768969.4942935705</v>
      </c>
      <c r="E28" s="111">
        <v>26250836.055793777</v>
      </c>
      <c r="F28" s="111">
        <v>6058350.1184701324</v>
      </c>
      <c r="G28" s="111">
        <v>13945582.416492</v>
      </c>
      <c r="H28" s="111">
        <v>4441178.342974931</v>
      </c>
      <c r="I28" s="111">
        <v>-12554438.474316165</v>
      </c>
    </row>
    <row r="29" spans="2:9">
      <c r="B29" s="33">
        <v>21</v>
      </c>
      <c r="C29" s="111">
        <v>4722300.3765369505</v>
      </c>
      <c r="D29" s="111">
        <v>11236052.866080865</v>
      </c>
      <c r="E29" s="111">
        <v>15381840.123007685</v>
      </c>
      <c r="F29" s="111">
        <v>13771410.397714242</v>
      </c>
      <c r="G29" s="111">
        <v>2465432.6692821831</v>
      </c>
      <c r="H29" s="111">
        <v>-1140858.2986523658</v>
      </c>
      <c r="I29" s="111">
        <v>9273064.2075185627</v>
      </c>
    </row>
    <row r="30" spans="2:9">
      <c r="B30" s="33">
        <v>22</v>
      </c>
      <c r="C30" s="111">
        <v>26122611.071494684</v>
      </c>
      <c r="D30" s="111">
        <v>10755887.482803002</v>
      </c>
      <c r="E30" s="111">
        <v>10303239.999254823</v>
      </c>
      <c r="F30" s="111">
        <v>7300589.767611742</v>
      </c>
      <c r="G30" s="111">
        <v>-1548790.7699832469</v>
      </c>
      <c r="H30" s="111">
        <v>23519406.731780842</v>
      </c>
      <c r="I30" s="111">
        <v>13364991.893227607</v>
      </c>
    </row>
    <row r="31" spans="2:9">
      <c r="B31" s="33">
        <v>23</v>
      </c>
      <c r="C31" s="111">
        <v>10913944.731329948</v>
      </c>
      <c r="D31" s="111">
        <v>19291682.658222929</v>
      </c>
      <c r="E31" s="111">
        <v>18558943.740240589</v>
      </c>
      <c r="F31" s="111">
        <v>7724364.169179678</v>
      </c>
      <c r="G31" s="111">
        <v>-1737464.8345977664</v>
      </c>
      <c r="H31" s="111">
        <v>9355112.3637204617</v>
      </c>
      <c r="I31" s="111">
        <v>17193446.00144814</v>
      </c>
    </row>
    <row r="32" spans="2:9">
      <c r="B32" s="33">
        <v>24</v>
      </c>
      <c r="C32" s="111">
        <v>17175254.012776583</v>
      </c>
      <c r="D32" s="111">
        <v>2147734.7983387858</v>
      </c>
      <c r="E32" s="111">
        <v>20424944.780622274</v>
      </c>
      <c r="F32" s="111">
        <v>-1814501.9225966185</v>
      </c>
      <c r="G32" s="111">
        <v>11232383.610869095</v>
      </c>
      <c r="H32" s="111">
        <v>12516616.555838302</v>
      </c>
      <c r="I32" s="111">
        <v>3033302.5903807282</v>
      </c>
    </row>
    <row r="33" spans="2:9">
      <c r="B33" s="33">
        <v>25</v>
      </c>
      <c r="C33" s="111">
        <v>23210634.508197859</v>
      </c>
      <c r="D33" s="111">
        <v>8917075.4317908436</v>
      </c>
      <c r="E33" s="111">
        <v>26868853.22716324</v>
      </c>
      <c r="F33" s="111">
        <v>16414634.953753814</v>
      </c>
      <c r="G33" s="111">
        <v>2239934.7558849752</v>
      </c>
      <c r="H33" s="111">
        <v>1280129.3957238793</v>
      </c>
      <c r="I33" s="111">
        <v>-4097350.690236792</v>
      </c>
    </row>
    <row r="34" spans="2:9">
      <c r="B34" s="33">
        <v>26</v>
      </c>
      <c r="C34" s="111">
        <v>27883138.556985721</v>
      </c>
      <c r="D34" s="111">
        <v>5254448.3947214931</v>
      </c>
      <c r="E34" s="111">
        <v>11470840.563661426</v>
      </c>
      <c r="F34" s="111">
        <v>9601146.1470898092</v>
      </c>
      <c r="G34" s="111">
        <v>14741697.311878115</v>
      </c>
      <c r="H34" s="111">
        <v>6304704.3213217854</v>
      </c>
      <c r="I34" s="111">
        <v>-1148516.9114721119</v>
      </c>
    </row>
    <row r="35" spans="2:9">
      <c r="B35" s="33">
        <v>27</v>
      </c>
      <c r="C35" s="111">
        <v>8042280.5781442821</v>
      </c>
      <c r="D35" s="111">
        <v>21042115.230079934</v>
      </c>
      <c r="E35" s="111">
        <v>17879360.663385257</v>
      </c>
      <c r="F35" s="111">
        <v>5865701.0229196101</v>
      </c>
      <c r="G35" s="111">
        <v>10018910.25650987</v>
      </c>
      <c r="H35" s="111">
        <v>1238377.8259405047</v>
      </c>
      <c r="I35" s="111">
        <v>2506624.1861720681</v>
      </c>
    </row>
    <row r="36" spans="2:9">
      <c r="B36" s="33">
        <v>28</v>
      </c>
      <c r="C36" s="111">
        <v>26975237.291934878</v>
      </c>
      <c r="D36" s="111">
        <v>24844955.65709205</v>
      </c>
      <c r="E36" s="111">
        <v>10024495.682578564</v>
      </c>
      <c r="F36" s="111">
        <v>21142080.135933146</v>
      </c>
      <c r="G36" s="111">
        <v>12923513.564006507</v>
      </c>
      <c r="H36" s="111">
        <v>7787008.0878218114</v>
      </c>
      <c r="I36" s="111">
        <v>19392769.259627819</v>
      </c>
    </row>
    <row r="37" spans="2:9">
      <c r="B37" s="33">
        <v>29</v>
      </c>
      <c r="C37" s="111">
        <v>15826872.473562643</v>
      </c>
      <c r="D37" s="111">
        <v>15592063.26972279</v>
      </c>
      <c r="E37" s="111">
        <v>17450183.645657152</v>
      </c>
      <c r="F37" s="111">
        <v>15907275.821347803</v>
      </c>
      <c r="G37" s="111">
        <v>10518003.169131115</v>
      </c>
      <c r="H37" s="111">
        <v>1780230.0050066859</v>
      </c>
      <c r="I37" s="111">
        <v>2523282.849753499</v>
      </c>
    </row>
    <row r="38" spans="2:9">
      <c r="B38" s="33">
        <v>30</v>
      </c>
      <c r="C38" s="111">
        <v>14228907.064041391</v>
      </c>
      <c r="D38" s="111">
        <v>21541947.286231562</v>
      </c>
      <c r="E38" s="111">
        <v>14277100.320186257</v>
      </c>
      <c r="F38" s="111">
        <v>9270778.9087871611</v>
      </c>
      <c r="G38" s="111">
        <v>4280151.5637445748</v>
      </c>
      <c r="H38" s="111">
        <v>7151220.5864506066</v>
      </c>
      <c r="I38" s="111">
        <v>6733610.4285289347</v>
      </c>
    </row>
    <row r="39" spans="2:9">
      <c r="B39" s="33">
        <v>31</v>
      </c>
      <c r="C39" s="111">
        <v>15721219.010506988</v>
      </c>
      <c r="D39" s="111">
        <v>14722545.18178542</v>
      </c>
      <c r="E39" s="111">
        <v>20793326.971807301</v>
      </c>
      <c r="F39" s="111">
        <v>17563753.464431152</v>
      </c>
      <c r="G39" s="111">
        <v>1870716.8421884179</v>
      </c>
      <c r="H39" s="111">
        <v>7825840.912691623</v>
      </c>
      <c r="I39" s="111">
        <v>13608911.44836995</v>
      </c>
    </row>
    <row r="40" spans="2:9">
      <c r="B40" s="33">
        <v>32</v>
      </c>
      <c r="C40" s="111">
        <v>27407119.768920958</v>
      </c>
      <c r="D40" s="111">
        <v>13485058.200539172</v>
      </c>
      <c r="E40" s="111">
        <v>12711933.095259979</v>
      </c>
      <c r="F40" s="111">
        <v>13285563.42288208</v>
      </c>
      <c r="G40" s="111">
        <v>19155036.747866347</v>
      </c>
      <c r="H40" s="111">
        <v>7453706.5053018928</v>
      </c>
      <c r="I40" s="111">
        <v>-7269535.1463643312</v>
      </c>
    </row>
    <row r="41" spans="2:9">
      <c r="B41" s="33">
        <v>33</v>
      </c>
      <c r="C41" s="111">
        <v>16337540.214310661</v>
      </c>
      <c r="D41" s="111">
        <v>10028484.370533258</v>
      </c>
      <c r="E41" s="111">
        <v>21636538.026792571</v>
      </c>
      <c r="F41" s="111">
        <v>5990452.1854799986</v>
      </c>
      <c r="G41" s="111">
        <v>7069263.3359388709</v>
      </c>
      <c r="H41" s="111">
        <v>6311777.2137918621</v>
      </c>
      <c r="I41" s="111">
        <v>6191570.5734271109</v>
      </c>
    </row>
    <row r="42" spans="2:9">
      <c r="B42" s="33">
        <v>34</v>
      </c>
      <c r="C42" s="111">
        <v>11882972.616938531</v>
      </c>
      <c r="D42" s="111">
        <v>12431022.782306746</v>
      </c>
      <c r="E42" s="111">
        <v>9606251.2918227166</v>
      </c>
      <c r="F42" s="111">
        <v>13527711.71926485</v>
      </c>
      <c r="G42" s="111">
        <v>6544231.6144602597</v>
      </c>
      <c r="H42" s="111">
        <v>3437936.5416098833</v>
      </c>
      <c r="I42" s="111">
        <v>9740332.4146918654</v>
      </c>
    </row>
    <row r="43" spans="2:9">
      <c r="B43" s="33">
        <v>35</v>
      </c>
      <c r="C43" s="111">
        <v>9607191.6188675314</v>
      </c>
      <c r="D43" s="111">
        <v>17114075.316077948</v>
      </c>
      <c r="E43" s="111">
        <v>17284334.177016452</v>
      </c>
      <c r="F43" s="111">
        <v>15874236.403687358</v>
      </c>
      <c r="G43" s="111">
        <v>7765233.3176222444</v>
      </c>
      <c r="H43" s="111">
        <v>13661941.215276554</v>
      </c>
      <c r="I43" s="111">
        <v>7175056.9889305383</v>
      </c>
    </row>
    <row r="44" spans="2:9">
      <c r="B44" s="33">
        <v>36</v>
      </c>
      <c r="C44" s="111">
        <v>21015341.853870586</v>
      </c>
      <c r="D44" s="111">
        <v>19013214.655673668</v>
      </c>
      <c r="E44" s="111">
        <v>14151077.939984992</v>
      </c>
      <c r="F44" s="111">
        <v>4667566.7553649992</v>
      </c>
      <c r="G44" s="111">
        <v>4428775.8972818851</v>
      </c>
      <c r="H44" s="111">
        <v>10765658.513888195</v>
      </c>
      <c r="I44" s="111">
        <v>-5233561.0237344056</v>
      </c>
    </row>
    <row r="45" spans="2:9">
      <c r="B45" s="33">
        <v>37</v>
      </c>
      <c r="C45" s="111">
        <v>18572902.801509753</v>
      </c>
      <c r="D45" s="111">
        <v>10059524.712387204</v>
      </c>
      <c r="E45" s="111">
        <v>20794743.168468207</v>
      </c>
      <c r="F45" s="111">
        <v>3487546.5638212264</v>
      </c>
      <c r="G45" s="111">
        <v>10117490.685234144</v>
      </c>
      <c r="H45" s="111">
        <v>16469886.793997571</v>
      </c>
      <c r="I45" s="111">
        <v>3407241.0306299925</v>
      </c>
    </row>
    <row r="46" spans="2:9">
      <c r="B46" s="33">
        <v>38</v>
      </c>
      <c r="C46" s="111">
        <v>9884240.4572538882</v>
      </c>
      <c r="D46" s="111">
        <v>14879287.866770968</v>
      </c>
      <c r="E46" s="111">
        <v>6778015.3628304154</v>
      </c>
      <c r="F46" s="111">
        <v>8875848.5621979237</v>
      </c>
      <c r="G46" s="111">
        <v>5489205.0912886858</v>
      </c>
      <c r="H46" s="111">
        <v>8011134.9132599533</v>
      </c>
      <c r="I46" s="111">
        <v>10282228.184983522</v>
      </c>
    </row>
    <row r="47" spans="2:9">
      <c r="B47" s="33">
        <v>39</v>
      </c>
      <c r="C47" s="111">
        <v>16066482.367496565</v>
      </c>
      <c r="D47" s="111">
        <v>11217996.428283975</v>
      </c>
      <c r="E47" s="111">
        <v>323249.19524267316</v>
      </c>
      <c r="F47" s="111">
        <v>5656463.5939976871</v>
      </c>
      <c r="G47" s="111">
        <v>-5992039.3459778279</v>
      </c>
      <c r="H47" s="111">
        <v>672676.64759904146</v>
      </c>
      <c r="I47" s="111">
        <v>-3359861.6608247012</v>
      </c>
    </row>
    <row r="48" spans="2:9">
      <c r="B48" s="33">
        <v>40</v>
      </c>
      <c r="C48" s="111">
        <v>16381698.210011601</v>
      </c>
      <c r="D48" s="111">
        <v>26755984.408387005</v>
      </c>
      <c r="E48" s="111">
        <v>4291350.3104707003</v>
      </c>
      <c r="F48" s="111">
        <v>9719899.949181065</v>
      </c>
      <c r="G48" s="111">
        <v>6612681.8764447719</v>
      </c>
      <c r="H48" s="111">
        <v>4362563.8006423265</v>
      </c>
      <c r="I48" s="111">
        <v>-3867309.4218021631</v>
      </c>
    </row>
    <row r="49" spans="2:9">
      <c r="B49" s="33">
        <v>41</v>
      </c>
      <c r="C49" s="111">
        <v>14650262.166822225</v>
      </c>
      <c r="D49" s="111">
        <v>14036599.696540952</v>
      </c>
      <c r="E49" s="111">
        <v>10230113.653022125</v>
      </c>
      <c r="F49" s="111">
        <v>13479651.406911895</v>
      </c>
      <c r="G49" s="111">
        <v>12067271.585404158</v>
      </c>
      <c r="H49" s="111">
        <v>2855809.0360516906</v>
      </c>
      <c r="I49" s="111">
        <v>-1304947.5619335324</v>
      </c>
    </row>
    <row r="50" spans="2:9">
      <c r="B50" s="33">
        <v>42</v>
      </c>
      <c r="C50" s="111">
        <v>14436845.891984224</v>
      </c>
      <c r="D50" s="111">
        <v>11870065.235418022</v>
      </c>
      <c r="E50" s="111">
        <v>12438878.254219443</v>
      </c>
      <c r="F50" s="111">
        <v>19048652.506098658</v>
      </c>
      <c r="G50" s="111">
        <v>1679469.3404622674</v>
      </c>
      <c r="H50" s="111">
        <v>9454450.8989534676</v>
      </c>
      <c r="I50" s="111">
        <v>6929396.7169958055</v>
      </c>
    </row>
    <row r="51" spans="2:9">
      <c r="B51" s="33">
        <v>43</v>
      </c>
      <c r="C51" s="111">
        <v>12653555.140541032</v>
      </c>
      <c r="D51" s="111">
        <v>876828.7223636061</v>
      </c>
      <c r="E51" s="111">
        <v>867617.43700246513</v>
      </c>
      <c r="F51" s="111">
        <v>9815227.1744622886</v>
      </c>
      <c r="G51" s="111">
        <v>6765000.9323132932</v>
      </c>
      <c r="H51" s="111">
        <v>13838960.210722461</v>
      </c>
      <c r="I51" s="111">
        <v>1491291.3498651832</v>
      </c>
    </row>
    <row r="52" spans="2:9">
      <c r="B52" s="33">
        <v>44</v>
      </c>
      <c r="C52" s="111">
        <v>6153557.0275600255</v>
      </c>
      <c r="D52" s="111">
        <v>19283669.578809544</v>
      </c>
      <c r="E52" s="111">
        <v>16988174.895471379</v>
      </c>
      <c r="F52" s="111">
        <v>2324622.252572313</v>
      </c>
      <c r="G52" s="111">
        <v>5013877.3977610767</v>
      </c>
      <c r="H52" s="111">
        <v>4792460.9795674831</v>
      </c>
      <c r="I52" s="111">
        <v>12021907.823090017</v>
      </c>
    </row>
    <row r="53" spans="2:9">
      <c r="B53" s="33">
        <v>45</v>
      </c>
      <c r="C53" s="111">
        <v>9006493.6712011546</v>
      </c>
      <c r="D53" s="111">
        <v>8263816.2781160325</v>
      </c>
      <c r="E53" s="111">
        <v>11046918.669115677</v>
      </c>
      <c r="F53" s="111">
        <v>14709052.431240946</v>
      </c>
      <c r="G53" s="111">
        <v>947540.45441232622</v>
      </c>
      <c r="H53" s="111">
        <v>2822643.894343242</v>
      </c>
      <c r="I53" s="111">
        <v>7318437.8141107112</v>
      </c>
    </row>
    <row r="54" spans="2:9">
      <c r="B54" s="33">
        <v>46</v>
      </c>
      <c r="C54" s="111">
        <v>15154534.206955001</v>
      </c>
      <c r="D54" s="111">
        <v>15390438.030349687</v>
      </c>
      <c r="E54" s="111">
        <v>24060346.439266607</v>
      </c>
      <c r="F54" s="111">
        <v>6216113.0398612916</v>
      </c>
      <c r="G54" s="111">
        <v>9741017.1564918309</v>
      </c>
      <c r="H54" s="111">
        <v>4684540.6391150653</v>
      </c>
      <c r="I54" s="111">
        <v>5439610.294266209</v>
      </c>
    </row>
    <row r="55" spans="2:9">
      <c r="B55" s="33">
        <v>47</v>
      </c>
      <c r="C55" s="111">
        <v>5956559.5945631266</v>
      </c>
      <c r="D55" s="111">
        <v>12459678.719927579</v>
      </c>
      <c r="E55" s="111">
        <v>6571727.1411368698</v>
      </c>
      <c r="F55" s="111">
        <v>4672063.3244710714</v>
      </c>
      <c r="G55" s="111">
        <v>5440295.6312075704</v>
      </c>
      <c r="H55" s="111">
        <v>16128479.206047028</v>
      </c>
      <c r="I55" s="111">
        <v>5248073.7167961001</v>
      </c>
    </row>
    <row r="56" spans="2:9">
      <c r="B56" s="33">
        <v>48</v>
      </c>
      <c r="C56" s="111">
        <v>9319253.8742381483</v>
      </c>
      <c r="D56" s="111">
        <v>7288637.7364547402</v>
      </c>
      <c r="E56" s="111">
        <v>18469819.351595983</v>
      </c>
      <c r="F56" s="111">
        <v>3263020.617497772</v>
      </c>
      <c r="G56" s="111">
        <v>5137122.1246245056</v>
      </c>
      <c r="H56" s="111">
        <v>804725.39522069693</v>
      </c>
      <c r="I56" s="111">
        <v>-1457116.6465263665</v>
      </c>
    </row>
    <row r="57" spans="2:9">
      <c r="B57" s="33">
        <v>49</v>
      </c>
      <c r="C57" s="111">
        <v>16859299.830206528</v>
      </c>
      <c r="D57" s="111">
        <v>14457661.653509155</v>
      </c>
      <c r="E57" s="111">
        <v>14462159.593629315</v>
      </c>
      <c r="F57" s="111">
        <v>5446030.5139513016</v>
      </c>
      <c r="G57" s="111">
        <v>2716847.5392111391</v>
      </c>
      <c r="H57" s="111">
        <v>5525480.4651338607</v>
      </c>
      <c r="I57" s="111">
        <v>-2934038.6860431284</v>
      </c>
    </row>
    <row r="58" spans="2:9">
      <c r="B58" s="33">
        <v>50</v>
      </c>
      <c r="C58" s="111">
        <v>14411459.765235156</v>
      </c>
      <c r="D58" s="111">
        <v>21702497.482352987</v>
      </c>
      <c r="E58" s="111">
        <v>20057288.571720466</v>
      </c>
      <c r="F58" s="111">
        <v>17084301.41607438</v>
      </c>
      <c r="G58" s="111">
        <v>4313033.4984323829</v>
      </c>
      <c r="H58" s="111">
        <v>7166776.6733930558</v>
      </c>
      <c r="I58" s="111">
        <v>8462740.0152464062</v>
      </c>
    </row>
    <row r="59" spans="2:9">
      <c r="B59" s="33">
        <v>51</v>
      </c>
      <c r="C59" s="111">
        <v>16827684.705639496</v>
      </c>
      <c r="D59" s="111">
        <v>17753182.539737329</v>
      </c>
      <c r="E59" s="111">
        <v>11114731.103752136</v>
      </c>
      <c r="F59" s="111">
        <v>12694670.77001667</v>
      </c>
      <c r="G59" s="111">
        <v>11003033.1893612</v>
      </c>
      <c r="H59" s="111">
        <v>9344511.8227637112</v>
      </c>
      <c r="I59" s="111">
        <v>7702542.7817339152</v>
      </c>
    </row>
    <row r="60" spans="2:9">
      <c r="B60" s="33">
        <v>52</v>
      </c>
      <c r="C60" s="111">
        <v>16573406.690030962</v>
      </c>
      <c r="D60" s="111">
        <v>20044828.50840947</v>
      </c>
      <c r="E60" s="111">
        <v>18655563.374570385</v>
      </c>
      <c r="F60" s="111">
        <v>14680344.438540354</v>
      </c>
      <c r="G60" s="111">
        <v>3944540.2335139811</v>
      </c>
      <c r="H60" s="111">
        <v>3870524.2383396626</v>
      </c>
      <c r="I60" s="111">
        <v>4630820.6588744372</v>
      </c>
    </row>
    <row r="61" spans="2:9">
      <c r="B61" s="33">
        <v>53</v>
      </c>
      <c r="C61" s="111">
        <v>17166937.966437608</v>
      </c>
      <c r="D61" s="111">
        <v>939328.38196341693</v>
      </c>
      <c r="E61" s="111">
        <v>10928386.770771801</v>
      </c>
      <c r="F61" s="111">
        <v>16025904.105051115</v>
      </c>
      <c r="G61" s="111">
        <v>11931405.307603419</v>
      </c>
      <c r="H61" s="111">
        <v>2752397.7596517056</v>
      </c>
      <c r="I61" s="111">
        <v>-2318176.8646493554</v>
      </c>
    </row>
    <row r="62" spans="2:9">
      <c r="B62" s="33">
        <v>54</v>
      </c>
      <c r="C62" s="111">
        <v>12314054.182189286</v>
      </c>
      <c r="D62" s="111">
        <v>6558534.7907943279</v>
      </c>
      <c r="E62" s="111">
        <v>3650842.8124363869</v>
      </c>
      <c r="F62" s="111">
        <v>14794856.108781919</v>
      </c>
      <c r="G62" s="111">
        <v>8827058.9033551216</v>
      </c>
      <c r="H62" s="111">
        <v>-10618684.418715417</v>
      </c>
      <c r="I62" s="111">
        <v>4985770.6289169341</v>
      </c>
    </row>
    <row r="63" spans="2:9">
      <c r="B63" s="33">
        <v>55</v>
      </c>
      <c r="C63" s="111">
        <v>19739792.441014558</v>
      </c>
      <c r="D63" s="111">
        <v>12878865.219329268</v>
      </c>
      <c r="E63" s="111">
        <v>14831363.426501393</v>
      </c>
      <c r="F63" s="111">
        <v>12846553.32967639</v>
      </c>
      <c r="G63" s="111">
        <v>19615561.658596441</v>
      </c>
      <c r="H63" s="111">
        <v>16355485.521834835</v>
      </c>
      <c r="I63" s="111">
        <v>1506847.52672638</v>
      </c>
    </row>
    <row r="64" spans="2:9">
      <c r="B64" s="33">
        <v>56</v>
      </c>
      <c r="C64" s="111">
        <v>9651939.0080360919</v>
      </c>
      <c r="D64" s="111">
        <v>26057555.61557363</v>
      </c>
      <c r="E64" s="111">
        <v>15997012.855182394</v>
      </c>
      <c r="F64" s="111">
        <v>15352141.047793135</v>
      </c>
      <c r="G64" s="111">
        <v>18792159.494570345</v>
      </c>
      <c r="H64" s="111">
        <v>11209130.39631018</v>
      </c>
      <c r="I64" s="111">
        <v>7063008.0504966378</v>
      </c>
    </row>
    <row r="65" spans="2:9">
      <c r="B65" s="33">
        <v>57</v>
      </c>
      <c r="C65" s="111">
        <v>15288613.775197327</v>
      </c>
      <c r="D65" s="111">
        <v>19414455.05218488</v>
      </c>
      <c r="E65" s="111">
        <v>13367609.669016823</v>
      </c>
      <c r="F65" s="111">
        <v>19163644.180316716</v>
      </c>
      <c r="G65" s="111">
        <v>10844727.235558286</v>
      </c>
      <c r="H65" s="111">
        <v>13649275.772466511</v>
      </c>
      <c r="I65" s="111">
        <v>14199009.687920898</v>
      </c>
    </row>
    <row r="66" spans="2:9">
      <c r="B66" s="33">
        <v>58</v>
      </c>
      <c r="C66" s="111">
        <v>11796144.254089862</v>
      </c>
      <c r="D66" s="111">
        <v>28949104.876128167</v>
      </c>
      <c r="E66" s="111">
        <v>14577848.414958775</v>
      </c>
      <c r="F66" s="111">
        <v>9851338.7640055418</v>
      </c>
      <c r="G66" s="111">
        <v>12396821.461987793</v>
      </c>
      <c r="H66" s="111">
        <v>1878703.9536181539</v>
      </c>
      <c r="I66" s="111">
        <v>3793764.0145036578</v>
      </c>
    </row>
    <row r="67" spans="2:9">
      <c r="B67" s="33">
        <v>59</v>
      </c>
      <c r="C67" s="111">
        <v>27009061.04842867</v>
      </c>
      <c r="D67" s="111">
        <v>17924452.06277144</v>
      </c>
      <c r="E67" s="111">
        <v>12967431.363563195</v>
      </c>
      <c r="F67" s="111">
        <v>21006594.868678942</v>
      </c>
      <c r="G67" s="111">
        <v>-479527.75318795443</v>
      </c>
      <c r="H67" s="111">
        <v>6183221.6619113535</v>
      </c>
      <c r="I67" s="111">
        <v>4171060.4473012984</v>
      </c>
    </row>
    <row r="68" spans="2:9">
      <c r="B68" s="33">
        <v>60</v>
      </c>
      <c r="C68" s="111">
        <v>20517661.869091153</v>
      </c>
      <c r="D68" s="111">
        <v>10415127.348943427</v>
      </c>
      <c r="E68" s="111">
        <v>13658529.004640996</v>
      </c>
      <c r="F68" s="111">
        <v>13521281.469815239</v>
      </c>
      <c r="G68" s="111">
        <v>19783582.781691223</v>
      </c>
      <c r="H68" s="111">
        <v>819882.46435925364</v>
      </c>
      <c r="I68" s="111">
        <v>741890.73335188627</v>
      </c>
    </row>
    <row r="69" spans="2:9">
      <c r="B69" s="33">
        <v>61</v>
      </c>
      <c r="C69" s="111">
        <v>14297694.249967486</v>
      </c>
      <c r="D69" s="111">
        <v>16604680.165504843</v>
      </c>
      <c r="E69" s="111">
        <v>19860237.113687709</v>
      </c>
      <c r="F69" s="111">
        <v>9937092.5449815094</v>
      </c>
      <c r="G69" s="111">
        <v>17109697.495773196</v>
      </c>
      <c r="H69" s="111">
        <v>-3300232.6253335625</v>
      </c>
      <c r="I69" s="111">
        <v>10529854.649939269</v>
      </c>
    </row>
    <row r="70" spans="2:9">
      <c r="B70" s="33">
        <v>62</v>
      </c>
      <c r="C70" s="111">
        <v>248048.72105188668</v>
      </c>
      <c r="D70" s="111">
        <v>8073923.4228285104</v>
      </c>
      <c r="E70" s="111">
        <v>20104099.281321824</v>
      </c>
      <c r="F70" s="111">
        <v>15834313.5831642</v>
      </c>
      <c r="G70" s="111">
        <v>11345525.082723394</v>
      </c>
      <c r="H70" s="111">
        <v>12921560.734771207</v>
      </c>
      <c r="I70" s="111">
        <v>6423560.2123401016</v>
      </c>
    </row>
    <row r="71" spans="2:9">
      <c r="B71" s="33">
        <v>63</v>
      </c>
      <c r="C71" s="111">
        <v>24426030.727118894</v>
      </c>
      <c r="D71" s="111">
        <v>20752418.308384016</v>
      </c>
      <c r="E71" s="111">
        <v>16995073.071950808</v>
      </c>
      <c r="F71" s="111">
        <v>15022475.442069948</v>
      </c>
      <c r="G71" s="111">
        <v>4050876.9270122349</v>
      </c>
      <c r="H71" s="111">
        <v>8648185.0612092763</v>
      </c>
      <c r="I71" s="111">
        <v>507124.36507745087</v>
      </c>
    </row>
    <row r="72" spans="2:9">
      <c r="B72" s="33">
        <v>64</v>
      </c>
      <c r="C72" s="111">
        <v>18189955.657035485</v>
      </c>
      <c r="D72" s="111">
        <v>16383500.856739029</v>
      </c>
      <c r="E72" s="111">
        <v>11810457.059412137</v>
      </c>
      <c r="F72" s="111">
        <v>7183320.0502723306</v>
      </c>
      <c r="G72" s="111">
        <v>-825053.1216223985</v>
      </c>
      <c r="H72" s="111">
        <v>13400161.728895545</v>
      </c>
      <c r="I72" s="111">
        <v>1883294.9647497833</v>
      </c>
    </row>
    <row r="73" spans="2:9">
      <c r="B73" s="33">
        <v>65</v>
      </c>
      <c r="C73" s="111">
        <v>17160696.450979725</v>
      </c>
      <c r="D73" s="111">
        <v>16090276.954198673</v>
      </c>
      <c r="E73" s="111">
        <v>15487407.789236203</v>
      </c>
      <c r="F73" s="111">
        <v>12582191.13034524</v>
      </c>
      <c r="G73" s="111">
        <v>9576621.5968997627</v>
      </c>
      <c r="H73" s="111">
        <v>11218817.291149169</v>
      </c>
      <c r="I73" s="111">
        <v>820226.91363395751</v>
      </c>
    </row>
    <row r="74" spans="2:9">
      <c r="B74" s="33">
        <v>66</v>
      </c>
      <c r="C74" s="111">
        <v>17560542.905093208</v>
      </c>
      <c r="D74" s="111">
        <v>19712737.794334128</v>
      </c>
      <c r="E74" s="111">
        <v>23719507.081798419</v>
      </c>
      <c r="F74" s="111">
        <v>576139.1165971905</v>
      </c>
      <c r="G74" s="111">
        <v>9914712.0330140591</v>
      </c>
      <c r="H74" s="111">
        <v>10916676.100671351</v>
      </c>
      <c r="I74" s="111">
        <v>9209323.2465862036</v>
      </c>
    </row>
    <row r="75" spans="2:9">
      <c r="B75" s="33">
        <v>67</v>
      </c>
      <c r="C75" s="111">
        <v>18191889.266395986</v>
      </c>
      <c r="D75" s="111">
        <v>16536214.291096851</v>
      </c>
      <c r="E75" s="111">
        <v>8887751.7291139066</v>
      </c>
      <c r="F75" s="111">
        <v>20625402.733346775</v>
      </c>
      <c r="G75" s="111">
        <v>13156069.680908635</v>
      </c>
      <c r="H75" s="111">
        <v>2988669.7842162102</v>
      </c>
      <c r="I75" s="111">
        <v>-25184.913617044687</v>
      </c>
    </row>
    <row r="76" spans="2:9">
      <c r="B76" s="33">
        <v>68</v>
      </c>
      <c r="C76" s="111">
        <v>19254831.249045208</v>
      </c>
      <c r="D76" s="111">
        <v>25860620.805896759</v>
      </c>
      <c r="E76" s="111">
        <v>18301815.435612157</v>
      </c>
      <c r="F76" s="111">
        <v>5167546.5605166405</v>
      </c>
      <c r="G76" s="111">
        <v>3630407.4988997132</v>
      </c>
      <c r="H76" s="111">
        <v>-8461362.1449366957</v>
      </c>
      <c r="I76" s="111">
        <v>861487.08087159693</v>
      </c>
    </row>
    <row r="77" spans="2:9">
      <c r="B77" s="33">
        <v>69</v>
      </c>
      <c r="C77" s="111">
        <v>16686195.175332978</v>
      </c>
      <c r="D77" s="111">
        <v>10951611.28790313</v>
      </c>
      <c r="E77" s="111">
        <v>13721898.953635871</v>
      </c>
      <c r="F77" s="111">
        <v>5146240.3771319389</v>
      </c>
      <c r="G77" s="111">
        <v>4064982.2471630424</v>
      </c>
      <c r="H77" s="111">
        <v>16827714.764315069</v>
      </c>
      <c r="I77" s="111">
        <v>6015432.608858645</v>
      </c>
    </row>
    <row r="78" spans="2:9">
      <c r="B78" s="33">
        <v>70</v>
      </c>
      <c r="C78" s="111">
        <v>22490110.441436127</v>
      </c>
      <c r="D78" s="111">
        <v>21608252.335788861</v>
      </c>
      <c r="E78" s="111">
        <v>16564659.236477822</v>
      </c>
      <c r="F78" s="111">
        <v>6512544.4550041854</v>
      </c>
      <c r="G78" s="111">
        <v>4085283.4018512666</v>
      </c>
      <c r="H78" s="111">
        <v>4773052.5810895264</v>
      </c>
      <c r="I78" s="111">
        <v>11174482.712175652</v>
      </c>
    </row>
    <row r="79" spans="2:9">
      <c r="B79" s="33">
        <v>71</v>
      </c>
      <c r="C79" s="111">
        <v>18623865.73396419</v>
      </c>
      <c r="D79" s="111">
        <v>10953491.278517216</v>
      </c>
      <c r="E79" s="111">
        <v>14607370.317714259</v>
      </c>
      <c r="F79" s="111">
        <v>11197838.0205165</v>
      </c>
      <c r="G79" s="111">
        <v>15005294.057914883</v>
      </c>
      <c r="H79" s="111">
        <v>10337323.909150168</v>
      </c>
      <c r="I79" s="111">
        <v>-330008.63223788142</v>
      </c>
    </row>
    <row r="80" spans="2:9">
      <c r="B80" s="33">
        <v>72</v>
      </c>
      <c r="C80" s="111">
        <v>13719101.055899948</v>
      </c>
      <c r="D80" s="111">
        <v>18037945.954758063</v>
      </c>
      <c r="E80" s="111">
        <v>13002882.972630158</v>
      </c>
      <c r="F80" s="111">
        <v>3251803.6053671986</v>
      </c>
      <c r="G80" s="111">
        <v>7579685.0654974431</v>
      </c>
      <c r="H80" s="111">
        <v>722460.88876646757</v>
      </c>
      <c r="I80" s="111">
        <v>4643498.8029318601</v>
      </c>
    </row>
    <row r="81" spans="2:9">
      <c r="B81" s="33">
        <v>73</v>
      </c>
      <c r="C81" s="111">
        <v>7334788.1480291188</v>
      </c>
      <c r="D81" s="111">
        <v>11706135.611696035</v>
      </c>
      <c r="E81" s="111">
        <v>4096656.5681168437</v>
      </c>
      <c r="F81" s="111">
        <v>764567.71961985528</v>
      </c>
      <c r="G81" s="111">
        <v>14620695.891813591</v>
      </c>
      <c r="H81" s="111">
        <v>16402807.26146175</v>
      </c>
      <c r="I81" s="111">
        <v>6037117.9950993955</v>
      </c>
    </row>
    <row r="82" spans="2:9">
      <c r="B82" s="33">
        <v>74</v>
      </c>
      <c r="C82" s="111">
        <v>15633579.465421796</v>
      </c>
      <c r="D82" s="111">
        <v>7218605.8158595562</v>
      </c>
      <c r="E82" s="111">
        <v>17254570.658720538</v>
      </c>
      <c r="F82" s="111">
        <v>7104522.6362859756</v>
      </c>
      <c r="G82" s="111">
        <v>3654352.6439023763</v>
      </c>
      <c r="H82" s="111">
        <v>6065013.7461638749</v>
      </c>
      <c r="I82" s="111">
        <v>7880962.2522035241</v>
      </c>
    </row>
    <row r="83" spans="2:9">
      <c r="B83" s="33">
        <v>75</v>
      </c>
      <c r="C83" s="111">
        <v>13265953.574914441</v>
      </c>
      <c r="D83" s="111">
        <v>10071873.121626928</v>
      </c>
      <c r="E83" s="111">
        <v>16056280.112123072</v>
      </c>
      <c r="F83" s="111">
        <v>9436488.4692472517</v>
      </c>
      <c r="G83" s="111">
        <v>6803506.7373410761</v>
      </c>
      <c r="H83" s="111">
        <v>-2022387.0852236301</v>
      </c>
      <c r="I83" s="111">
        <v>8610755.5907547474</v>
      </c>
    </row>
    <row r="84" spans="2:9">
      <c r="B84" s="33">
        <v>76</v>
      </c>
      <c r="C84" s="111">
        <v>18285186.429847449</v>
      </c>
      <c r="D84" s="111">
        <v>11593117.697069779</v>
      </c>
      <c r="E84" s="111">
        <v>19134407.451181799</v>
      </c>
      <c r="F84" s="111">
        <v>12290165.781801671</v>
      </c>
      <c r="G84" s="111">
        <v>4399333.2073568255</v>
      </c>
      <c r="H84" s="111">
        <v>92631.673112750053</v>
      </c>
      <c r="I84" s="111">
        <v>-2010180.6982362717</v>
      </c>
    </row>
    <row r="85" spans="2:9">
      <c r="B85" s="33">
        <v>77</v>
      </c>
      <c r="C85" s="111">
        <v>16415192.707403094</v>
      </c>
      <c r="D85" s="111">
        <v>16628588.08369042</v>
      </c>
      <c r="E85" s="111">
        <v>10256827.517479658</v>
      </c>
      <c r="F85" s="111">
        <v>-1315461.778956309</v>
      </c>
      <c r="G85" s="111">
        <v>16757417.696575567</v>
      </c>
      <c r="H85" s="111">
        <v>8064409.8038571775</v>
      </c>
      <c r="I85" s="111">
        <v>10901057.092302561</v>
      </c>
    </row>
    <row r="86" spans="2:9">
      <c r="B86" s="33">
        <v>78</v>
      </c>
      <c r="C86" s="111">
        <v>2479923.2741803527</v>
      </c>
      <c r="D86" s="111">
        <v>-5042842.3916465044</v>
      </c>
      <c r="E86" s="111">
        <v>4716293.5861671865</v>
      </c>
      <c r="F86" s="111">
        <v>13759345.030800372</v>
      </c>
      <c r="G86" s="111">
        <v>1702686.0446714461</v>
      </c>
      <c r="H86" s="111">
        <v>7544445.4614579678</v>
      </c>
      <c r="I86" s="111">
        <v>13426557.006535143</v>
      </c>
    </row>
    <row r="87" spans="2:9">
      <c r="B87" s="33">
        <v>79</v>
      </c>
      <c r="C87" s="111">
        <v>18697995.410048738</v>
      </c>
      <c r="D87" s="111">
        <v>18608142.457785115</v>
      </c>
      <c r="E87" s="111">
        <v>8517913.9769037664</v>
      </c>
      <c r="F87" s="111">
        <v>433199.64372132719</v>
      </c>
      <c r="G87" s="111">
        <v>4896066.7714447379</v>
      </c>
      <c r="H87" s="111">
        <v>1578267.4786198139</v>
      </c>
      <c r="I87" s="111">
        <v>5776985.7713174075</v>
      </c>
    </row>
    <row r="88" spans="2:9">
      <c r="B88" s="33">
        <v>80</v>
      </c>
      <c r="C88" s="111">
        <v>16498648.994236201</v>
      </c>
      <c r="D88" s="111">
        <v>17927578.59813413</v>
      </c>
      <c r="E88" s="111">
        <v>19603952.765103474</v>
      </c>
      <c r="F88" s="111">
        <v>7474617.7163435221</v>
      </c>
      <c r="G88" s="111">
        <v>4351358.5940599591</v>
      </c>
      <c r="H88" s="111">
        <v>7160514.0985329896</v>
      </c>
      <c r="I88" s="111">
        <v>6072317.7493180931</v>
      </c>
    </row>
    <row r="89" spans="2:9">
      <c r="B89" s="33">
        <v>81</v>
      </c>
      <c r="C89" s="111">
        <v>15924389.85531126</v>
      </c>
      <c r="D89" s="111">
        <v>3766514.35932675</v>
      </c>
      <c r="E89" s="111">
        <v>12387730.074201614</v>
      </c>
      <c r="F89" s="111">
        <v>8522014.4861399084</v>
      </c>
      <c r="G89" s="111">
        <v>5618067.5230720937</v>
      </c>
      <c r="H89" s="111">
        <v>8557660.3436313719</v>
      </c>
      <c r="I89" s="111">
        <v>-14485179.213438764</v>
      </c>
    </row>
    <row r="90" spans="2:9">
      <c r="B90" s="33">
        <v>82</v>
      </c>
      <c r="C90" s="111">
        <v>19108475.973592758</v>
      </c>
      <c r="D90" s="111">
        <v>9120994.7036105543</v>
      </c>
      <c r="E90" s="111">
        <v>10102234.137619033</v>
      </c>
      <c r="F90" s="111">
        <v>19771147.916790143</v>
      </c>
      <c r="G90" s="111">
        <v>5558161.5246549249</v>
      </c>
      <c r="H90" s="111">
        <v>12358224.733754158</v>
      </c>
      <c r="I90" s="111">
        <v>-7017170.3813235462</v>
      </c>
    </row>
    <row r="91" spans="2:9">
      <c r="B91" s="33">
        <v>83</v>
      </c>
      <c r="C91" s="111">
        <v>9806889.9446739554</v>
      </c>
      <c r="D91" s="111">
        <v>32564650.910959467</v>
      </c>
      <c r="E91" s="111">
        <v>12498703.414480522</v>
      </c>
      <c r="F91" s="111">
        <v>7573817.4751601517</v>
      </c>
      <c r="G91" s="111">
        <v>9829354.8509028852</v>
      </c>
      <c r="H91" s="111">
        <v>10356624.773325428</v>
      </c>
      <c r="I91" s="111">
        <v>-2312605.3379171491</v>
      </c>
    </row>
    <row r="92" spans="2:9">
      <c r="B92" s="33">
        <v>84</v>
      </c>
      <c r="C92" s="111">
        <v>20618693.13667272</v>
      </c>
      <c r="D92" s="111">
        <v>14741929.721164778</v>
      </c>
      <c r="E92" s="111">
        <v>3182850.0863987505</v>
      </c>
      <c r="F92" s="111">
        <v>14391290.811796665</v>
      </c>
      <c r="G92" s="111">
        <v>2879077.6805022955</v>
      </c>
      <c r="H92" s="111">
        <v>19235573.444044083</v>
      </c>
      <c r="I92" s="111">
        <v>7188532.2314299494</v>
      </c>
    </row>
    <row r="93" spans="2:9">
      <c r="B93" s="33">
        <v>85</v>
      </c>
      <c r="C93" s="111">
        <v>16256966.675620809</v>
      </c>
      <c r="D93" s="111">
        <v>9221708.897498697</v>
      </c>
      <c r="E93" s="111">
        <v>12354383.313032374</v>
      </c>
      <c r="F93" s="111">
        <v>10079875.913711965</v>
      </c>
      <c r="G93" s="111">
        <v>7467536.9345441312</v>
      </c>
      <c r="H93" s="111">
        <v>5307018.2723268718</v>
      </c>
      <c r="I93" s="111">
        <v>1092024.2454969436</v>
      </c>
    </row>
    <row r="94" spans="2:9">
      <c r="B94" s="33">
        <v>86</v>
      </c>
      <c r="C94" s="111">
        <v>10804994.765723765</v>
      </c>
      <c r="D94" s="111">
        <v>23645519.67831336</v>
      </c>
      <c r="E94" s="111">
        <v>12803081.267699137</v>
      </c>
      <c r="F94" s="111">
        <v>6014822.276567623</v>
      </c>
      <c r="G94" s="111">
        <v>19428086.289682761</v>
      </c>
      <c r="H94" s="111">
        <v>12738519.849191725</v>
      </c>
      <c r="I94" s="111">
        <v>6272855.825338155</v>
      </c>
    </row>
    <row r="95" spans="2:9">
      <c r="B95" s="33">
        <v>87</v>
      </c>
      <c r="C95" s="111">
        <v>21357048.777750567</v>
      </c>
      <c r="D95" s="111">
        <v>14590160.68715553</v>
      </c>
      <c r="E95" s="111">
        <v>3131069.8750973195</v>
      </c>
      <c r="F95" s="111">
        <v>10184652.699181944</v>
      </c>
      <c r="G95" s="111">
        <v>17945647.294122159</v>
      </c>
      <c r="H95" s="111">
        <v>4572720.5592912883</v>
      </c>
      <c r="I95" s="111">
        <v>5420957.1017865092</v>
      </c>
    </row>
    <row r="96" spans="2:9">
      <c r="B96" s="33">
        <v>88</v>
      </c>
      <c r="C96" s="111">
        <v>11934528.651470587</v>
      </c>
      <c r="D96" s="111">
        <v>13065404.907196417</v>
      </c>
      <c r="E96" s="111">
        <v>25091485.432110846</v>
      </c>
      <c r="F96" s="111">
        <v>4063842.3345268667</v>
      </c>
      <c r="G96" s="111">
        <v>8402675.2744675726</v>
      </c>
      <c r="H96" s="111">
        <v>2685349.123729676</v>
      </c>
      <c r="I96" s="111">
        <v>3975651.3295254856</v>
      </c>
    </row>
    <row r="97" spans="2:9">
      <c r="B97" s="33">
        <v>89</v>
      </c>
      <c r="C97" s="111">
        <v>12021144.817085922</v>
      </c>
      <c r="D97" s="111">
        <v>14403651.994280457</v>
      </c>
      <c r="E97" s="111">
        <v>-839509.37401410937</v>
      </c>
      <c r="F97" s="111">
        <v>20685238.608394429</v>
      </c>
      <c r="G97" s="111">
        <v>5824544.0100045502</v>
      </c>
      <c r="H97" s="111">
        <v>14270851.221977562</v>
      </c>
      <c r="I97" s="111">
        <v>12968992.635312498</v>
      </c>
    </row>
    <row r="98" spans="2:9">
      <c r="B98" s="33">
        <v>90</v>
      </c>
      <c r="C98" s="111">
        <v>19710756.475122422</v>
      </c>
      <c r="D98" s="111">
        <v>18192211.961769119</v>
      </c>
      <c r="E98" s="111">
        <v>7836075.6250169277</v>
      </c>
      <c r="F98" s="111">
        <v>22754507.771230683</v>
      </c>
      <c r="G98" s="111">
        <v>5038748.4117716551</v>
      </c>
      <c r="H98" s="111">
        <v>-7726138.7384908795</v>
      </c>
      <c r="I98" s="111">
        <v>3906480.9924304336</v>
      </c>
    </row>
    <row r="99" spans="2:9">
      <c r="B99" s="33">
        <v>91</v>
      </c>
      <c r="C99" s="111">
        <v>12284754.480414689</v>
      </c>
      <c r="D99" s="111">
        <v>-2956393.2090083063</v>
      </c>
      <c r="E99" s="111">
        <v>21124136.184368446</v>
      </c>
      <c r="F99" s="111">
        <v>2529468.9224081188</v>
      </c>
      <c r="G99" s="111">
        <v>6877441.00174959</v>
      </c>
      <c r="H99" s="111">
        <v>-549172.09513349831</v>
      </c>
      <c r="I99" s="111">
        <v>7201222.3297130615</v>
      </c>
    </row>
    <row r="100" spans="2:9">
      <c r="B100" s="33">
        <v>92</v>
      </c>
      <c r="C100" s="111">
        <v>27619747.873059168</v>
      </c>
      <c r="D100" s="111">
        <v>15899006.602769688</v>
      </c>
      <c r="E100" s="111">
        <v>12655185.399635673</v>
      </c>
      <c r="F100" s="111">
        <v>24057196.146399185</v>
      </c>
      <c r="G100" s="111">
        <v>7125579.2952272445</v>
      </c>
      <c r="H100" s="111">
        <v>13362249.318489224</v>
      </c>
      <c r="I100" s="111">
        <v>-3587799.1832888424</v>
      </c>
    </row>
    <row r="101" spans="2:9">
      <c r="B101" s="33">
        <v>93</v>
      </c>
      <c r="C101" s="111">
        <v>15124150.613553852</v>
      </c>
      <c r="D101" s="111">
        <v>19400892.482540175</v>
      </c>
      <c r="E101" s="111">
        <v>17955473.573123068</v>
      </c>
      <c r="F101" s="111">
        <v>16338528.176049724</v>
      </c>
      <c r="G101" s="111">
        <v>5893250.6566863209</v>
      </c>
      <c r="H101" s="111">
        <v>16549724.185220659</v>
      </c>
      <c r="I101" s="111">
        <v>10030925.744442925</v>
      </c>
    </row>
    <row r="102" spans="2:9">
      <c r="B102" s="33">
        <v>94</v>
      </c>
      <c r="C102" s="111">
        <v>25945443.011098459</v>
      </c>
      <c r="D102" s="111">
        <v>9269487.1684371531</v>
      </c>
      <c r="E102" s="111">
        <v>2903525.1535509974</v>
      </c>
      <c r="F102" s="111">
        <v>6322826.5362645686</v>
      </c>
      <c r="G102" s="111">
        <v>3906917.7433855534</v>
      </c>
      <c r="H102" s="111">
        <v>7998901.8996494263</v>
      </c>
      <c r="I102" s="111">
        <v>6017489.7497825325</v>
      </c>
    </row>
    <row r="103" spans="2:9">
      <c r="B103" s="33">
        <v>95</v>
      </c>
      <c r="C103" s="111">
        <v>18137556.241469428</v>
      </c>
      <c r="D103" s="111">
        <v>11702785.864422143</v>
      </c>
      <c r="E103" s="111">
        <v>17336651.26565814</v>
      </c>
      <c r="F103" s="111">
        <v>13607322.581019595</v>
      </c>
      <c r="G103" s="111">
        <v>23633290.786688775</v>
      </c>
      <c r="H103" s="111">
        <v>1831924.3452845365</v>
      </c>
      <c r="I103" s="111">
        <v>-4414517.4624568224</v>
      </c>
    </row>
    <row r="104" spans="2:9">
      <c r="B104" s="33">
        <v>96</v>
      </c>
      <c r="C104" s="111">
        <v>9394689.0187172443</v>
      </c>
      <c r="D104" s="111">
        <v>20664893.579429388</v>
      </c>
      <c r="E104" s="111">
        <v>19868832.856241047</v>
      </c>
      <c r="F104" s="111">
        <v>24793445.789287522</v>
      </c>
      <c r="G104" s="111">
        <v>-3284953.9701517075</v>
      </c>
      <c r="H104" s="111">
        <v>5489592.7658602893</v>
      </c>
      <c r="I104" s="111">
        <v>-5484869.1774313003</v>
      </c>
    </row>
    <row r="105" spans="2:9">
      <c r="B105" s="33">
        <v>97</v>
      </c>
      <c r="C105" s="111">
        <v>14930830.238848016</v>
      </c>
      <c r="D105" s="111">
        <v>25174060.088291392</v>
      </c>
      <c r="E105" s="111">
        <v>2934369.3181936145</v>
      </c>
      <c r="F105" s="111">
        <v>20732308.045880973</v>
      </c>
      <c r="G105" s="111">
        <v>4531565.3446406424</v>
      </c>
      <c r="H105" s="111">
        <v>6526713.8466917276</v>
      </c>
      <c r="I105" s="111">
        <v>14551673.157470286</v>
      </c>
    </row>
    <row r="106" spans="2:9">
      <c r="B106" s="33">
        <v>98</v>
      </c>
      <c r="C106" s="111">
        <v>13202975.725497544</v>
      </c>
      <c r="D106" s="111">
        <v>4064607.0977312177</v>
      </c>
      <c r="E106" s="111">
        <v>11975029.165798962</v>
      </c>
      <c r="F106" s="111">
        <v>1405966.7518345118</v>
      </c>
      <c r="G106" s="111">
        <v>6563412.369184047</v>
      </c>
      <c r="H106" s="111">
        <v>13805197.770666376</v>
      </c>
      <c r="I106" s="111">
        <v>7252964.5818335712</v>
      </c>
    </row>
    <row r="107" spans="2:9">
      <c r="B107" s="33">
        <v>99</v>
      </c>
      <c r="C107" s="111">
        <v>19449534.368636221</v>
      </c>
      <c r="D107" s="111">
        <v>23707906.119261801</v>
      </c>
      <c r="E107" s="111">
        <v>18343201.354298607</v>
      </c>
      <c r="F107" s="111">
        <v>20619557.455867127</v>
      </c>
      <c r="G107" s="111">
        <v>10723007.912322924</v>
      </c>
      <c r="H107" s="111">
        <v>4031470.0239407718</v>
      </c>
      <c r="I107" s="111">
        <v>1373093.2036384493</v>
      </c>
    </row>
    <row r="108" spans="2:9">
      <c r="B108" s="33">
        <v>100</v>
      </c>
      <c r="C108" s="111">
        <v>18588041.903620914</v>
      </c>
      <c r="D108" s="111">
        <v>20154486.937072828</v>
      </c>
      <c r="E108" s="111">
        <v>14880463.682735607</v>
      </c>
      <c r="F108" s="111">
        <v>12760631.261957765</v>
      </c>
      <c r="G108" s="111">
        <v>20015801.463415727</v>
      </c>
      <c r="H108" s="111">
        <v>-3573064.005552277</v>
      </c>
      <c r="I108" s="111">
        <v>5204654.9392667413</v>
      </c>
    </row>
    <row r="109" spans="2:9">
      <c r="B109" s="33">
        <v>101</v>
      </c>
      <c r="C109" s="111">
        <v>6316929.7134734094</v>
      </c>
      <c r="D109" s="111">
        <v>14508605.787859619</v>
      </c>
      <c r="E109" s="111">
        <v>15779047.334159404</v>
      </c>
      <c r="F109" s="111">
        <v>8498013.4906653911</v>
      </c>
      <c r="G109" s="111">
        <v>15468771.166410744</v>
      </c>
      <c r="H109" s="111">
        <v>3003668.2370827049</v>
      </c>
      <c r="I109" s="111">
        <v>1245973.923729375</v>
      </c>
    </row>
    <row r="110" spans="2:9">
      <c r="B110" s="33">
        <v>102</v>
      </c>
      <c r="C110" s="111">
        <v>16053610.499248296</v>
      </c>
      <c r="D110" s="111">
        <v>11513749.315536231</v>
      </c>
      <c r="E110" s="111">
        <v>21281533.421048343</v>
      </c>
      <c r="F110" s="111">
        <v>23472463.280573145</v>
      </c>
      <c r="G110" s="111">
        <v>11892539.024754152</v>
      </c>
      <c r="H110" s="111">
        <v>14284601.542196736</v>
      </c>
      <c r="I110" s="111">
        <v>10844928.903852567</v>
      </c>
    </row>
    <row r="111" spans="2:9">
      <c r="B111" s="33">
        <v>103</v>
      </c>
      <c r="C111" s="111">
        <v>17935504.20895572</v>
      </c>
      <c r="D111" s="111">
        <v>4524833.1368830055</v>
      </c>
      <c r="E111" s="111">
        <v>4151506.7649622709</v>
      </c>
      <c r="F111" s="111">
        <v>9773244.7308095396</v>
      </c>
      <c r="G111" s="111">
        <v>11714086.759269685</v>
      </c>
      <c r="H111" s="111">
        <v>8612508.9822390825</v>
      </c>
      <c r="I111" s="111">
        <v>-652598.75119410455</v>
      </c>
    </row>
    <row r="112" spans="2:9">
      <c r="B112" s="33">
        <v>104</v>
      </c>
      <c r="C112" s="111">
        <v>12767384.185272291</v>
      </c>
      <c r="D112" s="111">
        <v>9676101.3628710955</v>
      </c>
      <c r="E112" s="111">
        <v>22851358.666647479</v>
      </c>
      <c r="F112" s="111">
        <v>11740129.673660353</v>
      </c>
      <c r="G112" s="111">
        <v>12975805.824167654</v>
      </c>
      <c r="H112" s="111">
        <v>8758001.9123201519</v>
      </c>
      <c r="I112" s="111">
        <v>7583893.0713977814</v>
      </c>
    </row>
    <row r="113" spans="2:9">
      <c r="B113" s="33">
        <v>105</v>
      </c>
      <c r="C113" s="111">
        <v>17587246.00469175</v>
      </c>
      <c r="D113" s="111">
        <v>15081344.255928025</v>
      </c>
      <c r="E113" s="111">
        <v>5018653.3814191669</v>
      </c>
      <c r="F113" s="111">
        <v>17481953.118080094</v>
      </c>
      <c r="G113" s="111">
        <v>-1605220.0897284746</v>
      </c>
      <c r="H113" s="111">
        <v>12083728.207804129</v>
      </c>
      <c r="I113" s="111">
        <v>4781205.3923123628</v>
      </c>
    </row>
    <row r="114" spans="2:9">
      <c r="B114" s="33">
        <v>106</v>
      </c>
      <c r="C114" s="111">
        <v>17469099.874806136</v>
      </c>
      <c r="D114" s="111">
        <v>14975377.635421067</v>
      </c>
      <c r="E114" s="111">
        <v>15665416.418957502</v>
      </c>
      <c r="F114" s="111">
        <v>7383212.0318481773</v>
      </c>
      <c r="G114" s="111">
        <v>12188180.043449968</v>
      </c>
      <c r="H114" s="111">
        <v>6302725.2744663209</v>
      </c>
      <c r="I114" s="111">
        <v>2574506.1263967007</v>
      </c>
    </row>
    <row r="115" spans="2:9">
      <c r="B115" s="33">
        <v>107</v>
      </c>
      <c r="C115" s="111">
        <v>12028044.942976773</v>
      </c>
      <c r="D115" s="111">
        <v>16693897.78329429</v>
      </c>
      <c r="E115" s="111">
        <v>19613132.624129072</v>
      </c>
      <c r="F115" s="111">
        <v>9480631.1907980144</v>
      </c>
      <c r="G115" s="111">
        <v>5131168.2723242939</v>
      </c>
      <c r="H115" s="111">
        <v>10053724.669145808</v>
      </c>
      <c r="I115" s="111">
        <v>7126169.4342974722</v>
      </c>
    </row>
    <row r="116" spans="2:9">
      <c r="B116" s="33">
        <v>108</v>
      </c>
      <c r="C116" s="111">
        <v>9519378.9425326288</v>
      </c>
      <c r="D116" s="111">
        <v>21131288.749056861</v>
      </c>
      <c r="E116" s="111">
        <v>11864858.07833387</v>
      </c>
      <c r="F116" s="111">
        <v>17309617.442516148</v>
      </c>
      <c r="G116" s="111">
        <v>14108576.836456224</v>
      </c>
      <c r="H116" s="111">
        <v>1334574.6335121244</v>
      </c>
      <c r="I116" s="111">
        <v>13331875.814313367</v>
      </c>
    </row>
    <row r="117" spans="2:9">
      <c r="B117" s="33">
        <v>109</v>
      </c>
      <c r="C117" s="111">
        <v>27144904.259709075</v>
      </c>
      <c r="D117" s="111">
        <v>12675203.174346104</v>
      </c>
      <c r="E117" s="111">
        <v>14537630.791393057</v>
      </c>
      <c r="F117" s="111">
        <v>4940487.0911412239</v>
      </c>
      <c r="G117" s="111">
        <v>22118284.92323637</v>
      </c>
      <c r="H117" s="111">
        <v>5106359.0138535947</v>
      </c>
      <c r="I117" s="111">
        <v>-914927.29828062654</v>
      </c>
    </row>
    <row r="118" spans="2:9">
      <c r="B118" s="33">
        <v>110</v>
      </c>
      <c r="C118" s="111">
        <v>8468336.6815512031</v>
      </c>
      <c r="D118" s="111">
        <v>14646554.098543748</v>
      </c>
      <c r="E118" s="111">
        <v>23925216.677963451</v>
      </c>
      <c r="F118" s="111">
        <v>19515547.213973671</v>
      </c>
      <c r="G118" s="111">
        <v>8005776.3085213304</v>
      </c>
      <c r="H118" s="111">
        <v>5794237.1101431549</v>
      </c>
      <c r="I118" s="111">
        <v>7428202.2585111558</v>
      </c>
    </row>
    <row r="119" spans="2:9">
      <c r="B119" s="33">
        <v>111</v>
      </c>
      <c r="C119" s="111">
        <v>20609358.560895175</v>
      </c>
      <c r="D119" s="111">
        <v>12213647.306277141</v>
      </c>
      <c r="E119" s="111">
        <v>16723179.534233719</v>
      </c>
      <c r="F119" s="111">
        <v>3980850.250382632</v>
      </c>
      <c r="G119" s="111">
        <v>15375331.30367808</v>
      </c>
      <c r="H119" s="111">
        <v>8960121.3583433777</v>
      </c>
      <c r="I119" s="111">
        <v>-3419394.8406215608</v>
      </c>
    </row>
    <row r="120" spans="2:9">
      <c r="B120" s="33">
        <v>112</v>
      </c>
      <c r="C120" s="111">
        <v>23762075.930547342</v>
      </c>
      <c r="D120" s="111">
        <v>17265393.935196325</v>
      </c>
      <c r="E120" s="111">
        <v>12562899.369012773</v>
      </c>
      <c r="F120" s="111">
        <v>8904982.4512167722</v>
      </c>
      <c r="G120" s="111">
        <v>14435806.911154613</v>
      </c>
      <c r="H120" s="111">
        <v>8126647.7117525637</v>
      </c>
      <c r="I120" s="111">
        <v>5625212.9765172154</v>
      </c>
    </row>
    <row r="121" spans="2:9">
      <c r="B121" s="33">
        <v>113</v>
      </c>
      <c r="C121" s="111">
        <v>16751074.803828523</v>
      </c>
      <c r="D121" s="111">
        <v>17046402.620295778</v>
      </c>
      <c r="E121" s="111">
        <v>11363280.626212925</v>
      </c>
      <c r="F121" s="111">
        <v>10651838.953680813</v>
      </c>
      <c r="G121" s="111">
        <v>13430799.295732766</v>
      </c>
      <c r="H121" s="111">
        <v>-4480261.883426562</v>
      </c>
      <c r="I121" s="111">
        <v>8161986.9320639968</v>
      </c>
    </row>
    <row r="122" spans="2:9">
      <c r="B122" s="33">
        <v>114</v>
      </c>
      <c r="C122" s="111">
        <v>17434926.610377699</v>
      </c>
      <c r="D122" s="111">
        <v>20587851.444857016</v>
      </c>
      <c r="E122" s="111">
        <v>12639127.470237091</v>
      </c>
      <c r="F122" s="111">
        <v>8405864.9648392946</v>
      </c>
      <c r="G122" s="111">
        <v>9899192.743155092</v>
      </c>
      <c r="H122" s="111">
        <v>-828104.7520519644</v>
      </c>
      <c r="I122" s="111">
        <v>9750423.2597310841</v>
      </c>
    </row>
    <row r="123" spans="2:9">
      <c r="B123" s="33">
        <v>115</v>
      </c>
      <c r="C123" s="111">
        <v>20493480.875880376</v>
      </c>
      <c r="D123" s="111">
        <v>21289977.040901393</v>
      </c>
      <c r="E123" s="111">
        <v>12311464.978722155</v>
      </c>
      <c r="F123" s="111">
        <v>10262388.589867175</v>
      </c>
      <c r="G123" s="111">
        <v>12620821.441647127</v>
      </c>
      <c r="H123" s="111">
        <v>1038590.2767951787</v>
      </c>
      <c r="I123" s="111">
        <v>779591.99614265561</v>
      </c>
    </row>
    <row r="124" spans="2:9">
      <c r="B124" s="33">
        <v>116</v>
      </c>
      <c r="C124" s="111">
        <v>12506507.492327228</v>
      </c>
      <c r="D124" s="111">
        <v>18388199.554403007</v>
      </c>
      <c r="E124" s="111">
        <v>1460611.3150695115</v>
      </c>
      <c r="F124" s="111">
        <v>8498908.3802189827</v>
      </c>
      <c r="G124" s="111">
        <v>11730795.890417933</v>
      </c>
      <c r="H124" s="111">
        <v>3966509.9942405522</v>
      </c>
      <c r="I124" s="111">
        <v>5893152.2132951021</v>
      </c>
    </row>
    <row r="125" spans="2:9">
      <c r="B125" s="33">
        <v>117</v>
      </c>
      <c r="C125" s="111">
        <v>13391487.310381934</v>
      </c>
      <c r="D125" s="111">
        <v>16959798.166564927</v>
      </c>
      <c r="E125" s="111">
        <v>14489032.325613961</v>
      </c>
      <c r="F125" s="111">
        <v>14259789.234548047</v>
      </c>
      <c r="G125" s="111">
        <v>4852876.9430901855</v>
      </c>
      <c r="H125" s="111">
        <v>10039373.484533817</v>
      </c>
      <c r="I125" s="111">
        <v>4997429.043901965</v>
      </c>
    </row>
    <row r="126" spans="2:9">
      <c r="B126" s="33">
        <v>118</v>
      </c>
      <c r="C126" s="111">
        <v>24553563.305509821</v>
      </c>
      <c r="D126" s="111">
        <v>15118258.757569477</v>
      </c>
      <c r="E126" s="111">
        <v>19794632.824523643</v>
      </c>
      <c r="F126" s="111">
        <v>7706719.9568169415</v>
      </c>
      <c r="G126" s="111">
        <v>3751251.7159894556</v>
      </c>
      <c r="H126" s="111">
        <v>4907793.9987474829</v>
      </c>
      <c r="I126" s="111">
        <v>380165.70516885817</v>
      </c>
    </row>
    <row r="127" spans="2:9">
      <c r="B127" s="33">
        <v>119</v>
      </c>
      <c r="C127" s="111">
        <v>16424741.500058651</v>
      </c>
      <c r="D127" s="111">
        <v>32043233.670611784</v>
      </c>
      <c r="E127" s="111">
        <v>7098477.5464656353</v>
      </c>
      <c r="F127" s="111">
        <v>16657006.833566114</v>
      </c>
      <c r="G127" s="111">
        <v>12260662.357596084</v>
      </c>
      <c r="H127" s="111">
        <v>2377023.1997124553</v>
      </c>
      <c r="I127" s="111">
        <v>-2363935.7462435514</v>
      </c>
    </row>
    <row r="128" spans="2:9">
      <c r="B128" s="33">
        <v>120</v>
      </c>
      <c r="C128" s="111">
        <v>14133925.162473232</v>
      </c>
      <c r="D128" s="111">
        <v>17630865.370531887</v>
      </c>
      <c r="E128" s="111">
        <v>11807838.786147669</v>
      </c>
      <c r="F128" s="111">
        <v>11072929.464047626</v>
      </c>
      <c r="G128" s="111">
        <v>1247045.7171345949</v>
      </c>
      <c r="H128" s="111">
        <v>23638860.851743355</v>
      </c>
      <c r="I128" s="111">
        <v>10465497.305416584</v>
      </c>
    </row>
    <row r="129" spans="2:9">
      <c r="B129" s="33">
        <v>121</v>
      </c>
      <c r="C129" s="111">
        <v>23710036.569148719</v>
      </c>
      <c r="D129" s="111">
        <v>27356055.664469436</v>
      </c>
      <c r="E129" s="111">
        <v>18343042.737659767</v>
      </c>
      <c r="F129" s="111">
        <v>9945676.7938808948</v>
      </c>
      <c r="G129" s="111">
        <v>5866827.2165692896</v>
      </c>
      <c r="H129" s="111">
        <v>15422451.283105269</v>
      </c>
      <c r="I129" s="111">
        <v>10701987.710742459</v>
      </c>
    </row>
    <row r="130" spans="2:9">
      <c r="B130" s="33">
        <v>122</v>
      </c>
      <c r="C130" s="111">
        <v>11596147.07362929</v>
      </c>
      <c r="D130" s="111">
        <v>21044828.211203858</v>
      </c>
      <c r="E130" s="111">
        <v>19598035.333148777</v>
      </c>
      <c r="F130" s="111">
        <v>-6713516.1662824303</v>
      </c>
      <c r="G130" s="111">
        <v>5732778.0947830081</v>
      </c>
      <c r="H130" s="111">
        <v>5263169.1576767713</v>
      </c>
      <c r="I130" s="111">
        <v>80142.202343210578</v>
      </c>
    </row>
    <row r="131" spans="2:9">
      <c r="B131" s="33">
        <v>123</v>
      </c>
      <c r="C131" s="111">
        <v>11902648.979677349</v>
      </c>
      <c r="D131" s="111">
        <v>19660919.940411776</v>
      </c>
      <c r="E131" s="111">
        <v>19215120.936451361</v>
      </c>
      <c r="F131" s="111">
        <v>10272157.182614356</v>
      </c>
      <c r="G131" s="111">
        <v>8450970.7069815546</v>
      </c>
      <c r="H131" s="111">
        <v>1516573.7453907281</v>
      </c>
      <c r="I131" s="111">
        <v>4246031.8323370516</v>
      </c>
    </row>
    <row r="132" spans="2:9">
      <c r="B132" s="33">
        <v>124</v>
      </c>
      <c r="C132" s="111">
        <v>20927826.617609844</v>
      </c>
      <c r="D132" s="111">
        <v>17719640.936233208</v>
      </c>
      <c r="E132" s="111">
        <v>4608875.5619900078</v>
      </c>
      <c r="F132" s="111">
        <v>14823944.169899464</v>
      </c>
      <c r="G132" s="111">
        <v>14397580.335222691</v>
      </c>
      <c r="H132" s="111">
        <v>13475798.760598257</v>
      </c>
      <c r="I132" s="111">
        <v>1647831.3567301184</v>
      </c>
    </row>
    <row r="133" spans="2:9">
      <c r="B133" s="33">
        <v>125</v>
      </c>
      <c r="C133" s="111">
        <v>18556676.719765261</v>
      </c>
      <c r="D133" s="111">
        <v>19687074.20488134</v>
      </c>
      <c r="E133" s="111">
        <v>16208243.005663931</v>
      </c>
      <c r="F133" s="111">
        <v>411486.39354427159</v>
      </c>
      <c r="G133" s="111">
        <v>6535238.7271391451</v>
      </c>
      <c r="H133" s="111">
        <v>4611918.4067209661</v>
      </c>
      <c r="I133" s="111">
        <v>3358932.438206017</v>
      </c>
    </row>
    <row r="134" spans="2:9">
      <c r="B134" s="33">
        <v>126</v>
      </c>
      <c r="C134" s="111">
        <v>7829382.2402732223</v>
      </c>
      <c r="D134" s="111">
        <v>10071709.047274262</v>
      </c>
      <c r="E134" s="111">
        <v>13503101.651950091</v>
      </c>
      <c r="F134" s="111">
        <v>19145493.044738069</v>
      </c>
      <c r="G134" s="111">
        <v>12461967.436620578</v>
      </c>
      <c r="H134" s="111">
        <v>8545648.2368799448</v>
      </c>
      <c r="I134" s="111">
        <v>10399147.797464222</v>
      </c>
    </row>
    <row r="135" spans="2:9">
      <c r="B135" s="33">
        <v>127</v>
      </c>
      <c r="C135" s="111">
        <v>23612705.450697437</v>
      </c>
      <c r="D135" s="111">
        <v>10149109.873744324</v>
      </c>
      <c r="E135" s="111">
        <v>20881455.772033244</v>
      </c>
      <c r="F135" s="111">
        <v>15618303.267020434</v>
      </c>
      <c r="G135" s="111">
        <v>1428221.4331743121</v>
      </c>
      <c r="H135" s="111">
        <v>6824471.1943989992</v>
      </c>
      <c r="I135" s="111">
        <v>12543928.641701519</v>
      </c>
    </row>
    <row r="136" spans="2:9">
      <c r="B136" s="33">
        <v>128</v>
      </c>
      <c r="C136" s="111">
        <v>19894217.425085455</v>
      </c>
      <c r="D136" s="111">
        <v>1225345.3410571516</v>
      </c>
      <c r="E136" s="111">
        <v>12261567.870578691</v>
      </c>
      <c r="F136" s="111">
        <v>10872734.638077751</v>
      </c>
      <c r="G136" s="111">
        <v>3311835.8355046064</v>
      </c>
      <c r="H136" s="111">
        <v>-1029174.3194338381</v>
      </c>
      <c r="I136" s="111">
        <v>13707687.804135874</v>
      </c>
    </row>
    <row r="137" spans="2:9">
      <c r="B137" s="33">
        <v>129</v>
      </c>
      <c r="C137" s="111">
        <v>23317640.345728114</v>
      </c>
      <c r="D137" s="111">
        <v>9950861.6883118004</v>
      </c>
      <c r="E137" s="111">
        <v>18503886.316862211</v>
      </c>
      <c r="F137" s="111">
        <v>11422820.09366776</v>
      </c>
      <c r="G137" s="111">
        <v>11224470.167281866</v>
      </c>
      <c r="H137" s="111">
        <v>-1723941.2079913616</v>
      </c>
      <c r="I137" s="111">
        <v>10502911.293983668</v>
      </c>
    </row>
    <row r="138" spans="2:9">
      <c r="B138" s="33">
        <v>130</v>
      </c>
      <c r="C138" s="111">
        <v>14013719.584887952</v>
      </c>
      <c r="D138" s="111">
        <v>15853689.197451577</v>
      </c>
      <c r="E138" s="111">
        <v>14294969.03507328</v>
      </c>
      <c r="F138" s="111">
        <v>17714478.069164485</v>
      </c>
      <c r="G138" s="111">
        <v>21347889.543360412</v>
      </c>
      <c r="H138" s="111">
        <v>5424666.0568583459</v>
      </c>
      <c r="I138" s="111">
        <v>4030460.863405332</v>
      </c>
    </row>
    <row r="139" spans="2:9">
      <c r="B139" s="33">
        <v>131</v>
      </c>
      <c r="C139" s="111">
        <v>1424879.2476332188</v>
      </c>
      <c r="D139" s="111">
        <v>14342404.452995464</v>
      </c>
      <c r="E139" s="111">
        <v>12284723.051570997</v>
      </c>
      <c r="F139" s="111">
        <v>15114176.882801577</v>
      </c>
      <c r="G139" s="111">
        <v>502902.6714977473</v>
      </c>
      <c r="H139" s="111">
        <v>-4107247.8858162463</v>
      </c>
      <c r="I139" s="111">
        <v>1119230.8494795263</v>
      </c>
    </row>
    <row r="140" spans="2:9">
      <c r="B140" s="33">
        <v>132</v>
      </c>
      <c r="C140" s="111">
        <v>24661627.877159804</v>
      </c>
      <c r="D140" s="111">
        <v>16246956.982493043</v>
      </c>
      <c r="E140" s="111">
        <v>-109007.51348541677</v>
      </c>
      <c r="F140" s="111">
        <v>15259730.727248847</v>
      </c>
      <c r="G140" s="111">
        <v>11322624.124807045</v>
      </c>
      <c r="H140" s="111">
        <v>-3031270.01846762</v>
      </c>
      <c r="I140" s="111">
        <v>4514250.6011628062</v>
      </c>
    </row>
    <row r="141" spans="2:9">
      <c r="B141" s="33">
        <v>133</v>
      </c>
      <c r="C141" s="111">
        <v>13159538.11792697</v>
      </c>
      <c r="D141" s="111">
        <v>8356063.3551612794</v>
      </c>
      <c r="E141" s="111">
        <v>-267299.99205422401</v>
      </c>
      <c r="F141" s="111">
        <v>7408749.2588197142</v>
      </c>
      <c r="G141" s="111">
        <v>11204976.814910486</v>
      </c>
      <c r="H141" s="111">
        <v>-1925734.6424687803</v>
      </c>
      <c r="I141" s="111">
        <v>-874903.98417061567</v>
      </c>
    </row>
    <row r="142" spans="2:9">
      <c r="B142" s="33">
        <v>134</v>
      </c>
      <c r="C142" s="111">
        <v>8294274.9043394327</v>
      </c>
      <c r="D142" s="111">
        <v>24148618.799886823</v>
      </c>
      <c r="E142" s="111">
        <v>7823273.0510471314</v>
      </c>
      <c r="F142" s="111">
        <v>-1079900.4111820906</v>
      </c>
      <c r="G142" s="111">
        <v>2265379.475144133</v>
      </c>
      <c r="H142" s="111">
        <v>9441809.0658836365</v>
      </c>
      <c r="I142" s="111">
        <v>-10436295.043594539</v>
      </c>
    </row>
    <row r="143" spans="2:9">
      <c r="B143" s="33">
        <v>135</v>
      </c>
      <c r="C143" s="111">
        <v>15128780.450836733</v>
      </c>
      <c r="D143" s="111">
        <v>13321800.47274287</v>
      </c>
      <c r="E143" s="111">
        <v>10201337.820822015</v>
      </c>
      <c r="F143" s="111">
        <v>9908863.1445873678</v>
      </c>
      <c r="G143" s="111">
        <v>-25431.479768723249</v>
      </c>
      <c r="H143" s="111">
        <v>9651526.1671972573</v>
      </c>
      <c r="I143" s="111">
        <v>5756730.6175198108</v>
      </c>
    </row>
    <row r="144" spans="2:9">
      <c r="B144" s="33">
        <v>136</v>
      </c>
      <c r="C144" s="111">
        <v>20558441.213820711</v>
      </c>
      <c r="D144" s="111">
        <v>12318289.263648048</v>
      </c>
      <c r="E144" s="111">
        <v>21545632.278658256</v>
      </c>
      <c r="F144" s="111">
        <v>7582756.586313799</v>
      </c>
      <c r="G144" s="111">
        <v>3604152.8738897592</v>
      </c>
      <c r="H144" s="111">
        <v>9501107.9948444217</v>
      </c>
      <c r="I144" s="111">
        <v>17012463.732288405</v>
      </c>
    </row>
    <row r="145" spans="2:9">
      <c r="B145" s="33">
        <v>137</v>
      </c>
      <c r="C145" s="111">
        <v>16250511.48832272</v>
      </c>
      <c r="D145" s="111">
        <v>8479214.7860632241</v>
      </c>
      <c r="E145" s="111">
        <v>20443109.052549854</v>
      </c>
      <c r="F145" s="111">
        <v>6721289.3773664981</v>
      </c>
      <c r="G145" s="111">
        <v>8349131.9451899678</v>
      </c>
      <c r="H145" s="111">
        <v>3146649.3855767846</v>
      </c>
      <c r="I145" s="111">
        <v>6036280.2217959613</v>
      </c>
    </row>
    <row r="146" spans="2:9">
      <c r="B146" s="33">
        <v>138</v>
      </c>
      <c r="C146" s="111">
        <v>14581311.978880614</v>
      </c>
      <c r="D146" s="111">
        <v>15382252.041594356</v>
      </c>
      <c r="E146" s="111">
        <v>17408018.839315727</v>
      </c>
      <c r="F146" s="111">
        <v>5383731.8469663262</v>
      </c>
      <c r="G146" s="111">
        <v>17329274.373453692</v>
      </c>
      <c r="H146" s="111">
        <v>8999783.8737380654</v>
      </c>
      <c r="I146" s="111">
        <v>10819954.466687202</v>
      </c>
    </row>
    <row r="147" spans="2:9">
      <c r="B147" s="33">
        <v>139</v>
      </c>
      <c r="C147" s="111">
        <v>13035466.838202178</v>
      </c>
      <c r="D147" s="111">
        <v>16662022.368759722</v>
      </c>
      <c r="E147" s="111">
        <v>18093244.417925224</v>
      </c>
      <c r="F147" s="111">
        <v>19642069.602011845</v>
      </c>
      <c r="G147" s="111">
        <v>14098220.775574729</v>
      </c>
      <c r="H147" s="111">
        <v>-3922793.5350640863</v>
      </c>
      <c r="I147" s="111">
        <v>9721555.0628069937</v>
      </c>
    </row>
    <row r="148" spans="2:9">
      <c r="B148" s="33">
        <v>140</v>
      </c>
      <c r="C148" s="111">
        <v>20288396.263567716</v>
      </c>
      <c r="D148" s="111">
        <v>12943345.370755687</v>
      </c>
      <c r="E148" s="111">
        <v>3360807.2799266428</v>
      </c>
      <c r="F148" s="111">
        <v>12822760.291907832</v>
      </c>
      <c r="G148" s="111">
        <v>13500466.648145288</v>
      </c>
      <c r="H148" s="111">
        <v>14491667.545269579</v>
      </c>
      <c r="I148" s="111">
        <v>-5787969.310348317</v>
      </c>
    </row>
    <row r="149" spans="2:9">
      <c r="B149" s="33">
        <v>141</v>
      </c>
      <c r="C149" s="111">
        <v>15412397.365510955</v>
      </c>
      <c r="D149" s="111">
        <v>10198560.8105205</v>
      </c>
      <c r="E149" s="111">
        <v>11919856.840149552</v>
      </c>
      <c r="F149" s="111">
        <v>2472326.9976899773</v>
      </c>
      <c r="G149" s="111">
        <v>7751480.1346313059</v>
      </c>
      <c r="H149" s="111">
        <v>89266.967759013176</v>
      </c>
      <c r="I149" s="111">
        <v>6434162.9243741333</v>
      </c>
    </row>
    <row r="150" spans="2:9">
      <c r="B150" s="33">
        <v>142</v>
      </c>
      <c r="C150" s="111">
        <v>15520188.655255347</v>
      </c>
      <c r="D150" s="111">
        <v>15040077.471122891</v>
      </c>
      <c r="E150" s="111">
        <v>19982921.758094624</v>
      </c>
      <c r="F150" s="111">
        <v>14221107.872998312</v>
      </c>
      <c r="G150" s="111">
        <v>10222354.321512058</v>
      </c>
      <c r="H150" s="111">
        <v>5297495.2551762909</v>
      </c>
      <c r="I150" s="111">
        <v>23593090.050014466</v>
      </c>
    </row>
    <row r="151" spans="2:9">
      <c r="B151" s="33">
        <v>143</v>
      </c>
      <c r="C151" s="111">
        <v>15610493.276622057</v>
      </c>
      <c r="D151" s="111">
        <v>15825572.714336604</v>
      </c>
      <c r="E151" s="111">
        <v>16061701.639476657</v>
      </c>
      <c r="F151" s="111">
        <v>7468653.8298257738</v>
      </c>
      <c r="G151" s="111">
        <v>-4968179.5910186917</v>
      </c>
      <c r="H151" s="111">
        <v>11661798.567029446</v>
      </c>
      <c r="I151" s="111">
        <v>-8656407.9583243132</v>
      </c>
    </row>
    <row r="152" spans="2:9">
      <c r="B152" s="33">
        <v>144</v>
      </c>
      <c r="C152" s="111">
        <v>19699511.959562019</v>
      </c>
      <c r="D152" s="111">
        <v>23144720.435208946</v>
      </c>
      <c r="E152" s="111">
        <v>10527628.774425298</v>
      </c>
      <c r="F152" s="111">
        <v>9967432.5464478135</v>
      </c>
      <c r="G152" s="111">
        <v>6726043.6529628783</v>
      </c>
      <c r="H152" s="111">
        <v>6227749.7226054817</v>
      </c>
      <c r="I152" s="111">
        <v>105770.98636366427</v>
      </c>
    </row>
    <row r="153" spans="2:9">
      <c r="B153" s="33">
        <v>145</v>
      </c>
      <c r="C153" s="111">
        <v>25636635.300101474</v>
      </c>
      <c r="D153" s="111">
        <v>14698319.715238184</v>
      </c>
      <c r="E153" s="111">
        <v>14586285.44459714</v>
      </c>
      <c r="F153" s="111">
        <v>12824592.223399982</v>
      </c>
      <c r="G153" s="111">
        <v>-145127.41490010917</v>
      </c>
      <c r="H153" s="111">
        <v>8279508.0234605819</v>
      </c>
      <c r="I153" s="111">
        <v>15314163.601826966</v>
      </c>
    </row>
    <row r="154" spans="2:9">
      <c r="B154" s="33">
        <v>146</v>
      </c>
      <c r="C154" s="111">
        <v>18563691.360987693</v>
      </c>
      <c r="D154" s="111">
        <v>11569223.462372467</v>
      </c>
      <c r="E154" s="111">
        <v>10061903.940567315</v>
      </c>
      <c r="F154" s="111">
        <v>7864164.7078340501</v>
      </c>
      <c r="G154" s="111">
        <v>10301122.02565898</v>
      </c>
      <c r="H154" s="111">
        <v>1158480.8580442816</v>
      </c>
      <c r="I154" s="111">
        <v>12872282.709947065</v>
      </c>
    </row>
    <row r="155" spans="2:9">
      <c r="B155" s="33">
        <v>147</v>
      </c>
      <c r="C155" s="111">
        <v>22190188.976517975</v>
      </c>
      <c r="D155" s="111">
        <v>20147588.38569738</v>
      </c>
      <c r="E155" s="111">
        <v>14068138.517743409</v>
      </c>
      <c r="F155" s="111">
        <v>9454427.1420916319</v>
      </c>
      <c r="G155" s="111">
        <v>11157850.504665002</v>
      </c>
      <c r="H155" s="111">
        <v>183290.13383993506</v>
      </c>
      <c r="I155" s="111">
        <v>-2640075.6370197535</v>
      </c>
    </row>
    <row r="156" spans="2:9">
      <c r="B156" s="33">
        <v>148</v>
      </c>
      <c r="C156" s="111">
        <v>2568723.0825847387</v>
      </c>
      <c r="D156" s="111">
        <v>13450636.470481396</v>
      </c>
      <c r="E156" s="111">
        <v>10382094.372050568</v>
      </c>
      <c r="F156" s="111">
        <v>11322655.554945096</v>
      </c>
      <c r="G156" s="111">
        <v>10222725.97889939</v>
      </c>
      <c r="H156" s="111">
        <v>6935238.5456594974</v>
      </c>
      <c r="I156" s="111">
        <v>-1936508.502292946</v>
      </c>
    </row>
    <row r="157" spans="2:9">
      <c r="B157" s="33">
        <v>149</v>
      </c>
      <c r="C157" s="111">
        <v>3192768.4284012765</v>
      </c>
      <c r="D157" s="111">
        <v>14928475.515452296</v>
      </c>
      <c r="E157" s="111">
        <v>12622411.813905567</v>
      </c>
      <c r="F157" s="111">
        <v>13396655.650204793</v>
      </c>
      <c r="G157" s="111">
        <v>3596054.7772240639</v>
      </c>
      <c r="H157" s="111">
        <v>-1034988.5641856045</v>
      </c>
      <c r="I157" s="111">
        <v>9173822.7069373876</v>
      </c>
    </row>
    <row r="158" spans="2:9">
      <c r="B158" s="33">
        <v>150</v>
      </c>
      <c r="C158" s="111">
        <v>7876437.245920822</v>
      </c>
      <c r="D158" s="111">
        <v>20503580.893077716</v>
      </c>
      <c r="E158" s="111">
        <v>11317788.495371267</v>
      </c>
      <c r="F158" s="111">
        <v>20695392.317199796</v>
      </c>
      <c r="G158" s="111">
        <v>10881499.840354487</v>
      </c>
      <c r="H158" s="111">
        <v>10976959.856505468</v>
      </c>
      <c r="I158" s="111">
        <v>6036232.072380513</v>
      </c>
    </row>
    <row r="159" spans="2:9">
      <c r="B159" s="33">
        <v>151</v>
      </c>
      <c r="C159" s="111">
        <v>26071537.218325689</v>
      </c>
      <c r="D159" s="111">
        <v>13118347.58731778</v>
      </c>
      <c r="E159" s="111">
        <v>6193994.4021037966</v>
      </c>
      <c r="F159" s="111">
        <v>11609489.130752161</v>
      </c>
      <c r="G159" s="111">
        <v>9339339.6378744543</v>
      </c>
      <c r="H159" s="111">
        <v>5837223.6971668899</v>
      </c>
      <c r="I159" s="111">
        <v>1200972.5113085061</v>
      </c>
    </row>
    <row r="160" spans="2:9">
      <c r="B160" s="33">
        <v>152</v>
      </c>
      <c r="C160" s="111">
        <v>18322795.949418768</v>
      </c>
      <c r="D160" s="111">
        <v>20565452.467032284</v>
      </c>
      <c r="E160" s="111">
        <v>10946515.080150127</v>
      </c>
      <c r="F160" s="111">
        <v>19771010.060097665</v>
      </c>
      <c r="G160" s="111">
        <v>2125884.4175839573</v>
      </c>
      <c r="H160" s="111">
        <v>-1205783.2224813104</v>
      </c>
      <c r="I160" s="111">
        <v>4443017.528787896</v>
      </c>
    </row>
    <row r="161" spans="2:9">
      <c r="B161" s="33">
        <v>153</v>
      </c>
      <c r="C161" s="111">
        <v>26757513.113008142</v>
      </c>
      <c r="D161" s="111">
        <v>18239749.057456374</v>
      </c>
      <c r="E161" s="111">
        <v>8500727.4534948766</v>
      </c>
      <c r="F161" s="111">
        <v>14281515.539354369</v>
      </c>
      <c r="G161" s="111">
        <v>2905556.0536511838</v>
      </c>
      <c r="H161" s="111">
        <v>5459288.3946905583</v>
      </c>
      <c r="I161" s="111">
        <v>4712749.9871095717</v>
      </c>
    </row>
    <row r="162" spans="2:9">
      <c r="B162" s="33">
        <v>154</v>
      </c>
      <c r="C162" s="111">
        <v>17386404.712752759</v>
      </c>
      <c r="D162" s="111">
        <v>20890149.379157022</v>
      </c>
      <c r="E162" s="111">
        <v>7381686.2551082373</v>
      </c>
      <c r="F162" s="111">
        <v>-560488.94732217491</v>
      </c>
      <c r="G162" s="111">
        <v>6273661.1105245948</v>
      </c>
      <c r="H162" s="111">
        <v>6572118.0322127193</v>
      </c>
      <c r="I162" s="111">
        <v>12362864.911451206</v>
      </c>
    </row>
    <row r="163" spans="2:9">
      <c r="B163" s="33">
        <v>155</v>
      </c>
      <c r="C163" s="111">
        <v>16751768.586304471</v>
      </c>
      <c r="D163" s="111">
        <v>15270316.883835122</v>
      </c>
      <c r="E163" s="111">
        <v>8071063.5030180663</v>
      </c>
      <c r="F163" s="111">
        <v>23667985.355183333</v>
      </c>
      <c r="G163" s="111">
        <v>8635915.8540388942</v>
      </c>
      <c r="H163" s="111">
        <v>-242073.34531928599</v>
      </c>
      <c r="I163" s="111">
        <v>9196494.8056992739</v>
      </c>
    </row>
    <row r="164" spans="2:9">
      <c r="B164" s="33">
        <v>156</v>
      </c>
      <c r="C164" s="111">
        <v>23320758.845101967</v>
      </c>
      <c r="D164" s="111">
        <v>6380043.3248804063</v>
      </c>
      <c r="E164" s="111">
        <v>5560323.3280148804</v>
      </c>
      <c r="F164" s="111">
        <v>18103974.912142888</v>
      </c>
      <c r="G164" s="111">
        <v>6410644.2667449266</v>
      </c>
      <c r="H164" s="111">
        <v>6918757.0012217015</v>
      </c>
      <c r="I164" s="111">
        <v>14694231.860621631</v>
      </c>
    </row>
    <row r="165" spans="2:9">
      <c r="B165" s="33">
        <v>157</v>
      </c>
      <c r="C165" s="111">
        <v>15440796.623951435</v>
      </c>
      <c r="D165" s="111">
        <v>16228980.186003894</v>
      </c>
      <c r="E165" s="111">
        <v>20826486.082092047</v>
      </c>
      <c r="F165" s="111">
        <v>7720656.7955947518</v>
      </c>
      <c r="G165" s="111">
        <v>704489.72250960767</v>
      </c>
      <c r="H165" s="111">
        <v>2199339.4686667621</v>
      </c>
      <c r="I165" s="111">
        <v>-188329.19625322521</v>
      </c>
    </row>
    <row r="166" spans="2:9">
      <c r="B166" s="33">
        <v>158</v>
      </c>
      <c r="C166" s="111">
        <v>17464316.734796107</v>
      </c>
      <c r="D166" s="111">
        <v>16595664.3946082</v>
      </c>
      <c r="E166" s="111">
        <v>6914234.6080646217</v>
      </c>
      <c r="F166" s="111">
        <v>4740543.7357069403</v>
      </c>
      <c r="G166" s="111">
        <v>14981687.595786184</v>
      </c>
      <c r="H166" s="111">
        <v>5862596.9515950382</v>
      </c>
      <c r="I166" s="111">
        <v>6161513.3695207685</v>
      </c>
    </row>
    <row r="167" spans="2:9">
      <c r="B167" s="33">
        <v>159</v>
      </c>
      <c r="C167" s="111">
        <v>18766753.593357891</v>
      </c>
      <c r="D167" s="111">
        <v>16662096.127188042</v>
      </c>
      <c r="E167" s="111">
        <v>13586869.860951737</v>
      </c>
      <c r="F167" s="111">
        <v>9859121.8629500866</v>
      </c>
      <c r="G167" s="111">
        <v>11096001.166227505</v>
      </c>
      <c r="H167" s="111">
        <v>-2793593.8257698417</v>
      </c>
      <c r="I167" s="111">
        <v>5972836.3367737979</v>
      </c>
    </row>
    <row r="168" spans="2:9">
      <c r="B168" s="33">
        <v>160</v>
      </c>
      <c r="C168" s="111">
        <v>10109338.134262249</v>
      </c>
      <c r="D168" s="111">
        <v>13939653.068919018</v>
      </c>
      <c r="E168" s="111">
        <v>23695036.41961123</v>
      </c>
      <c r="F168" s="111">
        <v>15845887.420797348</v>
      </c>
      <c r="G168" s="111">
        <v>10207660.558094144</v>
      </c>
      <c r="H168" s="111">
        <v>3706705.0421729386</v>
      </c>
      <c r="I168" s="111">
        <v>-4730524.97388421</v>
      </c>
    </row>
    <row r="169" spans="2:9">
      <c r="B169" s="33">
        <v>161</v>
      </c>
      <c r="C169" s="111">
        <v>7282889.115964964</v>
      </c>
      <c r="D169" s="111">
        <v>16614174.198493555</v>
      </c>
      <c r="E169" s="111">
        <v>18142441.493080392</v>
      </c>
      <c r="F169" s="111">
        <v>7297135.2059703022</v>
      </c>
      <c r="G169" s="111">
        <v>14002561.58158201</v>
      </c>
      <c r="H169" s="111">
        <v>10099653.369147971</v>
      </c>
      <c r="I169" s="111">
        <v>77247.553067371249</v>
      </c>
    </row>
    <row r="170" spans="2:9">
      <c r="B170" s="33">
        <v>162</v>
      </c>
      <c r="C170" s="111">
        <v>13067252.363950372</v>
      </c>
      <c r="D170" s="111">
        <v>12048801.587390572</v>
      </c>
      <c r="E170" s="111">
        <v>12817716.477402702</v>
      </c>
      <c r="F170" s="111">
        <v>9364027.9440309107</v>
      </c>
      <c r="G170" s="111">
        <v>4340861.1816643924</v>
      </c>
      <c r="H170" s="111">
        <v>3782157.8832676411</v>
      </c>
      <c r="I170" s="111">
        <v>11449935.929740131</v>
      </c>
    </row>
    <row r="171" spans="2:9">
      <c r="B171" s="33">
        <v>163</v>
      </c>
      <c r="C171" s="111">
        <v>6128474.1886295378</v>
      </c>
      <c r="D171" s="111">
        <v>13783011.896260068</v>
      </c>
      <c r="E171" s="111">
        <v>9211467.6558420509</v>
      </c>
      <c r="F171" s="111">
        <v>12162835.651479959</v>
      </c>
      <c r="G171" s="111">
        <v>17143076.270657763</v>
      </c>
      <c r="H171" s="111">
        <v>-2287839.6071641445</v>
      </c>
      <c r="I171" s="111">
        <v>-1179475.9558684528</v>
      </c>
    </row>
    <row r="172" spans="2:9">
      <c r="B172" s="33">
        <v>164</v>
      </c>
      <c r="C172" s="111">
        <v>9404040.2329571098</v>
      </c>
      <c r="D172" s="111">
        <v>10179066.02194494</v>
      </c>
      <c r="E172" s="111">
        <v>9506245.9792940617</v>
      </c>
      <c r="F172" s="111">
        <v>12206335.943128079</v>
      </c>
      <c r="G172" s="111">
        <v>8614159.6666980386</v>
      </c>
      <c r="H172" s="111">
        <v>11594713.79317902</v>
      </c>
      <c r="I172" s="111">
        <v>10247959.179582551</v>
      </c>
    </row>
    <row r="173" spans="2:9">
      <c r="B173" s="33">
        <v>165</v>
      </c>
      <c r="C173" s="111">
        <v>12529528.292032897</v>
      </c>
      <c r="D173" s="111">
        <v>19713538.056436539</v>
      </c>
      <c r="E173" s="111">
        <v>4182965.3448141813</v>
      </c>
      <c r="F173" s="111">
        <v>4730205.306031853</v>
      </c>
      <c r="G173" s="111">
        <v>9442882.1732858866</v>
      </c>
      <c r="H173" s="111">
        <v>17508860.713584051</v>
      </c>
      <c r="I173" s="111">
        <v>3490263.3414603323</v>
      </c>
    </row>
    <row r="174" spans="2:9">
      <c r="B174" s="33">
        <v>166</v>
      </c>
      <c r="C174" s="111">
        <v>15161691.72108677</v>
      </c>
      <c r="D174" s="111">
        <v>19880055.627775595</v>
      </c>
      <c r="E174" s="111">
        <v>13845161.897382006</v>
      </c>
      <c r="F174" s="111">
        <v>19669553.591505051</v>
      </c>
      <c r="G174" s="111">
        <v>8000705.3922371864</v>
      </c>
      <c r="H174" s="111">
        <v>13220509.436105371</v>
      </c>
      <c r="I174" s="111">
        <v>-952866.90878652036</v>
      </c>
    </row>
    <row r="175" spans="2:9">
      <c r="B175" s="33">
        <v>167</v>
      </c>
      <c r="C175" s="111">
        <v>10647797.37996766</v>
      </c>
      <c r="D175" s="111">
        <v>3882369.7616606653</v>
      </c>
      <c r="E175" s="111">
        <v>13663499.625342786</v>
      </c>
      <c r="F175" s="111">
        <v>14280534.89890191</v>
      </c>
      <c r="G175" s="111">
        <v>3508475.5301227123</v>
      </c>
      <c r="H175" s="111">
        <v>9198162.7813972235</v>
      </c>
      <c r="I175" s="111">
        <v>683077.81879472733</v>
      </c>
    </row>
    <row r="176" spans="2:9">
      <c r="B176" s="33">
        <v>168</v>
      </c>
      <c r="C176" s="111">
        <v>14759653.134674683</v>
      </c>
      <c r="D176" s="111">
        <v>14090326.607904047</v>
      </c>
      <c r="E176" s="111">
        <v>16892220.058316663</v>
      </c>
      <c r="F176" s="111">
        <v>16885425.850417107</v>
      </c>
      <c r="G176" s="111">
        <v>8979181.3141322881</v>
      </c>
      <c r="H176" s="111">
        <v>3537345.0765127391</v>
      </c>
      <c r="I176" s="111">
        <v>7811002.8162130564</v>
      </c>
    </row>
    <row r="177" spans="2:9">
      <c r="B177" s="33">
        <v>169</v>
      </c>
      <c r="C177" s="111">
        <v>26983853.005304322</v>
      </c>
      <c r="D177" s="111">
        <v>16911604.197611392</v>
      </c>
      <c r="E177" s="111">
        <v>4809668.0386463702</v>
      </c>
      <c r="F177" s="111">
        <v>10060963.775542557</v>
      </c>
      <c r="G177" s="111">
        <v>11196912.099174663</v>
      </c>
      <c r="H177" s="111">
        <v>12840910.10078001</v>
      </c>
      <c r="I177" s="111">
        <v>3013156.7946225703</v>
      </c>
    </row>
    <row r="178" spans="2:9">
      <c r="B178" s="33">
        <v>170</v>
      </c>
      <c r="C178" s="111">
        <v>7644313.823529616</v>
      </c>
      <c r="D178" s="111">
        <v>11337543.907010064</v>
      </c>
      <c r="E178" s="111">
        <v>11605055.678455368</v>
      </c>
      <c r="F178" s="111">
        <v>8382740.5030699372</v>
      </c>
      <c r="G178" s="111">
        <v>7834751.1027912945</v>
      </c>
      <c r="H178" s="111">
        <v>11512925.284452751</v>
      </c>
      <c r="I178" s="111">
        <v>1956148.2453712076</v>
      </c>
    </row>
    <row r="179" spans="2:9">
      <c r="B179" s="33">
        <v>171</v>
      </c>
      <c r="C179" s="111">
        <v>24213835.774256304</v>
      </c>
      <c r="D179" s="111">
        <v>5551443.9994831085</v>
      </c>
      <c r="E179" s="111">
        <v>14265507.400994331</v>
      </c>
      <c r="F179" s="111">
        <v>27671815.727214068</v>
      </c>
      <c r="G179" s="111">
        <v>93997.98276989162</v>
      </c>
      <c r="H179" s="111">
        <v>5531457.0823820531</v>
      </c>
      <c r="I179" s="111">
        <v>-360543.23477761447</v>
      </c>
    </row>
    <row r="180" spans="2:9">
      <c r="B180" s="33">
        <v>172</v>
      </c>
      <c r="C180" s="111">
        <v>12396417.581100062</v>
      </c>
      <c r="D180" s="111">
        <v>26416775.497481376</v>
      </c>
      <c r="E180" s="111">
        <v>24144139.082265452</v>
      </c>
      <c r="F180" s="111">
        <v>8784412.0522277206</v>
      </c>
      <c r="G180" s="111">
        <v>16540287.391218826</v>
      </c>
      <c r="H180" s="111">
        <v>-586821.97499035299</v>
      </c>
      <c r="I180" s="111">
        <v>-2417403.3198925704</v>
      </c>
    </row>
    <row r="181" spans="2:9">
      <c r="B181" s="33">
        <v>173</v>
      </c>
      <c r="C181" s="111">
        <v>17737455.381559089</v>
      </c>
      <c r="D181" s="111">
        <v>-618294.91983340681</v>
      </c>
      <c r="E181" s="111">
        <v>9867655.6163726598</v>
      </c>
      <c r="F181" s="111">
        <v>6512138.0571335554</v>
      </c>
      <c r="G181" s="111">
        <v>18975773.039473221</v>
      </c>
      <c r="H181" s="111">
        <v>2687542.7732868791</v>
      </c>
      <c r="I181" s="111">
        <v>2974668.9195071012</v>
      </c>
    </row>
    <row r="182" spans="2:9">
      <c r="B182" s="33">
        <v>174</v>
      </c>
      <c r="C182" s="111">
        <v>17598855.93754077</v>
      </c>
      <c r="D182" s="111">
        <v>3852881.1335492581</v>
      </c>
      <c r="E182" s="111">
        <v>7626663.9181801528</v>
      </c>
      <c r="F182" s="111">
        <v>18741709.840615094</v>
      </c>
      <c r="G182" s="111">
        <v>5722428.1732947379</v>
      </c>
      <c r="H182" s="111">
        <v>11863936.449714378</v>
      </c>
      <c r="I182" s="111">
        <v>2046893.6322682053</v>
      </c>
    </row>
    <row r="183" spans="2:9">
      <c r="B183" s="33">
        <v>175</v>
      </c>
      <c r="C183" s="111">
        <v>9448256.3122090399</v>
      </c>
      <c r="D183" s="111">
        <v>15525101.793792143</v>
      </c>
      <c r="E183" s="111">
        <v>10149371.404216319</v>
      </c>
      <c r="F183" s="111">
        <v>10421182.7350761</v>
      </c>
      <c r="G183" s="111">
        <v>6451851.7136941552</v>
      </c>
      <c r="H183" s="111">
        <v>4035179.3522032648</v>
      </c>
      <c r="I183" s="111">
        <v>9879250.206493631</v>
      </c>
    </row>
    <row r="184" spans="2:9">
      <c r="B184" s="33">
        <v>176</v>
      </c>
      <c r="C184" s="111">
        <v>10173059.137884632</v>
      </c>
      <c r="D184" s="111">
        <v>3400182.2016929984</v>
      </c>
      <c r="E184" s="111">
        <v>6545390.4623407423</v>
      </c>
      <c r="F184" s="111">
        <v>12668442.628384739</v>
      </c>
      <c r="G184" s="111">
        <v>10913838.43997559</v>
      </c>
      <c r="H184" s="111">
        <v>5320701.1239094883</v>
      </c>
      <c r="I184" s="111">
        <v>8294078.7226685882</v>
      </c>
    </row>
    <row r="185" spans="2:9">
      <c r="B185" s="33">
        <v>177</v>
      </c>
      <c r="C185" s="111">
        <v>16666853.280469209</v>
      </c>
      <c r="D185" s="111">
        <v>19390736.69891794</v>
      </c>
      <c r="E185" s="111">
        <v>4633814.0568864346</v>
      </c>
      <c r="F185" s="111">
        <v>-67576.274089440703</v>
      </c>
      <c r="G185" s="111">
        <v>9333462.5217402279</v>
      </c>
      <c r="H185" s="111">
        <v>13467657.258081064</v>
      </c>
      <c r="I185" s="111">
        <v>-415513.37562058866</v>
      </c>
    </row>
    <row r="186" spans="2:9">
      <c r="B186" s="33">
        <v>178</v>
      </c>
      <c r="C186" s="111">
        <v>17086533.250857636</v>
      </c>
      <c r="D186" s="111">
        <v>12886800.157077596</v>
      </c>
      <c r="E186" s="111">
        <v>6320953.4134854078</v>
      </c>
      <c r="F186" s="111">
        <v>7519890.7285184562</v>
      </c>
      <c r="G186" s="111">
        <v>9489317.2214556485</v>
      </c>
      <c r="H186" s="111">
        <v>-11453230.320893988</v>
      </c>
      <c r="I186" s="111">
        <v>-10682116.90527311</v>
      </c>
    </row>
    <row r="187" spans="2:9">
      <c r="B187" s="33">
        <v>179</v>
      </c>
      <c r="C187" s="111">
        <v>28709231.195124879</v>
      </c>
      <c r="D187" s="111">
        <v>27249267.416662961</v>
      </c>
      <c r="E187" s="111">
        <v>14981483.146921396</v>
      </c>
      <c r="F187" s="111">
        <v>6356800.7208341211</v>
      </c>
      <c r="G187" s="111">
        <v>5772787.9124130309</v>
      </c>
      <c r="H187" s="111">
        <v>16520693.378165022</v>
      </c>
      <c r="I187" s="111">
        <v>14205387.340400726</v>
      </c>
    </row>
    <row r="188" spans="2:9">
      <c r="B188" s="33">
        <v>180</v>
      </c>
      <c r="C188" s="111">
        <v>24861934.25401184</v>
      </c>
      <c r="D188" s="111">
        <v>14540689.270424128</v>
      </c>
      <c r="E188" s="111">
        <v>22631478.840821162</v>
      </c>
      <c r="F188" s="111">
        <v>18439788.784263089</v>
      </c>
      <c r="G188" s="111">
        <v>6239977.5696397424</v>
      </c>
      <c r="H188" s="111">
        <v>9815935.8481058031</v>
      </c>
      <c r="I188" s="111">
        <v>6179768.9047118574</v>
      </c>
    </row>
    <row r="189" spans="2:9">
      <c r="B189" s="33">
        <v>181</v>
      </c>
      <c r="C189" s="111">
        <v>9075406.660880357</v>
      </c>
      <c r="D189" s="111">
        <v>8305205.5119270682</v>
      </c>
      <c r="E189" s="111">
        <v>10323632.610389233</v>
      </c>
      <c r="F189" s="111">
        <v>1833876.3325595856</v>
      </c>
      <c r="G189" s="111">
        <v>11978357.8512557</v>
      </c>
      <c r="H189" s="111">
        <v>7521761.149166733</v>
      </c>
      <c r="I189" s="111">
        <v>4611071.0366698354</v>
      </c>
    </row>
    <row r="190" spans="2:9">
      <c r="B190" s="33">
        <v>182</v>
      </c>
      <c r="C190" s="111">
        <v>12734438.916318789</v>
      </c>
      <c r="D190" s="111">
        <v>15661096.042849019</v>
      </c>
      <c r="E190" s="111">
        <v>22771184.818423659</v>
      </c>
      <c r="F190" s="111">
        <v>3177542.5351302624</v>
      </c>
      <c r="G190" s="111">
        <v>6270108.0546556413</v>
      </c>
      <c r="H190" s="111">
        <v>3189104.021189332</v>
      </c>
      <c r="I190" s="111">
        <v>6462334.7702068388</v>
      </c>
    </row>
    <row r="191" spans="2:9">
      <c r="B191" s="33">
        <v>183</v>
      </c>
      <c r="C191" s="111">
        <v>20316919.687604651</v>
      </c>
      <c r="D191" s="111">
        <v>26798267.341534764</v>
      </c>
      <c r="E191" s="111">
        <v>16554049.729179889</v>
      </c>
      <c r="F191" s="111">
        <v>3969647.0460765809</v>
      </c>
      <c r="G191" s="111">
        <v>5538848.3696479499</v>
      </c>
      <c r="H191" s="111">
        <v>3816665.8567472249</v>
      </c>
      <c r="I191" s="111">
        <v>-2044495.5068184137</v>
      </c>
    </row>
    <row r="192" spans="2:9">
      <c r="B192" s="33">
        <v>184</v>
      </c>
      <c r="C192" s="111">
        <v>14853437.323476911</v>
      </c>
      <c r="D192" s="111">
        <v>9623256.1844927371</v>
      </c>
      <c r="E192" s="111">
        <v>10886127.46592012</v>
      </c>
      <c r="F192" s="111">
        <v>13646774.865268245</v>
      </c>
      <c r="G192" s="111">
        <v>9552084.3367113322</v>
      </c>
      <c r="H192" s="111">
        <v>16630078.935877413</v>
      </c>
      <c r="I192" s="111">
        <v>7746378.2895275652</v>
      </c>
    </row>
    <row r="193" spans="2:9">
      <c r="B193" s="33">
        <v>185</v>
      </c>
      <c r="C193" s="111">
        <v>8068316.7232033759</v>
      </c>
      <c r="D193" s="111">
        <v>19593070.502493456</v>
      </c>
      <c r="E193" s="111">
        <v>13868461.166048586</v>
      </c>
      <c r="F193" s="111">
        <v>19728269.912999228</v>
      </c>
      <c r="G193" s="111">
        <v>8736238.1189902276</v>
      </c>
      <c r="H193" s="111">
        <v>12143976.757373303</v>
      </c>
      <c r="I193" s="111">
        <v>1409132.5660976321</v>
      </c>
    </row>
    <row r="194" spans="2:9">
      <c r="B194" s="33">
        <v>186</v>
      </c>
      <c r="C194" s="111">
        <v>13556918.072126582</v>
      </c>
      <c r="D194" s="111">
        <v>29504475.769757599</v>
      </c>
      <c r="E194" s="111">
        <v>17996978.947277024</v>
      </c>
      <c r="F194" s="111">
        <v>18629452.813727766</v>
      </c>
      <c r="G194" s="111">
        <v>10313163.911923379</v>
      </c>
      <c r="H194" s="111">
        <v>8722658.4239950329</v>
      </c>
      <c r="I194" s="111">
        <v>5192731.8796405494</v>
      </c>
    </row>
    <row r="195" spans="2:9">
      <c r="B195" s="33">
        <v>187</v>
      </c>
      <c r="C195" s="111">
        <v>20308117.32215701</v>
      </c>
      <c r="D195" s="111">
        <v>20027906.938870639</v>
      </c>
      <c r="E195" s="111">
        <v>12230174.829287052</v>
      </c>
      <c r="F195" s="111">
        <v>7540527.7916914374</v>
      </c>
      <c r="G195" s="111">
        <v>11009129.580805376</v>
      </c>
      <c r="H195" s="111">
        <v>6857284.2543093562</v>
      </c>
      <c r="I195" s="111">
        <v>7102020.5239003003</v>
      </c>
    </row>
    <row r="196" spans="2:9">
      <c r="B196" s="33">
        <v>188</v>
      </c>
      <c r="C196" s="111">
        <v>16574292.980622262</v>
      </c>
      <c r="D196" s="111">
        <v>15209713.387286708</v>
      </c>
      <c r="E196" s="111">
        <v>6622430.0527724028</v>
      </c>
      <c r="F196" s="111">
        <v>11176003.79634577</v>
      </c>
      <c r="G196" s="111">
        <v>17397550.010938019</v>
      </c>
      <c r="H196" s="111">
        <v>8400399.7175289989</v>
      </c>
      <c r="I196" s="111">
        <v>-9547172.9068217874</v>
      </c>
    </row>
    <row r="197" spans="2:9">
      <c r="B197" s="33">
        <v>189</v>
      </c>
      <c r="C197" s="111">
        <v>13369881.74949868</v>
      </c>
      <c r="D197" s="111">
        <v>13843707.531968087</v>
      </c>
      <c r="E197" s="111">
        <v>17376114.422812283</v>
      </c>
      <c r="F197" s="111">
        <v>2769114.738260746</v>
      </c>
      <c r="G197" s="111">
        <v>7766256.651685223</v>
      </c>
      <c r="H197" s="111">
        <v>9176082.2121731192</v>
      </c>
      <c r="I197" s="111">
        <v>8591805.9405747503</v>
      </c>
    </row>
    <row r="198" spans="2:9">
      <c r="B198" s="33">
        <v>190</v>
      </c>
      <c r="C198" s="111">
        <v>28200513.958345026</v>
      </c>
      <c r="D198" s="111">
        <v>8803119.0359511971</v>
      </c>
      <c r="E198" s="111">
        <v>1849937.9762025625</v>
      </c>
      <c r="F198" s="111">
        <v>-2666862.4671992511</v>
      </c>
      <c r="G198" s="111">
        <v>9265024.5671783686</v>
      </c>
      <c r="H198" s="111">
        <v>5767605.2460088432</v>
      </c>
      <c r="I198" s="111">
        <v>-1493731.3975852579</v>
      </c>
    </row>
    <row r="199" spans="2:9">
      <c r="B199" s="33">
        <v>191</v>
      </c>
      <c r="C199" s="111">
        <v>13052582.583446011</v>
      </c>
      <c r="D199" s="111">
        <v>14509170.863196164</v>
      </c>
      <c r="E199" s="111">
        <v>12618599.476006672</v>
      </c>
      <c r="F199" s="111">
        <v>9930688.5489953011</v>
      </c>
      <c r="G199" s="111">
        <v>16925982.189315021</v>
      </c>
      <c r="H199" s="111">
        <v>2665097.5229038149</v>
      </c>
      <c r="I199" s="111">
        <v>9420346.7575165927</v>
      </c>
    </row>
    <row r="200" spans="2:9">
      <c r="B200" s="33">
        <v>192</v>
      </c>
      <c r="C200" s="111">
        <v>22152863.073150963</v>
      </c>
      <c r="D200" s="111">
        <v>15545207.630667999</v>
      </c>
      <c r="E200" s="111">
        <v>19617439.222029686</v>
      </c>
      <c r="F200" s="111">
        <v>9831451.2744603306</v>
      </c>
      <c r="G200" s="111">
        <v>8618099.3558944911</v>
      </c>
      <c r="H200" s="111">
        <v>11665302.023971647</v>
      </c>
      <c r="I200" s="111">
        <v>6066720.2226536274</v>
      </c>
    </row>
    <row r="201" spans="2:9">
      <c r="B201" s="33">
        <v>193</v>
      </c>
      <c r="C201" s="111">
        <v>18398481.523494512</v>
      </c>
      <c r="D201" s="111">
        <v>6746806.8497654647</v>
      </c>
      <c r="E201" s="111">
        <v>7071147.9301568121</v>
      </c>
      <c r="F201" s="111">
        <v>15757965.01122123</v>
      </c>
      <c r="G201" s="111">
        <v>12765289.055381939</v>
      </c>
      <c r="H201" s="111">
        <v>12459234.25272131</v>
      </c>
      <c r="I201" s="111">
        <v>-3744483.2539371848</v>
      </c>
    </row>
    <row r="202" spans="2:9">
      <c r="B202" s="33">
        <v>194</v>
      </c>
      <c r="C202" s="111">
        <v>12153706.440259457</v>
      </c>
      <c r="D202" s="111">
        <v>14025743.931039169</v>
      </c>
      <c r="E202" s="111">
        <v>8332112.6859567612</v>
      </c>
      <c r="F202" s="111">
        <v>3039365.6402306408</v>
      </c>
      <c r="G202" s="111">
        <v>9855029.9143077731</v>
      </c>
      <c r="H202" s="111">
        <v>6225859.4704408497</v>
      </c>
      <c r="I202" s="111">
        <v>-5964045.117384389</v>
      </c>
    </row>
    <row r="203" spans="2:9">
      <c r="B203" s="33">
        <v>195</v>
      </c>
      <c r="C203" s="111">
        <v>15018536.877649188</v>
      </c>
      <c r="D203" s="111">
        <v>10861509.184683561</v>
      </c>
      <c r="E203" s="111">
        <v>7862958.7170825154</v>
      </c>
      <c r="F203" s="111">
        <v>13799754.964797229</v>
      </c>
      <c r="G203" s="111">
        <v>11433298.244877115</v>
      </c>
      <c r="H203" s="111">
        <v>10993223.101525858</v>
      </c>
      <c r="I203" s="111">
        <v>5451510.9674015492</v>
      </c>
    </row>
    <row r="204" spans="2:9">
      <c r="B204" s="33">
        <v>196</v>
      </c>
      <c r="C204" s="111">
        <v>4193608.6383322179</v>
      </c>
      <c r="D204" s="111">
        <v>17920559.851489455</v>
      </c>
      <c r="E204" s="111">
        <v>1879888.2894708067</v>
      </c>
      <c r="F204" s="111">
        <v>18591703.619531348</v>
      </c>
      <c r="G204" s="111">
        <v>17398151.225291342</v>
      </c>
      <c r="H204" s="111">
        <v>6508242.1839768738</v>
      </c>
      <c r="I204" s="111">
        <v>8654445.4310451448</v>
      </c>
    </row>
    <row r="205" spans="2:9">
      <c r="B205" s="33">
        <v>197</v>
      </c>
      <c r="C205" s="111">
        <v>6620323.3456257284</v>
      </c>
      <c r="D205" s="111">
        <v>18334609.199122146</v>
      </c>
      <c r="E205" s="111">
        <v>6434524.3926324397</v>
      </c>
      <c r="F205" s="111">
        <v>16560488.431981638</v>
      </c>
      <c r="G205" s="111">
        <v>20033825.064127758</v>
      </c>
      <c r="H205" s="111">
        <v>4703797.6336450875</v>
      </c>
      <c r="I205" s="111">
        <v>8082339.4479668736</v>
      </c>
    </row>
    <row r="206" spans="2:9">
      <c r="B206" s="33">
        <v>198</v>
      </c>
      <c r="C206" s="111">
        <v>11900732.420335561</v>
      </c>
      <c r="D206" s="111">
        <v>4543006.0922284424</v>
      </c>
      <c r="E206" s="111">
        <v>19174512.277093157</v>
      </c>
      <c r="F206" s="111">
        <v>5870129.4991461188</v>
      </c>
      <c r="G206" s="111">
        <v>5864106.8961773515</v>
      </c>
      <c r="H206" s="111">
        <v>8336420.9610472172</v>
      </c>
      <c r="I206" s="111">
        <v>-1417539.3077547103</v>
      </c>
    </row>
    <row r="207" spans="2:9">
      <c r="B207" s="33">
        <v>199</v>
      </c>
      <c r="C207" s="111">
        <v>25205930.103685081</v>
      </c>
      <c r="D207" s="111">
        <v>13955903.736782923</v>
      </c>
      <c r="E207" s="111">
        <v>22125753.676256701</v>
      </c>
      <c r="F207" s="111">
        <v>13860357.862443134</v>
      </c>
      <c r="G207" s="111">
        <v>5031979.3965176195</v>
      </c>
      <c r="H207" s="111">
        <v>4265076.3554627299</v>
      </c>
      <c r="I207" s="111">
        <v>2623919.2542950958</v>
      </c>
    </row>
    <row r="208" spans="2:9">
      <c r="B208" s="33">
        <v>200</v>
      </c>
      <c r="C208" s="111">
        <v>20460755.951938108</v>
      </c>
      <c r="D208" s="111">
        <v>15378337.2632806</v>
      </c>
      <c r="E208" s="111">
        <v>15204400.9431189</v>
      </c>
      <c r="F208" s="111">
        <v>4782528.2235798985</v>
      </c>
      <c r="G208" s="111">
        <v>13025972.043533087</v>
      </c>
      <c r="H208" s="111">
        <v>4319999.2916302532</v>
      </c>
      <c r="I208" s="111">
        <v>10102340.440573856</v>
      </c>
    </row>
  </sheetData>
  <mergeCells count="1">
    <mergeCell ref="C6:I6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F0E997-DCDA-7A4E-B193-9F7F8CC26747}">
  <sheetPr codeName="Arkusz29">
    <tabColor theme="0" tint="-0.499984740745262"/>
  </sheetPr>
  <dimension ref="A4:I208"/>
  <sheetViews>
    <sheetView workbookViewId="0">
      <selection activeCell="M38" sqref="M38"/>
    </sheetView>
  </sheetViews>
  <sheetFormatPr defaultColWidth="10.77734375" defaultRowHeight="13.2"/>
  <cols>
    <col min="1" max="1" width="10.77734375" style="33"/>
    <col min="2" max="2" width="16.109375" style="33" customWidth="1"/>
    <col min="3" max="9" width="16.33203125" style="33" customWidth="1"/>
    <col min="10" max="16384" width="10.77734375" style="33"/>
  </cols>
  <sheetData>
    <row r="4" spans="1:9">
      <c r="B4" s="70" t="s">
        <v>121</v>
      </c>
      <c r="C4" s="94">
        <f>AVERAGE(C9:C208)</f>
        <v>14522219.079126157</v>
      </c>
      <c r="D4" s="94">
        <f t="shared" ref="D4:I4" si="0">AVERAGE(D9:D208)</f>
        <v>12791789.677299462</v>
      </c>
      <c r="E4" s="94">
        <f t="shared" si="0"/>
        <v>10177989.281899953</v>
      </c>
      <c r="F4" s="94">
        <f t="shared" si="0"/>
        <v>8096889.4339127084</v>
      </c>
      <c r="G4" s="94">
        <f t="shared" si="0"/>
        <v>5952910.3519712128</v>
      </c>
      <c r="H4" s="94">
        <f t="shared" si="0"/>
        <v>3892116.5502775009</v>
      </c>
      <c r="I4" s="94">
        <f t="shared" si="0"/>
        <v>1720083.2223550866</v>
      </c>
    </row>
    <row r="6" spans="1:9" ht="15.6">
      <c r="C6" s="205" t="s">
        <v>133</v>
      </c>
      <c r="D6" s="205"/>
      <c r="E6" s="205"/>
      <c r="F6" s="205"/>
      <c r="G6" s="205"/>
      <c r="H6" s="205"/>
      <c r="I6" s="205"/>
    </row>
    <row r="7" spans="1:9">
      <c r="B7" s="72" t="s">
        <v>10</v>
      </c>
      <c r="C7" s="95">
        <v>-0.15</v>
      </c>
      <c r="D7" s="95">
        <v>-0.1</v>
      </c>
      <c r="E7" s="95">
        <v>-0.05</v>
      </c>
      <c r="F7" s="95">
        <v>0</v>
      </c>
      <c r="G7" s="96">
        <v>0.05</v>
      </c>
      <c r="H7" s="95">
        <v>0.1</v>
      </c>
      <c r="I7" s="95">
        <v>0.15</v>
      </c>
    </row>
    <row r="8" spans="1:9">
      <c r="A8" s="70" t="s">
        <v>134</v>
      </c>
      <c r="B8" s="98">
        <v>10525412.924046785</v>
      </c>
      <c r="C8" s="91">
        <v>36341606.868500002</v>
      </c>
      <c r="D8" s="91">
        <v>38479348.449000001</v>
      </c>
      <c r="E8" s="91">
        <v>40617090.0295</v>
      </c>
      <c r="F8" s="97">
        <v>42754831.609999999</v>
      </c>
      <c r="G8" s="91">
        <v>44892573.190499999</v>
      </c>
      <c r="H8" s="91">
        <v>47030314.771000005</v>
      </c>
      <c r="I8" s="91">
        <v>49168056.351499997</v>
      </c>
    </row>
    <row r="9" spans="1:9">
      <c r="B9" s="33">
        <v>1</v>
      </c>
      <c r="C9" s="33">
        <v>23245530.450708374</v>
      </c>
      <c r="D9" s="33">
        <v>15262248.44350639</v>
      </c>
      <c r="E9" s="33">
        <v>15635345.922458231</v>
      </c>
      <c r="F9" s="33">
        <v>8793867.6994767189</v>
      </c>
      <c r="G9" s="33">
        <v>-4884676.1906685978</v>
      </c>
      <c r="H9" s="33">
        <v>2718229.0601623058</v>
      </c>
      <c r="I9" s="33">
        <v>1449022.8794455975</v>
      </c>
    </row>
    <row r="10" spans="1:9">
      <c r="B10" s="33">
        <v>2</v>
      </c>
      <c r="C10" s="33">
        <v>19551146.180325046</v>
      </c>
      <c r="D10" s="33">
        <v>15491532.715597466</v>
      </c>
      <c r="E10" s="33">
        <v>5382070.5291238129</v>
      </c>
      <c r="F10" s="33">
        <v>16438326.71915628</v>
      </c>
      <c r="G10" s="33">
        <v>10318085.937829792</v>
      </c>
      <c r="H10" s="33">
        <v>4066293.5831474215</v>
      </c>
      <c r="I10" s="33">
        <v>3913033.934353441</v>
      </c>
    </row>
    <row r="11" spans="1:9">
      <c r="B11" s="33">
        <v>3</v>
      </c>
      <c r="C11" s="33">
        <v>4657747.7985547185</v>
      </c>
      <c r="D11" s="33">
        <v>14595981.629109889</v>
      </c>
      <c r="E11" s="33">
        <v>16985897.8401905</v>
      </c>
      <c r="F11" s="33">
        <v>3841056.1633318812</v>
      </c>
      <c r="G11" s="33">
        <v>10745848.577910095</v>
      </c>
      <c r="H11" s="33">
        <v>4863980.7058252394</v>
      </c>
      <c r="I11" s="33">
        <v>-4264527.3525096774</v>
      </c>
    </row>
    <row r="12" spans="1:9">
      <c r="B12" s="33">
        <v>4</v>
      </c>
      <c r="C12" s="33">
        <v>17932797.802797526</v>
      </c>
      <c r="D12" s="33">
        <v>15057827.297197938</v>
      </c>
      <c r="E12" s="33">
        <v>13964591.403688654</v>
      </c>
      <c r="F12" s="33">
        <v>18000701.249741495</v>
      </c>
      <c r="G12" s="33">
        <v>-144924.89494849741</v>
      </c>
      <c r="H12" s="33">
        <v>4388557.5175114274</v>
      </c>
      <c r="I12" s="33">
        <v>5147696.3094292134</v>
      </c>
    </row>
    <row r="13" spans="1:9">
      <c r="B13" s="33">
        <v>5</v>
      </c>
      <c r="C13" s="70">
        <v>13708511.504674196</v>
      </c>
      <c r="D13" s="70">
        <v>13267533.111761793</v>
      </c>
      <c r="E13" s="33">
        <v>8084141.4659333527</v>
      </c>
      <c r="F13" s="33">
        <v>5247056.972541526</v>
      </c>
      <c r="G13" s="33">
        <v>-2964675.3446662575</v>
      </c>
      <c r="H13" s="33">
        <v>-1591823.8999747932</v>
      </c>
      <c r="I13" s="33">
        <v>6249877.3518012017</v>
      </c>
    </row>
    <row r="14" spans="1:9">
      <c r="B14" s="33">
        <v>6</v>
      </c>
      <c r="C14" s="33">
        <v>14508361.724849537</v>
      </c>
      <c r="D14" s="33">
        <v>2994877.5862648636</v>
      </c>
      <c r="E14" s="33">
        <v>1200533.4114844501</v>
      </c>
      <c r="F14" s="33">
        <v>547353.17997393012</v>
      </c>
      <c r="G14" s="33">
        <v>11354379.182820067</v>
      </c>
      <c r="H14" s="33">
        <v>6202814.8426139951</v>
      </c>
      <c r="I14" s="33">
        <v>-1184640.9866254181</v>
      </c>
    </row>
    <row r="15" spans="1:9">
      <c r="B15" s="33">
        <v>7</v>
      </c>
      <c r="C15" s="33">
        <v>22798231.437424481</v>
      </c>
      <c r="D15" s="33">
        <v>17230091.407890067</v>
      </c>
      <c r="E15" s="33">
        <v>2893411.6270112097</v>
      </c>
      <c r="F15" s="33">
        <v>-2006889.0755214542</v>
      </c>
      <c r="G15" s="33">
        <v>3990605.7083771229</v>
      </c>
      <c r="H15" s="33">
        <v>8867000.2378575802</v>
      </c>
      <c r="I15" s="33">
        <v>8192234.233306855</v>
      </c>
    </row>
    <row r="16" spans="1:9">
      <c r="B16" s="33">
        <v>8</v>
      </c>
      <c r="C16" s="33">
        <v>21066862.678566679</v>
      </c>
      <c r="D16" s="33">
        <v>22977649.390445411</v>
      </c>
      <c r="E16" s="33">
        <v>15444260.612497002</v>
      </c>
      <c r="F16" s="33">
        <v>16279791.764286429</v>
      </c>
      <c r="G16" s="33">
        <v>4846215.4214263409</v>
      </c>
      <c r="H16" s="33">
        <v>4861994.3912791759</v>
      </c>
      <c r="I16" s="33">
        <v>-698548.44265393913</v>
      </c>
    </row>
    <row r="17" spans="2:9">
      <c r="B17" s="33">
        <v>9</v>
      </c>
      <c r="C17" s="33">
        <v>19523165.605447739</v>
      </c>
      <c r="D17" s="33">
        <v>17098956.653724805</v>
      </c>
      <c r="E17" s="33">
        <v>6266457.2680558115</v>
      </c>
      <c r="F17" s="33">
        <v>7842896.4343449324</v>
      </c>
      <c r="G17" s="33">
        <v>13197788.715427712</v>
      </c>
      <c r="H17" s="33">
        <v>11845338.235914052</v>
      </c>
      <c r="I17" s="33">
        <v>637768.25429303944</v>
      </c>
    </row>
    <row r="18" spans="2:9">
      <c r="B18" s="33">
        <v>10</v>
      </c>
      <c r="C18" s="33">
        <v>14070709.247102141</v>
      </c>
      <c r="D18" s="33">
        <v>6326593.6128254831</v>
      </c>
      <c r="E18" s="33">
        <v>-2306059.8590380847</v>
      </c>
      <c r="F18" s="33">
        <v>4577103.1232599914</v>
      </c>
      <c r="G18" s="33">
        <v>19573148.570627347</v>
      </c>
      <c r="H18" s="33">
        <v>9232201.2925362736</v>
      </c>
      <c r="I18" s="33">
        <v>12838979.444528013</v>
      </c>
    </row>
    <row r="19" spans="2:9">
      <c r="B19" s="33">
        <v>11</v>
      </c>
      <c r="C19" s="33">
        <v>16538396.950833485</v>
      </c>
      <c r="D19" s="33">
        <v>15446334.532387465</v>
      </c>
      <c r="E19" s="33">
        <v>16326293.154204726</v>
      </c>
      <c r="F19" s="33">
        <v>2003847.8317770809</v>
      </c>
      <c r="G19" s="33">
        <v>3544619.9366039038</v>
      </c>
      <c r="H19" s="33">
        <v>13895695.39361912</v>
      </c>
      <c r="I19" s="33">
        <v>2991669.3630259931</v>
      </c>
    </row>
    <row r="20" spans="2:9">
      <c r="B20" s="33">
        <v>12</v>
      </c>
      <c r="C20" s="33">
        <v>10044596.552115723</v>
      </c>
      <c r="D20" s="33">
        <v>8854952.0851976275</v>
      </c>
      <c r="E20" s="33">
        <v>11623372.498591676</v>
      </c>
      <c r="F20" s="33">
        <v>9809593.7405970544</v>
      </c>
      <c r="G20" s="33">
        <v>16175711.025813445</v>
      </c>
      <c r="H20" s="33">
        <v>10976432.58180058</v>
      </c>
      <c r="I20" s="33">
        <v>-2576346.421291545</v>
      </c>
    </row>
    <row r="21" spans="2:9">
      <c r="B21" s="33">
        <v>13</v>
      </c>
      <c r="C21" s="33">
        <v>17872545.254398152</v>
      </c>
      <c r="D21" s="33">
        <v>16971861.648624465</v>
      </c>
      <c r="E21" s="33">
        <v>9359668.6666955948</v>
      </c>
      <c r="F21" s="33">
        <v>9269926.8883989006</v>
      </c>
      <c r="G21" s="33">
        <v>1427392.9851432592</v>
      </c>
      <c r="H21" s="33">
        <v>5880804.9054477811</v>
      </c>
      <c r="I21" s="33">
        <v>-2319564.0357380956</v>
      </c>
    </row>
    <row r="22" spans="2:9">
      <c r="B22" s="33">
        <v>14</v>
      </c>
      <c r="C22" s="33">
        <v>7441138.3193983138</v>
      </c>
      <c r="D22" s="33">
        <v>9991333.6920938641</v>
      </c>
      <c r="E22" s="33">
        <v>19446926.666666389</v>
      </c>
      <c r="F22" s="33">
        <v>12638179.005852088</v>
      </c>
      <c r="G22" s="33">
        <v>1349027.4807642996</v>
      </c>
      <c r="H22" s="33">
        <v>7250154.8419522494</v>
      </c>
      <c r="I22" s="33">
        <v>346642.39413425326</v>
      </c>
    </row>
    <row r="23" spans="2:9">
      <c r="B23" s="33">
        <v>15</v>
      </c>
      <c r="C23" s="33">
        <v>23763605.305973798</v>
      </c>
      <c r="D23" s="33">
        <v>8741988.1104328781</v>
      </c>
      <c r="E23" s="33">
        <v>9714750.9237237126</v>
      </c>
      <c r="F23" s="33">
        <v>5821707.7124095857</v>
      </c>
      <c r="G23" s="33">
        <v>11080395.856467679</v>
      </c>
      <c r="H23" s="33">
        <v>1319691.8010217398</v>
      </c>
      <c r="I23" s="33">
        <v>15278878.977491707</v>
      </c>
    </row>
    <row r="24" spans="2:9">
      <c r="B24" s="33">
        <v>16</v>
      </c>
      <c r="C24" s="33">
        <v>10637290.589250579</v>
      </c>
      <c r="D24" s="33">
        <v>6845525.1254498959</v>
      </c>
      <c r="E24" s="33">
        <v>12262622.15240398</v>
      </c>
      <c r="F24" s="33">
        <v>12211853.049530774</v>
      </c>
      <c r="G24" s="33">
        <v>-3284275.1852479279</v>
      </c>
      <c r="H24" s="33">
        <v>13551182.720159382</v>
      </c>
      <c r="I24" s="33">
        <v>6137745.8209682405</v>
      </c>
    </row>
    <row r="25" spans="2:9">
      <c r="B25" s="33">
        <v>17</v>
      </c>
      <c r="C25" s="33">
        <v>20220860.956583932</v>
      </c>
      <c r="D25" s="33">
        <v>19326307.153933361</v>
      </c>
      <c r="E25" s="33">
        <v>7435211.3898939937</v>
      </c>
      <c r="F25" s="33">
        <v>5482507.4239711314</v>
      </c>
      <c r="G25" s="33">
        <v>-6910559.6166244894</v>
      </c>
      <c r="H25" s="33">
        <v>5728149.4607739747</v>
      </c>
      <c r="I25" s="33">
        <v>-3989944.4289879054</v>
      </c>
    </row>
    <row r="26" spans="2:9">
      <c r="B26" s="33">
        <v>18</v>
      </c>
      <c r="C26" s="33">
        <v>16268002.900689736</v>
      </c>
      <c r="D26" s="33">
        <v>15271877.76015833</v>
      </c>
      <c r="E26" s="33">
        <v>19679423.698938489</v>
      </c>
      <c r="F26" s="33">
        <v>3735197.2118174732</v>
      </c>
      <c r="G26" s="33">
        <v>4023496.3866071254</v>
      </c>
      <c r="H26" s="33">
        <v>2962074.7486448586</v>
      </c>
      <c r="I26" s="33">
        <v>477970.44453728199</v>
      </c>
    </row>
    <row r="27" spans="2:9">
      <c r="B27" s="33">
        <v>19</v>
      </c>
      <c r="C27" s="33">
        <v>17829412.246989846</v>
      </c>
      <c r="D27" s="33">
        <v>12386807.147184715</v>
      </c>
      <c r="E27" s="33">
        <v>209789.6767077893</v>
      </c>
      <c r="F27" s="33">
        <v>-2652352.5557793677</v>
      </c>
      <c r="G27" s="33">
        <v>12986269.733549058</v>
      </c>
      <c r="H27" s="33">
        <v>-326971.24399229884</v>
      </c>
      <c r="I27" s="33">
        <v>8096674.4340283722</v>
      </c>
    </row>
    <row r="28" spans="2:9">
      <c r="B28" s="33">
        <v>20</v>
      </c>
      <c r="C28" s="33">
        <v>18784308.687148526</v>
      </c>
      <c r="D28" s="33">
        <v>8453621.4673034847</v>
      </c>
      <c r="E28" s="33">
        <v>-559626.33454543352</v>
      </c>
      <c r="F28" s="33">
        <v>16600860.312642008</v>
      </c>
      <c r="G28" s="33">
        <v>-2134367.4921328723</v>
      </c>
      <c r="H28" s="33">
        <v>1034136.7501405627</v>
      </c>
      <c r="I28" s="33">
        <v>-2732207.2764985412</v>
      </c>
    </row>
    <row r="29" spans="2:9">
      <c r="B29" s="33">
        <v>21</v>
      </c>
      <c r="C29" s="33">
        <v>22054225.897546425</v>
      </c>
      <c r="D29" s="33">
        <v>8448504.7524952739</v>
      </c>
      <c r="E29" s="33">
        <v>14678387.267368466</v>
      </c>
      <c r="F29" s="33">
        <v>16116486.24346593</v>
      </c>
      <c r="G29" s="33">
        <v>-4904421.8301029056</v>
      </c>
      <c r="H29" s="33">
        <v>8253674.8226444572</v>
      </c>
      <c r="I29" s="33">
        <v>4229188.5583610088</v>
      </c>
    </row>
    <row r="30" spans="2:9">
      <c r="B30" s="33">
        <v>22</v>
      </c>
      <c r="C30" s="33">
        <v>14804150.837426335</v>
      </c>
      <c r="D30" s="33">
        <v>12326246.724066168</v>
      </c>
      <c r="E30" s="33">
        <v>8360210.7788102329</v>
      </c>
      <c r="F30" s="33">
        <v>885835.40887452662</v>
      </c>
      <c r="G30" s="33">
        <v>4490271.1415090859</v>
      </c>
      <c r="H30" s="33">
        <v>3168997.2025541961</v>
      </c>
      <c r="I30" s="33">
        <v>10411331.889501005</v>
      </c>
    </row>
    <row r="31" spans="2:9">
      <c r="B31" s="33">
        <v>23</v>
      </c>
      <c r="C31" s="33">
        <v>9004555.1349626929</v>
      </c>
      <c r="D31" s="33">
        <v>10541232.483808517</v>
      </c>
      <c r="E31" s="33">
        <v>12145120.457398817</v>
      </c>
      <c r="F31" s="33">
        <v>12936789.117252827</v>
      </c>
      <c r="G31" s="33">
        <v>1167947.2164518237</v>
      </c>
      <c r="H31" s="33">
        <v>-5792689.0693757236</v>
      </c>
      <c r="I31" s="33">
        <v>-6101638.6277112514</v>
      </c>
    </row>
    <row r="32" spans="2:9">
      <c r="B32" s="33">
        <v>24</v>
      </c>
      <c r="C32" s="33">
        <v>12783149.204586864</v>
      </c>
      <c r="D32" s="33">
        <v>12113648.768141329</v>
      </c>
      <c r="E32" s="33">
        <v>18394181.235002711</v>
      </c>
      <c r="F32" s="33">
        <v>8567858.5085618496</v>
      </c>
      <c r="G32" s="33">
        <v>5487157.0138088614</v>
      </c>
      <c r="H32" s="33">
        <v>-1276929.102150932</v>
      </c>
      <c r="I32" s="33">
        <v>5801128.1177245826</v>
      </c>
    </row>
    <row r="33" spans="2:9">
      <c r="B33" s="33">
        <v>25</v>
      </c>
      <c r="C33" s="33">
        <v>16480051.988550216</v>
      </c>
      <c r="D33" s="33">
        <v>6816659.3728639185</v>
      </c>
      <c r="E33" s="33">
        <v>20916213.437527016</v>
      </c>
      <c r="F33" s="33">
        <v>3304528.3836908787</v>
      </c>
      <c r="G33" s="33">
        <v>17722324.708918899</v>
      </c>
      <c r="H33" s="33">
        <v>1739167.0032635778</v>
      </c>
      <c r="I33" s="33">
        <v>-191830.71322035789</v>
      </c>
    </row>
    <row r="34" spans="2:9">
      <c r="B34" s="33">
        <v>26</v>
      </c>
      <c r="C34" s="33">
        <v>14738022.013328344</v>
      </c>
      <c r="D34" s="33">
        <v>12416096.950921848</v>
      </c>
      <c r="E34" s="33">
        <v>17983064.804634854</v>
      </c>
      <c r="F34" s="33">
        <v>11895010.088859439</v>
      </c>
      <c r="G34" s="33">
        <v>1499232.0825696588</v>
      </c>
      <c r="H34" s="33">
        <v>3409501.7174270749</v>
      </c>
      <c r="I34" s="33">
        <v>8555363.1875343323</v>
      </c>
    </row>
    <row r="35" spans="2:9">
      <c r="B35" s="33">
        <v>27</v>
      </c>
      <c r="C35" s="33">
        <v>7914500.4567802101</v>
      </c>
      <c r="D35" s="33">
        <v>14360103.381476223</v>
      </c>
      <c r="E35" s="33">
        <v>6349530.6733569652</v>
      </c>
      <c r="F35" s="33">
        <v>18066566.930665746</v>
      </c>
      <c r="G35" s="33">
        <v>17316746.506690353</v>
      </c>
      <c r="H35" s="33">
        <v>8666281.2859238833</v>
      </c>
      <c r="I35" s="33">
        <v>1684330.1101177335</v>
      </c>
    </row>
    <row r="36" spans="2:9">
      <c r="B36" s="33">
        <v>28</v>
      </c>
      <c r="C36" s="33">
        <v>3691908.6007294804</v>
      </c>
      <c r="D36" s="33">
        <v>8412570.4515509009</v>
      </c>
      <c r="E36" s="33">
        <v>12202543.882655263</v>
      </c>
      <c r="F36" s="33">
        <v>11266626.268314734</v>
      </c>
      <c r="G36" s="33">
        <v>3948209.0589104891</v>
      </c>
      <c r="H36" s="33">
        <v>-124148.61670903862</v>
      </c>
      <c r="I36" s="33">
        <v>7225118.8839626759</v>
      </c>
    </row>
    <row r="37" spans="2:9">
      <c r="B37" s="33">
        <v>29</v>
      </c>
      <c r="C37" s="33">
        <v>14426284.941543028</v>
      </c>
      <c r="D37" s="33">
        <v>6485686.698119849</v>
      </c>
      <c r="E37" s="33">
        <v>7097073.3062964529</v>
      </c>
      <c r="F37" s="33">
        <v>13910183.549422577</v>
      </c>
      <c r="G37" s="33">
        <v>8213565.7395392358</v>
      </c>
      <c r="H37" s="33">
        <v>4750029.5348238796</v>
      </c>
      <c r="I37" s="33">
        <v>-165236.11487989128</v>
      </c>
    </row>
    <row r="38" spans="2:9">
      <c r="B38" s="33">
        <v>30</v>
      </c>
      <c r="C38" s="33">
        <v>14777578.537488297</v>
      </c>
      <c r="D38" s="33">
        <v>16609250.27630052</v>
      </c>
      <c r="E38" s="33">
        <v>14974796.113378599</v>
      </c>
      <c r="F38" s="33">
        <v>5896803.6439139247</v>
      </c>
      <c r="G38" s="33">
        <v>13484073.799241632</v>
      </c>
      <c r="H38" s="33">
        <v>8263521.535304904</v>
      </c>
      <c r="I38" s="33">
        <v>-4484537.8403136283</v>
      </c>
    </row>
    <row r="39" spans="2:9">
      <c r="B39" s="33">
        <v>31</v>
      </c>
      <c r="C39" s="33">
        <v>16037492.67028603</v>
      </c>
      <c r="D39" s="33">
        <v>9772395.6548172235</v>
      </c>
      <c r="E39" s="33">
        <v>11258040.575084805</v>
      </c>
      <c r="F39" s="33">
        <v>10056417.492996231</v>
      </c>
      <c r="G39" s="33">
        <v>10871787.828859195</v>
      </c>
      <c r="H39" s="33">
        <v>-3916837.4941774607</v>
      </c>
      <c r="I39" s="33">
        <v>14281340.963179797</v>
      </c>
    </row>
    <row r="40" spans="2:9">
      <c r="B40" s="33">
        <v>32</v>
      </c>
      <c r="C40" s="33">
        <v>10877031.892080575</v>
      </c>
      <c r="D40" s="33">
        <v>3397635.945347771</v>
      </c>
      <c r="E40" s="33">
        <v>417682.82429175079</v>
      </c>
      <c r="F40" s="33">
        <v>12238549.940792665</v>
      </c>
      <c r="G40" s="33">
        <v>6231058.3914395571</v>
      </c>
      <c r="H40" s="33">
        <v>8983683.4823827147</v>
      </c>
      <c r="I40" s="33">
        <v>-9147089.0829476565</v>
      </c>
    </row>
    <row r="41" spans="2:9">
      <c r="B41" s="33">
        <v>33</v>
      </c>
      <c r="C41" s="33">
        <v>11614171.524691567</v>
      </c>
      <c r="D41" s="33">
        <v>14858334.134670034</v>
      </c>
      <c r="E41" s="33">
        <v>6789948.494170621</v>
      </c>
      <c r="F41" s="33">
        <v>4274194.4569615722</v>
      </c>
      <c r="G41" s="33">
        <v>12416786.088756859</v>
      </c>
      <c r="H41" s="33">
        <v>11421085.49246484</v>
      </c>
      <c r="I41" s="33">
        <v>784320.36253792048</v>
      </c>
    </row>
    <row r="42" spans="2:9">
      <c r="B42" s="33">
        <v>34</v>
      </c>
      <c r="C42" s="33">
        <v>18166660.351109743</v>
      </c>
      <c r="D42" s="33">
        <v>10109756.90325515</v>
      </c>
      <c r="E42" s="33">
        <v>12248807.881752282</v>
      </c>
      <c r="F42" s="33">
        <v>11189895.570474938</v>
      </c>
      <c r="G42" s="33">
        <v>-6601445.3353489488</v>
      </c>
      <c r="H42" s="33">
        <v>6912966.8404893279</v>
      </c>
      <c r="I42" s="33">
        <v>3298334.4008674622</v>
      </c>
    </row>
    <row r="43" spans="2:9">
      <c r="B43" s="33">
        <v>35</v>
      </c>
      <c r="C43" s="33">
        <v>11077813.884070843</v>
      </c>
      <c r="D43" s="33">
        <v>4548729.4033226818</v>
      </c>
      <c r="E43" s="33">
        <v>13835904.11244975</v>
      </c>
      <c r="F43" s="33">
        <v>9886845.2066813707</v>
      </c>
      <c r="G43" s="33">
        <v>-483607.57392592728</v>
      </c>
      <c r="H43" s="33">
        <v>5593425.3529409021</v>
      </c>
      <c r="I43" s="33">
        <v>2763093.427559182</v>
      </c>
    </row>
    <row r="44" spans="2:9">
      <c r="B44" s="33">
        <v>36</v>
      </c>
      <c r="C44" s="33">
        <v>14031094.995446444</v>
      </c>
      <c r="D44" s="33">
        <v>14723675.699683726</v>
      </c>
      <c r="E44" s="33">
        <v>6209892.1336703002</v>
      </c>
      <c r="F44" s="33">
        <v>1119953.0238568485</v>
      </c>
      <c r="G44" s="33">
        <v>6863082.4935641885</v>
      </c>
      <c r="H44" s="33">
        <v>-326095.64459970593</v>
      </c>
      <c r="I44" s="33">
        <v>52831.441198483109</v>
      </c>
    </row>
    <row r="45" spans="2:9">
      <c r="B45" s="33">
        <v>37</v>
      </c>
      <c r="C45" s="33">
        <v>18778280.255587339</v>
      </c>
      <c r="D45" s="33">
        <v>15600560.027427599</v>
      </c>
      <c r="E45" s="33">
        <v>15798216.770821825</v>
      </c>
      <c r="F45" s="33">
        <v>8883799.8481500596</v>
      </c>
      <c r="G45" s="33">
        <v>-116431.17095413804</v>
      </c>
      <c r="H45" s="33">
        <v>414823.57355862856</v>
      </c>
      <c r="I45" s="33">
        <v>965240.61027929187</v>
      </c>
    </row>
    <row r="46" spans="2:9">
      <c r="B46" s="33">
        <v>38</v>
      </c>
      <c r="C46" s="33">
        <v>24424929.035309106</v>
      </c>
      <c r="D46" s="33">
        <v>20874595.799525946</v>
      </c>
      <c r="E46" s="33">
        <v>8678267.8177465647</v>
      </c>
      <c r="F46" s="33">
        <v>13133353.695631534</v>
      </c>
      <c r="G46" s="33">
        <v>13384440.598658562</v>
      </c>
      <c r="H46" s="33">
        <v>5504636.1093862355</v>
      </c>
      <c r="I46" s="33">
        <v>2243819.8601921201</v>
      </c>
    </row>
    <row r="47" spans="2:9">
      <c r="B47" s="33">
        <v>39</v>
      </c>
      <c r="C47" s="33">
        <v>17470391.554988042</v>
      </c>
      <c r="D47" s="33">
        <v>7740157.4288433194</v>
      </c>
      <c r="E47" s="33">
        <v>14769378.42774424</v>
      </c>
      <c r="F47" s="33">
        <v>9129112.9844378531</v>
      </c>
      <c r="G47" s="33">
        <v>7462051.3093313426</v>
      </c>
      <c r="H47" s="33">
        <v>10636720.328866556</v>
      </c>
      <c r="I47" s="33">
        <v>-1076691.2321972996</v>
      </c>
    </row>
    <row r="48" spans="2:9">
      <c r="B48" s="33">
        <v>40</v>
      </c>
      <c r="C48" s="33">
        <v>28300863.955678388</v>
      </c>
      <c r="D48" s="33">
        <v>14708074.561577857</v>
      </c>
      <c r="E48" s="33">
        <v>10815552.348674282</v>
      </c>
      <c r="F48" s="33">
        <v>286645.90072719753</v>
      </c>
      <c r="G48" s="33">
        <v>5646325.6708337814</v>
      </c>
      <c r="H48" s="33">
        <v>-3244779.3454336077</v>
      </c>
      <c r="I48" s="33">
        <v>1478787.9512138963</v>
      </c>
    </row>
    <row r="49" spans="2:9">
      <c r="B49" s="33">
        <v>41</v>
      </c>
      <c r="C49" s="33">
        <v>15941023.570324257</v>
      </c>
      <c r="D49" s="33">
        <v>22014246.176555052</v>
      </c>
      <c r="E49" s="33">
        <v>2894555.5767863393</v>
      </c>
      <c r="F49" s="33">
        <v>2131857.393789202</v>
      </c>
      <c r="G49" s="33">
        <v>2280502.965559721</v>
      </c>
      <c r="H49" s="33">
        <v>-4419735.2665461749</v>
      </c>
      <c r="I49" s="33">
        <v>-6097561.4077276438</v>
      </c>
    </row>
    <row r="50" spans="2:9">
      <c r="B50" s="33">
        <v>42</v>
      </c>
      <c r="C50" s="33">
        <v>11373793.081023425</v>
      </c>
      <c r="D50" s="33">
        <v>9527373.0483294576</v>
      </c>
      <c r="E50" s="33">
        <v>16859148.286509454</v>
      </c>
      <c r="F50" s="33">
        <v>3057245.1982939541</v>
      </c>
      <c r="G50" s="33">
        <v>4154140.6459139735</v>
      </c>
      <c r="H50" s="33">
        <v>6057.8247239738703</v>
      </c>
      <c r="I50" s="33">
        <v>-3738850.3758784235</v>
      </c>
    </row>
    <row r="51" spans="2:9">
      <c r="B51" s="33">
        <v>43</v>
      </c>
      <c r="C51" s="33">
        <v>8762467.9052184224</v>
      </c>
      <c r="D51" s="33">
        <v>13518770.941266283</v>
      </c>
      <c r="E51" s="33">
        <v>8742655.8385262489</v>
      </c>
      <c r="F51" s="33">
        <v>17189905.625458434</v>
      </c>
      <c r="G51" s="33">
        <v>5901016.8051860482</v>
      </c>
      <c r="H51" s="33">
        <v>12207094.954361886</v>
      </c>
      <c r="I51" s="33">
        <v>-1690455.8534776121</v>
      </c>
    </row>
    <row r="52" spans="2:9">
      <c r="B52" s="33">
        <v>44</v>
      </c>
      <c r="C52" s="33">
        <v>3840138.1555900574</v>
      </c>
      <c r="D52" s="33">
        <v>11265928.846493647</v>
      </c>
      <c r="E52" s="33">
        <v>9323817.074121967</v>
      </c>
      <c r="F52" s="33">
        <v>7627538.3422259688</v>
      </c>
      <c r="G52" s="33">
        <v>9415020.9234793186</v>
      </c>
      <c r="H52" s="33">
        <v>5905852.6031278819</v>
      </c>
      <c r="I52" s="33">
        <v>5124908.5237220675</v>
      </c>
    </row>
    <row r="53" spans="2:9">
      <c r="B53" s="33">
        <v>45</v>
      </c>
      <c r="C53" s="33">
        <v>17107484.507918298</v>
      </c>
      <c r="D53" s="33">
        <v>3039043.189827472</v>
      </c>
      <c r="E53" s="33">
        <v>16158336.085674599</v>
      </c>
      <c r="F53" s="33">
        <v>17521318.150158942</v>
      </c>
      <c r="G53" s="33">
        <v>4314802.719262749</v>
      </c>
      <c r="H53" s="33">
        <v>-8584337.6888120919</v>
      </c>
      <c r="I53" s="33">
        <v>-1258097.9205654114</v>
      </c>
    </row>
    <row r="54" spans="2:9">
      <c r="B54" s="33">
        <v>46</v>
      </c>
      <c r="C54" s="33">
        <v>6979623.151165992</v>
      </c>
      <c r="D54" s="33">
        <v>5324524.5277052373</v>
      </c>
      <c r="E54" s="33">
        <v>19928780.382200211</v>
      </c>
      <c r="F54" s="33">
        <v>5346030.6754356623</v>
      </c>
      <c r="G54" s="33">
        <v>6783044.8870018125</v>
      </c>
      <c r="H54" s="33">
        <v>8843581.6770790666</v>
      </c>
      <c r="I54" s="33">
        <v>3699144.7061551362</v>
      </c>
    </row>
    <row r="55" spans="2:9">
      <c r="B55" s="33">
        <v>47</v>
      </c>
      <c r="C55" s="33">
        <v>16868389.544472858</v>
      </c>
      <c r="D55" s="33">
        <v>20870234.522319555</v>
      </c>
      <c r="E55" s="33">
        <v>14549477.980907515</v>
      </c>
      <c r="F55" s="33">
        <v>3550564.3318968713</v>
      </c>
      <c r="G55" s="33">
        <v>10262960.609674349</v>
      </c>
      <c r="H55" s="33">
        <v>2091031.0533068329</v>
      </c>
      <c r="I55" s="33">
        <v>234140.57437673211</v>
      </c>
    </row>
    <row r="56" spans="2:9">
      <c r="B56" s="33">
        <v>48</v>
      </c>
      <c r="C56" s="33">
        <v>11245465.78899537</v>
      </c>
      <c r="D56" s="33">
        <v>14510929.449937522</v>
      </c>
      <c r="E56" s="33">
        <v>9043962.9001487046</v>
      </c>
      <c r="F56" s="33">
        <v>3962369.2960973084</v>
      </c>
      <c r="G56" s="33">
        <v>-699943.96791447699</v>
      </c>
      <c r="H56" s="33">
        <v>9195911.8699708432</v>
      </c>
      <c r="I56" s="33">
        <v>9815877.9532187581</v>
      </c>
    </row>
    <row r="57" spans="2:9">
      <c r="B57" s="33">
        <v>49</v>
      </c>
      <c r="C57" s="33">
        <v>8943114.945413366</v>
      </c>
      <c r="D57" s="33">
        <v>19345558.797818229</v>
      </c>
      <c r="E57" s="33">
        <v>5942515.8783509731</v>
      </c>
      <c r="F57" s="33">
        <v>4704387.9287769198</v>
      </c>
      <c r="G57" s="33">
        <v>-3623918.8451834917</v>
      </c>
      <c r="H57" s="33">
        <v>-5211359.9321981072</v>
      </c>
      <c r="I57" s="33">
        <v>11165821.682212532</v>
      </c>
    </row>
    <row r="58" spans="2:9">
      <c r="B58" s="33">
        <v>50</v>
      </c>
      <c r="C58" s="33">
        <v>9509462.4774847031</v>
      </c>
      <c r="D58" s="33">
        <v>18254749.296992481</v>
      </c>
      <c r="E58" s="33">
        <v>12940072.288145438</v>
      </c>
      <c r="F58" s="33">
        <v>4769970.520112738</v>
      </c>
      <c r="G58" s="33">
        <v>1765717.851994738</v>
      </c>
      <c r="H58" s="33">
        <v>-3677713.1152893156</v>
      </c>
      <c r="I58" s="33">
        <v>6765578.5101171583</v>
      </c>
    </row>
    <row r="59" spans="2:9">
      <c r="B59" s="33">
        <v>51</v>
      </c>
      <c r="C59" s="33">
        <v>18134406.073344916</v>
      </c>
      <c r="D59" s="33">
        <v>18162871.2829061</v>
      </c>
      <c r="E59" s="33">
        <v>23564744.904605195</v>
      </c>
      <c r="F59" s="33">
        <v>23313499.699307874</v>
      </c>
      <c r="G59" s="33">
        <v>2504333.0887014717</v>
      </c>
      <c r="H59" s="33">
        <v>-230372.94264639914</v>
      </c>
      <c r="I59" s="33">
        <v>1886302.9555155039</v>
      </c>
    </row>
    <row r="60" spans="2:9">
      <c r="B60" s="33">
        <v>52</v>
      </c>
      <c r="C60" s="33">
        <v>6005285.8178193569</v>
      </c>
      <c r="D60" s="33">
        <v>12519229.451222047</v>
      </c>
      <c r="E60" s="33">
        <v>3370167.7939305604</v>
      </c>
      <c r="F60" s="33">
        <v>9427252.3195464313</v>
      </c>
      <c r="G60" s="33">
        <v>6931784.0077532679</v>
      </c>
      <c r="H60" s="33">
        <v>3732669.1445012987</v>
      </c>
      <c r="I60" s="33">
        <v>8049404.3355472088</v>
      </c>
    </row>
    <row r="61" spans="2:9">
      <c r="B61" s="33">
        <v>53</v>
      </c>
      <c r="C61" s="33">
        <v>5042483.8452958465</v>
      </c>
      <c r="D61" s="33">
        <v>13214459.622020498</v>
      </c>
      <c r="E61" s="33">
        <v>10031354.338260159</v>
      </c>
      <c r="F61" s="33">
        <v>3412705.5772608817</v>
      </c>
      <c r="G61" s="33">
        <v>-1518629.3870240599</v>
      </c>
      <c r="H61" s="33">
        <v>2953806.8281665891</v>
      </c>
      <c r="I61" s="33">
        <v>-2809289.6019348502</v>
      </c>
    </row>
    <row r="62" spans="2:9">
      <c r="B62" s="33">
        <v>54</v>
      </c>
      <c r="C62" s="33">
        <v>21139624.568801358</v>
      </c>
      <c r="D62" s="33">
        <v>8730255.8936263919</v>
      </c>
      <c r="E62" s="33">
        <v>1825220.6098311841</v>
      </c>
      <c r="F62" s="33">
        <v>1694396.7575054765</v>
      </c>
      <c r="G62" s="33">
        <v>6228159.4574393183</v>
      </c>
      <c r="H62" s="33">
        <v>3701960.1248046756</v>
      </c>
      <c r="I62" s="33">
        <v>5763069.8301742971</v>
      </c>
    </row>
    <row r="63" spans="2:9">
      <c r="B63" s="33">
        <v>55</v>
      </c>
      <c r="C63" s="33">
        <v>14325940.289958581</v>
      </c>
      <c r="D63" s="33">
        <v>15980810.486530602</v>
      </c>
      <c r="E63" s="33">
        <v>15338929.918098822</v>
      </c>
      <c r="F63" s="33">
        <v>487712.41928498447</v>
      </c>
      <c r="G63" s="33">
        <v>9336082.9183565527</v>
      </c>
      <c r="H63" s="33">
        <v>8979264.4167883396</v>
      </c>
      <c r="I63" s="33">
        <v>246588.89842483401</v>
      </c>
    </row>
    <row r="64" spans="2:9">
      <c r="B64" s="33">
        <v>56</v>
      </c>
      <c r="C64" s="33">
        <v>9967321.8567205369</v>
      </c>
      <c r="D64" s="33">
        <v>16979469.345041111</v>
      </c>
      <c r="E64" s="33">
        <v>8547070.0175359994</v>
      </c>
      <c r="F64" s="33">
        <v>20561609.525492474</v>
      </c>
      <c r="G64" s="33">
        <v>14840877.777377933</v>
      </c>
      <c r="H64" s="33">
        <v>5062480.1485433877</v>
      </c>
      <c r="I64" s="33">
        <v>-131905.76655215025</v>
      </c>
    </row>
    <row r="65" spans="2:9">
      <c r="B65" s="33">
        <v>57</v>
      </c>
      <c r="C65" s="33">
        <v>14854160.729011625</v>
      </c>
      <c r="D65" s="33">
        <v>7657082.9748635739</v>
      </c>
      <c r="E65" s="33">
        <v>1997277.6633257866</v>
      </c>
      <c r="F65" s="33">
        <v>1138338.6607911289</v>
      </c>
      <c r="G65" s="33">
        <v>2049456.5292645544</v>
      </c>
      <c r="H65" s="33">
        <v>7830441.8063093871</v>
      </c>
      <c r="I65" s="33">
        <v>6520311.156216383</v>
      </c>
    </row>
    <row r="66" spans="2:9">
      <c r="B66" s="33">
        <v>58</v>
      </c>
      <c r="C66" s="33">
        <v>20767224.91162689</v>
      </c>
      <c r="D66" s="33">
        <v>18008592.988419801</v>
      </c>
      <c r="E66" s="33">
        <v>10225232.854821414</v>
      </c>
      <c r="F66" s="33">
        <v>12076757.026961088</v>
      </c>
      <c r="G66" s="33">
        <v>-6778005.1288318783</v>
      </c>
      <c r="H66" s="33">
        <v>3895047.7005707324</v>
      </c>
      <c r="I66" s="33">
        <v>-1055706.0276938528</v>
      </c>
    </row>
    <row r="67" spans="2:9">
      <c r="B67" s="33">
        <v>59</v>
      </c>
      <c r="C67" s="33">
        <v>12262685.268478736</v>
      </c>
      <c r="D67" s="33">
        <v>21308474.888911873</v>
      </c>
      <c r="E67" s="33">
        <v>18628517.183280706</v>
      </c>
      <c r="F67" s="33">
        <v>9967715.1196087152</v>
      </c>
      <c r="G67" s="33">
        <v>1590344.1636257619</v>
      </c>
      <c r="H67" s="33">
        <v>10498475.61944139</v>
      </c>
      <c r="I67" s="33">
        <v>2586305.6785289347</v>
      </c>
    </row>
    <row r="68" spans="2:9">
      <c r="B68" s="33">
        <v>60</v>
      </c>
      <c r="C68" s="33">
        <v>18507624.433533326</v>
      </c>
      <c r="D68" s="33">
        <v>13599509.070246205</v>
      </c>
      <c r="E68" s="33">
        <v>16010054.782368094</v>
      </c>
      <c r="F68" s="33">
        <v>1735184.7291162312</v>
      </c>
      <c r="G68" s="33">
        <v>11592788.395044848</v>
      </c>
      <c r="H68" s="33">
        <v>9237973.0167752206</v>
      </c>
      <c r="I68" s="33">
        <v>-866956.95622764528</v>
      </c>
    </row>
    <row r="69" spans="2:9">
      <c r="B69" s="33">
        <v>61</v>
      </c>
      <c r="C69" s="33">
        <v>14522020.341153979</v>
      </c>
      <c r="D69" s="33">
        <v>16056096.859409004</v>
      </c>
      <c r="E69" s="33">
        <v>2702196.7121805847</v>
      </c>
      <c r="F69" s="33">
        <v>13200280.277721033</v>
      </c>
      <c r="G69" s="33">
        <v>1867270.3081565052</v>
      </c>
      <c r="H69" s="33">
        <v>13018548.97119686</v>
      </c>
      <c r="I69" s="33">
        <v>3035687.7358038127</v>
      </c>
    </row>
    <row r="70" spans="2:9">
      <c r="B70" s="33">
        <v>62</v>
      </c>
      <c r="C70" s="33">
        <v>15659984.862186134</v>
      </c>
      <c r="D70" s="33">
        <v>20799181.086538434</v>
      </c>
      <c r="E70" s="33">
        <v>9223937.9033505172</v>
      </c>
      <c r="F70" s="33">
        <v>3026801.626418367</v>
      </c>
      <c r="G70" s="33">
        <v>16303300.598669797</v>
      </c>
      <c r="H70" s="33">
        <v>6535388.6817736924</v>
      </c>
      <c r="I70" s="33">
        <v>-3994588.7581057101</v>
      </c>
    </row>
    <row r="71" spans="2:9">
      <c r="B71" s="33">
        <v>63</v>
      </c>
      <c r="C71" s="33">
        <v>12311885.98577401</v>
      </c>
      <c r="D71" s="33">
        <v>16659036.116157815</v>
      </c>
      <c r="E71" s="33">
        <v>20223242.145100385</v>
      </c>
      <c r="F71" s="33">
        <v>12626742.394799784</v>
      </c>
      <c r="G71" s="33">
        <v>2674566.4608929902</v>
      </c>
      <c r="H71" s="33">
        <v>9458405.8505469263</v>
      </c>
      <c r="I71" s="33">
        <v>6453724.2751660645</v>
      </c>
    </row>
    <row r="72" spans="2:9">
      <c r="B72" s="33">
        <v>64</v>
      </c>
      <c r="C72" s="33">
        <v>19981152.146014512</v>
      </c>
      <c r="D72" s="33">
        <v>7826630.1137465388</v>
      </c>
      <c r="E72" s="33">
        <v>13381861.146676242</v>
      </c>
      <c r="F72" s="33">
        <v>7401418.6593550742</v>
      </c>
      <c r="G72" s="33">
        <v>-1307435.8513703644</v>
      </c>
      <c r="H72" s="33">
        <v>8727671.7367841303</v>
      </c>
      <c r="I72" s="33">
        <v>-4977915.0061312765</v>
      </c>
    </row>
    <row r="73" spans="2:9">
      <c r="B73" s="33">
        <v>65</v>
      </c>
      <c r="C73" s="33">
        <v>16753053.985995948</v>
      </c>
      <c r="D73" s="33">
        <v>12801098.886090845</v>
      </c>
      <c r="E73" s="33">
        <v>16630583.41919288</v>
      </c>
      <c r="F73" s="33">
        <v>11136231.982946783</v>
      </c>
      <c r="G73" s="33">
        <v>-9262380.3288871944</v>
      </c>
      <c r="H73" s="33">
        <v>2800337.0799411237</v>
      </c>
      <c r="I73" s="33">
        <v>-6832441.9204793274</v>
      </c>
    </row>
    <row r="74" spans="2:9">
      <c r="B74" s="33">
        <v>66</v>
      </c>
      <c r="C74" s="33">
        <v>10087169.859169617</v>
      </c>
      <c r="D74" s="33">
        <v>5441243.7269819528</v>
      </c>
      <c r="E74" s="33">
        <v>13360669.484277844</v>
      </c>
      <c r="F74" s="33">
        <v>6325961.0865204036</v>
      </c>
      <c r="G74" s="33">
        <v>9820780.0107719004</v>
      </c>
      <c r="H74" s="33">
        <v>1992222.3279120475</v>
      </c>
      <c r="I74" s="33">
        <v>6273793.1279717982</v>
      </c>
    </row>
    <row r="75" spans="2:9">
      <c r="B75" s="33">
        <v>67</v>
      </c>
      <c r="C75" s="33">
        <v>19129801.196901649</v>
      </c>
      <c r="D75" s="33">
        <v>8569109.8699408174</v>
      </c>
      <c r="E75" s="33">
        <v>2529048.0124417692</v>
      </c>
      <c r="F75" s="33">
        <v>8484004.16733253</v>
      </c>
      <c r="G75" s="33">
        <v>1999606.4964727461</v>
      </c>
      <c r="H75" s="33">
        <v>-14354668.734568402</v>
      </c>
      <c r="I75" s="33">
        <v>-7719149.3940663189</v>
      </c>
    </row>
    <row r="76" spans="2:9">
      <c r="B76" s="33">
        <v>68</v>
      </c>
      <c r="C76" s="33">
        <v>20085599.8608789</v>
      </c>
      <c r="D76" s="33">
        <v>10411067.820197299</v>
      </c>
      <c r="E76" s="33">
        <v>2985087.5832536072</v>
      </c>
      <c r="F76" s="33">
        <v>7038965.4452211559</v>
      </c>
      <c r="G76" s="33">
        <v>14372628.138443738</v>
      </c>
      <c r="H76" s="33">
        <v>7147997.132875964</v>
      </c>
      <c r="I76" s="33">
        <v>7556504.1723236442</v>
      </c>
    </row>
    <row r="77" spans="2:9">
      <c r="B77" s="33">
        <v>69</v>
      </c>
      <c r="C77" s="33">
        <v>20131729.047188699</v>
      </c>
      <c r="D77" s="33">
        <v>7070740.7646043003</v>
      </c>
      <c r="E77" s="33">
        <v>4580621.4664361626</v>
      </c>
      <c r="F77" s="33">
        <v>11199487.112735331</v>
      </c>
      <c r="G77" s="33">
        <v>20056569.776659474</v>
      </c>
      <c r="H77" s="33">
        <v>-5143460.8146922141</v>
      </c>
      <c r="I77" s="33">
        <v>84461.837964609265</v>
      </c>
    </row>
    <row r="78" spans="2:9">
      <c r="B78" s="33">
        <v>70</v>
      </c>
      <c r="C78" s="33">
        <v>9991717.1132411808</v>
      </c>
      <c r="D78" s="33">
        <v>20266568.320375621</v>
      </c>
      <c r="E78" s="33">
        <v>319051.8349083215</v>
      </c>
      <c r="F78" s="33">
        <v>3327765.8566252589</v>
      </c>
      <c r="G78" s="33">
        <v>11978564.006537542</v>
      </c>
      <c r="H78" s="33">
        <v>-69006.924902021885</v>
      </c>
      <c r="I78" s="33">
        <v>1947883.553014949</v>
      </c>
    </row>
    <row r="79" spans="2:9">
      <c r="B79" s="33">
        <v>71</v>
      </c>
      <c r="C79" s="33">
        <v>18329959.290023535</v>
      </c>
      <c r="D79" s="33">
        <v>5444235.7559637278</v>
      </c>
      <c r="E79" s="33">
        <v>12604369.556763515</v>
      </c>
      <c r="F79" s="33">
        <v>301155.02664624155</v>
      </c>
      <c r="G79" s="33">
        <v>4998552.7017646134</v>
      </c>
      <c r="H79" s="33">
        <v>3044879.2841307819</v>
      </c>
      <c r="I79" s="33">
        <v>-6141491.6378443986</v>
      </c>
    </row>
    <row r="80" spans="2:9">
      <c r="B80" s="33">
        <v>72</v>
      </c>
      <c r="C80" s="33">
        <v>15946446.691521108</v>
      </c>
      <c r="D80" s="33">
        <v>8110701.7502215952</v>
      </c>
      <c r="E80" s="33">
        <v>14646639.566133514</v>
      </c>
      <c r="F80" s="33">
        <v>24643887.728152066</v>
      </c>
      <c r="G80" s="33">
        <v>5365705.4840196222</v>
      </c>
      <c r="H80" s="33">
        <v>-7355272.1707774252</v>
      </c>
      <c r="I80" s="33">
        <v>918371.56300251186</v>
      </c>
    </row>
    <row r="81" spans="2:9">
      <c r="B81" s="33">
        <v>73</v>
      </c>
      <c r="C81" s="33">
        <v>5286422.4813326746</v>
      </c>
      <c r="D81" s="33">
        <v>14165460.990949973</v>
      </c>
      <c r="E81" s="33">
        <v>12433842.7610403</v>
      </c>
      <c r="F81" s="33">
        <v>163992.26872684062</v>
      </c>
      <c r="G81" s="33">
        <v>3455958.0461667627</v>
      </c>
      <c r="H81" s="33">
        <v>5534565.8228354901</v>
      </c>
      <c r="I81" s="33">
        <v>-6165485.5266472101</v>
      </c>
    </row>
    <row r="82" spans="2:9">
      <c r="B82" s="33">
        <v>74</v>
      </c>
      <c r="C82" s="33">
        <v>12642482.154214054</v>
      </c>
      <c r="D82" s="33">
        <v>5047210.7596795857</v>
      </c>
      <c r="E82" s="33">
        <v>14496349.983595744</v>
      </c>
      <c r="F82" s="33">
        <v>3178776.6763710976</v>
      </c>
      <c r="G82" s="33">
        <v>-693045.65021987259</v>
      </c>
      <c r="H82" s="33">
        <v>13904874.657936439</v>
      </c>
      <c r="I82" s="33">
        <v>8161037.4145718515</v>
      </c>
    </row>
    <row r="83" spans="2:9">
      <c r="B83" s="33">
        <v>75</v>
      </c>
      <c r="C83" s="33">
        <v>21082556.240686998</v>
      </c>
      <c r="D83" s="33">
        <v>16894210.591383204</v>
      </c>
      <c r="E83" s="33">
        <v>18201106.209662363</v>
      </c>
      <c r="F83" s="33">
        <v>-3312664.827048555</v>
      </c>
      <c r="G83" s="33">
        <v>11656211.758125588</v>
      </c>
      <c r="H83" s="33">
        <v>-5651205.1034211516</v>
      </c>
      <c r="I83" s="33">
        <v>-1715928.7439810634</v>
      </c>
    </row>
    <row r="84" spans="2:9">
      <c r="B84" s="33">
        <v>76</v>
      </c>
      <c r="C84" s="33">
        <v>12654689.096479133</v>
      </c>
      <c r="D84" s="33">
        <v>5074665.5975824744</v>
      </c>
      <c r="E84" s="33">
        <v>11683012.25309673</v>
      </c>
      <c r="F84" s="33">
        <v>8724023.2232907712</v>
      </c>
      <c r="G84" s="33">
        <v>3706424.2440757006</v>
      </c>
      <c r="H84" s="33">
        <v>11116080.85635823</v>
      </c>
      <c r="I84" s="33">
        <v>8664074.5752570182</v>
      </c>
    </row>
    <row r="85" spans="2:9">
      <c r="B85" s="33">
        <v>77</v>
      </c>
      <c r="C85" s="33">
        <v>4793664.1146219373</v>
      </c>
      <c r="D85" s="33">
        <v>10311671.507398352</v>
      </c>
      <c r="E85" s="33">
        <v>8624416.7422621846</v>
      </c>
      <c r="F85" s="33">
        <v>3564365.4380744994</v>
      </c>
      <c r="G85" s="33">
        <v>-3121108.7942660153</v>
      </c>
      <c r="H85" s="33">
        <v>-164259.83024278283</v>
      </c>
      <c r="I85" s="33">
        <v>4584737.1782158166</v>
      </c>
    </row>
    <row r="86" spans="2:9">
      <c r="B86" s="33">
        <v>78</v>
      </c>
      <c r="C86" s="33">
        <v>13356595.122237861</v>
      </c>
      <c r="D86" s="33">
        <v>16244520.367814302</v>
      </c>
      <c r="E86" s="33">
        <v>4698247.1658717841</v>
      </c>
      <c r="F86" s="33">
        <v>-369809.46624055505</v>
      </c>
      <c r="G86" s="33">
        <v>-2780733.0343901962</v>
      </c>
      <c r="H86" s="33">
        <v>17607575.28555508</v>
      </c>
      <c r="I86" s="33">
        <v>5017988.7407982349</v>
      </c>
    </row>
    <row r="87" spans="2:9">
      <c r="B87" s="33">
        <v>79</v>
      </c>
      <c r="C87" s="33">
        <v>19503370.467014194</v>
      </c>
      <c r="D87" s="33">
        <v>18941862.749511495</v>
      </c>
      <c r="E87" s="33">
        <v>17576663.677842975</v>
      </c>
      <c r="F87" s="33">
        <v>4203180.6733555645</v>
      </c>
      <c r="G87" s="33">
        <v>3170166.6349989176</v>
      </c>
      <c r="H87" s="33">
        <v>-578866.89424587786</v>
      </c>
      <c r="I87" s="33">
        <v>9500374.6261610091</v>
      </c>
    </row>
    <row r="88" spans="2:9">
      <c r="B88" s="33">
        <v>80</v>
      </c>
      <c r="C88" s="33">
        <v>8878397.2891489416</v>
      </c>
      <c r="D88" s="33">
        <v>10196200.644370437</v>
      </c>
      <c r="E88" s="33">
        <v>6519214.8399890959</v>
      </c>
      <c r="F88" s="33">
        <v>18110581.170081198</v>
      </c>
      <c r="G88" s="33">
        <v>20843493.017777532</v>
      </c>
      <c r="H88" s="33">
        <v>13639685.012535021</v>
      </c>
      <c r="I88" s="33">
        <v>-6313326.0169093013</v>
      </c>
    </row>
    <row r="89" spans="2:9">
      <c r="B89" s="33">
        <v>81</v>
      </c>
      <c r="C89" s="33">
        <v>6914252.7977027595</v>
      </c>
      <c r="D89" s="33">
        <v>2162970.0548240542</v>
      </c>
      <c r="E89" s="33">
        <v>5785242.7177411467</v>
      </c>
      <c r="F89" s="33">
        <v>4411726.6220544726</v>
      </c>
      <c r="G89" s="33">
        <v>8289643.4405988157</v>
      </c>
      <c r="H89" s="33">
        <v>-104227.61801911891</v>
      </c>
      <c r="I89" s="33">
        <v>829863.11951345205</v>
      </c>
    </row>
    <row r="90" spans="2:9">
      <c r="B90" s="33">
        <v>82</v>
      </c>
      <c r="C90" s="33">
        <v>10996282.540562019</v>
      </c>
      <c r="D90" s="33">
        <v>1377363.3964276463</v>
      </c>
      <c r="E90" s="33">
        <v>-4122803.0403599888</v>
      </c>
      <c r="F90" s="33">
        <v>4058956.6192606539</v>
      </c>
      <c r="G90" s="33">
        <v>1066920.2145440131</v>
      </c>
      <c r="H90" s="33">
        <v>5980089.6395952106</v>
      </c>
      <c r="I90" s="33">
        <v>3345553.1131893396</v>
      </c>
    </row>
    <row r="91" spans="2:9">
      <c r="B91" s="33">
        <v>83</v>
      </c>
      <c r="C91" s="33">
        <v>16083479.974266872</v>
      </c>
      <c r="D91" s="33">
        <v>10508761.711146891</v>
      </c>
      <c r="E91" s="33">
        <v>5052481.6679984033</v>
      </c>
      <c r="F91" s="33">
        <v>4616534.3951641023</v>
      </c>
      <c r="G91" s="33">
        <v>5458525.5935635418</v>
      </c>
      <c r="H91" s="33">
        <v>11930180.105810195</v>
      </c>
      <c r="I91" s="33">
        <v>-2104182.6928340793</v>
      </c>
    </row>
    <row r="92" spans="2:9">
      <c r="B92" s="33">
        <v>84</v>
      </c>
      <c r="C92" s="33">
        <v>20310359.362318069</v>
      </c>
      <c r="D92" s="33">
        <v>7782939.5363380164</v>
      </c>
      <c r="E92" s="33">
        <v>11689246.048600093</v>
      </c>
      <c r="F92" s="33">
        <v>13784001.1968247</v>
      </c>
      <c r="G92" s="33">
        <v>296483.96965646744</v>
      </c>
      <c r="H92" s="33">
        <v>4879008.3730288446</v>
      </c>
      <c r="I92" s="33">
        <v>2202842.4687528312</v>
      </c>
    </row>
    <row r="93" spans="2:9">
      <c r="B93" s="33">
        <v>85</v>
      </c>
      <c r="C93" s="33">
        <v>11122440.675903618</v>
      </c>
      <c r="D93" s="33">
        <v>16899963.677083611</v>
      </c>
      <c r="E93" s="33">
        <v>7250895.692222178</v>
      </c>
      <c r="F93" s="33">
        <v>9609020.9730680138</v>
      </c>
      <c r="G93" s="33">
        <v>2007923.8761797547</v>
      </c>
      <c r="H93" s="33">
        <v>14096423.245424032</v>
      </c>
      <c r="I93" s="33">
        <v>9161586.4341770262</v>
      </c>
    </row>
    <row r="94" spans="2:9">
      <c r="B94" s="33">
        <v>86</v>
      </c>
      <c r="C94" s="33">
        <v>9910822.2447247058</v>
      </c>
      <c r="D94" s="33">
        <v>13273347.570090979</v>
      </c>
      <c r="E94" s="33">
        <v>8623758.4113202095</v>
      </c>
      <c r="F94" s="33">
        <v>7235122.2326586246</v>
      </c>
      <c r="G94" s="33">
        <v>5802422.6213978082</v>
      </c>
      <c r="H94" s="33">
        <v>522057.9415307343</v>
      </c>
      <c r="I94" s="33">
        <v>-216014.93250307441</v>
      </c>
    </row>
    <row r="95" spans="2:9">
      <c r="B95" s="33">
        <v>87</v>
      </c>
      <c r="C95" s="33">
        <v>14000112.439644903</v>
      </c>
      <c r="D95" s="33">
        <v>19752743.842314765</v>
      </c>
      <c r="E95" s="33">
        <v>15080738.102266848</v>
      </c>
      <c r="F95" s="33">
        <v>3243157.2600397766</v>
      </c>
      <c r="G95" s="33">
        <v>12055673.423834607</v>
      </c>
      <c r="H95" s="33">
        <v>9218478.7494492382</v>
      </c>
      <c r="I95" s="33">
        <v>5215241.7731597573</v>
      </c>
    </row>
    <row r="96" spans="2:9">
      <c r="B96" s="33">
        <v>88</v>
      </c>
      <c r="C96" s="33">
        <v>11418440.562508821</v>
      </c>
      <c r="D96" s="33">
        <v>12729560.124977753</v>
      </c>
      <c r="E96" s="33">
        <v>10733875.325387657</v>
      </c>
      <c r="F96" s="33">
        <v>-1512419.3091500252</v>
      </c>
      <c r="G96" s="33">
        <v>15973331.196402624</v>
      </c>
      <c r="H96" s="33">
        <v>-5116260.7132053822</v>
      </c>
      <c r="I96" s="33">
        <v>-128524.82149630785</v>
      </c>
    </row>
    <row r="97" spans="2:9">
      <c r="B97" s="33">
        <v>89</v>
      </c>
      <c r="C97" s="33">
        <v>13083055.795235947</v>
      </c>
      <c r="D97" s="33">
        <v>11139554.655535102</v>
      </c>
      <c r="E97" s="33">
        <v>6850360.950327158</v>
      </c>
      <c r="F97" s="33">
        <v>11777123.204404578</v>
      </c>
      <c r="G97" s="33">
        <v>1523416.7587530315</v>
      </c>
      <c r="H97" s="33">
        <v>2383551.8079125881</v>
      </c>
      <c r="I97" s="33">
        <v>840673.39081540704</v>
      </c>
    </row>
    <row r="98" spans="2:9">
      <c r="B98" s="33">
        <v>90</v>
      </c>
      <c r="C98" s="33">
        <v>9824726.2558284402</v>
      </c>
      <c r="D98" s="33">
        <v>6534056.5909612328</v>
      </c>
      <c r="E98" s="33">
        <v>15797907.735198677</v>
      </c>
      <c r="F98" s="33">
        <v>12947719.488243535</v>
      </c>
      <c r="G98" s="33">
        <v>4926686.9705724716</v>
      </c>
      <c r="H98" s="33">
        <v>17009941.192834646</v>
      </c>
      <c r="I98" s="33">
        <v>3615349.7422921658</v>
      </c>
    </row>
    <row r="99" spans="2:9">
      <c r="B99" s="33">
        <v>91</v>
      </c>
      <c r="C99" s="33">
        <v>21874112.692583859</v>
      </c>
      <c r="D99" s="33">
        <v>-1765294.5917021036</v>
      </c>
      <c r="E99" s="33">
        <v>23908297.551828101</v>
      </c>
      <c r="F99" s="33">
        <v>13793752.38214542</v>
      </c>
      <c r="G99" s="33">
        <v>14782472.996591493</v>
      </c>
      <c r="H99" s="33">
        <v>15215180.226326138</v>
      </c>
      <c r="I99" s="33">
        <v>7097201.5137373209</v>
      </c>
    </row>
    <row r="100" spans="2:9">
      <c r="B100" s="33">
        <v>92</v>
      </c>
      <c r="C100" s="33">
        <v>19276678.390453517</v>
      </c>
      <c r="D100" s="33">
        <v>17137775.156148955</v>
      </c>
      <c r="E100" s="33">
        <v>-2648475.0133617818</v>
      </c>
      <c r="F100" s="33">
        <v>7410895.1335237324</v>
      </c>
      <c r="G100" s="33">
        <v>6105186.1668440998</v>
      </c>
      <c r="H100" s="33">
        <v>12775289.960227877</v>
      </c>
      <c r="I100" s="33">
        <v>1977407.407062605</v>
      </c>
    </row>
    <row r="101" spans="2:9">
      <c r="B101" s="33">
        <v>93</v>
      </c>
      <c r="C101" s="33">
        <v>18693375.048466057</v>
      </c>
      <c r="D101" s="33">
        <v>7265258.5116291195</v>
      </c>
      <c r="E101" s="33">
        <v>4435490.866689533</v>
      </c>
      <c r="F101" s="33">
        <v>14601327.078931868</v>
      </c>
      <c r="G101" s="33">
        <v>3744321.0792552233</v>
      </c>
      <c r="H101" s="33">
        <v>-1156394.4845195562</v>
      </c>
      <c r="I101" s="33">
        <v>176197.29146419466</v>
      </c>
    </row>
    <row r="102" spans="2:9">
      <c r="B102" s="33">
        <v>94</v>
      </c>
      <c r="C102" s="33">
        <v>18040759.325641945</v>
      </c>
      <c r="D102" s="33">
        <v>11036904.499174565</v>
      </c>
      <c r="E102" s="33">
        <v>4439988.8609503657</v>
      </c>
      <c r="F102" s="33">
        <v>6054990.9784740508</v>
      </c>
      <c r="G102" s="33">
        <v>9578137.0382836908</v>
      </c>
      <c r="H102" s="33">
        <v>6628623.4868676066</v>
      </c>
      <c r="I102" s="33">
        <v>2791049.0643446296</v>
      </c>
    </row>
    <row r="103" spans="2:9">
      <c r="B103" s="33">
        <v>95</v>
      </c>
      <c r="C103" s="33">
        <v>11022928.798604622</v>
      </c>
      <c r="D103" s="33">
        <v>14228046.284073666</v>
      </c>
      <c r="E103" s="33">
        <v>8731278.7856557816</v>
      </c>
      <c r="F103" s="33">
        <v>11037631.851861298</v>
      </c>
      <c r="G103" s="33">
        <v>2393482.2443881333</v>
      </c>
      <c r="H103" s="33">
        <v>4259411.0955309272</v>
      </c>
      <c r="I103" s="33">
        <v>3153961.7113871425</v>
      </c>
    </row>
    <row r="104" spans="2:9">
      <c r="B104" s="33">
        <v>96</v>
      </c>
      <c r="C104" s="33">
        <v>14935711.240859628</v>
      </c>
      <c r="D104" s="33">
        <v>22061601.248597816</v>
      </c>
      <c r="E104" s="33">
        <v>9971115.1642341316</v>
      </c>
      <c r="F104" s="33">
        <v>4431090.5393327624</v>
      </c>
      <c r="G104" s="33">
        <v>4437142.5641864389</v>
      </c>
      <c r="H104" s="33">
        <v>3551856.524871543</v>
      </c>
      <c r="I104" s="33">
        <v>-4655615.9521123916</v>
      </c>
    </row>
    <row r="105" spans="2:9">
      <c r="B105" s="33">
        <v>97</v>
      </c>
      <c r="C105" s="33">
        <v>9693876.1291194409</v>
      </c>
      <c r="D105" s="33">
        <v>14318997.239127427</v>
      </c>
      <c r="E105" s="33">
        <v>3593656.5895241052</v>
      </c>
      <c r="F105" s="33">
        <v>9732417.5660915673</v>
      </c>
      <c r="G105" s="33">
        <v>12464552.431701154</v>
      </c>
      <c r="H105" s="33">
        <v>-2293630.1979129761</v>
      </c>
      <c r="I105" s="33">
        <v>-7639243.9831506461</v>
      </c>
    </row>
    <row r="106" spans="2:9">
      <c r="B106" s="33">
        <v>98</v>
      </c>
      <c r="C106" s="33">
        <v>23060952.263385564</v>
      </c>
      <c r="D106" s="33">
        <v>13661912.053999752</v>
      </c>
      <c r="E106" s="33">
        <v>11476488.641503394</v>
      </c>
      <c r="F106" s="33">
        <v>8128473.2594251037</v>
      </c>
      <c r="G106" s="33">
        <v>2489931.0780212283</v>
      </c>
      <c r="H106" s="33">
        <v>7861338.2137682438</v>
      </c>
      <c r="I106" s="33">
        <v>2726729.1185106933</v>
      </c>
    </row>
    <row r="107" spans="2:9">
      <c r="B107" s="33">
        <v>99</v>
      </c>
      <c r="C107" s="33">
        <v>11652264.377854139</v>
      </c>
      <c r="D107" s="33">
        <v>26860457.828079268</v>
      </c>
      <c r="E107" s="33">
        <v>14255473.676057428</v>
      </c>
      <c r="F107" s="33">
        <v>3413212.5875931382</v>
      </c>
      <c r="G107" s="33">
        <v>4204952.4424839169</v>
      </c>
      <c r="H107" s="33">
        <v>5068504.8273177743</v>
      </c>
      <c r="I107" s="33">
        <v>-986004.44990448654</v>
      </c>
    </row>
    <row r="108" spans="2:9">
      <c r="B108" s="33">
        <v>100</v>
      </c>
      <c r="C108" s="33">
        <v>22527732.005618677</v>
      </c>
      <c r="D108" s="33">
        <v>15244333.654420629</v>
      </c>
      <c r="E108" s="33">
        <v>10245213.429846063</v>
      </c>
      <c r="F108" s="33">
        <v>5242973.5974525362</v>
      </c>
      <c r="G108" s="33">
        <v>9707896.6217699051</v>
      </c>
      <c r="H108" s="33">
        <v>893831.08729451895</v>
      </c>
      <c r="I108" s="33">
        <v>4368591.472725898</v>
      </c>
    </row>
    <row r="109" spans="2:9">
      <c r="B109" s="33">
        <v>101</v>
      </c>
      <c r="C109" s="33">
        <v>13126111.789519966</v>
      </c>
      <c r="D109" s="33">
        <v>20662533.526771605</v>
      </c>
      <c r="E109" s="33">
        <v>16288981.664328083</v>
      </c>
      <c r="F109" s="33">
        <v>-1779216.8834778666</v>
      </c>
      <c r="G109" s="33">
        <v>5412870.3692906946</v>
      </c>
      <c r="H109" s="33">
        <v>1833415.3690731525</v>
      </c>
      <c r="I109" s="33">
        <v>1579305.476685524</v>
      </c>
    </row>
    <row r="110" spans="2:9">
      <c r="B110" s="33">
        <v>102</v>
      </c>
      <c r="C110" s="33">
        <v>15104151.997097105</v>
      </c>
      <c r="D110" s="33">
        <v>19956019.696892455</v>
      </c>
      <c r="E110" s="33">
        <v>8153826.4137449414</v>
      </c>
      <c r="F110" s="33">
        <v>2472768.4405859709</v>
      </c>
      <c r="G110" s="33">
        <v>-902566.0636575222</v>
      </c>
      <c r="H110" s="33">
        <v>8018321.2330521196</v>
      </c>
      <c r="I110" s="33">
        <v>-6487293.6540535986</v>
      </c>
    </row>
    <row r="111" spans="2:9">
      <c r="B111" s="33">
        <v>103</v>
      </c>
      <c r="C111" s="33">
        <v>14491451.674520731</v>
      </c>
      <c r="D111" s="33">
        <v>7468120.6638545841</v>
      </c>
      <c r="E111" s="33">
        <v>10802737.913923025</v>
      </c>
      <c r="F111" s="33">
        <v>629842.863373667</v>
      </c>
      <c r="G111" s="33">
        <v>19867215.136472136</v>
      </c>
      <c r="H111" s="33">
        <v>7478605.7563815862</v>
      </c>
      <c r="I111" s="33">
        <v>-7919185.1369943023</v>
      </c>
    </row>
    <row r="112" spans="2:9">
      <c r="B112" s="33">
        <v>104</v>
      </c>
      <c r="C112" s="33">
        <v>18459524.06428203</v>
      </c>
      <c r="D112" s="33">
        <v>9312302.4136255085</v>
      </c>
      <c r="E112" s="33">
        <v>6656704.7406208515</v>
      </c>
      <c r="F112" s="33">
        <v>3505731.0462121814</v>
      </c>
      <c r="G112" s="33">
        <v>7127798.4101171345</v>
      </c>
      <c r="H112" s="33">
        <v>-671578.5271577239</v>
      </c>
      <c r="I112" s="33">
        <v>486920.81742434204</v>
      </c>
    </row>
    <row r="113" spans="2:9">
      <c r="B113" s="33">
        <v>105</v>
      </c>
      <c r="C113" s="33">
        <v>18364135.489062816</v>
      </c>
      <c r="D113" s="33">
        <v>16636316.176242903</v>
      </c>
      <c r="E113" s="33">
        <v>13301095.911595762</v>
      </c>
      <c r="F113" s="33">
        <v>8978701.8462463468</v>
      </c>
      <c r="G113" s="33">
        <v>787406.00157645345</v>
      </c>
      <c r="H113" s="33">
        <v>8563442.0619214326</v>
      </c>
      <c r="I113" s="33">
        <v>-345380.34593988955</v>
      </c>
    </row>
    <row r="114" spans="2:9">
      <c r="B114" s="33">
        <v>106</v>
      </c>
      <c r="C114" s="33">
        <v>15192868.069063663</v>
      </c>
      <c r="D114" s="33">
        <v>13726721.181290075</v>
      </c>
      <c r="E114" s="33">
        <v>10895287.08159785</v>
      </c>
      <c r="F114" s="33">
        <v>1416208.0915566832</v>
      </c>
      <c r="G114" s="33">
        <v>10687167.681939304</v>
      </c>
      <c r="H114" s="33">
        <v>2790328.8397490829</v>
      </c>
      <c r="I114" s="33">
        <v>9733187.7819627374</v>
      </c>
    </row>
    <row r="115" spans="2:9">
      <c r="B115" s="33">
        <v>107</v>
      </c>
      <c r="C115" s="33">
        <v>11473329.656063676</v>
      </c>
      <c r="D115" s="33">
        <v>12989197.120530665</v>
      </c>
      <c r="E115" s="33">
        <v>7819744.1032682359</v>
      </c>
      <c r="F115" s="33">
        <v>3342109.7768084705</v>
      </c>
      <c r="G115" s="33">
        <v>13730673.339451879</v>
      </c>
      <c r="H115" s="33">
        <v>-3169368.2646900117</v>
      </c>
      <c r="I115" s="33">
        <v>335746.07763275504</v>
      </c>
    </row>
    <row r="116" spans="2:9">
      <c r="B116" s="33">
        <v>108</v>
      </c>
      <c r="C116" s="33">
        <v>11779171.750924468</v>
      </c>
      <c r="D116" s="33">
        <v>14478554.277172863</v>
      </c>
      <c r="E116" s="33">
        <v>12179862.157763675</v>
      </c>
      <c r="F116" s="33">
        <v>3001732.5321027935</v>
      </c>
      <c r="G116" s="33">
        <v>6592161.7167245597</v>
      </c>
      <c r="H116" s="33">
        <v>84426.586150124669</v>
      </c>
      <c r="I116" s="33">
        <v>1585261.7898851782</v>
      </c>
    </row>
    <row r="117" spans="2:9">
      <c r="B117" s="33">
        <v>109</v>
      </c>
      <c r="C117" s="33">
        <v>15720949.749945</v>
      </c>
      <c r="D117" s="33">
        <v>11715775.431487471</v>
      </c>
      <c r="E117" s="33">
        <v>8145401.8468171507</v>
      </c>
      <c r="F117" s="33">
        <v>15027482.992151991</v>
      </c>
      <c r="G117" s="33">
        <v>3130110.0049316287</v>
      </c>
      <c r="H117" s="33">
        <v>1627731.4715791792</v>
      </c>
      <c r="I117" s="33">
        <v>6153437.8568577319</v>
      </c>
    </row>
    <row r="118" spans="2:9">
      <c r="B118" s="33">
        <v>110</v>
      </c>
      <c r="C118" s="33">
        <v>16025126.148367256</v>
      </c>
      <c r="D118" s="33">
        <v>9012385.6620957702</v>
      </c>
      <c r="E118" s="33">
        <v>4604665.8643559515</v>
      </c>
      <c r="F118" s="33">
        <v>15882460.816214442</v>
      </c>
      <c r="G118" s="33">
        <v>14549237.329007164</v>
      </c>
      <c r="H118" s="33">
        <v>10451622.35821487</v>
      </c>
      <c r="I118" s="33">
        <v>8947378.080343008</v>
      </c>
    </row>
    <row r="119" spans="2:9">
      <c r="B119" s="33">
        <v>111</v>
      </c>
      <c r="C119" s="33">
        <v>8378069.2346175164</v>
      </c>
      <c r="D119" s="33">
        <v>8299713.7029509991</v>
      </c>
      <c r="E119" s="33">
        <v>3738988.0319528878</v>
      </c>
      <c r="F119" s="33">
        <v>12933475.609281734</v>
      </c>
      <c r="G119" s="33">
        <v>10104473.555708796</v>
      </c>
      <c r="H119" s="33">
        <v>7006722.7038794905</v>
      </c>
      <c r="I119" s="33">
        <v>-5208943.1741390526</v>
      </c>
    </row>
    <row r="120" spans="2:9">
      <c r="B120" s="33">
        <v>112</v>
      </c>
      <c r="C120" s="33">
        <v>14652776.696567565</v>
      </c>
      <c r="D120" s="33">
        <v>13337595.297684029</v>
      </c>
      <c r="E120" s="33">
        <v>8114751.0010986179</v>
      </c>
      <c r="F120" s="33">
        <v>11703669.298469752</v>
      </c>
      <c r="G120" s="33">
        <v>14458756.560419872</v>
      </c>
      <c r="H120" s="33">
        <v>3522242.2442117482</v>
      </c>
      <c r="I120" s="33">
        <v>7698927.3302965909</v>
      </c>
    </row>
    <row r="121" spans="2:9">
      <c r="B121" s="33">
        <v>113</v>
      </c>
      <c r="C121" s="33">
        <v>18971958.548957407</v>
      </c>
      <c r="D121" s="33">
        <v>26087708.818686426</v>
      </c>
      <c r="E121" s="33">
        <v>4578297.3404005617</v>
      </c>
      <c r="F121" s="33">
        <v>7055530.9729065597</v>
      </c>
      <c r="G121" s="33">
        <v>8346593.6450906545</v>
      </c>
      <c r="H121" s="33">
        <v>7325227.6407296807</v>
      </c>
      <c r="I121" s="33">
        <v>5449714.1913265586</v>
      </c>
    </row>
    <row r="122" spans="2:9">
      <c r="B122" s="33">
        <v>114</v>
      </c>
      <c r="C122" s="33">
        <v>14497237.755098253</v>
      </c>
      <c r="D122" s="33">
        <v>4939772.6365462989</v>
      </c>
      <c r="E122" s="33">
        <v>1909306.1633210182</v>
      </c>
      <c r="F122" s="33">
        <v>16595029.147968143</v>
      </c>
      <c r="G122" s="33">
        <v>462219.04631476104</v>
      </c>
      <c r="H122" s="33">
        <v>3380837.5352299809</v>
      </c>
      <c r="I122" s="33">
        <v>9139678.3362766802</v>
      </c>
    </row>
    <row r="123" spans="2:9">
      <c r="B123" s="33">
        <v>115</v>
      </c>
      <c r="C123" s="33">
        <v>11283403.615539253</v>
      </c>
      <c r="D123" s="33">
        <v>16098347.383660033</v>
      </c>
      <c r="E123" s="33">
        <v>6095479.040256843</v>
      </c>
      <c r="F123" s="33">
        <v>13575913.754193902</v>
      </c>
      <c r="G123" s="33">
        <v>4154257.7631628215</v>
      </c>
      <c r="H123" s="33">
        <v>-7819544.0014580339</v>
      </c>
      <c r="I123" s="33">
        <v>-2272143.5214992911</v>
      </c>
    </row>
    <row r="124" spans="2:9">
      <c r="B124" s="33">
        <v>116</v>
      </c>
      <c r="C124" s="33">
        <v>15273227.479406759</v>
      </c>
      <c r="D124" s="33">
        <v>9338848.8898379356</v>
      </c>
      <c r="E124" s="33">
        <v>13547228.760689348</v>
      </c>
      <c r="F124" s="33">
        <v>7952837.1506165117</v>
      </c>
      <c r="G124" s="33">
        <v>15735735.512244821</v>
      </c>
      <c r="H124" s="33">
        <v>-9685915.8266867697</v>
      </c>
      <c r="I124" s="33">
        <v>-986014.91948336363</v>
      </c>
    </row>
    <row r="125" spans="2:9">
      <c r="B125" s="33">
        <v>117</v>
      </c>
      <c r="C125" s="33">
        <v>10847113.769560367</v>
      </c>
      <c r="D125" s="33">
        <v>12856028.211106792</v>
      </c>
      <c r="E125" s="33">
        <v>16971991.498047054</v>
      </c>
      <c r="F125" s="33">
        <v>18002034.962553874</v>
      </c>
      <c r="G125" s="33">
        <v>11528145.514362484</v>
      </c>
      <c r="H125" s="33">
        <v>2890901.2401579618</v>
      </c>
      <c r="I125" s="33">
        <v>7569538.4515869915</v>
      </c>
    </row>
    <row r="126" spans="2:9">
      <c r="B126" s="33">
        <v>118</v>
      </c>
      <c r="C126" s="33">
        <v>10225228.309710935</v>
      </c>
      <c r="D126" s="33">
        <v>8822774.9785111994</v>
      </c>
      <c r="E126" s="33">
        <v>2570582.6780403405</v>
      </c>
      <c r="F126" s="33">
        <v>15611197.353750721</v>
      </c>
      <c r="G126" s="33">
        <v>10673113.549573034</v>
      </c>
      <c r="H126" s="33">
        <v>9739191.4345010817</v>
      </c>
      <c r="I126" s="33">
        <v>153238.08837717772</v>
      </c>
    </row>
    <row r="127" spans="2:9">
      <c r="B127" s="33">
        <v>119</v>
      </c>
      <c r="C127" s="33">
        <v>12685927.731186703</v>
      </c>
      <c r="D127" s="33">
        <v>11279239.144398496</v>
      </c>
      <c r="E127" s="33">
        <v>13982809.621801928</v>
      </c>
      <c r="F127" s="33">
        <v>15079370.365327239</v>
      </c>
      <c r="G127" s="33">
        <v>9616738.2024177462</v>
      </c>
      <c r="H127" s="33">
        <v>1692425.8917787075</v>
      </c>
      <c r="I127" s="33">
        <v>9469483.4857053906</v>
      </c>
    </row>
    <row r="128" spans="2:9">
      <c r="B128" s="33">
        <v>120</v>
      </c>
      <c r="C128" s="33">
        <v>10985647.078081518</v>
      </c>
      <c r="D128" s="33">
        <v>20036828.885526314</v>
      </c>
      <c r="E128" s="33">
        <v>19119968.621071994</v>
      </c>
      <c r="F128" s="33">
        <v>9577493.2616368979</v>
      </c>
      <c r="G128" s="33">
        <v>6150238.2628941536</v>
      </c>
      <c r="H128" s="33">
        <v>8600690.5177378505</v>
      </c>
      <c r="I128" s="33">
        <v>899967.21427132189</v>
      </c>
    </row>
    <row r="129" spans="2:9">
      <c r="B129" s="33">
        <v>121</v>
      </c>
      <c r="C129" s="33">
        <v>24444994.480019286</v>
      </c>
      <c r="D129" s="33">
        <v>17131022.386484653</v>
      </c>
      <c r="E129" s="33">
        <v>5023861.0443671346</v>
      </c>
      <c r="F129" s="33">
        <v>10164641.133003294</v>
      </c>
      <c r="G129" s="33">
        <v>18135252.57431826</v>
      </c>
      <c r="H129" s="33">
        <v>11297043.764655799</v>
      </c>
      <c r="I129" s="33">
        <v>6534111.0327747017</v>
      </c>
    </row>
    <row r="130" spans="2:9">
      <c r="B130" s="33">
        <v>122</v>
      </c>
      <c r="C130" s="33">
        <v>8917867.3396071792</v>
      </c>
      <c r="D130" s="33">
        <v>3906366.4073823094</v>
      </c>
      <c r="E130" s="33">
        <v>13594383.146027744</v>
      </c>
      <c r="F130" s="33">
        <v>9260520.0445382148</v>
      </c>
      <c r="G130" s="33">
        <v>10026428.73325333</v>
      </c>
      <c r="H130" s="33">
        <v>2577605.4930129945</v>
      </c>
      <c r="I130" s="33">
        <v>-2772279.0906413496</v>
      </c>
    </row>
    <row r="131" spans="2:9">
      <c r="B131" s="33">
        <v>123</v>
      </c>
      <c r="C131" s="33">
        <v>12381320.393522769</v>
      </c>
      <c r="D131" s="33">
        <v>20484212.200671151</v>
      </c>
      <c r="E131" s="33">
        <v>4338696.76704368</v>
      </c>
      <c r="F131" s="33">
        <v>8937982.454873696</v>
      </c>
      <c r="G131" s="33">
        <v>6783937.7005934417</v>
      </c>
      <c r="H131" s="33">
        <v>-6465436.0680310875</v>
      </c>
      <c r="I131" s="33">
        <v>10134066.537707493</v>
      </c>
    </row>
    <row r="132" spans="2:9">
      <c r="B132" s="33">
        <v>124</v>
      </c>
      <c r="C132" s="33">
        <v>13601905.422093615</v>
      </c>
      <c r="D132" s="33">
        <v>10629776.012307808</v>
      </c>
      <c r="E132" s="33">
        <v>12595800.893347383</v>
      </c>
      <c r="F132" s="33">
        <v>19352002.658471048</v>
      </c>
      <c r="G132" s="33">
        <v>11710372.205429733</v>
      </c>
      <c r="H132" s="33">
        <v>4844627.3653004467</v>
      </c>
      <c r="I132" s="33">
        <v>8838688.356113404</v>
      </c>
    </row>
    <row r="133" spans="2:9">
      <c r="B133" s="33">
        <v>125</v>
      </c>
      <c r="C133" s="33">
        <v>22372377.7535595</v>
      </c>
      <c r="D133" s="33">
        <v>19869301.677792534</v>
      </c>
      <c r="E133" s="33">
        <v>22565994.772749081</v>
      </c>
      <c r="F133" s="33">
        <v>5616857.632659927</v>
      </c>
      <c r="G133" s="33">
        <v>1757359.0219550282</v>
      </c>
      <c r="H133" s="33">
        <v>-2319597.7494405061</v>
      </c>
      <c r="I133" s="33">
        <v>7953052.8397180587</v>
      </c>
    </row>
    <row r="134" spans="2:9">
      <c r="B134" s="33">
        <v>126</v>
      </c>
      <c r="C134" s="33">
        <v>17277380.522418424</v>
      </c>
      <c r="D134" s="33">
        <v>13683669.060097516</v>
      </c>
      <c r="E134" s="33">
        <v>12248016.542596862</v>
      </c>
      <c r="F134" s="33">
        <v>2242871.4250149429</v>
      </c>
      <c r="G134" s="33">
        <v>-153891.08722858131</v>
      </c>
      <c r="H134" s="33">
        <v>5538617.406305328</v>
      </c>
      <c r="I134" s="33">
        <v>4088263.7050691843</v>
      </c>
    </row>
    <row r="135" spans="2:9">
      <c r="B135" s="33">
        <v>127</v>
      </c>
      <c r="C135" s="33">
        <v>16435550.96296528</v>
      </c>
      <c r="D135" s="33">
        <v>10358589.798519567</v>
      </c>
      <c r="E135" s="33">
        <v>8584199.8186508864</v>
      </c>
      <c r="F135" s="33">
        <v>10270469.903578937</v>
      </c>
      <c r="G135" s="33">
        <v>593594.39818929136</v>
      </c>
      <c r="H135" s="33">
        <v>4470877.5821584165</v>
      </c>
      <c r="I135" s="33">
        <v>7324430.6674214602</v>
      </c>
    </row>
    <row r="136" spans="2:9">
      <c r="B136" s="33">
        <v>128</v>
      </c>
      <c r="C136" s="33">
        <v>17998920.550369203</v>
      </c>
      <c r="D136" s="33">
        <v>9134117.8478255421</v>
      </c>
      <c r="E136" s="33">
        <v>-2093817.0458667874</v>
      </c>
      <c r="F136" s="33">
        <v>3402004.0586818606</v>
      </c>
      <c r="G136" s="33">
        <v>691519.67527541518</v>
      </c>
      <c r="H136" s="33">
        <v>1592723.2477556616</v>
      </c>
      <c r="I136" s="33">
        <v>9324599.2967384756</v>
      </c>
    </row>
    <row r="137" spans="2:9">
      <c r="B137" s="33">
        <v>129</v>
      </c>
      <c r="C137" s="33">
        <v>8637163.8522492796</v>
      </c>
      <c r="D137" s="33">
        <v>5241513.5542627871</v>
      </c>
      <c r="E137" s="33">
        <v>9234698.5890914798</v>
      </c>
      <c r="F137" s="33">
        <v>18912454.019736946</v>
      </c>
      <c r="G137" s="33">
        <v>6630659.0617302209</v>
      </c>
      <c r="H137" s="33">
        <v>-4392573.520995453</v>
      </c>
      <c r="I137" s="33">
        <v>3494811.1318933666</v>
      </c>
    </row>
    <row r="138" spans="2:9">
      <c r="B138" s="33">
        <v>130</v>
      </c>
      <c r="C138" s="33">
        <v>14045134.024177536</v>
      </c>
      <c r="D138" s="33">
        <v>13322545.7716005</v>
      </c>
      <c r="E138" s="33">
        <v>12794068.955716446</v>
      </c>
      <c r="F138" s="33">
        <v>12321893.020204708</v>
      </c>
      <c r="G138" s="33">
        <v>10720473.566173598</v>
      </c>
      <c r="H138" s="33">
        <v>9513055.6225843132</v>
      </c>
      <c r="I138" s="33">
        <v>-5409591.2974307984</v>
      </c>
    </row>
    <row r="139" spans="2:9">
      <c r="B139" s="33">
        <v>131</v>
      </c>
      <c r="C139" s="33">
        <v>12160796.401889428</v>
      </c>
      <c r="D139" s="33">
        <v>19663146.819346994</v>
      </c>
      <c r="E139" s="33">
        <v>4737596.9846559018</v>
      </c>
      <c r="F139" s="33">
        <v>8486114.0450637043</v>
      </c>
      <c r="G139" s="33">
        <v>3551612.7805048972</v>
      </c>
      <c r="H139" s="33">
        <v>8765234.1602958441</v>
      </c>
      <c r="I139" s="33">
        <v>-2229571.868790105</v>
      </c>
    </row>
    <row r="140" spans="2:9">
      <c r="B140" s="33">
        <v>132</v>
      </c>
      <c r="C140" s="33">
        <v>16531734.028007224</v>
      </c>
      <c r="D140" s="33">
        <v>23809792.060733527</v>
      </c>
      <c r="E140" s="33">
        <v>14480939.511297435</v>
      </c>
      <c r="F140" s="33">
        <v>4953916.9614149928</v>
      </c>
      <c r="G140" s="33">
        <v>4674704.6444207877</v>
      </c>
      <c r="H140" s="33">
        <v>11257566.491164654</v>
      </c>
      <c r="I140" s="33">
        <v>12864214.053370714</v>
      </c>
    </row>
    <row r="141" spans="2:9">
      <c r="B141" s="33">
        <v>133</v>
      </c>
      <c r="C141" s="33">
        <v>8021285.4791029245</v>
      </c>
      <c r="D141" s="33">
        <v>14464232.90696232</v>
      </c>
      <c r="E141" s="33">
        <v>-2384464.2706638128</v>
      </c>
      <c r="F141" s="33">
        <v>17335050.327529743</v>
      </c>
      <c r="G141" s="33">
        <v>-30811.229228779674</v>
      </c>
      <c r="H141" s="33">
        <v>-10076289.052389562</v>
      </c>
      <c r="I141" s="33">
        <v>569630.33838148415</v>
      </c>
    </row>
    <row r="142" spans="2:9">
      <c r="B142" s="33">
        <v>134</v>
      </c>
      <c r="C142" s="33">
        <v>11686140.766182855</v>
      </c>
      <c r="D142" s="33">
        <v>7915864.8036698699</v>
      </c>
      <c r="E142" s="33">
        <v>7655309.3567592502</v>
      </c>
      <c r="F142" s="33">
        <v>8984724.8958643675</v>
      </c>
      <c r="G142" s="33">
        <v>5820664.5048787594</v>
      </c>
      <c r="H142" s="33">
        <v>-6210468.4638670385</v>
      </c>
      <c r="I142" s="33">
        <v>-9067321.3339837939</v>
      </c>
    </row>
    <row r="143" spans="2:9">
      <c r="B143" s="33">
        <v>135</v>
      </c>
      <c r="C143" s="33">
        <v>20131428.906832114</v>
      </c>
      <c r="D143" s="33">
        <v>14121129.53535828</v>
      </c>
      <c r="E143" s="33">
        <v>10613913.014733031</v>
      </c>
      <c r="F143" s="33">
        <v>4086293.1315720379</v>
      </c>
      <c r="G143" s="33">
        <v>10700940.290710017</v>
      </c>
      <c r="H143" s="33">
        <v>10208156.153893292</v>
      </c>
      <c r="I143" s="33">
        <v>1012714.4370199144</v>
      </c>
    </row>
    <row r="144" spans="2:9">
      <c r="B144" s="33">
        <v>136</v>
      </c>
      <c r="C144" s="33">
        <v>19475681.612715825</v>
      </c>
      <c r="D144" s="33">
        <v>6161631.6653742492</v>
      </c>
      <c r="E144" s="33">
        <v>15716620.189692631</v>
      </c>
      <c r="F144" s="33">
        <v>6184446.2235652059</v>
      </c>
      <c r="G144" s="33">
        <v>2128546.3171619922</v>
      </c>
      <c r="H144" s="33">
        <v>8321942.3580312878</v>
      </c>
      <c r="I144" s="33">
        <v>-2849529.4123632908</v>
      </c>
    </row>
    <row r="145" spans="2:9">
      <c r="B145" s="33">
        <v>137</v>
      </c>
      <c r="C145" s="33">
        <v>15475970.659694552</v>
      </c>
      <c r="D145" s="33">
        <v>21840905.072811335</v>
      </c>
      <c r="E145" s="33">
        <v>11925897.013646483</v>
      </c>
      <c r="F145" s="33">
        <v>10732539.264116541</v>
      </c>
      <c r="G145" s="33">
        <v>7098141.4044013023</v>
      </c>
      <c r="H145" s="33">
        <v>-2771697.3633450419</v>
      </c>
      <c r="I145" s="33">
        <v>-40337.506912067533</v>
      </c>
    </row>
    <row r="146" spans="2:9">
      <c r="B146" s="33">
        <v>138</v>
      </c>
      <c r="C146" s="33">
        <v>16707989.710251033</v>
      </c>
      <c r="D146" s="33">
        <v>20229088.961110801</v>
      </c>
      <c r="E146" s="33">
        <v>15792047.994677901</v>
      </c>
      <c r="F146" s="33">
        <v>3583962.5956677049</v>
      </c>
      <c r="G146" s="33">
        <v>12361473.40625456</v>
      </c>
      <c r="H146" s="33">
        <v>-4478992.330373764</v>
      </c>
      <c r="I146" s="33">
        <v>9918482.2192626894</v>
      </c>
    </row>
    <row r="147" spans="2:9">
      <c r="B147" s="33">
        <v>139</v>
      </c>
      <c r="C147" s="33">
        <v>18795589.184950069</v>
      </c>
      <c r="D147" s="33">
        <v>12760419.658013955</v>
      </c>
      <c r="E147" s="33">
        <v>15847120.533493862</v>
      </c>
      <c r="F147" s="33">
        <v>1107296.9332626611</v>
      </c>
      <c r="G147" s="33">
        <v>5537198.421282053</v>
      </c>
      <c r="H147" s="33">
        <v>10483277.566368893</v>
      </c>
      <c r="I147" s="33">
        <v>196283.17968945205</v>
      </c>
    </row>
    <row r="148" spans="2:9">
      <c r="B148" s="33">
        <v>140</v>
      </c>
      <c r="C148" s="33">
        <v>4695769.5646291673</v>
      </c>
      <c r="D148" s="33">
        <v>20234042.529950902</v>
      </c>
      <c r="E148" s="33">
        <v>13652227.552134991</v>
      </c>
      <c r="F148" s="33">
        <v>15344789.785281658</v>
      </c>
      <c r="G148" s="33">
        <v>17812595.845429018</v>
      </c>
      <c r="H148" s="33">
        <v>-2626876.812986359</v>
      </c>
      <c r="I148" s="33">
        <v>5023565.8272357285</v>
      </c>
    </row>
    <row r="149" spans="2:9">
      <c r="B149" s="33">
        <v>141</v>
      </c>
      <c r="C149" s="33">
        <v>11928868.243274748</v>
      </c>
      <c r="D149" s="33">
        <v>12838376.886037692</v>
      </c>
      <c r="E149" s="33">
        <v>4503578.850234434</v>
      </c>
      <c r="F149" s="33">
        <v>13769363.209661037</v>
      </c>
      <c r="G149" s="33">
        <v>9215741.317808032</v>
      </c>
      <c r="H149" s="33">
        <v>-5076112.4858595878</v>
      </c>
      <c r="I149" s="33">
        <v>8011753.8552538306</v>
      </c>
    </row>
    <row r="150" spans="2:9">
      <c r="B150" s="33">
        <v>142</v>
      </c>
      <c r="C150" s="33">
        <v>10306738.563492939</v>
      </c>
      <c r="D150" s="33">
        <v>9834261.4877223819</v>
      </c>
      <c r="E150" s="33">
        <v>5028770.082016781</v>
      </c>
      <c r="F150" s="33">
        <v>1588380.2352303565</v>
      </c>
      <c r="G150" s="33">
        <v>1462776.6704028398</v>
      </c>
      <c r="H150" s="33">
        <v>8644869.5347899199</v>
      </c>
      <c r="I150" s="33">
        <v>453705.93162046373</v>
      </c>
    </row>
    <row r="151" spans="2:9">
      <c r="B151" s="33">
        <v>143</v>
      </c>
      <c r="C151" s="33">
        <v>20061908.510253862</v>
      </c>
      <c r="D151" s="33">
        <v>7523796.5486097336</v>
      </c>
      <c r="E151" s="33">
        <v>13761150.688019052</v>
      </c>
      <c r="F151" s="33">
        <v>10508583.013320863</v>
      </c>
      <c r="G151" s="33">
        <v>10759429.723039001</v>
      </c>
      <c r="H151" s="33">
        <v>4076171.801801458</v>
      </c>
      <c r="I151" s="33">
        <v>2395961.8065204173</v>
      </c>
    </row>
    <row r="152" spans="2:9">
      <c r="B152" s="33">
        <v>144</v>
      </c>
      <c r="C152" s="33">
        <v>18865533.434328482</v>
      </c>
      <c r="D152" s="33">
        <v>16550336.098892897</v>
      </c>
      <c r="E152" s="33">
        <v>16684479.006793246</v>
      </c>
      <c r="F152" s="33">
        <v>471140.15260352194</v>
      </c>
      <c r="G152" s="33">
        <v>16475828.613617688</v>
      </c>
      <c r="H152" s="33">
        <v>4246303.3285232037</v>
      </c>
      <c r="I152" s="33">
        <v>3425315.3237854093</v>
      </c>
    </row>
    <row r="153" spans="2:9">
      <c r="B153" s="33">
        <v>145</v>
      </c>
      <c r="C153" s="33">
        <v>10400610.220716327</v>
      </c>
      <c r="D153" s="33">
        <v>7956475.2279256731</v>
      </c>
      <c r="E153" s="33">
        <v>20648404.412060305</v>
      </c>
      <c r="F153" s="33">
        <v>7756812.7233341485</v>
      </c>
      <c r="G153" s="33">
        <v>889689.27295155823</v>
      </c>
      <c r="H153" s="33">
        <v>4019494.6829482913</v>
      </c>
      <c r="I153" s="33">
        <v>10007256.284512281</v>
      </c>
    </row>
    <row r="154" spans="2:9">
      <c r="B154" s="33">
        <v>146</v>
      </c>
      <c r="C154" s="33">
        <v>24028886.383528024</v>
      </c>
      <c r="D154" s="33">
        <v>14089163.281328216</v>
      </c>
      <c r="E154" s="33">
        <v>9428695.091817379</v>
      </c>
      <c r="F154" s="33">
        <v>-1635798.5568014681</v>
      </c>
      <c r="G154" s="33">
        <v>-1562269.5711217821</v>
      </c>
      <c r="H154" s="33">
        <v>-6650575.016361177</v>
      </c>
      <c r="I154" s="33">
        <v>-8058665.8281446397</v>
      </c>
    </row>
    <row r="155" spans="2:9">
      <c r="B155" s="33">
        <v>147</v>
      </c>
      <c r="C155" s="33">
        <v>22931327.190652519</v>
      </c>
      <c r="D155" s="33">
        <v>8945778.9011374563</v>
      </c>
      <c r="E155" s="33">
        <v>13047129.261591673</v>
      </c>
      <c r="F155" s="33">
        <v>11707025.970744878</v>
      </c>
      <c r="G155" s="33">
        <v>4827963.6345013827</v>
      </c>
      <c r="H155" s="33">
        <v>4128408.5853851438</v>
      </c>
      <c r="I155" s="33">
        <v>-3992336.5631009489</v>
      </c>
    </row>
    <row r="156" spans="2:9">
      <c r="B156" s="33">
        <v>148</v>
      </c>
      <c r="C156" s="33">
        <v>14549659.340802714</v>
      </c>
      <c r="D156" s="33">
        <v>11700736.746918038</v>
      </c>
      <c r="E156" s="33">
        <v>8041618.3272320628</v>
      </c>
      <c r="F156" s="33">
        <v>14895097.193796352</v>
      </c>
      <c r="G156" s="33">
        <v>4038954.5601682663</v>
      </c>
      <c r="H156" s="33">
        <v>1252370.5263705552</v>
      </c>
      <c r="I156" s="33">
        <v>14306427.167201683</v>
      </c>
    </row>
    <row r="157" spans="2:9">
      <c r="B157" s="33">
        <v>149</v>
      </c>
      <c r="C157" s="33">
        <v>11398450.111196473</v>
      </c>
      <c r="D157" s="33">
        <v>9022925.4930309057</v>
      </c>
      <c r="E157" s="33">
        <v>10241199.604080647</v>
      </c>
      <c r="F157" s="33">
        <v>12138903.188483462</v>
      </c>
      <c r="G157" s="33">
        <v>-3235967.7157247365</v>
      </c>
      <c r="H157" s="33">
        <v>4146548.136510089</v>
      </c>
      <c r="I157" s="33">
        <v>-801613.66338889301</v>
      </c>
    </row>
    <row r="158" spans="2:9">
      <c r="B158" s="33">
        <v>150</v>
      </c>
      <c r="C158" s="33">
        <v>15468198.189043745</v>
      </c>
      <c r="D158" s="33">
        <v>15601496.465213493</v>
      </c>
      <c r="E158" s="33">
        <v>8811678.5566696823</v>
      </c>
      <c r="F158" s="33">
        <v>10383546.216420949</v>
      </c>
      <c r="G158" s="33">
        <v>9072627.7673091292</v>
      </c>
      <c r="H158" s="33">
        <v>-8017271.1677747518</v>
      </c>
      <c r="I158" s="33">
        <v>-5389591.4572274983</v>
      </c>
    </row>
    <row r="159" spans="2:9">
      <c r="B159" s="33">
        <v>151</v>
      </c>
      <c r="C159" s="33">
        <v>16232172.036984131</v>
      </c>
      <c r="D159" s="33">
        <v>13288686.604730248</v>
      </c>
      <c r="E159" s="33">
        <v>16737183.671294853</v>
      </c>
      <c r="F159" s="33">
        <v>9704538.8518752307</v>
      </c>
      <c r="G159" s="33">
        <v>5664199.2053595185</v>
      </c>
      <c r="H159" s="33">
        <v>1853399.9704118967</v>
      </c>
      <c r="I159" s="33">
        <v>1493118.9918341339</v>
      </c>
    </row>
    <row r="160" spans="2:9">
      <c r="B160" s="33">
        <v>152</v>
      </c>
      <c r="C160" s="33">
        <v>10629763.317223877</v>
      </c>
      <c r="D160" s="33">
        <v>12985529.80389744</v>
      </c>
      <c r="E160" s="33">
        <v>7799354.1507630497</v>
      </c>
      <c r="F160" s="33">
        <v>8835255.5736641586</v>
      </c>
      <c r="G160" s="33">
        <v>9625699.582688421</v>
      </c>
      <c r="H160" s="33">
        <v>8374130.2632074952</v>
      </c>
      <c r="I160" s="33">
        <v>-2454470.2504752576</v>
      </c>
    </row>
    <row r="161" spans="2:9">
      <c r="B161" s="33">
        <v>153</v>
      </c>
      <c r="C161" s="33">
        <v>3682485.4969423562</v>
      </c>
      <c r="D161" s="33">
        <v>-988373.44845837355</v>
      </c>
      <c r="E161" s="33">
        <v>7929487.4295864552</v>
      </c>
      <c r="F161" s="33">
        <v>4495622.1534323245</v>
      </c>
      <c r="G161" s="33">
        <v>-2940774.2210652381</v>
      </c>
      <c r="H161" s="33">
        <v>-2634761.6785511523</v>
      </c>
      <c r="I161" s="33">
        <v>10831517.374835595</v>
      </c>
    </row>
    <row r="162" spans="2:9">
      <c r="B162" s="33">
        <v>154</v>
      </c>
      <c r="C162" s="33">
        <v>14893601.277864501</v>
      </c>
      <c r="D162" s="33">
        <v>4808973.6418075264</v>
      </c>
      <c r="E162" s="33">
        <v>6021853.3200578094</v>
      </c>
      <c r="F162" s="33">
        <v>3885943.0053448528</v>
      </c>
      <c r="G162" s="33">
        <v>-575619.09355406463</v>
      </c>
      <c r="H162" s="33">
        <v>-2984236.270338282</v>
      </c>
      <c r="I162" s="33">
        <v>-5760836.0181841999</v>
      </c>
    </row>
    <row r="163" spans="2:9">
      <c r="B163" s="33">
        <v>155</v>
      </c>
      <c r="C163" s="33">
        <v>16989419.0074469</v>
      </c>
      <c r="D163" s="33">
        <v>16908046.067461029</v>
      </c>
      <c r="E163" s="33">
        <v>12790613.869008958</v>
      </c>
      <c r="F163" s="33">
        <v>4043638.7809208632</v>
      </c>
      <c r="G163" s="33">
        <v>4205708.0955924839</v>
      </c>
      <c r="H163" s="33">
        <v>14654495.298275158</v>
      </c>
      <c r="I163" s="33">
        <v>8126142.2646423876</v>
      </c>
    </row>
    <row r="164" spans="2:9">
      <c r="B164" s="33">
        <v>156</v>
      </c>
      <c r="C164" s="33">
        <v>18729097.164715603</v>
      </c>
      <c r="D164" s="33">
        <v>2481927.7587979585</v>
      </c>
      <c r="E164" s="33">
        <v>14857132.88370806</v>
      </c>
      <c r="F164" s="33">
        <v>15277472.260012001</v>
      </c>
      <c r="G164" s="33">
        <v>8415466.0125812292</v>
      </c>
      <c r="H164" s="33">
        <v>4026321.9749284983</v>
      </c>
      <c r="I164" s="33">
        <v>-9443518.8692282885</v>
      </c>
    </row>
    <row r="165" spans="2:9">
      <c r="B165" s="33">
        <v>157</v>
      </c>
      <c r="C165" s="33">
        <v>13555744.640980691</v>
      </c>
      <c r="D165" s="33">
        <v>18630917.017404482</v>
      </c>
      <c r="E165" s="33">
        <v>7138177.1124997586</v>
      </c>
      <c r="F165" s="33">
        <v>2884614.7428707182</v>
      </c>
      <c r="G165" s="33">
        <v>13817110.005897239</v>
      </c>
      <c r="H165" s="33">
        <v>4576292.4908738136</v>
      </c>
      <c r="I165" s="33">
        <v>-746363.46870172024</v>
      </c>
    </row>
    <row r="166" spans="2:9">
      <c r="B166" s="33">
        <v>158</v>
      </c>
      <c r="C166" s="33">
        <v>10649451.405071646</v>
      </c>
      <c r="D166" s="33">
        <v>9596157.0508401841</v>
      </c>
      <c r="E166" s="33">
        <v>9761099.0656862706</v>
      </c>
      <c r="F166" s="33">
        <v>8858882.8256836832</v>
      </c>
      <c r="G166" s="33">
        <v>2492046.3163664192</v>
      </c>
      <c r="H166" s="33">
        <v>-2747655.5264555067</v>
      </c>
      <c r="I166" s="33">
        <v>3662939.6787222773</v>
      </c>
    </row>
    <row r="167" spans="2:9">
      <c r="B167" s="33">
        <v>159</v>
      </c>
      <c r="C167" s="33">
        <v>15470158.730936736</v>
      </c>
      <c r="D167" s="33">
        <v>15128668.431389377</v>
      </c>
      <c r="E167" s="33">
        <v>6302183.0447984338</v>
      </c>
      <c r="F167" s="33">
        <v>374740.96594280005</v>
      </c>
      <c r="G167" s="33">
        <v>5331857.828015238</v>
      </c>
      <c r="H167" s="33">
        <v>-1896145.2515168488</v>
      </c>
      <c r="I167" s="33">
        <v>8294163.6165655553</v>
      </c>
    </row>
    <row r="168" spans="2:9">
      <c r="B168" s="33">
        <v>160</v>
      </c>
      <c r="C168" s="33">
        <v>11872433.666281894</v>
      </c>
      <c r="D168" s="33">
        <v>14581575.302919775</v>
      </c>
      <c r="E168" s="33">
        <v>16686472.51326783</v>
      </c>
      <c r="F168" s="33">
        <v>10772148.857504323</v>
      </c>
      <c r="G168" s="33">
        <v>6131172.8270308524</v>
      </c>
      <c r="H168" s="33">
        <v>4459367.9444683194</v>
      </c>
      <c r="I168" s="33">
        <v>13107350.403439075</v>
      </c>
    </row>
    <row r="169" spans="2:9">
      <c r="B169" s="33">
        <v>161</v>
      </c>
      <c r="C169" s="33">
        <v>14013819.908182159</v>
      </c>
      <c r="D169" s="33">
        <v>11422251.152456582</v>
      </c>
      <c r="E169" s="33">
        <v>16074436.515580997</v>
      </c>
      <c r="F169" s="33">
        <v>1491439.1126749665</v>
      </c>
      <c r="G169" s="33">
        <v>10814915.051506549</v>
      </c>
      <c r="H169" s="33">
        <v>7497173.3459327221</v>
      </c>
      <c r="I169" s="33">
        <v>-1126804.192516312</v>
      </c>
    </row>
    <row r="170" spans="2:9">
      <c r="B170" s="33">
        <v>162</v>
      </c>
      <c r="C170" s="33">
        <v>10377716.55823046</v>
      </c>
      <c r="D170" s="33">
        <v>16711866.945912033</v>
      </c>
      <c r="E170" s="33">
        <v>7430855.5135290325</v>
      </c>
      <c r="F170" s="33">
        <v>13367312.609857902</v>
      </c>
      <c r="G170" s="33">
        <v>5578677.66022183</v>
      </c>
      <c r="H170" s="33">
        <v>4930338.6964178979</v>
      </c>
      <c r="I170" s="33">
        <v>-7657973.6373969316</v>
      </c>
    </row>
    <row r="171" spans="2:9">
      <c r="B171" s="33">
        <v>163</v>
      </c>
      <c r="C171" s="33">
        <v>13962818.717235297</v>
      </c>
      <c r="D171" s="33">
        <v>12128831.605706796</v>
      </c>
      <c r="E171" s="33">
        <v>12878966.728832975</v>
      </c>
      <c r="F171" s="33">
        <v>10329524.812423363</v>
      </c>
      <c r="G171" s="33">
        <v>9508485.0975358635</v>
      </c>
      <c r="H171" s="33">
        <v>1493174.5932076722</v>
      </c>
      <c r="I171" s="33">
        <v>14389398.345689461</v>
      </c>
    </row>
    <row r="172" spans="2:9">
      <c r="B172" s="33">
        <v>164</v>
      </c>
      <c r="C172" s="33">
        <v>25233864.224537879</v>
      </c>
      <c r="D172" s="33">
        <v>12290308.825735822</v>
      </c>
      <c r="E172" s="33">
        <v>4461018.6296531111</v>
      </c>
      <c r="F172" s="33">
        <v>15998027.645313784</v>
      </c>
      <c r="G172" s="33">
        <v>4028508.7441407442</v>
      </c>
      <c r="H172" s="33">
        <v>3707297.6685859263</v>
      </c>
      <c r="I172" s="33">
        <v>4338517.7660535872</v>
      </c>
    </row>
    <row r="173" spans="2:9">
      <c r="B173" s="33">
        <v>165</v>
      </c>
      <c r="C173" s="33">
        <v>5498959.20157893</v>
      </c>
      <c r="D173" s="33">
        <v>12946457.354514673</v>
      </c>
      <c r="E173" s="33">
        <v>6645840.8495193422</v>
      </c>
      <c r="F173" s="33">
        <v>4254381.0018745214</v>
      </c>
      <c r="G173" s="33">
        <v>4628908.9994258881</v>
      </c>
      <c r="H173" s="33">
        <v>4254920.346233055</v>
      </c>
      <c r="I173" s="33">
        <v>-5439040.1647313535</v>
      </c>
    </row>
    <row r="174" spans="2:9">
      <c r="B174" s="33">
        <v>166</v>
      </c>
      <c r="C174" s="33">
        <v>848099.46581675112</v>
      </c>
      <c r="D174" s="33">
        <v>21112798.010605216</v>
      </c>
      <c r="E174" s="33">
        <v>8953538.7506183386</v>
      </c>
      <c r="F174" s="33">
        <v>6147696.3925011158</v>
      </c>
      <c r="G174" s="33">
        <v>11796261.414870918</v>
      </c>
      <c r="H174" s="33">
        <v>5958558.3678092808</v>
      </c>
      <c r="I174" s="33">
        <v>7821439.2766045928</v>
      </c>
    </row>
    <row r="175" spans="2:9">
      <c r="B175" s="33">
        <v>167</v>
      </c>
      <c r="C175" s="33">
        <v>19199927.181120917</v>
      </c>
      <c r="D175" s="33">
        <v>12915112.738479614</v>
      </c>
      <c r="E175" s="33">
        <v>7498655.4071430862</v>
      </c>
      <c r="F175" s="33">
        <v>4044864.2093865871</v>
      </c>
      <c r="G175" s="33">
        <v>4166438.057004407</v>
      </c>
      <c r="H175" s="33">
        <v>12602005.932464421</v>
      </c>
      <c r="I175" s="33">
        <v>2137481.6474002898</v>
      </c>
    </row>
    <row r="176" spans="2:9">
      <c r="B176" s="33">
        <v>168</v>
      </c>
      <c r="C176" s="33">
        <v>16118277.140595213</v>
      </c>
      <c r="D176" s="33">
        <v>5170300.3093200177</v>
      </c>
      <c r="E176" s="33">
        <v>10261413.99526155</v>
      </c>
      <c r="F176" s="33">
        <v>7733288.290093109</v>
      </c>
      <c r="G176" s="33">
        <v>8079956.4120478779</v>
      </c>
      <c r="H176" s="33">
        <v>6151078.8555395156</v>
      </c>
      <c r="I176" s="33">
        <v>2919734.6625791043</v>
      </c>
    </row>
    <row r="177" spans="2:9">
      <c r="B177" s="33">
        <v>169</v>
      </c>
      <c r="C177" s="33">
        <v>2938074.97915636</v>
      </c>
      <c r="D177" s="33">
        <v>22097925.839867935</v>
      </c>
      <c r="E177" s="33">
        <v>3747771.6774878502</v>
      </c>
      <c r="F177" s="33">
        <v>9578022.8070189208</v>
      </c>
      <c r="G177" s="33">
        <v>17810341.444030896</v>
      </c>
      <c r="H177" s="33">
        <v>8403014.3014327139</v>
      </c>
      <c r="I177" s="33">
        <v>-10548325.207905948</v>
      </c>
    </row>
    <row r="178" spans="2:9">
      <c r="B178" s="33">
        <v>170</v>
      </c>
      <c r="C178" s="33">
        <v>10095684.938664198</v>
      </c>
      <c r="D178" s="33">
        <v>15936017.200038955</v>
      </c>
      <c r="E178" s="33">
        <v>14603361.866007209</v>
      </c>
      <c r="F178" s="33">
        <v>13433733.004270464</v>
      </c>
      <c r="G178" s="33">
        <v>4753501.7865393311</v>
      </c>
      <c r="H178" s="33">
        <v>4815110.1950469911</v>
      </c>
      <c r="I178" s="33">
        <v>-1725408.8886154145</v>
      </c>
    </row>
    <row r="179" spans="2:9">
      <c r="B179" s="33">
        <v>171</v>
      </c>
      <c r="C179" s="33">
        <v>21818873.971273839</v>
      </c>
      <c r="D179" s="33">
        <v>11057709.796904698</v>
      </c>
      <c r="E179" s="33">
        <v>15737519.929684117</v>
      </c>
      <c r="F179" s="33">
        <v>4247325.654516831</v>
      </c>
      <c r="G179" s="33">
        <v>10984429.03755939</v>
      </c>
      <c r="H179" s="33">
        <v>10731877.465458438</v>
      </c>
      <c r="I179" s="33">
        <v>-17871385.193744525</v>
      </c>
    </row>
    <row r="180" spans="2:9">
      <c r="B180" s="33">
        <v>172</v>
      </c>
      <c r="C180" s="33">
        <v>13837113.257874995</v>
      </c>
      <c r="D180" s="33">
        <v>16046454.010517597</v>
      </c>
      <c r="E180" s="33">
        <v>6104039.4475125968</v>
      </c>
      <c r="F180" s="33">
        <v>11375188.223781437</v>
      </c>
      <c r="G180" s="33">
        <v>6591629.0864203572</v>
      </c>
      <c r="H180" s="33">
        <v>374440.39069856703</v>
      </c>
      <c r="I180" s="33">
        <v>4290448.1403987855</v>
      </c>
    </row>
    <row r="181" spans="2:9">
      <c r="B181" s="33">
        <v>173</v>
      </c>
      <c r="C181" s="33">
        <v>1996728.0549533963</v>
      </c>
      <c r="D181" s="33">
        <v>8341705.1130986512</v>
      </c>
      <c r="E181" s="33">
        <v>2083031.8012367934</v>
      </c>
      <c r="F181" s="33">
        <v>8570944.7402516007</v>
      </c>
      <c r="G181" s="33">
        <v>8118472.0354043096</v>
      </c>
      <c r="H181" s="33">
        <v>1396654.4513596892</v>
      </c>
      <c r="I181" s="33">
        <v>2312083.1260521859</v>
      </c>
    </row>
    <row r="182" spans="2:9">
      <c r="B182" s="33">
        <v>174</v>
      </c>
      <c r="C182" s="33">
        <v>16773491.779708475</v>
      </c>
      <c r="D182" s="33">
        <v>16233689.167723656</v>
      </c>
      <c r="E182" s="33">
        <v>6763876.752154097</v>
      </c>
      <c r="F182" s="33">
        <v>4534476.7853014767</v>
      </c>
      <c r="G182" s="33">
        <v>-12197761.059050471</v>
      </c>
      <c r="H182" s="33">
        <v>12794092.729938969</v>
      </c>
      <c r="I182" s="33">
        <v>-3013846.259610191</v>
      </c>
    </row>
    <row r="183" spans="2:9">
      <c r="B183" s="33">
        <v>175</v>
      </c>
      <c r="C183" s="33">
        <v>14393374.888332292</v>
      </c>
      <c r="D183" s="33">
        <v>6653626.2736976892</v>
      </c>
      <c r="E183" s="33">
        <v>15034921.271743804</v>
      </c>
      <c r="F183" s="33">
        <v>4979019.8588546067</v>
      </c>
      <c r="G183" s="33">
        <v>-2766724.8007768393</v>
      </c>
      <c r="H183" s="33">
        <v>10804899.990165904</v>
      </c>
      <c r="I183" s="33">
        <v>-9620660.3354350775</v>
      </c>
    </row>
    <row r="184" spans="2:9">
      <c r="B184" s="33">
        <v>176</v>
      </c>
      <c r="C184" s="33">
        <v>25919317.321346715</v>
      </c>
      <c r="D184" s="33">
        <v>12616890.939012021</v>
      </c>
      <c r="E184" s="33">
        <v>9122991.938290894</v>
      </c>
      <c r="F184" s="33">
        <v>5537207.0141135454</v>
      </c>
      <c r="G184" s="33">
        <v>10579754.782766894</v>
      </c>
      <c r="H184" s="33">
        <v>-6232673.1520172507</v>
      </c>
      <c r="I184" s="33">
        <v>-4232503.9190362245</v>
      </c>
    </row>
    <row r="185" spans="2:9">
      <c r="B185" s="33">
        <v>177</v>
      </c>
      <c r="C185" s="33">
        <v>8125437.6653648913</v>
      </c>
      <c r="D185" s="33">
        <v>10438978.3914987</v>
      </c>
      <c r="E185" s="33">
        <v>5425130.3895022273</v>
      </c>
      <c r="F185" s="33">
        <v>4293978.7619014382</v>
      </c>
      <c r="G185" s="33">
        <v>12707482.602560312</v>
      </c>
      <c r="H185" s="33">
        <v>-3488002.7966699302</v>
      </c>
      <c r="I185" s="33">
        <v>552359.33745351434</v>
      </c>
    </row>
    <row r="186" spans="2:9">
      <c r="B186" s="33">
        <v>178</v>
      </c>
      <c r="C186" s="33">
        <v>20025207.438109308</v>
      </c>
      <c r="D186" s="33">
        <v>13590208.582389385</v>
      </c>
      <c r="E186" s="33">
        <v>14843247.579204738</v>
      </c>
      <c r="F186" s="33">
        <v>3108710.0778995752</v>
      </c>
      <c r="G186" s="33">
        <v>3471625.4664118588</v>
      </c>
      <c r="H186" s="33">
        <v>-4472516.2812898308</v>
      </c>
      <c r="I186" s="33">
        <v>-2134423.6743715256</v>
      </c>
    </row>
    <row r="187" spans="2:9">
      <c r="B187" s="33">
        <v>179</v>
      </c>
      <c r="C187" s="33">
        <v>-5050194.6869009882</v>
      </c>
      <c r="D187" s="33">
        <v>13473162.247512594</v>
      </c>
      <c r="E187" s="33">
        <v>7324660.6201966256</v>
      </c>
      <c r="F187" s="33">
        <v>19496975.248047873</v>
      </c>
      <c r="G187" s="33">
        <v>5708225.3425580263</v>
      </c>
      <c r="H187" s="33">
        <v>9584887.3897944391</v>
      </c>
      <c r="I187" s="33">
        <v>609239.22653725743</v>
      </c>
    </row>
    <row r="188" spans="2:9">
      <c r="B188" s="33">
        <v>180</v>
      </c>
      <c r="C188" s="33">
        <v>18138610.954385102</v>
      </c>
      <c r="D188" s="33">
        <v>10155909.752098963</v>
      </c>
      <c r="E188" s="33">
        <v>10808779.29498814</v>
      </c>
      <c r="F188" s="33">
        <v>3412311.1609488577</v>
      </c>
      <c r="G188" s="33">
        <v>-3878100.8754094094</v>
      </c>
      <c r="H188" s="33">
        <v>3101318.5026596934</v>
      </c>
      <c r="I188" s="33">
        <v>884924.80898191035</v>
      </c>
    </row>
    <row r="189" spans="2:9">
      <c r="B189" s="33">
        <v>181</v>
      </c>
      <c r="C189" s="33">
        <v>21256310.013164207</v>
      </c>
      <c r="D189" s="33">
        <v>11407693.020048559</v>
      </c>
      <c r="E189" s="33">
        <v>11686695.189319208</v>
      </c>
      <c r="F189" s="33">
        <v>11446892.316948846</v>
      </c>
      <c r="G189" s="33">
        <v>-10462397.123671427</v>
      </c>
      <c r="H189" s="33">
        <v>-204802.19279570878</v>
      </c>
      <c r="I189" s="33">
        <v>-3065671.2649987489</v>
      </c>
    </row>
    <row r="190" spans="2:9">
      <c r="B190" s="33">
        <v>182</v>
      </c>
      <c r="C190" s="33">
        <v>16815837.564854383</v>
      </c>
      <c r="D190" s="33">
        <v>15250851.722568065</v>
      </c>
      <c r="E190" s="33">
        <v>11177660.589104503</v>
      </c>
      <c r="F190" s="33">
        <v>8512085.8436501324</v>
      </c>
      <c r="G190" s="33">
        <v>8737191.4037558436</v>
      </c>
      <c r="H190" s="33">
        <v>1603080.6448464841</v>
      </c>
      <c r="I190" s="33">
        <v>-4213354.2922453731</v>
      </c>
    </row>
    <row r="191" spans="2:9">
      <c r="B191" s="33">
        <v>183</v>
      </c>
      <c r="C191" s="33">
        <v>10098974.787889317</v>
      </c>
      <c r="D191" s="33">
        <v>19448596.771441892</v>
      </c>
      <c r="E191" s="33">
        <v>6323807.27119115</v>
      </c>
      <c r="F191" s="33">
        <v>13531799.426854223</v>
      </c>
      <c r="G191" s="33">
        <v>4273452.3185480535</v>
      </c>
      <c r="H191" s="33">
        <v>-468316.8912858963</v>
      </c>
      <c r="I191" s="33">
        <v>4355481.4009580463</v>
      </c>
    </row>
    <row r="192" spans="2:9">
      <c r="B192" s="33">
        <v>184</v>
      </c>
      <c r="C192" s="33">
        <v>17872778.065819368</v>
      </c>
      <c r="D192" s="33">
        <v>23122898.153736502</v>
      </c>
      <c r="E192" s="33">
        <v>5031030.935310632</v>
      </c>
      <c r="F192" s="33">
        <v>-3842524.9656095058</v>
      </c>
      <c r="G192" s="33">
        <v>11528116.112769723</v>
      </c>
      <c r="H192" s="33">
        <v>3587112.4954116344</v>
      </c>
      <c r="I192" s="33">
        <v>-10721658.753195435</v>
      </c>
    </row>
    <row r="193" spans="2:9">
      <c r="B193" s="33">
        <v>185</v>
      </c>
      <c r="C193" s="33">
        <v>7422675.8375812173</v>
      </c>
      <c r="D193" s="33">
        <v>7923144.9855707288</v>
      </c>
      <c r="E193" s="33">
        <v>21990260.820262328</v>
      </c>
      <c r="F193" s="33">
        <v>6193421.7917869687</v>
      </c>
      <c r="G193" s="33">
        <v>649619.89680626988</v>
      </c>
      <c r="H193" s="33">
        <v>2917751.6538297534</v>
      </c>
      <c r="I193" s="33">
        <v>-6971870.6618372649</v>
      </c>
    </row>
    <row r="194" spans="2:9">
      <c r="B194" s="33">
        <v>186</v>
      </c>
      <c r="C194" s="33">
        <v>6523409.7255679965</v>
      </c>
      <c r="D194" s="33">
        <v>9449275.2734195739</v>
      </c>
      <c r="E194" s="33">
        <v>10379598.186197072</v>
      </c>
      <c r="F194" s="33">
        <v>7157075.2594132423</v>
      </c>
      <c r="G194" s="33">
        <v>14663042.803670287</v>
      </c>
      <c r="H194" s="33">
        <v>4615434.4623749703</v>
      </c>
      <c r="I194" s="33">
        <v>7702934.4276351184</v>
      </c>
    </row>
    <row r="195" spans="2:9">
      <c r="B195" s="33">
        <v>187</v>
      </c>
      <c r="C195" s="33">
        <v>13180549.208073899</v>
      </c>
      <c r="D195" s="33">
        <v>2010620.4118366688</v>
      </c>
      <c r="E195" s="33">
        <v>8912600.9906872064</v>
      </c>
      <c r="F195" s="33">
        <v>5174169.2677245736</v>
      </c>
      <c r="G195" s="33">
        <v>3440984.2400797457</v>
      </c>
      <c r="H195" s="33">
        <v>6611948.4424278736</v>
      </c>
      <c r="I195" s="33">
        <v>5809708.5080949962</v>
      </c>
    </row>
    <row r="196" spans="2:9">
      <c r="B196" s="33">
        <v>188</v>
      </c>
      <c r="C196" s="33">
        <v>13871028.796165094</v>
      </c>
      <c r="D196" s="33">
        <v>23957085.390211761</v>
      </c>
      <c r="E196" s="33">
        <v>9493760.1609592587</v>
      </c>
      <c r="F196" s="33">
        <v>13056877.369738355</v>
      </c>
      <c r="G196" s="33">
        <v>1817262.8441220522</v>
      </c>
      <c r="H196" s="33">
        <v>3878016.3326663673</v>
      </c>
      <c r="I196" s="33">
        <v>523895.07382135093</v>
      </c>
    </row>
    <row r="197" spans="2:9">
      <c r="B197" s="33">
        <v>189</v>
      </c>
      <c r="C197" s="33">
        <v>16700026.521740258</v>
      </c>
      <c r="D197" s="33">
        <v>27837730.944573984</v>
      </c>
      <c r="E197" s="33">
        <v>17558448.85513933</v>
      </c>
      <c r="F197" s="33">
        <v>15602733.361196607</v>
      </c>
      <c r="G197" s="33">
        <v>1420761.6333418041</v>
      </c>
      <c r="H197" s="33">
        <v>-8044093.9886681437</v>
      </c>
      <c r="I197" s="33">
        <v>4902666.9024306834</v>
      </c>
    </row>
    <row r="198" spans="2:9">
      <c r="B198" s="33">
        <v>190</v>
      </c>
      <c r="C198" s="33">
        <v>16728444.304753825</v>
      </c>
      <c r="D198" s="33">
        <v>20315985.914161503</v>
      </c>
      <c r="E198" s="33">
        <v>185600.69655306637</v>
      </c>
      <c r="F198" s="33">
        <v>8595123.5352459103</v>
      </c>
      <c r="G198" s="33">
        <v>19396994.167276368</v>
      </c>
      <c r="H198" s="33">
        <v>11099645.535613731</v>
      </c>
      <c r="I198" s="33">
        <v>2363858.9420733005</v>
      </c>
    </row>
    <row r="199" spans="2:9">
      <c r="B199" s="33">
        <v>191</v>
      </c>
      <c r="C199" s="33">
        <v>17385602.382974505</v>
      </c>
      <c r="D199" s="33">
        <v>16413513.833567023</v>
      </c>
      <c r="E199" s="33">
        <v>13502426.848435417</v>
      </c>
      <c r="F199" s="33">
        <v>-3089213.2739158422</v>
      </c>
      <c r="G199" s="33">
        <v>8221370.1224209219</v>
      </c>
      <c r="H199" s="33">
        <v>4223936.859407112</v>
      </c>
      <c r="I199" s="33">
        <v>8091283.4392198622</v>
      </c>
    </row>
    <row r="200" spans="2:9">
      <c r="B200" s="33">
        <v>192</v>
      </c>
      <c r="C200" s="33">
        <v>24341054.105076283</v>
      </c>
      <c r="D200" s="33">
        <v>20287481.054707393</v>
      </c>
      <c r="E200" s="33">
        <v>11113820.339226022</v>
      </c>
      <c r="F200" s="33">
        <v>4574101.3679786175</v>
      </c>
      <c r="G200" s="33">
        <v>-5912019.6678356826</v>
      </c>
      <c r="H200" s="33">
        <v>1793201.8513367623</v>
      </c>
      <c r="I200" s="33">
        <v>1511758.6523480415</v>
      </c>
    </row>
    <row r="201" spans="2:9">
      <c r="B201" s="33">
        <v>193</v>
      </c>
      <c r="C201" s="33">
        <v>25128678.500999868</v>
      </c>
      <c r="D201" s="33">
        <v>20916645.71645017</v>
      </c>
      <c r="E201" s="33">
        <v>16265554.186355501</v>
      </c>
      <c r="F201" s="33">
        <v>6179897.77616328</v>
      </c>
      <c r="G201" s="33">
        <v>7654443.1879960895</v>
      </c>
      <c r="H201" s="33">
        <v>11215020.789216533</v>
      </c>
      <c r="I201" s="33">
        <v>891287.55203458667</v>
      </c>
    </row>
    <row r="202" spans="2:9">
      <c r="B202" s="33">
        <v>194</v>
      </c>
      <c r="C202" s="33">
        <v>10650543.651292324</v>
      </c>
      <c r="D202" s="33">
        <v>14510584.466351017</v>
      </c>
      <c r="E202" s="33">
        <v>6132887.627539292</v>
      </c>
      <c r="F202" s="33">
        <v>5671927.891868636</v>
      </c>
      <c r="G202" s="33">
        <v>1811694.7614709288</v>
      </c>
      <c r="H202" s="33">
        <v>894240.31231145561</v>
      </c>
      <c r="I202" s="33">
        <v>1866398.2152538151</v>
      </c>
    </row>
    <row r="203" spans="2:9">
      <c r="B203" s="33">
        <v>195</v>
      </c>
      <c r="C203" s="33">
        <v>16026818.81158635</v>
      </c>
      <c r="D203" s="33">
        <v>11007469.944336787</v>
      </c>
      <c r="E203" s="33">
        <v>10155934.296373665</v>
      </c>
      <c r="F203" s="33">
        <v>4015401.7016083449</v>
      </c>
      <c r="G203" s="33">
        <v>2865653.619691506</v>
      </c>
      <c r="H203" s="33">
        <v>5103491.6095810682</v>
      </c>
      <c r="I203" s="33">
        <v>5609687.0051929653</v>
      </c>
    </row>
    <row r="204" spans="2:9">
      <c r="B204" s="33">
        <v>196</v>
      </c>
      <c r="C204" s="33">
        <v>19025294.843114048</v>
      </c>
      <c r="D204" s="33">
        <v>755449.20938405395</v>
      </c>
      <c r="E204" s="33">
        <v>10260985.849581167</v>
      </c>
      <c r="F204" s="33">
        <v>9913487.758270219</v>
      </c>
      <c r="G204" s="33">
        <v>-3448600.1643487811</v>
      </c>
      <c r="H204" s="33">
        <v>2117829.9955320358</v>
      </c>
      <c r="I204" s="33">
        <v>2162332.1952833384</v>
      </c>
    </row>
    <row r="205" spans="2:9">
      <c r="B205" s="33">
        <v>197</v>
      </c>
      <c r="C205" s="33">
        <v>10784727.331648946</v>
      </c>
      <c r="D205" s="33">
        <v>8918429.6309673935</v>
      </c>
      <c r="E205" s="33">
        <v>12848390.182141021</v>
      </c>
      <c r="F205" s="33">
        <v>15075553.78662084</v>
      </c>
      <c r="G205" s="33">
        <v>6208587.8174474835</v>
      </c>
      <c r="H205" s="33">
        <v>9185064.9491988271</v>
      </c>
      <c r="I205" s="33">
        <v>-6773704.0332193226</v>
      </c>
    </row>
    <row r="206" spans="2:9">
      <c r="B206" s="33">
        <v>198</v>
      </c>
      <c r="C206" s="33">
        <v>20990365.44336848</v>
      </c>
      <c r="D206" s="33">
        <v>13012672.681931511</v>
      </c>
      <c r="E206" s="33">
        <v>11753982.975214034</v>
      </c>
      <c r="F206" s="33">
        <v>6664490.0596089214</v>
      </c>
      <c r="G206" s="33">
        <v>4992871.9300669134</v>
      </c>
      <c r="H206" s="33">
        <v>14884573.640286997</v>
      </c>
      <c r="I206" s="33">
        <v>4119436.6936739683</v>
      </c>
    </row>
    <row r="207" spans="2:9">
      <c r="B207" s="33">
        <v>199</v>
      </c>
      <c r="C207" s="33">
        <v>19341727.612765491</v>
      </c>
      <c r="D207" s="33">
        <v>2453474.5461456627</v>
      </c>
      <c r="E207" s="33">
        <v>6893832.2403014153</v>
      </c>
      <c r="F207" s="33">
        <v>14697017.986625418</v>
      </c>
      <c r="G207" s="33">
        <v>3814557.6170818806</v>
      </c>
      <c r="H207" s="33">
        <v>-775798.04669211805</v>
      </c>
      <c r="I207" s="33">
        <v>-5948366.7460704893</v>
      </c>
    </row>
    <row r="208" spans="2:9">
      <c r="B208" s="33">
        <v>200</v>
      </c>
      <c r="C208" s="33">
        <v>6991685.0873920172</v>
      </c>
      <c r="D208" s="33">
        <v>4683821.2221293151</v>
      </c>
      <c r="E208" s="33">
        <v>8041253.3792603761</v>
      </c>
      <c r="F208" s="33">
        <v>13554771.24195832</v>
      </c>
      <c r="G208" s="33">
        <v>17415304.278432131</v>
      </c>
      <c r="H208" s="33">
        <v>542532.88137237728</v>
      </c>
      <c r="I208" s="33">
        <v>5636697.9015298039</v>
      </c>
    </row>
  </sheetData>
  <mergeCells count="1">
    <mergeCell ref="C6:I6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3915B-1731-7C4C-AE31-B696FA605BD7}">
  <sheetPr codeName="Arkusz30">
    <tabColor theme="0" tint="-0.499984740745262"/>
  </sheetPr>
  <dimension ref="A1:I207"/>
  <sheetViews>
    <sheetView workbookViewId="0">
      <selection activeCell="M38" sqref="M38"/>
    </sheetView>
  </sheetViews>
  <sheetFormatPr defaultColWidth="10.77734375" defaultRowHeight="13.2"/>
  <cols>
    <col min="1" max="1" width="10.77734375" style="33"/>
    <col min="2" max="2" width="15.109375" style="33" customWidth="1"/>
    <col min="3" max="3" width="19.33203125" style="33" customWidth="1"/>
    <col min="4" max="4" width="22.109375" style="33" customWidth="1"/>
    <col min="5" max="5" width="18" style="33" customWidth="1"/>
    <col min="6" max="6" width="18.109375" style="33" customWidth="1"/>
    <col min="7" max="7" width="14.109375" style="33" customWidth="1"/>
    <col min="8" max="8" width="16.6640625" style="33" customWidth="1"/>
    <col min="9" max="9" width="15" style="33" customWidth="1"/>
    <col min="10" max="16384" width="10.77734375" style="33"/>
  </cols>
  <sheetData>
    <row r="1" spans="1:9">
      <c r="A1" s="70" t="s">
        <v>124</v>
      </c>
    </row>
    <row r="2" spans="1:9">
      <c r="A2" s="70"/>
    </row>
    <row r="3" spans="1:9">
      <c r="A3" s="70"/>
      <c r="B3" s="70" t="s">
        <v>121</v>
      </c>
      <c r="C3" s="94">
        <f>AVERAGE(C8:C207)</f>
        <v>10845728.580447052</v>
      </c>
      <c r="D3" s="94">
        <f t="shared" ref="D3:I3" si="0">AVERAGE(D8:D207)</f>
        <v>8079364.9312934391</v>
      </c>
      <c r="E3" s="94">
        <f t="shared" si="0"/>
        <v>6146881.5209989138</v>
      </c>
      <c r="F3" s="94">
        <f t="shared" si="0"/>
        <v>3984837.4207949131</v>
      </c>
      <c r="G3" s="94">
        <f t="shared" si="0"/>
        <v>2003816.0172679168</v>
      </c>
      <c r="H3" s="94">
        <f t="shared" si="0"/>
        <v>-578252.36446826172</v>
      </c>
      <c r="I3" s="94">
        <f t="shared" si="0"/>
        <v>-1829872.9311187861</v>
      </c>
    </row>
    <row r="4" spans="1:9">
      <c r="A4" s="70"/>
    </row>
    <row r="5" spans="1:9" ht="15.6">
      <c r="C5" s="205" t="s">
        <v>133</v>
      </c>
      <c r="D5" s="205"/>
      <c r="E5" s="205"/>
      <c r="F5" s="205"/>
      <c r="G5" s="205"/>
      <c r="H5" s="205"/>
      <c r="I5" s="205"/>
    </row>
    <row r="6" spans="1:9">
      <c r="B6" s="72" t="s">
        <v>10</v>
      </c>
      <c r="C6" s="95">
        <v>-0.15</v>
      </c>
      <c r="D6" s="95">
        <v>-0.1</v>
      </c>
      <c r="E6" s="95">
        <v>-0.05</v>
      </c>
      <c r="F6" s="95">
        <v>0</v>
      </c>
      <c r="G6" s="96">
        <v>0.05</v>
      </c>
      <c r="H6" s="95">
        <v>0.1</v>
      </c>
      <c r="I6" s="95">
        <v>0.15</v>
      </c>
    </row>
    <row r="7" spans="1:9">
      <c r="B7" s="98">
        <v>-2229009.3493806869</v>
      </c>
      <c r="C7" s="99">
        <v>36341606.868500002</v>
      </c>
      <c r="D7" s="99">
        <v>38479348.449000001</v>
      </c>
      <c r="E7" s="99">
        <v>40617090.0295</v>
      </c>
      <c r="F7" s="100">
        <v>42754831.609999999</v>
      </c>
      <c r="G7" s="99">
        <v>44892573.190499999</v>
      </c>
      <c r="H7" s="99">
        <v>47030314.771000005</v>
      </c>
      <c r="I7" s="99">
        <v>49168056.351499997</v>
      </c>
    </row>
    <row r="8" spans="1:9">
      <c r="B8" s="33">
        <v>1</v>
      </c>
      <c r="C8" s="33">
        <v>1441535.8579991907</v>
      </c>
      <c r="D8" s="33">
        <v>14930714.180406108</v>
      </c>
      <c r="E8" s="33">
        <v>8018994.1893467009</v>
      </c>
      <c r="F8" s="33">
        <v>-3429359.8546636403</v>
      </c>
      <c r="G8" s="33">
        <v>1781467.6841614991</v>
      </c>
      <c r="H8" s="33">
        <v>-1176570.9691330045</v>
      </c>
      <c r="I8" s="33">
        <v>-3391457.8411523998</v>
      </c>
    </row>
    <row r="9" spans="1:9">
      <c r="B9" s="33">
        <v>2</v>
      </c>
      <c r="C9" s="33">
        <v>1234128.9413668066</v>
      </c>
      <c r="D9" s="33">
        <v>-1547397.5834507346</v>
      </c>
      <c r="E9" s="33">
        <v>-2140351.8079208732</v>
      </c>
      <c r="F9" s="33">
        <v>4081946.6273156703</v>
      </c>
      <c r="G9" s="33">
        <v>-3478622.7822352499</v>
      </c>
      <c r="H9" s="33">
        <v>-6915940.677508533</v>
      </c>
      <c r="I9" s="33">
        <v>-9380227.3104133904</v>
      </c>
    </row>
    <row r="10" spans="1:9">
      <c r="B10" s="33">
        <v>3</v>
      </c>
      <c r="C10" s="33">
        <v>24862395.557195544</v>
      </c>
      <c r="D10" s="33">
        <v>6073643.4266836494</v>
      </c>
      <c r="E10" s="33">
        <v>7663953.0737969279</v>
      </c>
      <c r="F10" s="33">
        <v>6122236.3409458846</v>
      </c>
      <c r="G10" s="33">
        <v>4164379.2698596716</v>
      </c>
      <c r="H10" s="33">
        <v>-4628873.1689803451</v>
      </c>
      <c r="I10" s="33">
        <v>-8128636.0440237522</v>
      </c>
    </row>
    <row r="11" spans="1:9">
      <c r="B11" s="33">
        <v>4</v>
      </c>
      <c r="C11" s="33">
        <v>6568056.9003311992</v>
      </c>
      <c r="D11" s="33">
        <v>405206.92033031583</v>
      </c>
      <c r="E11" s="33">
        <v>-5063445.6988499463</v>
      </c>
      <c r="F11" s="33">
        <v>10543827.162059173</v>
      </c>
      <c r="G11" s="33">
        <v>-3811603.8801266551</v>
      </c>
      <c r="H11" s="33">
        <v>8879590.3111305684</v>
      </c>
      <c r="I11" s="33">
        <v>-4671959.2102192491</v>
      </c>
    </row>
    <row r="12" spans="1:9">
      <c r="B12" s="33">
        <v>5</v>
      </c>
      <c r="C12" s="70">
        <v>2668002.0608106256</v>
      </c>
      <c r="D12" s="70">
        <v>18135564.995703086</v>
      </c>
      <c r="E12" s="33">
        <v>9489962.754835397</v>
      </c>
      <c r="F12" s="33">
        <v>-1735664.7159350216</v>
      </c>
      <c r="G12" s="33">
        <v>-1799794.9093100131</v>
      </c>
      <c r="H12" s="33">
        <v>-4438209.8816580176</v>
      </c>
      <c r="I12" s="33">
        <v>782151.07031710446</v>
      </c>
    </row>
    <row r="13" spans="1:9">
      <c r="B13" s="33">
        <v>6</v>
      </c>
      <c r="C13" s="33">
        <v>4670317.8433326781</v>
      </c>
      <c r="D13" s="33">
        <v>9353772.7854312956</v>
      </c>
      <c r="E13" s="33">
        <v>14883159.19306089</v>
      </c>
      <c r="F13" s="33">
        <v>6388311.209176749</v>
      </c>
      <c r="G13" s="33">
        <v>6671548.0399384797</v>
      </c>
      <c r="H13" s="33">
        <v>-2699592.7077939957</v>
      </c>
      <c r="I13" s="33">
        <v>-6924350.7130753696</v>
      </c>
    </row>
    <row r="14" spans="1:9">
      <c r="B14" s="33">
        <v>7</v>
      </c>
      <c r="C14" s="33">
        <v>9801491.0276768804</v>
      </c>
      <c r="D14" s="33">
        <v>4338535.2046948522</v>
      </c>
      <c r="E14" s="33">
        <v>2103550.6942902505</v>
      </c>
      <c r="F14" s="33">
        <v>6706290.1528854966</v>
      </c>
      <c r="G14" s="33">
        <v>4491561.0456586182</v>
      </c>
      <c r="H14" s="33">
        <v>-2159650.0962703228</v>
      </c>
      <c r="I14" s="33">
        <v>4578243.5187912285</v>
      </c>
    </row>
    <row r="15" spans="1:9">
      <c r="B15" s="33">
        <v>8</v>
      </c>
      <c r="C15" s="33">
        <v>9029408.8929296583</v>
      </c>
      <c r="D15" s="33">
        <v>1465988.2119492441</v>
      </c>
      <c r="E15" s="33">
        <v>5677422.7967374921</v>
      </c>
      <c r="F15" s="33">
        <v>3544303.9271402061</v>
      </c>
      <c r="G15" s="33">
        <v>2992625.1863002628</v>
      </c>
      <c r="H15" s="33">
        <v>-5669335.7412594855</v>
      </c>
      <c r="I15" s="33">
        <v>-3201306.2478646338</v>
      </c>
    </row>
    <row r="16" spans="1:9">
      <c r="B16" s="33">
        <v>9</v>
      </c>
      <c r="C16" s="33">
        <v>17344972.50026536</v>
      </c>
      <c r="D16" s="33">
        <v>12785570.078167245</v>
      </c>
      <c r="E16" s="33">
        <v>4217599.2952598482</v>
      </c>
      <c r="F16" s="33">
        <v>1324970.4793533087</v>
      </c>
      <c r="G16" s="33">
        <v>2164789.6461598575</v>
      </c>
      <c r="H16" s="33">
        <v>7045615.8526842445</v>
      </c>
      <c r="I16" s="33">
        <v>163543.87532618642</v>
      </c>
    </row>
    <row r="17" spans="2:9">
      <c r="B17" s="33">
        <v>10</v>
      </c>
      <c r="C17" s="33">
        <v>8048094.8121216595</v>
      </c>
      <c r="D17" s="33">
        <v>8508220.964944303</v>
      </c>
      <c r="E17" s="33">
        <v>-6652161.2684813887</v>
      </c>
      <c r="F17" s="33">
        <v>3055064.3555681258</v>
      </c>
      <c r="G17" s="33">
        <v>-11677588.503000095</v>
      </c>
      <c r="H17" s="33">
        <v>-2315547.032067284</v>
      </c>
      <c r="I17" s="33">
        <v>4489720.7043293715</v>
      </c>
    </row>
    <row r="18" spans="2:9">
      <c r="B18" s="33">
        <v>11</v>
      </c>
      <c r="C18" s="33">
        <v>14628677.312291712</v>
      </c>
      <c r="D18" s="33">
        <v>10359167.925436676</v>
      </c>
      <c r="E18" s="33">
        <v>636894.68386177719</v>
      </c>
      <c r="F18" s="33">
        <v>4941140.1127183735</v>
      </c>
      <c r="G18" s="33">
        <v>-2358364.2233355492</v>
      </c>
      <c r="H18" s="33">
        <v>-4799711.7261295617</v>
      </c>
      <c r="I18" s="33">
        <v>1426358.4260445386</v>
      </c>
    </row>
    <row r="19" spans="2:9">
      <c r="B19" s="33">
        <v>12</v>
      </c>
      <c r="C19" s="33">
        <v>10835708.134192482</v>
      </c>
      <c r="D19" s="33">
        <v>14813334.869077057</v>
      </c>
      <c r="E19" s="33">
        <v>-439979.15125259757</v>
      </c>
      <c r="F19" s="33">
        <v>2407265.1290062815</v>
      </c>
      <c r="G19" s="33">
        <v>453181.480762586</v>
      </c>
      <c r="H19" s="33">
        <v>-4479289.8922356814</v>
      </c>
      <c r="I19" s="33">
        <v>-2255313.6379566938</v>
      </c>
    </row>
    <row r="20" spans="2:9">
      <c r="B20" s="33">
        <v>13</v>
      </c>
      <c r="C20" s="33">
        <v>2015110.909085229</v>
      </c>
      <c r="D20" s="33">
        <v>16926890.39358297</v>
      </c>
      <c r="E20" s="33">
        <v>8094024.4620181024</v>
      </c>
      <c r="F20" s="33">
        <v>2350289.6383732259</v>
      </c>
      <c r="G20" s="33">
        <v>6405536.0410795063</v>
      </c>
      <c r="H20" s="33">
        <v>-4318590.6865306199</v>
      </c>
      <c r="I20" s="33">
        <v>-5614032.7728201896</v>
      </c>
    </row>
    <row r="21" spans="2:9">
      <c r="B21" s="33">
        <v>14</v>
      </c>
      <c r="C21" s="33">
        <v>18777747.531417489</v>
      </c>
      <c r="D21" s="33">
        <v>13348529.86442551</v>
      </c>
      <c r="E21" s="33">
        <v>557130.80658072233</v>
      </c>
      <c r="F21" s="33">
        <v>690347.91885274649</v>
      </c>
      <c r="G21" s="33">
        <v>7504353.2420592755</v>
      </c>
      <c r="H21" s="33">
        <v>-4165819.1998837888</v>
      </c>
      <c r="I21" s="33">
        <v>1463809.1700628549</v>
      </c>
    </row>
    <row r="22" spans="2:9">
      <c r="B22" s="33">
        <v>15</v>
      </c>
      <c r="C22" s="33">
        <v>11006853.893906415</v>
      </c>
      <c r="D22" s="33">
        <v>11613647.063161567</v>
      </c>
      <c r="E22" s="33">
        <v>2406920.9663005471</v>
      </c>
      <c r="F22" s="33">
        <v>5840923.1160133928</v>
      </c>
      <c r="G22" s="33">
        <v>6049107.1113941371</v>
      </c>
      <c r="H22" s="33">
        <v>-683058.68829408288</v>
      </c>
      <c r="I22" s="33">
        <v>-2212318.8490958959</v>
      </c>
    </row>
    <row r="23" spans="2:9">
      <c r="B23" s="33">
        <v>16</v>
      </c>
      <c r="C23" s="33">
        <v>11700974.009906799</v>
      </c>
      <c r="D23" s="33">
        <v>4239990.0231033862</v>
      </c>
      <c r="E23" s="33">
        <v>13815359.72420609</v>
      </c>
      <c r="F23" s="33">
        <v>1254717.1863138378</v>
      </c>
      <c r="G23" s="33">
        <v>4643920.999015227</v>
      </c>
      <c r="H23" s="33">
        <v>-3091865.2996211648</v>
      </c>
      <c r="I23" s="33">
        <v>2083115.6298485845</v>
      </c>
    </row>
    <row r="24" spans="2:9">
      <c r="B24" s="33">
        <v>17</v>
      </c>
      <c r="C24" s="33">
        <v>13139086.197968259</v>
      </c>
      <c r="D24" s="33">
        <v>403907.87538033724</v>
      </c>
      <c r="E24" s="33">
        <v>1763467.914528966</v>
      </c>
      <c r="F24" s="33">
        <v>7047836.9526345134</v>
      </c>
      <c r="G24" s="33">
        <v>-9362434.4792159796</v>
      </c>
      <c r="H24" s="33">
        <v>4038203.5643951297</v>
      </c>
      <c r="I24" s="33">
        <v>4074344.8319904357</v>
      </c>
    </row>
    <row r="25" spans="2:9">
      <c r="B25" s="33">
        <v>18</v>
      </c>
      <c r="C25" s="33">
        <v>-136605.21570202708</v>
      </c>
      <c r="D25" s="33">
        <v>10950909.382912606</v>
      </c>
      <c r="E25" s="33">
        <v>9394635.455104202</v>
      </c>
      <c r="F25" s="33">
        <v>6013798.3913276047</v>
      </c>
      <c r="G25" s="33">
        <v>-4191286.8774992526</v>
      </c>
      <c r="H25" s="33">
        <v>-10489207.76076135</v>
      </c>
      <c r="I25" s="33">
        <v>1359071.6027544439</v>
      </c>
    </row>
    <row r="26" spans="2:9">
      <c r="B26" s="33">
        <v>19</v>
      </c>
      <c r="C26" s="33">
        <v>17423888.845902756</v>
      </c>
      <c r="D26" s="33">
        <v>19560405.248466998</v>
      </c>
      <c r="E26" s="33">
        <v>11153139.145116121</v>
      </c>
      <c r="F26" s="33">
        <v>9790375.762029469</v>
      </c>
      <c r="G26" s="33">
        <v>2497432.814725861</v>
      </c>
      <c r="H26" s="33">
        <v>-570580.09369470179</v>
      </c>
      <c r="I26" s="33">
        <v>152413.43931630254</v>
      </c>
    </row>
    <row r="27" spans="2:9">
      <c r="B27" s="33">
        <v>20</v>
      </c>
      <c r="C27" s="33">
        <v>15658508.431978494</v>
      </c>
      <c r="D27" s="33">
        <v>4483451.8777938187</v>
      </c>
      <c r="E27" s="33">
        <v>4882167.5528032184</v>
      </c>
      <c r="F27" s="33">
        <v>8334459.3560098708</v>
      </c>
      <c r="G27" s="33">
        <v>8401558.2947922796</v>
      </c>
      <c r="H27" s="33">
        <v>2173042.2986734658</v>
      </c>
      <c r="I27" s="33">
        <v>-3152594.9979728013</v>
      </c>
    </row>
    <row r="28" spans="2:9">
      <c r="B28" s="33">
        <v>21</v>
      </c>
      <c r="C28" s="33">
        <v>2925584.6421400607</v>
      </c>
      <c r="D28" s="33">
        <v>7044054.9140892923</v>
      </c>
      <c r="E28" s="33">
        <v>3982216.6367353201</v>
      </c>
      <c r="F28" s="33">
        <v>328866.56676578522</v>
      </c>
      <c r="G28" s="33">
        <v>10067116.130769938</v>
      </c>
      <c r="H28" s="33">
        <v>-1079722.0957274139</v>
      </c>
      <c r="I28" s="33">
        <v>-2131096.4065165073</v>
      </c>
    </row>
    <row r="29" spans="2:9">
      <c r="B29" s="33">
        <v>22</v>
      </c>
      <c r="C29" s="33">
        <v>3928439.4328923523</v>
      </c>
      <c r="D29" s="33">
        <v>2254719.1409877986</v>
      </c>
      <c r="E29" s="33">
        <v>-430230.89201340079</v>
      </c>
      <c r="F29" s="33">
        <v>1731811.9516021013</v>
      </c>
      <c r="G29" s="33">
        <v>1569814.5037276</v>
      </c>
      <c r="H29" s="33">
        <v>-6028129.5467548668</v>
      </c>
      <c r="I29" s="33">
        <v>3017526.0649411827</v>
      </c>
    </row>
    <row r="30" spans="2:9">
      <c r="B30" s="33">
        <v>23</v>
      </c>
      <c r="C30" s="33">
        <v>4014727.9646904916</v>
      </c>
      <c r="D30" s="33">
        <v>6496881.8413992077</v>
      </c>
      <c r="E30" s="33">
        <v>7690131.5303667188</v>
      </c>
      <c r="F30" s="33">
        <v>1768055.8484999537</v>
      </c>
      <c r="G30" s="33">
        <v>14522026.367523819</v>
      </c>
      <c r="H30" s="33">
        <v>-1965997.101927191</v>
      </c>
      <c r="I30" s="33">
        <v>-2267954.4006601423</v>
      </c>
    </row>
    <row r="31" spans="2:9">
      <c r="B31" s="33">
        <v>24</v>
      </c>
      <c r="C31" s="33">
        <v>9358054.9615491331</v>
      </c>
      <c r="D31" s="33">
        <v>6104569.6650210023</v>
      </c>
      <c r="E31" s="33">
        <v>1036196.4960640818</v>
      </c>
      <c r="F31" s="33">
        <v>4880136.5338304937</v>
      </c>
      <c r="G31" s="33">
        <v>1037196.3148270994</v>
      </c>
      <c r="H31" s="33">
        <v>-11212772.629800886</v>
      </c>
      <c r="I31" s="33">
        <v>-7840711.8507409692</v>
      </c>
    </row>
    <row r="32" spans="2:9">
      <c r="B32" s="33">
        <v>25</v>
      </c>
      <c r="C32" s="33">
        <v>5885258.8704907298</v>
      </c>
      <c r="D32" s="33">
        <v>6581987.4349196702</v>
      </c>
      <c r="E32" s="33">
        <v>14819708.64226599</v>
      </c>
      <c r="F32" s="33">
        <v>-1666217.8219023347</v>
      </c>
      <c r="G32" s="33">
        <v>6141144.5004930645</v>
      </c>
      <c r="H32" s="33">
        <v>-2649359.3086259812</v>
      </c>
      <c r="I32" s="33">
        <v>2975333.5795073211</v>
      </c>
    </row>
    <row r="33" spans="2:9">
      <c r="B33" s="33">
        <v>26</v>
      </c>
      <c r="C33" s="33">
        <v>14252515.555833936</v>
      </c>
      <c r="D33" s="33">
        <v>-2908424.0477968603</v>
      </c>
      <c r="E33" s="33">
        <v>6414809.3867361695</v>
      </c>
      <c r="F33" s="33">
        <v>10375670.58095254</v>
      </c>
      <c r="G33" s="33">
        <v>7725885.5493192822</v>
      </c>
      <c r="H33" s="33">
        <v>-4887376.1649263948</v>
      </c>
      <c r="I33" s="33">
        <v>-5301483.6318159252</v>
      </c>
    </row>
    <row r="34" spans="2:9">
      <c r="B34" s="33">
        <v>27</v>
      </c>
      <c r="C34" s="33">
        <v>11465546.817672133</v>
      </c>
      <c r="D34" s="33">
        <v>5155956.0456937551</v>
      </c>
      <c r="E34" s="33">
        <v>12027151.150342003</v>
      </c>
      <c r="F34" s="33">
        <v>4526122.6263873577</v>
      </c>
      <c r="G34" s="33">
        <v>-6312905.5962126553</v>
      </c>
      <c r="H34" s="33">
        <v>2938891.0060601979</v>
      </c>
      <c r="I34" s="33">
        <v>-5124600.6198322773</v>
      </c>
    </row>
    <row r="35" spans="2:9">
      <c r="B35" s="33">
        <v>28</v>
      </c>
      <c r="C35" s="33">
        <v>6402864.2142024636</v>
      </c>
      <c r="D35" s="33">
        <v>-460625.99586704373</v>
      </c>
      <c r="E35" s="33">
        <v>13988127.869850367</v>
      </c>
      <c r="F35" s="33">
        <v>1571044.0476272851</v>
      </c>
      <c r="G35" s="33">
        <v>56781.224445551634</v>
      </c>
      <c r="H35" s="33">
        <v>-22118.670593574643</v>
      </c>
      <c r="I35" s="33">
        <v>-2835127.552654475</v>
      </c>
    </row>
    <row r="36" spans="2:9">
      <c r="B36" s="33">
        <v>29</v>
      </c>
      <c r="C36" s="33">
        <v>9030655.0745697618</v>
      </c>
      <c r="D36" s="33">
        <v>9929591.6640288979</v>
      </c>
      <c r="E36" s="33">
        <v>5256762.3846170753</v>
      </c>
      <c r="F36" s="33">
        <v>13881653.035268575</v>
      </c>
      <c r="G36" s="33">
        <v>4859419.7660570741</v>
      </c>
      <c r="H36" s="33">
        <v>-7690865.5656358004</v>
      </c>
      <c r="I36" s="33">
        <v>-1890477.9649249613</v>
      </c>
    </row>
    <row r="37" spans="2:9">
      <c r="B37" s="33">
        <v>30</v>
      </c>
      <c r="C37" s="33">
        <v>11155008.225356176</v>
      </c>
      <c r="D37" s="33">
        <v>4060528.1340505779</v>
      </c>
      <c r="E37" s="33">
        <v>15056187.752045825</v>
      </c>
      <c r="F37" s="33">
        <v>3450274.9088831842</v>
      </c>
      <c r="G37" s="33">
        <v>198644.54555808008</v>
      </c>
      <c r="H37" s="33">
        <v>1399284.5886752158</v>
      </c>
      <c r="I37" s="33">
        <v>11992441.821639165</v>
      </c>
    </row>
    <row r="38" spans="2:9">
      <c r="B38" s="33">
        <v>31</v>
      </c>
      <c r="C38" s="33">
        <v>25390693.958260745</v>
      </c>
      <c r="D38" s="33">
        <v>8938006.3321839124</v>
      </c>
      <c r="E38" s="33">
        <v>6509264.1167557538</v>
      </c>
      <c r="F38" s="33">
        <v>3573417.0081091225</v>
      </c>
      <c r="G38" s="33">
        <v>6228274.1466365755</v>
      </c>
      <c r="H38" s="33">
        <v>2389110.7347095013</v>
      </c>
      <c r="I38" s="33">
        <v>-6021503.6571243852</v>
      </c>
    </row>
    <row r="39" spans="2:9">
      <c r="B39" s="33">
        <v>32</v>
      </c>
      <c r="C39" s="33">
        <v>15713200.890796617</v>
      </c>
      <c r="D39" s="33">
        <v>-16260.54755461216</v>
      </c>
      <c r="E39" s="33">
        <v>-1706960.281848371</v>
      </c>
      <c r="F39" s="33">
        <v>-3670457.06502828</v>
      </c>
      <c r="G39" s="33">
        <v>5515842.6173024774</v>
      </c>
      <c r="H39" s="33">
        <v>12371059.718833774</v>
      </c>
      <c r="I39" s="33">
        <v>7557833.1206371039</v>
      </c>
    </row>
    <row r="40" spans="2:9">
      <c r="B40" s="33">
        <v>33</v>
      </c>
      <c r="C40" s="33">
        <v>3607771.8174828887</v>
      </c>
      <c r="D40" s="33">
        <v>-2932429.2966160774</v>
      </c>
      <c r="E40" s="33">
        <v>16463939.318299592</v>
      </c>
      <c r="F40" s="33">
        <v>-3478143.9406780601</v>
      </c>
      <c r="G40" s="33">
        <v>-5107435.8215129077</v>
      </c>
      <c r="H40" s="33">
        <v>2079463.7085382044</v>
      </c>
      <c r="I40" s="33">
        <v>-1486502.0301783085</v>
      </c>
    </row>
    <row r="41" spans="2:9">
      <c r="B41" s="33">
        <v>34</v>
      </c>
      <c r="C41" s="33">
        <v>14102689.254418015</v>
      </c>
      <c r="D41" s="33">
        <v>-3769213.5932889879</v>
      </c>
      <c r="E41" s="33">
        <v>2988416.0726334155</v>
      </c>
      <c r="F41" s="33">
        <v>7780554.3945190012</v>
      </c>
      <c r="G41" s="33">
        <v>399248.51836407185</v>
      </c>
      <c r="H41" s="33">
        <v>528748.30255673826</v>
      </c>
      <c r="I41" s="33">
        <v>7109993.2267796397</v>
      </c>
    </row>
    <row r="42" spans="2:9">
      <c r="B42" s="33">
        <v>35</v>
      </c>
      <c r="C42" s="33">
        <v>9511363.0646426082</v>
      </c>
      <c r="D42" s="33">
        <v>1322040.6635362655</v>
      </c>
      <c r="E42" s="33">
        <v>4766760.0725556761</v>
      </c>
      <c r="F42" s="33">
        <v>3889863.5053783804</v>
      </c>
      <c r="G42" s="33">
        <v>-9172864.9744553715</v>
      </c>
      <c r="H42" s="33">
        <v>-1296962.0117296875</v>
      </c>
      <c r="I42" s="33">
        <v>10745425.269528046</v>
      </c>
    </row>
    <row r="43" spans="2:9">
      <c r="B43" s="33">
        <v>36</v>
      </c>
      <c r="C43" s="33">
        <v>10458371.206804425</v>
      </c>
      <c r="D43" s="33">
        <v>7239824.9744453728</v>
      </c>
      <c r="E43" s="33">
        <v>5699337.7096566111</v>
      </c>
      <c r="F43" s="33">
        <v>-4495157.5466738194</v>
      </c>
      <c r="G43" s="33">
        <v>6901126.7314495444</v>
      </c>
      <c r="H43" s="33">
        <v>2338496.2560512275</v>
      </c>
      <c r="I43" s="33">
        <v>-1676867.0035109073</v>
      </c>
    </row>
    <row r="44" spans="2:9">
      <c r="B44" s="33">
        <v>37</v>
      </c>
      <c r="C44" s="33">
        <v>13232709.278750017</v>
      </c>
      <c r="D44" s="33">
        <v>18513675.931283534</v>
      </c>
      <c r="E44" s="33">
        <v>-2174006.2543818653</v>
      </c>
      <c r="F44" s="33">
        <v>2438596.953117609</v>
      </c>
      <c r="G44" s="33">
        <v>-11229941.127461493</v>
      </c>
      <c r="H44" s="33">
        <v>3574826.2489775568</v>
      </c>
      <c r="I44" s="33">
        <v>-13264811.644302368</v>
      </c>
    </row>
    <row r="45" spans="2:9">
      <c r="B45" s="33">
        <v>38</v>
      </c>
      <c r="C45" s="33">
        <v>8361564.3372726291</v>
      </c>
      <c r="D45" s="33">
        <v>5601225.1414163262</v>
      </c>
      <c r="E45" s="33">
        <v>566460.07775878906</v>
      </c>
      <c r="F45" s="33">
        <v>3103353.5424274653</v>
      </c>
      <c r="G45" s="33">
        <v>2963152.9858558476</v>
      </c>
      <c r="H45" s="33">
        <v>-6361726.289177075</v>
      </c>
      <c r="I45" s="33">
        <v>230876.54218201339</v>
      </c>
    </row>
    <row r="46" spans="2:9">
      <c r="B46" s="33">
        <v>39</v>
      </c>
      <c r="C46" s="33">
        <v>4065981.0971813202</v>
      </c>
      <c r="D46" s="33">
        <v>8668491.7784825563</v>
      </c>
      <c r="E46" s="33">
        <v>-3522189.9161973149</v>
      </c>
      <c r="F46" s="33">
        <v>-4225639.8396582603</v>
      </c>
      <c r="G46" s="33">
        <v>3139589.5002574623</v>
      </c>
      <c r="H46" s="33">
        <v>5443416.1818764061</v>
      </c>
      <c r="I46" s="33">
        <v>1371314.8654691875</v>
      </c>
    </row>
    <row r="47" spans="2:9">
      <c r="B47" s="33">
        <v>40</v>
      </c>
      <c r="C47" s="33">
        <v>16867287.360519245</v>
      </c>
      <c r="D47" s="33">
        <v>2508159.0982673615</v>
      </c>
      <c r="E47" s="33">
        <v>9158601.6758944392</v>
      </c>
      <c r="F47" s="33">
        <v>3123094.8672495633</v>
      </c>
      <c r="G47" s="33">
        <v>1586468.7523012608</v>
      </c>
      <c r="H47" s="33">
        <v>-1677454.2434845269</v>
      </c>
      <c r="I47" s="33">
        <v>1762611.2445499003</v>
      </c>
    </row>
    <row r="48" spans="2:9">
      <c r="B48" s="33">
        <v>41</v>
      </c>
      <c r="C48" s="33">
        <v>7208099.1317942888</v>
      </c>
      <c r="D48" s="33">
        <v>15814111.224736914</v>
      </c>
      <c r="E48" s="33">
        <v>-3766737.1961933821</v>
      </c>
      <c r="F48" s="33">
        <v>685710.64625933766</v>
      </c>
      <c r="G48" s="33">
        <v>6654337.1473288983</v>
      </c>
      <c r="H48" s="33">
        <v>11282003.663073212</v>
      </c>
      <c r="I48" s="33">
        <v>-6091327.5040091574</v>
      </c>
    </row>
    <row r="49" spans="2:9">
      <c r="B49" s="33">
        <v>42</v>
      </c>
      <c r="C49" s="33">
        <v>20993740.817093194</v>
      </c>
      <c r="D49" s="33">
        <v>10476778.704433858</v>
      </c>
      <c r="E49" s="33">
        <v>5190310.6181252003</v>
      </c>
      <c r="F49" s="33">
        <v>10817748.486353412</v>
      </c>
      <c r="G49" s="33">
        <v>-6230099.8754057437</v>
      </c>
      <c r="H49" s="33">
        <v>4819808.8111784011</v>
      </c>
      <c r="I49" s="33">
        <v>-8147006.396621272</v>
      </c>
    </row>
    <row r="50" spans="2:9">
      <c r="B50" s="33">
        <v>43</v>
      </c>
      <c r="C50" s="33">
        <v>9005535.4974117279</v>
      </c>
      <c r="D50" s="33">
        <v>11921208.805034906</v>
      </c>
      <c r="E50" s="33">
        <v>4272073.0709275901</v>
      </c>
      <c r="F50" s="33">
        <v>-269072.0452529192</v>
      </c>
      <c r="G50" s="33">
        <v>5775771.7459657788</v>
      </c>
      <c r="H50" s="33">
        <v>-6954907.1560768485</v>
      </c>
      <c r="I50" s="33">
        <v>1256573.9191715866</v>
      </c>
    </row>
    <row r="51" spans="2:9">
      <c r="B51" s="33">
        <v>44</v>
      </c>
      <c r="C51" s="33">
        <v>19127396.31191504</v>
      </c>
      <c r="D51" s="33">
        <v>7386632.2825780213</v>
      </c>
      <c r="E51" s="33">
        <v>1931642.8073745519</v>
      </c>
      <c r="F51" s="33">
        <v>6117004.8124839813</v>
      </c>
      <c r="G51" s="33">
        <v>124211.26124583185</v>
      </c>
      <c r="H51" s="33">
        <v>4405247.4626383334</v>
      </c>
      <c r="I51" s="33">
        <v>2468404.1440684199</v>
      </c>
    </row>
    <row r="52" spans="2:9">
      <c r="B52" s="33">
        <v>45</v>
      </c>
      <c r="C52" s="33">
        <v>14731718.867575109</v>
      </c>
      <c r="D52" s="33">
        <v>5746771.9136306047</v>
      </c>
      <c r="E52" s="33">
        <v>-3421725.9643805474</v>
      </c>
      <c r="F52" s="33">
        <v>7775968.9414873421</v>
      </c>
      <c r="G52" s="33">
        <v>15658600.181707799</v>
      </c>
      <c r="H52" s="33">
        <v>-9602174.1818366051</v>
      </c>
      <c r="I52" s="33">
        <v>3517133.3788198233</v>
      </c>
    </row>
    <row r="53" spans="2:9">
      <c r="B53" s="33">
        <v>46</v>
      </c>
      <c r="C53" s="33">
        <v>17181462.51442872</v>
      </c>
      <c r="D53" s="33">
        <v>4619095.139823094</v>
      </c>
      <c r="E53" s="33">
        <v>-1608628.5489485413</v>
      </c>
      <c r="F53" s="33">
        <v>9401952.5194971859</v>
      </c>
      <c r="G53" s="33">
        <v>6467245.7679761648</v>
      </c>
      <c r="H53" s="33">
        <v>1927086.363281399</v>
      </c>
      <c r="I53" s="33">
        <v>-4609587.6850234419</v>
      </c>
    </row>
    <row r="54" spans="2:9">
      <c r="B54" s="33">
        <v>47</v>
      </c>
      <c r="C54" s="33">
        <v>5757632.2092416883</v>
      </c>
      <c r="D54" s="33">
        <v>-371715.11582285166</v>
      </c>
      <c r="E54" s="33">
        <v>2358186.0682857931</v>
      </c>
      <c r="F54" s="33">
        <v>18685029.868477643</v>
      </c>
      <c r="G54" s="33">
        <v>8540043.8307383657</v>
      </c>
      <c r="H54" s="33">
        <v>-2944190.9346048534</v>
      </c>
      <c r="I54" s="33">
        <v>-6106004.2620365471</v>
      </c>
    </row>
    <row r="55" spans="2:9">
      <c r="B55" s="33">
        <v>48</v>
      </c>
      <c r="C55" s="33">
        <v>15346894.235811993</v>
      </c>
      <c r="D55" s="33">
        <v>16908563.484883547</v>
      </c>
      <c r="E55" s="33">
        <v>6615623.5587008893</v>
      </c>
      <c r="F55" s="33">
        <v>5623298.3951237649</v>
      </c>
      <c r="G55" s="33">
        <v>3761442.644029066</v>
      </c>
      <c r="H55" s="33">
        <v>-1014679.6618667394</v>
      </c>
      <c r="I55" s="33">
        <v>-5845906.8415249884</v>
      </c>
    </row>
    <row r="56" spans="2:9">
      <c r="B56" s="33">
        <v>49</v>
      </c>
      <c r="C56" s="33">
        <v>18542260.021512687</v>
      </c>
      <c r="D56" s="33">
        <v>10359873.387766048</v>
      </c>
      <c r="E56" s="33">
        <v>9855707.0431227833</v>
      </c>
      <c r="F56" s="33">
        <v>10709113.39884083</v>
      </c>
      <c r="G56" s="33">
        <v>5072329.7806871384</v>
      </c>
      <c r="H56" s="33">
        <v>-2682565.8620958328</v>
      </c>
      <c r="I56" s="33">
        <v>-5524203.5660500079</v>
      </c>
    </row>
    <row r="57" spans="2:9">
      <c r="B57" s="33">
        <v>50</v>
      </c>
      <c r="C57" s="33">
        <v>12864254.975331038</v>
      </c>
      <c r="D57" s="33">
        <v>14886573.881284952</v>
      </c>
      <c r="E57" s="33">
        <v>13783000.962899476</v>
      </c>
      <c r="F57" s="33">
        <v>12324025.823127031</v>
      </c>
      <c r="G57" s="33">
        <v>-7956137.1649327278</v>
      </c>
      <c r="H57" s="33">
        <v>-10616636.789354622</v>
      </c>
      <c r="I57" s="33">
        <v>38735.022949367762</v>
      </c>
    </row>
    <row r="58" spans="2:9">
      <c r="B58" s="33">
        <v>51</v>
      </c>
      <c r="C58" s="33">
        <v>9312011.6641414762</v>
      </c>
      <c r="D58" s="33">
        <v>9156655.7733221948</v>
      </c>
      <c r="E58" s="33">
        <v>4239857.6065431237</v>
      </c>
      <c r="F58" s="33">
        <v>6786075.9746933579</v>
      </c>
      <c r="G58" s="33">
        <v>6372484.345440954</v>
      </c>
      <c r="H58" s="33">
        <v>2616101.9223141074</v>
      </c>
      <c r="I58" s="33">
        <v>-5713096.7684274316</v>
      </c>
    </row>
    <row r="59" spans="2:9">
      <c r="B59" s="33">
        <v>52</v>
      </c>
      <c r="C59" s="33">
        <v>20284589.793889984</v>
      </c>
      <c r="D59" s="33">
        <v>11247317.579012141</v>
      </c>
      <c r="E59" s="33">
        <v>5946279.1679938436</v>
      </c>
      <c r="F59" s="33">
        <v>-763796.82399746776</v>
      </c>
      <c r="G59" s="33">
        <v>-4026811.9786467552</v>
      </c>
      <c r="H59" s="33">
        <v>2572243.8167082816</v>
      </c>
      <c r="I59" s="33">
        <v>-6349664.2246698141</v>
      </c>
    </row>
    <row r="60" spans="2:9">
      <c r="B60" s="33">
        <v>53</v>
      </c>
      <c r="C60" s="33">
        <v>1813522.2067983001</v>
      </c>
      <c r="D60" s="33">
        <v>4274279.9320202768</v>
      </c>
      <c r="E60" s="33">
        <v>14662578.578605697</v>
      </c>
      <c r="F60" s="33">
        <v>6921529.4098984599</v>
      </c>
      <c r="G60" s="33">
        <v>332764.56130370498</v>
      </c>
      <c r="H60" s="33">
        <v>-6666520.8082559258</v>
      </c>
      <c r="I60" s="33">
        <v>-10544772.481549725</v>
      </c>
    </row>
    <row r="61" spans="2:9">
      <c r="B61" s="33">
        <v>54</v>
      </c>
      <c r="C61" s="33">
        <v>10931906.754018307</v>
      </c>
      <c r="D61" s="33">
        <v>-3401060.642543003</v>
      </c>
      <c r="E61" s="33">
        <v>-343123.16093093157</v>
      </c>
      <c r="F61" s="33">
        <v>6970327.3183463663</v>
      </c>
      <c r="G61" s="33">
        <v>-1573182.0402670205</v>
      </c>
      <c r="H61" s="33">
        <v>1596042.6427804977</v>
      </c>
      <c r="I61" s="33">
        <v>2334007.6520991623</v>
      </c>
    </row>
    <row r="62" spans="2:9">
      <c r="B62" s="33">
        <v>55</v>
      </c>
      <c r="C62" s="33">
        <v>11175594.649326459</v>
      </c>
      <c r="D62" s="33">
        <v>13892654.951114699</v>
      </c>
      <c r="E62" s="33">
        <v>5602127.2031619698</v>
      </c>
      <c r="F62" s="33">
        <v>-8234384.3686815053</v>
      </c>
      <c r="G62" s="33">
        <v>-2574312.9552695751</v>
      </c>
      <c r="H62" s="33">
        <v>6962413.8609320521</v>
      </c>
      <c r="I62" s="33">
        <v>-6618129.9814107567</v>
      </c>
    </row>
    <row r="63" spans="2:9">
      <c r="B63" s="33">
        <v>56</v>
      </c>
      <c r="C63" s="33">
        <v>10439863.62557362</v>
      </c>
      <c r="D63" s="33">
        <v>12902643.995094001</v>
      </c>
      <c r="E63" s="33">
        <v>8688893.4158121794</v>
      </c>
      <c r="F63" s="33">
        <v>979492.72408035398</v>
      </c>
      <c r="G63" s="33">
        <v>4274315.1193992943</v>
      </c>
      <c r="H63" s="33">
        <v>-8494065.1714085937</v>
      </c>
      <c r="I63" s="33">
        <v>60398.341059207916</v>
      </c>
    </row>
    <row r="64" spans="2:9">
      <c r="B64" s="33">
        <v>57</v>
      </c>
      <c r="C64" s="33">
        <v>13070043.325871512</v>
      </c>
      <c r="D64" s="33">
        <v>5169498.4358986616</v>
      </c>
      <c r="E64" s="33">
        <v>14400408.429144979</v>
      </c>
      <c r="F64" s="33">
        <v>2432418.8452720642</v>
      </c>
      <c r="G64" s="33">
        <v>919484.03462862968</v>
      </c>
      <c r="H64" s="33">
        <v>1227802.0657535046</v>
      </c>
      <c r="I64" s="33">
        <v>5357578.3939826638</v>
      </c>
    </row>
    <row r="65" spans="2:9">
      <c r="B65" s="33">
        <v>58</v>
      </c>
      <c r="C65" s="33">
        <v>15752650.842328727</v>
      </c>
      <c r="D65" s="33">
        <v>-2865988.5848722607</v>
      </c>
      <c r="E65" s="33">
        <v>10733731.199217737</v>
      </c>
      <c r="F65" s="33">
        <v>7992883.0539866984</v>
      </c>
      <c r="G65" s="33">
        <v>4575869.7319672704</v>
      </c>
      <c r="H65" s="33">
        <v>11285348.529895708</v>
      </c>
      <c r="I65" s="33">
        <v>-7542778.9648514092</v>
      </c>
    </row>
    <row r="66" spans="2:9">
      <c r="B66" s="33">
        <v>59</v>
      </c>
      <c r="C66" s="33">
        <v>17759326.477201939</v>
      </c>
      <c r="D66" s="33">
        <v>5776268.7709005177</v>
      </c>
      <c r="E66" s="33">
        <v>13600069.460660696</v>
      </c>
      <c r="F66" s="33">
        <v>-783423.3028948307</v>
      </c>
      <c r="G66" s="33">
        <v>-3902260.3187811077</v>
      </c>
      <c r="H66" s="33">
        <v>215374.11457234621</v>
      </c>
      <c r="I66" s="33">
        <v>4145289.1310415119</v>
      </c>
    </row>
    <row r="67" spans="2:9">
      <c r="B67" s="33">
        <v>60</v>
      </c>
      <c r="C67" s="33">
        <v>9912245.7493112683</v>
      </c>
      <c r="D67" s="33">
        <v>6079146.506827116</v>
      </c>
      <c r="E67" s="33">
        <v>6700486.5484023243</v>
      </c>
      <c r="F67" s="33">
        <v>3157504.6284007132</v>
      </c>
      <c r="G67" s="33">
        <v>2807158.5241418183</v>
      </c>
      <c r="H67" s="33">
        <v>1910407.0204353631</v>
      </c>
      <c r="I67" s="33">
        <v>-8481563.3403184414</v>
      </c>
    </row>
    <row r="68" spans="2:9">
      <c r="B68" s="33">
        <v>61</v>
      </c>
      <c r="C68" s="33">
        <v>11300536.469071284</v>
      </c>
      <c r="D68" s="33">
        <v>15459050.798995584</v>
      </c>
      <c r="E68" s="33">
        <v>6136556.6863818169</v>
      </c>
      <c r="F68" s="33">
        <v>5746985.57190229</v>
      </c>
      <c r="G68" s="33">
        <v>-3670413.8774370253</v>
      </c>
      <c r="H68" s="33">
        <v>3437117.2495286018</v>
      </c>
      <c r="I68" s="33">
        <v>3530792.0214374959</v>
      </c>
    </row>
    <row r="69" spans="2:9">
      <c r="B69" s="33">
        <v>62</v>
      </c>
      <c r="C69" s="33">
        <v>7994787.1068191826</v>
      </c>
      <c r="D69" s="33">
        <v>8214060.8841395527</v>
      </c>
      <c r="E69" s="33">
        <v>264956.78329183161</v>
      </c>
      <c r="F69" s="33">
        <v>13885413.773730293</v>
      </c>
      <c r="G69" s="33">
        <v>5737914.5130987465</v>
      </c>
      <c r="H69" s="33">
        <v>-3255517.4007193446</v>
      </c>
      <c r="I69" s="33">
        <v>-8215556.7880718261</v>
      </c>
    </row>
    <row r="70" spans="2:9">
      <c r="B70" s="33">
        <v>63</v>
      </c>
      <c r="C70" s="33">
        <v>19363739.597053453</v>
      </c>
      <c r="D70" s="33">
        <v>19848095.073347777</v>
      </c>
      <c r="E70" s="33">
        <v>6556315.6690375507</v>
      </c>
      <c r="F70" s="33">
        <v>1197691.6268330663</v>
      </c>
      <c r="G70" s="33">
        <v>211351.33377587795</v>
      </c>
      <c r="H70" s="33">
        <v>-298087.53919652104</v>
      </c>
      <c r="I70" s="33">
        <v>-4221275.4320528209</v>
      </c>
    </row>
    <row r="71" spans="2:9">
      <c r="B71" s="33">
        <v>64</v>
      </c>
      <c r="C71" s="33">
        <v>17876910.504926458</v>
      </c>
      <c r="D71" s="33">
        <v>5796817.5515848547</v>
      </c>
      <c r="E71" s="33">
        <v>10332215.984731376</v>
      </c>
      <c r="F71" s="33">
        <v>8576799.1641487777</v>
      </c>
      <c r="G71" s="33">
        <v>-12831181.106855363</v>
      </c>
      <c r="H71" s="33">
        <v>1256528.413914144</v>
      </c>
      <c r="I71" s="33">
        <v>-1176085.7412324399</v>
      </c>
    </row>
    <row r="72" spans="2:9">
      <c r="B72" s="33">
        <v>65</v>
      </c>
      <c r="C72" s="33">
        <v>9185560.7204614431</v>
      </c>
      <c r="D72" s="33">
        <v>16145298.855711773</v>
      </c>
      <c r="E72" s="33">
        <v>11316893.104063034</v>
      </c>
      <c r="F72" s="33">
        <v>-6841271.8718563914</v>
      </c>
      <c r="G72" s="33">
        <v>2124749.7920549363</v>
      </c>
      <c r="H72" s="33">
        <v>3062111.4656918943</v>
      </c>
      <c r="I72" s="33">
        <v>3923675.4972054213</v>
      </c>
    </row>
    <row r="73" spans="2:9">
      <c r="B73" s="33">
        <v>66</v>
      </c>
      <c r="C73" s="33">
        <v>7553797.1504660249</v>
      </c>
      <c r="D73" s="33">
        <v>-2733792.7994579673</v>
      </c>
      <c r="E73" s="33">
        <v>7723317.4673609287</v>
      </c>
      <c r="F73" s="33">
        <v>-597237.05940237641</v>
      </c>
      <c r="G73" s="33">
        <v>-2173205.3959927261</v>
      </c>
      <c r="H73" s="33">
        <v>-12435085.796100169</v>
      </c>
      <c r="I73" s="33">
        <v>4244461.8254129291</v>
      </c>
    </row>
    <row r="74" spans="2:9">
      <c r="B74" s="33">
        <v>67</v>
      </c>
      <c r="C74" s="33">
        <v>13465000.229255855</v>
      </c>
      <c r="D74" s="33">
        <v>5920551.9234358519</v>
      </c>
      <c r="E74" s="33">
        <v>14987058.983565435</v>
      </c>
      <c r="F74" s="33">
        <v>8192380.5188823044</v>
      </c>
      <c r="G74" s="33">
        <v>2853389.3593570888</v>
      </c>
      <c r="H74" s="33">
        <v>-3696505.0765527934</v>
      </c>
      <c r="I74" s="33">
        <v>-5219296.8171762526</v>
      </c>
    </row>
    <row r="75" spans="2:9">
      <c r="B75" s="33">
        <v>68</v>
      </c>
      <c r="C75" s="33">
        <v>17656731.883760929</v>
      </c>
      <c r="D75" s="33">
        <v>8644375.6918288022</v>
      </c>
      <c r="E75" s="33">
        <v>-6397073.0053724498</v>
      </c>
      <c r="F75" s="33">
        <v>8024808.6671734899</v>
      </c>
      <c r="G75" s="33">
        <v>1276559.9828421324</v>
      </c>
      <c r="H75" s="33">
        <v>550066.42804992199</v>
      </c>
      <c r="I75" s="33">
        <v>5683569.6223520637</v>
      </c>
    </row>
    <row r="76" spans="2:9">
      <c r="B76" s="33">
        <v>69</v>
      </c>
      <c r="C76" s="33">
        <v>4314376.1576780677</v>
      </c>
      <c r="D76" s="33">
        <v>2028273.0643699467</v>
      </c>
      <c r="E76" s="33">
        <v>8284706.8693657517</v>
      </c>
      <c r="F76" s="33">
        <v>-994141.2865306139</v>
      </c>
      <c r="G76" s="33">
        <v>12280310.176897749</v>
      </c>
      <c r="H76" s="33">
        <v>-5241547.005582124</v>
      </c>
      <c r="I76" s="33">
        <v>-8076936.0395862162</v>
      </c>
    </row>
    <row r="77" spans="2:9">
      <c r="B77" s="33">
        <v>70</v>
      </c>
      <c r="C77" s="33">
        <v>9324566.7123598754</v>
      </c>
      <c r="D77" s="33">
        <v>10866457.222281992</v>
      </c>
      <c r="E77" s="33">
        <v>11067446.930601656</v>
      </c>
      <c r="F77" s="33">
        <v>3189223.9196624011</v>
      </c>
      <c r="G77" s="33">
        <v>-11975343.946945503</v>
      </c>
      <c r="H77" s="33">
        <v>-335703.32007329166</v>
      </c>
      <c r="I77" s="33">
        <v>1913851.6178904623</v>
      </c>
    </row>
    <row r="78" spans="2:9">
      <c r="B78" s="33">
        <v>71</v>
      </c>
      <c r="C78" s="33">
        <v>4805081.9408643693</v>
      </c>
      <c r="D78" s="33">
        <v>584417.08985742927</v>
      </c>
      <c r="E78" s="33">
        <v>16551830.739135906</v>
      </c>
      <c r="F78" s="33">
        <v>6337504.0983920097</v>
      </c>
      <c r="G78" s="33">
        <v>6819684.2938077748</v>
      </c>
      <c r="H78" s="33">
        <v>6491167.415496707</v>
      </c>
      <c r="I78" s="33">
        <v>-6957933.9788666815</v>
      </c>
    </row>
    <row r="79" spans="2:9">
      <c r="B79" s="33">
        <v>72</v>
      </c>
      <c r="C79" s="33">
        <v>8870391.4919402599</v>
      </c>
      <c r="D79" s="33">
        <v>15591635.177738369</v>
      </c>
      <c r="E79" s="33">
        <v>14656084.539276421</v>
      </c>
      <c r="F79" s="33">
        <v>1853994.2033824772</v>
      </c>
      <c r="G79" s="33">
        <v>3034761.7398886085</v>
      </c>
      <c r="H79" s="33">
        <v>-340201.49482880533</v>
      </c>
      <c r="I79" s="33">
        <v>-466148.06726872921</v>
      </c>
    </row>
    <row r="80" spans="2:9">
      <c r="B80" s="33">
        <v>73</v>
      </c>
      <c r="C80" s="33">
        <v>11386876.732959032</v>
      </c>
      <c r="D80" s="33">
        <v>7849129.9595958889</v>
      </c>
      <c r="E80" s="33">
        <v>3743331.3912296295</v>
      </c>
      <c r="F80" s="33">
        <v>-2019086.9841767401</v>
      </c>
      <c r="G80" s="33">
        <v>-3908608.6179697216</v>
      </c>
      <c r="H80" s="33">
        <v>10272337.153795466</v>
      </c>
      <c r="I80" s="33">
        <v>1453016.8112918288</v>
      </c>
    </row>
    <row r="81" spans="2:9">
      <c r="B81" s="33">
        <v>74</v>
      </c>
      <c r="C81" s="33">
        <v>28205.449353680015</v>
      </c>
      <c r="D81" s="33">
        <v>9562630.0171874017</v>
      </c>
      <c r="E81" s="33">
        <v>12211866.142788365</v>
      </c>
      <c r="F81" s="33">
        <v>-670651.64663790166</v>
      </c>
      <c r="G81" s="33">
        <v>-1567936.7089235634</v>
      </c>
      <c r="H81" s="33">
        <v>12381105.259809628</v>
      </c>
      <c r="I81" s="33">
        <v>-3449626.9394366592</v>
      </c>
    </row>
    <row r="82" spans="2:9">
      <c r="B82" s="33">
        <v>75</v>
      </c>
      <c r="C82" s="33">
        <v>14636638.350302756</v>
      </c>
      <c r="D82" s="33">
        <v>7583679.8313929588</v>
      </c>
      <c r="E82" s="33">
        <v>4136881.6771618128</v>
      </c>
      <c r="F82" s="33">
        <v>3267974.7672175765</v>
      </c>
      <c r="G82" s="33">
        <v>4660988.3141089231</v>
      </c>
      <c r="H82" s="33">
        <v>8188293.335825786</v>
      </c>
      <c r="I82" s="33">
        <v>-10334156.882560268</v>
      </c>
    </row>
    <row r="83" spans="2:9">
      <c r="B83" s="33">
        <v>76</v>
      </c>
      <c r="C83" s="33">
        <v>-4829371.7855190039</v>
      </c>
      <c r="D83" s="33">
        <v>2272526.5943626165</v>
      </c>
      <c r="E83" s="33">
        <v>409960.16600005329</v>
      </c>
      <c r="F83" s="33">
        <v>22730.839345887303</v>
      </c>
      <c r="G83" s="33">
        <v>9209665.9988330007</v>
      </c>
      <c r="H83" s="33">
        <v>-9686422.1657341719</v>
      </c>
      <c r="I83" s="33">
        <v>-2123076.0304599255</v>
      </c>
    </row>
    <row r="84" spans="2:9">
      <c r="B84" s="33">
        <v>77</v>
      </c>
      <c r="C84" s="33">
        <v>6456002.6374602765</v>
      </c>
      <c r="D84" s="33">
        <v>16327183.219529748</v>
      </c>
      <c r="E84" s="33">
        <v>10978382.673289135</v>
      </c>
      <c r="F84" s="33">
        <v>4130776.3949466944</v>
      </c>
      <c r="G84" s="33">
        <v>3550629.0744532198</v>
      </c>
      <c r="H84" s="33">
        <v>-3141983.3387289941</v>
      </c>
      <c r="I84" s="33">
        <v>1885405.5068365932</v>
      </c>
    </row>
    <row r="85" spans="2:9">
      <c r="B85" s="33">
        <v>78</v>
      </c>
      <c r="C85" s="33">
        <v>12440742.821920648</v>
      </c>
      <c r="D85" s="33">
        <v>16116530.788775727</v>
      </c>
      <c r="E85" s="33">
        <v>13315501.562768266</v>
      </c>
      <c r="F85" s="33">
        <v>10400726.514308304</v>
      </c>
      <c r="G85" s="33">
        <v>-1853167.6903855801</v>
      </c>
      <c r="H85" s="33">
        <v>8303945.287501201</v>
      </c>
      <c r="I85" s="33">
        <v>-3007526.7861062884</v>
      </c>
    </row>
    <row r="86" spans="2:9">
      <c r="B86" s="33">
        <v>79</v>
      </c>
      <c r="C86" s="33">
        <v>16212049.8802481</v>
      </c>
      <c r="D86" s="33">
        <v>3575635.9361799955</v>
      </c>
      <c r="E86" s="33">
        <v>15306688.453892231</v>
      </c>
      <c r="F86" s="33">
        <v>955383.12057697773</v>
      </c>
      <c r="G86" s="33">
        <v>5266644.9625296146</v>
      </c>
      <c r="H86" s="33">
        <v>-2516604.6232743561</v>
      </c>
      <c r="I86" s="33">
        <v>904036.28068013489</v>
      </c>
    </row>
    <row r="87" spans="2:9">
      <c r="B87" s="33">
        <v>80</v>
      </c>
      <c r="C87" s="33">
        <v>6272833.494670257</v>
      </c>
      <c r="D87" s="33">
        <v>1433448.4592031986</v>
      </c>
      <c r="E87" s="33">
        <v>769396.67370340228</v>
      </c>
      <c r="F87" s="33">
        <v>7574493.6153534502</v>
      </c>
      <c r="G87" s="33">
        <v>-222354.40944236517</v>
      </c>
      <c r="H87" s="33">
        <v>7492038.7226921469</v>
      </c>
      <c r="I87" s="33">
        <v>-1104713.133417055</v>
      </c>
    </row>
    <row r="88" spans="2:9">
      <c r="B88" s="33">
        <v>81</v>
      </c>
      <c r="C88" s="33">
        <v>5060366.40776968</v>
      </c>
      <c r="D88" s="33">
        <v>-385866.9102730751</v>
      </c>
      <c r="E88" s="33">
        <v>718479.99878175557</v>
      </c>
      <c r="F88" s="33">
        <v>-2816718.4198943377</v>
      </c>
      <c r="G88" s="33">
        <v>5523559.2278650105</v>
      </c>
      <c r="H88" s="33">
        <v>5247730.5479056239</v>
      </c>
      <c r="I88" s="33">
        <v>-5558670.9859360754</v>
      </c>
    </row>
    <row r="89" spans="2:9">
      <c r="B89" s="33">
        <v>82</v>
      </c>
      <c r="C89" s="33">
        <v>-209179.68002003431</v>
      </c>
      <c r="D89" s="33">
        <v>2060600.1370274723</v>
      </c>
      <c r="E89" s="33">
        <v>7437334.5864703804</v>
      </c>
      <c r="F89" s="33">
        <v>-2304331.4687888175</v>
      </c>
      <c r="G89" s="33">
        <v>5892953.9165961146</v>
      </c>
      <c r="H89" s="33">
        <v>3612076.3250659108</v>
      </c>
      <c r="I89" s="33">
        <v>-11881653.785776079</v>
      </c>
    </row>
    <row r="90" spans="2:9">
      <c r="B90" s="33">
        <v>83</v>
      </c>
      <c r="C90" s="33">
        <v>5301213.3378922939</v>
      </c>
      <c r="D90" s="33">
        <v>7474313.2901856154</v>
      </c>
      <c r="E90" s="33">
        <v>6457983.4526954591</v>
      </c>
      <c r="F90" s="33">
        <v>-1857304.3472761512</v>
      </c>
      <c r="G90" s="33">
        <v>319691.25031451881</v>
      </c>
      <c r="H90" s="33">
        <v>-2208259.1062274724</v>
      </c>
      <c r="I90" s="33">
        <v>-9833564.2379097044</v>
      </c>
    </row>
    <row r="91" spans="2:9">
      <c r="B91" s="33">
        <v>84</v>
      </c>
      <c r="C91" s="33">
        <v>22987463.925841719</v>
      </c>
      <c r="D91" s="33">
        <v>7736939.7257268429</v>
      </c>
      <c r="E91" s="33">
        <v>8256842.4196297824</v>
      </c>
      <c r="F91" s="33">
        <v>6161882.9755986929</v>
      </c>
      <c r="G91" s="33">
        <v>-8084153.9103516787</v>
      </c>
      <c r="H91" s="33">
        <v>10440257.994624823</v>
      </c>
      <c r="I91" s="33">
        <v>4213135.4474858493</v>
      </c>
    </row>
    <row r="92" spans="2:9">
      <c r="B92" s="33">
        <v>85</v>
      </c>
      <c r="C92" s="33">
        <v>5761935.0209516138</v>
      </c>
      <c r="D92" s="33">
        <v>5265626.3471551538</v>
      </c>
      <c r="E92" s="33">
        <v>649948.90836495161</v>
      </c>
      <c r="F92" s="33">
        <v>2919355.8549586236</v>
      </c>
      <c r="G92" s="33">
        <v>2229333.2950756103</v>
      </c>
      <c r="H92" s="33">
        <v>718051.17674602568</v>
      </c>
      <c r="I92" s="33">
        <v>-7971739.6936544478</v>
      </c>
    </row>
    <row r="93" spans="2:9">
      <c r="B93" s="33">
        <v>86</v>
      </c>
      <c r="C93" s="33">
        <v>9307865.4366599023</v>
      </c>
      <c r="D93" s="33">
        <v>8940809.443305254</v>
      </c>
      <c r="E93" s="33">
        <v>11629628.579535827</v>
      </c>
      <c r="F93" s="33">
        <v>1132530.1315956712</v>
      </c>
      <c r="G93" s="33">
        <v>249244.09211657941</v>
      </c>
      <c r="H93" s="33">
        <v>-2673400.0203496367</v>
      </c>
      <c r="I93" s="33">
        <v>-5087285.6852187812</v>
      </c>
    </row>
    <row r="94" spans="2:9">
      <c r="B94" s="33">
        <v>87</v>
      </c>
      <c r="C94" s="33">
        <v>9106214.3914561868</v>
      </c>
      <c r="D94" s="33">
        <v>7745275.8859445751</v>
      </c>
      <c r="E94" s="33">
        <v>13983064.933033317</v>
      </c>
      <c r="F94" s="33">
        <v>892450.55894581974</v>
      </c>
      <c r="G94" s="33">
        <v>2390289.7077522576</v>
      </c>
      <c r="H94" s="33">
        <v>8691008.7723723054</v>
      </c>
      <c r="I94" s="33">
        <v>3819325.2971104085</v>
      </c>
    </row>
    <row r="95" spans="2:9">
      <c r="B95" s="33">
        <v>88</v>
      </c>
      <c r="C95" s="33">
        <v>17882319.6049252</v>
      </c>
      <c r="D95" s="33">
        <v>9997965.605584234</v>
      </c>
      <c r="E95" s="33">
        <v>909086.97350157797</v>
      </c>
      <c r="F95" s="33">
        <v>1533635.0287059695</v>
      </c>
      <c r="G95" s="33">
        <v>14473144.602476627</v>
      </c>
      <c r="H95" s="33">
        <v>-1430619.6359663904</v>
      </c>
      <c r="I95" s="33">
        <v>-3000973.9692851901</v>
      </c>
    </row>
    <row r="96" spans="2:9">
      <c r="B96" s="33">
        <v>89</v>
      </c>
      <c r="C96" s="33">
        <v>11886219.448767886</v>
      </c>
      <c r="D96" s="33">
        <v>11552683.569408327</v>
      </c>
      <c r="E96" s="33">
        <v>7390287.0253009796</v>
      </c>
      <c r="F96" s="33">
        <v>9629136.3266219199</v>
      </c>
      <c r="G96" s="33">
        <v>-5829907.1932355762</v>
      </c>
      <c r="H96" s="33">
        <v>6935889.4419058561</v>
      </c>
      <c r="I96" s="33">
        <v>1057407.4527074397</v>
      </c>
    </row>
    <row r="97" spans="2:9">
      <c r="B97" s="33">
        <v>90</v>
      </c>
      <c r="C97" s="33">
        <v>2065364.3035350442</v>
      </c>
      <c r="D97" s="33">
        <v>12618591.353049636</v>
      </c>
      <c r="E97" s="33">
        <v>-79150.191310152411</v>
      </c>
      <c r="F97" s="33">
        <v>5976659.2464561164</v>
      </c>
      <c r="G97" s="33">
        <v>11235330.159382522</v>
      </c>
      <c r="H97" s="33">
        <v>-2899668.1955845356</v>
      </c>
      <c r="I97" s="33">
        <v>1234319.8407180458</v>
      </c>
    </row>
    <row r="98" spans="2:9">
      <c r="B98" s="33">
        <v>91</v>
      </c>
      <c r="C98" s="33">
        <v>22430229.1250844</v>
      </c>
      <c r="D98" s="33">
        <v>13506661.515652031</v>
      </c>
      <c r="E98" s="33">
        <v>7862778.9594164789</v>
      </c>
      <c r="F98" s="33">
        <v>2402505.4478042722</v>
      </c>
      <c r="G98" s="33">
        <v>3491684.9239737093</v>
      </c>
      <c r="H98" s="33">
        <v>8094269.7825817466</v>
      </c>
      <c r="I98" s="33">
        <v>5289235.3912928253</v>
      </c>
    </row>
    <row r="99" spans="2:9">
      <c r="B99" s="33">
        <v>92</v>
      </c>
      <c r="C99" s="33">
        <v>17973004.508870393</v>
      </c>
      <c r="D99" s="33">
        <v>11374018.961627319</v>
      </c>
      <c r="E99" s="33">
        <v>19751360.505787119</v>
      </c>
      <c r="F99" s="33">
        <v>7504902.6514609307</v>
      </c>
      <c r="G99" s="33">
        <v>-6159231.0036080182</v>
      </c>
      <c r="H99" s="33">
        <v>5928106.7333737165</v>
      </c>
      <c r="I99" s="33">
        <v>3534953.0295377076</v>
      </c>
    </row>
    <row r="100" spans="2:9">
      <c r="B100" s="33">
        <v>93</v>
      </c>
      <c r="C100" s="33">
        <v>9450133.4989803135</v>
      </c>
      <c r="D100" s="33">
        <v>3552276.2674935758</v>
      </c>
      <c r="E100" s="33">
        <v>-1801523.0320029408</v>
      </c>
      <c r="F100" s="33">
        <v>2287033.4034144431</v>
      </c>
      <c r="G100" s="33">
        <v>3339829.789331302</v>
      </c>
      <c r="H100" s="33">
        <v>-3228763.9833199382</v>
      </c>
      <c r="I100" s="33">
        <v>-5846390.1549571604</v>
      </c>
    </row>
    <row r="101" spans="2:9">
      <c r="B101" s="33">
        <v>94</v>
      </c>
      <c r="C101" s="33">
        <v>5658911.3685113788</v>
      </c>
      <c r="D101" s="33">
        <v>11887871.238465443</v>
      </c>
      <c r="E101" s="33">
        <v>11870961.516956329</v>
      </c>
      <c r="F101" s="33">
        <v>-9837854.7718621343</v>
      </c>
      <c r="G101" s="33">
        <v>1676211.1204182804</v>
      </c>
      <c r="H101" s="33">
        <v>-1160528.2775546908</v>
      </c>
      <c r="I101" s="33">
        <v>-6481601.6622935832</v>
      </c>
    </row>
    <row r="102" spans="2:9">
      <c r="B102" s="33">
        <v>95</v>
      </c>
      <c r="C102" s="33">
        <v>7412030.0472953171</v>
      </c>
      <c r="D102" s="33">
        <v>5971631.8472789377</v>
      </c>
      <c r="E102" s="33">
        <v>6496091.0387469381</v>
      </c>
      <c r="F102" s="33">
        <v>5640576.6964872181</v>
      </c>
      <c r="G102" s="33">
        <v>-2540336.9776837379</v>
      </c>
      <c r="H102" s="33">
        <v>-2729216.5990012437</v>
      </c>
      <c r="I102" s="33">
        <v>1516706.4484555423</v>
      </c>
    </row>
    <row r="103" spans="2:9">
      <c r="B103" s="33">
        <v>96</v>
      </c>
      <c r="C103" s="33">
        <v>7042404.9396879524</v>
      </c>
      <c r="D103" s="33">
        <v>1250692.2764187157</v>
      </c>
      <c r="E103" s="33">
        <v>6159922.2862587273</v>
      </c>
      <c r="F103" s="33">
        <v>-2469670.3871658444</v>
      </c>
      <c r="G103" s="33">
        <v>-1038218.7684034407</v>
      </c>
      <c r="H103" s="33">
        <v>-1433723.5213498175</v>
      </c>
      <c r="I103" s="33">
        <v>2051838.6528691202</v>
      </c>
    </row>
    <row r="104" spans="2:9">
      <c r="B104" s="33">
        <v>97</v>
      </c>
      <c r="C104" s="33">
        <v>11971760.725450829</v>
      </c>
      <c r="D104" s="33">
        <v>10795410.719278961</v>
      </c>
      <c r="E104" s="33">
        <v>-3388196.3245686591</v>
      </c>
      <c r="F104" s="33">
        <v>-7105736.9815016091</v>
      </c>
      <c r="G104" s="33">
        <v>2173037.1062595993</v>
      </c>
      <c r="H104" s="33">
        <v>4755236.5748758763</v>
      </c>
      <c r="I104" s="33">
        <v>25732.925921157002</v>
      </c>
    </row>
    <row r="105" spans="2:9">
      <c r="B105" s="33">
        <v>98</v>
      </c>
      <c r="C105" s="33">
        <v>22424241.397283375</v>
      </c>
      <c r="D105" s="33">
        <v>3282555.9158347249</v>
      </c>
      <c r="E105" s="33">
        <v>16827362.461880282</v>
      </c>
      <c r="F105" s="33">
        <v>1554073.3134375513</v>
      </c>
      <c r="G105" s="33">
        <v>-10778304.073905751</v>
      </c>
      <c r="H105" s="33">
        <v>-4241821.1238072813</v>
      </c>
      <c r="I105" s="33">
        <v>247503.52847716212</v>
      </c>
    </row>
    <row r="106" spans="2:9">
      <c r="B106" s="33">
        <v>99</v>
      </c>
      <c r="C106" s="33">
        <v>15718791.280866981</v>
      </c>
      <c r="D106" s="33">
        <v>1424815.548699826</v>
      </c>
      <c r="E106" s="33">
        <v>4217880.627988711</v>
      </c>
      <c r="F106" s="33">
        <v>4248692.4865261465</v>
      </c>
      <c r="G106" s="33">
        <v>4557879.0556082129</v>
      </c>
      <c r="H106" s="33">
        <v>-5448756.0957611054</v>
      </c>
      <c r="I106" s="33">
        <v>4522032.3490996063</v>
      </c>
    </row>
    <row r="107" spans="2:9">
      <c r="B107" s="33">
        <v>100</v>
      </c>
      <c r="C107" s="33">
        <v>17569421.158542931</v>
      </c>
      <c r="D107" s="33">
        <v>173501.76959809661</v>
      </c>
      <c r="E107" s="33">
        <v>8456947.7242969573</v>
      </c>
      <c r="F107" s="33">
        <v>7460679.4509569108</v>
      </c>
      <c r="G107" s="33">
        <v>4699218.8544634283</v>
      </c>
      <c r="H107" s="33">
        <v>-2586062.4331931472</v>
      </c>
      <c r="I107" s="33">
        <v>-7856501.035456717</v>
      </c>
    </row>
    <row r="108" spans="2:9">
      <c r="B108" s="33">
        <v>101</v>
      </c>
      <c r="C108" s="33">
        <v>15473787.757822216</v>
      </c>
      <c r="D108" s="33">
        <v>5958410.5725470781</v>
      </c>
      <c r="E108" s="33">
        <v>7422892.9144411832</v>
      </c>
      <c r="F108" s="33">
        <v>7727385.3153925091</v>
      </c>
      <c r="G108" s="33">
        <v>-874750.80426819623</v>
      </c>
      <c r="H108" s="33">
        <v>-6271118.9891710281</v>
      </c>
      <c r="I108" s="33">
        <v>6535412.793117702</v>
      </c>
    </row>
    <row r="109" spans="2:9">
      <c r="B109" s="33">
        <v>102</v>
      </c>
      <c r="C109" s="33">
        <v>19258563.385479599</v>
      </c>
      <c r="D109" s="33">
        <v>5187076.8240529448</v>
      </c>
      <c r="E109" s="33">
        <v>17200843.666128203</v>
      </c>
      <c r="F109" s="33">
        <v>5760927.0610878915</v>
      </c>
      <c r="G109" s="33">
        <v>4696255.3750213832</v>
      </c>
      <c r="H109" s="33">
        <v>2824380.1429575086</v>
      </c>
      <c r="I109" s="33">
        <v>2902278.7302668691</v>
      </c>
    </row>
    <row r="110" spans="2:9">
      <c r="B110" s="33">
        <v>103</v>
      </c>
      <c r="C110" s="33">
        <v>10987962.766139179</v>
      </c>
      <c r="D110" s="33">
        <v>10833213.834234789</v>
      </c>
      <c r="E110" s="33">
        <v>7966858.7446522415</v>
      </c>
      <c r="F110" s="33">
        <v>4236748.4331277609</v>
      </c>
      <c r="G110" s="33">
        <v>-2170497.2283932567</v>
      </c>
      <c r="H110" s="33">
        <v>-4817075.6934605688</v>
      </c>
      <c r="I110" s="33">
        <v>-307506.59760184586</v>
      </c>
    </row>
    <row r="111" spans="2:9">
      <c r="B111" s="33">
        <v>104</v>
      </c>
      <c r="C111" s="33">
        <v>3340787.2799478173</v>
      </c>
      <c r="D111" s="33">
        <v>9034427.6179456115</v>
      </c>
      <c r="E111" s="33">
        <v>-4577825.6712821275</v>
      </c>
      <c r="F111" s="33">
        <v>8264520.6933980882</v>
      </c>
      <c r="G111" s="33">
        <v>1289937.1359445602</v>
      </c>
      <c r="H111" s="33">
        <v>-3664684.6116715372</v>
      </c>
      <c r="I111" s="33">
        <v>1444137.8485705554</v>
      </c>
    </row>
    <row r="112" spans="2:9">
      <c r="B112" s="33">
        <v>105</v>
      </c>
      <c r="C112" s="33">
        <v>7600360.5510814786</v>
      </c>
      <c r="D112" s="33">
        <v>10458643.611994952</v>
      </c>
      <c r="E112" s="33">
        <v>8551613.3544034064</v>
      </c>
      <c r="F112" s="33">
        <v>-4630559.1260011941</v>
      </c>
      <c r="G112" s="33">
        <v>8473152.7755544484</v>
      </c>
      <c r="H112" s="33">
        <v>2908986.7090160549</v>
      </c>
      <c r="I112" s="33">
        <v>-1249721.2594969571</v>
      </c>
    </row>
    <row r="113" spans="2:9">
      <c r="B113" s="33">
        <v>106</v>
      </c>
      <c r="C113" s="33">
        <v>14196601.374296769</v>
      </c>
      <c r="D113" s="33">
        <v>14485272.098874211</v>
      </c>
      <c r="E113" s="33">
        <v>5046845.4361569136</v>
      </c>
      <c r="F113" s="33">
        <v>4484351.1026379466</v>
      </c>
      <c r="G113" s="33">
        <v>329201.30405470729</v>
      </c>
      <c r="H113" s="33">
        <v>-2020415.4710212052</v>
      </c>
      <c r="I113" s="33">
        <v>-1349357.0731925219</v>
      </c>
    </row>
    <row r="114" spans="2:9">
      <c r="B114" s="33">
        <v>107</v>
      </c>
      <c r="C114" s="33">
        <v>12768304.899501428</v>
      </c>
      <c r="D114" s="33">
        <v>8839066.4798560143</v>
      </c>
      <c r="E114" s="33">
        <v>-1244961.7648369819</v>
      </c>
      <c r="F114" s="33">
        <v>3689153.5332358927</v>
      </c>
      <c r="G114" s="33">
        <v>9261037.6029521525</v>
      </c>
      <c r="H114" s="33">
        <v>2141329.4296311736</v>
      </c>
      <c r="I114" s="33">
        <v>-3386304.7648794055</v>
      </c>
    </row>
    <row r="115" spans="2:9">
      <c r="B115" s="33">
        <v>108</v>
      </c>
      <c r="C115" s="33">
        <v>11889686.557413101</v>
      </c>
      <c r="D115" s="33">
        <v>10441469.820153788</v>
      </c>
      <c r="E115" s="33">
        <v>-3495346.8807628751</v>
      </c>
      <c r="F115" s="33">
        <v>4878277.3850191832</v>
      </c>
      <c r="G115" s="33">
        <v>6917045.4945090711</v>
      </c>
      <c r="H115" s="33">
        <v>-5772440.0382596999</v>
      </c>
      <c r="I115" s="33">
        <v>-5896913.7512392998</v>
      </c>
    </row>
    <row r="116" spans="2:9">
      <c r="B116" s="33">
        <v>109</v>
      </c>
      <c r="C116" s="33">
        <v>3560855.4195974469</v>
      </c>
      <c r="D116" s="33">
        <v>-1254529.5159846097</v>
      </c>
      <c r="E116" s="33">
        <v>8292041.1772902608</v>
      </c>
      <c r="F116" s="33">
        <v>452252.15214890242</v>
      </c>
      <c r="G116" s="33">
        <v>8750420.5375870019</v>
      </c>
      <c r="H116" s="33">
        <v>6814006.3725508749</v>
      </c>
      <c r="I116" s="33">
        <v>882786.67477986217</v>
      </c>
    </row>
    <row r="117" spans="2:9">
      <c r="B117" s="33">
        <v>110</v>
      </c>
      <c r="C117" s="33">
        <v>21812934.749792695</v>
      </c>
      <c r="D117" s="33">
        <v>12021710.736722246</v>
      </c>
      <c r="E117" s="33">
        <v>14218633.713609904</v>
      </c>
      <c r="F117" s="33">
        <v>6939927.0625822842</v>
      </c>
      <c r="G117" s="33">
        <v>14469446.141635239</v>
      </c>
      <c r="H117" s="33">
        <v>2985633.6564804912</v>
      </c>
      <c r="I117" s="33">
        <v>-1032501.694262743</v>
      </c>
    </row>
    <row r="118" spans="2:9">
      <c r="B118" s="33">
        <v>111</v>
      </c>
      <c r="C118" s="33">
        <v>11237384.758865327</v>
      </c>
      <c r="D118" s="33">
        <v>10989557.525670409</v>
      </c>
      <c r="E118" s="33">
        <v>9825200.2410520017</v>
      </c>
      <c r="F118" s="33">
        <v>4854849.9542595744</v>
      </c>
      <c r="G118" s="33">
        <v>2984702.620890215</v>
      </c>
      <c r="H118" s="33">
        <v>-7739777.7448409498</v>
      </c>
      <c r="I118" s="33">
        <v>-1154630.7864219844</v>
      </c>
    </row>
    <row r="119" spans="2:9">
      <c r="B119" s="33">
        <v>112</v>
      </c>
      <c r="C119" s="33">
        <v>19081822.36660257</v>
      </c>
      <c r="D119" s="33">
        <v>10882492.598943919</v>
      </c>
      <c r="E119" s="33">
        <v>4606091.7007618695</v>
      </c>
      <c r="F119" s="33">
        <v>8870650.4862572402</v>
      </c>
      <c r="G119" s="33">
        <v>-157316.35888600349</v>
      </c>
      <c r="H119" s="33">
        <v>7685231.2570996881</v>
      </c>
      <c r="I119" s="33">
        <v>575481.93574783206</v>
      </c>
    </row>
    <row r="120" spans="2:9">
      <c r="B120" s="33">
        <v>113</v>
      </c>
      <c r="C120" s="33">
        <v>13089237.856511906</v>
      </c>
      <c r="D120" s="33">
        <v>3559461.0300004929</v>
      </c>
      <c r="E120" s="33">
        <v>15271865.970053345</v>
      </c>
      <c r="F120" s="33">
        <v>-2117107.5490102321</v>
      </c>
      <c r="G120" s="33">
        <v>-12834439.183841482</v>
      </c>
      <c r="H120" s="33">
        <v>-2113412.9518344402</v>
      </c>
      <c r="I120" s="33">
        <v>3892549.7792980373</v>
      </c>
    </row>
    <row r="121" spans="2:9">
      <c r="B121" s="33">
        <v>114</v>
      </c>
      <c r="C121" s="33">
        <v>8803016.8539314419</v>
      </c>
      <c r="D121" s="33">
        <v>8681997.1336495876</v>
      </c>
      <c r="E121" s="33">
        <v>5014973.0567463338</v>
      </c>
      <c r="F121" s="33">
        <v>3468236.2335452437</v>
      </c>
      <c r="G121" s="33">
        <v>6430782.8318359852</v>
      </c>
      <c r="H121" s="33">
        <v>-3355483.797927916</v>
      </c>
      <c r="I121" s="33">
        <v>-15331416.619050026</v>
      </c>
    </row>
    <row r="122" spans="2:9">
      <c r="B122" s="33">
        <v>115</v>
      </c>
      <c r="C122" s="33">
        <v>12438820.24932453</v>
      </c>
      <c r="D122" s="33">
        <v>6762711.4758242667</v>
      </c>
      <c r="E122" s="33">
        <v>889431.40087452531</v>
      </c>
      <c r="F122" s="33">
        <v>-3182037.5090302378</v>
      </c>
      <c r="G122" s="33">
        <v>7398794.3068318367</v>
      </c>
      <c r="H122" s="33">
        <v>407376.97334039211</v>
      </c>
      <c r="I122" s="33">
        <v>2930149.6468301713</v>
      </c>
    </row>
    <row r="123" spans="2:9">
      <c r="B123" s="33">
        <v>116</v>
      </c>
      <c r="C123" s="33">
        <v>7195542.4039595872</v>
      </c>
      <c r="D123" s="33">
        <v>12989383.194451302</v>
      </c>
      <c r="E123" s="33">
        <v>9313865.6580533385</v>
      </c>
      <c r="F123" s="33">
        <v>1928357.8172076046</v>
      </c>
      <c r="G123" s="33">
        <v>498032.2539678812</v>
      </c>
      <c r="H123" s="33">
        <v>-4711220.9586144537</v>
      </c>
      <c r="I123" s="33">
        <v>2329384.9946244955</v>
      </c>
    </row>
    <row r="124" spans="2:9">
      <c r="B124" s="33">
        <v>117</v>
      </c>
      <c r="C124" s="33">
        <v>18027152.79625003</v>
      </c>
      <c r="D124" s="33">
        <v>2221747.0895429105</v>
      </c>
      <c r="E124" s="33">
        <v>5202476.1777307838</v>
      </c>
      <c r="F124" s="33">
        <v>9404170.8913380653</v>
      </c>
      <c r="G124" s="33">
        <v>8247255.8717695624</v>
      </c>
      <c r="H124" s="33">
        <v>13657223.198478431</v>
      </c>
      <c r="I124" s="33">
        <v>-4114233.2012635767</v>
      </c>
    </row>
    <row r="125" spans="2:9">
      <c r="B125" s="33">
        <v>118</v>
      </c>
      <c r="C125" s="33">
        <v>9009452.8943835646</v>
      </c>
      <c r="D125" s="33">
        <v>8785059.7562123388</v>
      </c>
      <c r="E125" s="33">
        <v>558233.73510792851</v>
      </c>
      <c r="F125" s="33">
        <v>4268284.5605263114</v>
      </c>
      <c r="G125" s="33">
        <v>-1160591.8975579441</v>
      </c>
      <c r="H125" s="33">
        <v>-7717520.2419513762</v>
      </c>
      <c r="I125" s="33">
        <v>2521918.9056401998</v>
      </c>
    </row>
    <row r="126" spans="2:9">
      <c r="B126" s="33">
        <v>119</v>
      </c>
      <c r="C126" s="33">
        <v>2506445.4855054021</v>
      </c>
      <c r="D126" s="33">
        <v>13478960.480438039</v>
      </c>
      <c r="E126" s="33">
        <v>2898996.7981563807</v>
      </c>
      <c r="F126" s="33">
        <v>3338346.1894439012</v>
      </c>
      <c r="G126" s="33">
        <v>798665.66231478751</v>
      </c>
      <c r="H126" s="33">
        <v>-5819451.2045518309</v>
      </c>
      <c r="I126" s="33">
        <v>2243881.8010421991</v>
      </c>
    </row>
    <row r="127" spans="2:9">
      <c r="B127" s="33">
        <v>120</v>
      </c>
      <c r="C127" s="33">
        <v>10067451.933987811</v>
      </c>
      <c r="D127" s="33">
        <v>871509.07010425627</v>
      </c>
      <c r="E127" s="33">
        <v>4534417.5310767591</v>
      </c>
      <c r="F127" s="33">
        <v>6797725.9766211212</v>
      </c>
      <c r="G127" s="33">
        <v>12252401.271730915</v>
      </c>
      <c r="H127" s="33">
        <v>8262381.3166346252</v>
      </c>
      <c r="I127" s="33">
        <v>563332.1607580781</v>
      </c>
    </row>
    <row r="128" spans="2:9">
      <c r="B128" s="33">
        <v>121</v>
      </c>
      <c r="C128" s="33">
        <v>15944535.209306449</v>
      </c>
      <c r="D128" s="33">
        <v>4692892.7964926362</v>
      </c>
      <c r="E128" s="33">
        <v>13178603.79382208</v>
      </c>
      <c r="F128" s="33">
        <v>-605054.67129302025</v>
      </c>
      <c r="G128" s="33">
        <v>3962384.5340904891</v>
      </c>
      <c r="H128" s="33">
        <v>-5567549.2461323142</v>
      </c>
      <c r="I128" s="33">
        <v>-5098006.4556785226</v>
      </c>
    </row>
    <row r="129" spans="2:9">
      <c r="B129" s="33">
        <v>122</v>
      </c>
      <c r="C129" s="33">
        <v>11754381.93972604</v>
      </c>
      <c r="D129" s="33">
        <v>17559590.946244121</v>
      </c>
      <c r="E129" s="33">
        <v>-7937340.7479553223</v>
      </c>
      <c r="F129" s="33">
        <v>-2494911.8684882522</v>
      </c>
      <c r="G129" s="33">
        <v>3838561.6803493798</v>
      </c>
      <c r="H129" s="33">
        <v>-1050511.5851784647</v>
      </c>
      <c r="I129" s="33">
        <v>-5543864.2168064117</v>
      </c>
    </row>
    <row r="130" spans="2:9">
      <c r="B130" s="33">
        <v>123</v>
      </c>
      <c r="C130" s="33">
        <v>8539162.6082823128</v>
      </c>
      <c r="D130" s="33">
        <v>12460802.223510355</v>
      </c>
      <c r="E130" s="33">
        <v>4397005.5199223757</v>
      </c>
      <c r="F130" s="33">
        <v>-5694392.9310935587</v>
      </c>
      <c r="G130" s="33">
        <v>-7266420.3401203156</v>
      </c>
      <c r="H130" s="33">
        <v>-3919872.4947297275</v>
      </c>
      <c r="I130" s="33">
        <v>310279.00750304759</v>
      </c>
    </row>
    <row r="131" spans="2:9">
      <c r="B131" s="33">
        <v>124</v>
      </c>
      <c r="C131" s="33">
        <v>12918641.137440622</v>
      </c>
      <c r="D131" s="33">
        <v>-1017931.2579150945</v>
      </c>
      <c r="E131" s="33">
        <v>-330960.24252845347</v>
      </c>
      <c r="F131" s="33">
        <v>6117693.637290746</v>
      </c>
      <c r="G131" s="33">
        <v>12469890.253940031</v>
      </c>
      <c r="H131" s="33">
        <v>3033276.7681166828</v>
      </c>
      <c r="I131" s="33">
        <v>-2297407.9697074741</v>
      </c>
    </row>
    <row r="132" spans="2:9">
      <c r="B132" s="33">
        <v>125</v>
      </c>
      <c r="C132" s="33">
        <v>-1594057.5187120736</v>
      </c>
      <c r="D132" s="33">
        <v>14243263.880281791</v>
      </c>
      <c r="E132" s="33">
        <v>-368038.66631941497</v>
      </c>
      <c r="F132" s="33">
        <v>6012924.8635857999</v>
      </c>
      <c r="G132" s="33">
        <v>9347139.895596087</v>
      </c>
      <c r="H132" s="33">
        <v>5337638.0798804462</v>
      </c>
      <c r="I132" s="33">
        <v>53964.46021464467</v>
      </c>
    </row>
    <row r="133" spans="2:9">
      <c r="B133" s="33">
        <v>126</v>
      </c>
      <c r="C133" s="33">
        <v>8669186.7703344971</v>
      </c>
      <c r="D133" s="33">
        <v>16425662.703332126</v>
      </c>
      <c r="E133" s="33">
        <v>537978.91800320148</v>
      </c>
      <c r="F133" s="33">
        <v>5799592.0340091884</v>
      </c>
      <c r="G133" s="33">
        <v>-11673985.46225208</v>
      </c>
      <c r="H133" s="33">
        <v>5749057.3021591604</v>
      </c>
      <c r="I133" s="33">
        <v>7055902.7348809391</v>
      </c>
    </row>
    <row r="134" spans="2:9">
      <c r="B134" s="33">
        <v>127</v>
      </c>
      <c r="C134" s="33">
        <v>3387952.0369087458</v>
      </c>
      <c r="D134" s="33">
        <v>10363781.704484373</v>
      </c>
      <c r="E134" s="33">
        <v>8398174.7961279154</v>
      </c>
      <c r="F134" s="33">
        <v>2485736.6308196187</v>
      </c>
      <c r="G134" s="33">
        <v>-2385225.5036111325</v>
      </c>
      <c r="H134" s="33">
        <v>-8041207.9512421638</v>
      </c>
      <c r="I134" s="33">
        <v>-11864853.844847694</v>
      </c>
    </row>
    <row r="135" spans="2:9">
      <c r="B135" s="33">
        <v>128</v>
      </c>
      <c r="C135" s="33">
        <v>7374393.4338690788</v>
      </c>
      <c r="D135" s="33">
        <v>18169846.436350018</v>
      </c>
      <c r="E135" s="33">
        <v>10567723.880931675</v>
      </c>
      <c r="F135" s="33">
        <v>4183169.9156447798</v>
      </c>
      <c r="G135" s="33">
        <v>4379902.387718454</v>
      </c>
      <c r="H135" s="33">
        <v>1028935.4155072868</v>
      </c>
      <c r="I135" s="33">
        <v>-7932561.7902851403</v>
      </c>
    </row>
    <row r="136" spans="2:9">
      <c r="B136" s="33">
        <v>129</v>
      </c>
      <c r="C136" s="33">
        <v>10075836.636349365</v>
      </c>
      <c r="D136" s="33">
        <v>-5655740.6775550395</v>
      </c>
      <c r="E136" s="33">
        <v>9565437.0487198681</v>
      </c>
      <c r="F136" s="33">
        <v>2303974.9952186644</v>
      </c>
      <c r="G136" s="33">
        <v>-633163.50139051676</v>
      </c>
      <c r="H136" s="33">
        <v>1907043.3079215288</v>
      </c>
      <c r="I136" s="33">
        <v>-13102816.802060679</v>
      </c>
    </row>
    <row r="137" spans="2:9">
      <c r="B137" s="33">
        <v>130</v>
      </c>
      <c r="C137" s="33">
        <v>10851260.340553343</v>
      </c>
      <c r="D137" s="33">
        <v>5211459.8081402034</v>
      </c>
      <c r="E137" s="33">
        <v>6497222.5073033273</v>
      </c>
      <c r="F137" s="33">
        <v>2840829.8007553071</v>
      </c>
      <c r="G137" s="33">
        <v>2096574.0555694997</v>
      </c>
      <c r="H137" s="33">
        <v>-5205909.5131060779</v>
      </c>
      <c r="I137" s="33">
        <v>3267967.2435113043</v>
      </c>
    </row>
    <row r="138" spans="2:9">
      <c r="B138" s="33">
        <v>131</v>
      </c>
      <c r="C138" s="33">
        <v>12724726.032807827</v>
      </c>
      <c r="D138" s="33">
        <v>5240998.746722132</v>
      </c>
      <c r="E138" s="33">
        <v>12255099.631822333</v>
      </c>
      <c r="F138" s="33">
        <v>7255967.9929600358</v>
      </c>
      <c r="G138" s="33">
        <v>1398008.3972428441</v>
      </c>
      <c r="H138" s="33">
        <v>-14756764.878379107</v>
      </c>
      <c r="I138" s="33">
        <v>2324641.1858099997</v>
      </c>
    </row>
    <row r="139" spans="2:9">
      <c r="B139" s="33">
        <v>132</v>
      </c>
      <c r="C139" s="33">
        <v>11586579.619964242</v>
      </c>
      <c r="D139" s="33">
        <v>4176989.9123276621</v>
      </c>
      <c r="E139" s="33">
        <v>10852265.471970171</v>
      </c>
      <c r="F139" s="33">
        <v>6632913.4818347394</v>
      </c>
      <c r="G139" s="33">
        <v>313249.75984242558</v>
      </c>
      <c r="H139" s="33">
        <v>-2920232.8165582716</v>
      </c>
      <c r="I139" s="33">
        <v>5453576.8996890783</v>
      </c>
    </row>
    <row r="140" spans="2:9">
      <c r="B140" s="33">
        <v>133</v>
      </c>
      <c r="C140" s="33">
        <v>10177194.870742783</v>
      </c>
      <c r="D140" s="33">
        <v>15591501.925693661</v>
      </c>
      <c r="E140" s="33">
        <v>5678437.4716613591</v>
      </c>
      <c r="F140" s="33">
        <v>8217280.612061277</v>
      </c>
      <c r="G140" s="33">
        <v>1865257.7277768701</v>
      </c>
      <c r="H140" s="33">
        <v>-975192.99275770783</v>
      </c>
      <c r="I140" s="33">
        <v>-2351054.8310405165</v>
      </c>
    </row>
    <row r="141" spans="2:9">
      <c r="B141" s="33">
        <v>134</v>
      </c>
      <c r="C141" s="33">
        <v>16603119.876444027</v>
      </c>
      <c r="D141" s="33">
        <v>5562216.6017003506</v>
      </c>
      <c r="E141" s="33">
        <v>1456363.8610793948</v>
      </c>
      <c r="F141" s="33">
        <v>6241551.9291464239</v>
      </c>
      <c r="G141" s="33">
        <v>-7742704.0957027972</v>
      </c>
      <c r="H141" s="33">
        <v>-3650498.4299001396</v>
      </c>
      <c r="I141" s="33">
        <v>251140.67917571962</v>
      </c>
    </row>
    <row r="142" spans="2:9">
      <c r="B142" s="33">
        <v>135</v>
      </c>
      <c r="C142" s="33">
        <v>18458394.326235488</v>
      </c>
      <c r="D142" s="33">
        <v>-7792266.8774121404</v>
      </c>
      <c r="E142" s="33">
        <v>15027970.63295649</v>
      </c>
      <c r="F142" s="33">
        <v>6956647.6932827979</v>
      </c>
      <c r="G142" s="33">
        <v>9650346.9650148749</v>
      </c>
      <c r="H142" s="33">
        <v>-14055080.859629482</v>
      </c>
      <c r="I142" s="33">
        <v>-918107.44366650283</v>
      </c>
    </row>
    <row r="143" spans="2:9">
      <c r="B143" s="33">
        <v>136</v>
      </c>
      <c r="C143" s="33">
        <v>8685640.4736316502</v>
      </c>
      <c r="D143" s="33">
        <v>12500982.403673008</v>
      </c>
      <c r="E143" s="33">
        <v>10787126.682017416</v>
      </c>
      <c r="F143" s="33">
        <v>-967848.94037370384</v>
      </c>
      <c r="G143" s="33">
        <v>4329571.5667995811</v>
      </c>
      <c r="H143" s="33">
        <v>-417216.18183080852</v>
      </c>
      <c r="I143" s="33">
        <v>-1329878.8648396879</v>
      </c>
    </row>
    <row r="144" spans="2:9">
      <c r="B144" s="33">
        <v>137</v>
      </c>
      <c r="C144" s="33">
        <v>8134068.5446431935</v>
      </c>
      <c r="D144" s="33">
        <v>5257438.0080129504</v>
      </c>
      <c r="E144" s="33">
        <v>16105921.571263433</v>
      </c>
      <c r="F144" s="33">
        <v>9688735.4492680877</v>
      </c>
      <c r="G144" s="33">
        <v>-2266096.4329845011</v>
      </c>
      <c r="H144" s="33">
        <v>-14825185.591985106</v>
      </c>
      <c r="I144" s="33">
        <v>-5186790.3813053817</v>
      </c>
    </row>
    <row r="145" spans="2:9">
      <c r="B145" s="33">
        <v>138</v>
      </c>
      <c r="C145" s="33">
        <v>11145855.409266263</v>
      </c>
      <c r="D145" s="33">
        <v>5567907.7544962466</v>
      </c>
      <c r="E145" s="33">
        <v>894662.85077360272</v>
      </c>
      <c r="F145" s="33">
        <v>6316377.5469865203</v>
      </c>
      <c r="G145" s="33">
        <v>8059505.2078744024</v>
      </c>
      <c r="H145" s="33">
        <v>5620193.2458007634</v>
      </c>
      <c r="I145" s="33">
        <v>-2902232.7998624593</v>
      </c>
    </row>
    <row r="146" spans="2:9">
      <c r="B146" s="33">
        <v>139</v>
      </c>
      <c r="C146" s="33">
        <v>13487823.421844468</v>
      </c>
      <c r="D146" s="33">
        <v>15942623.484152108</v>
      </c>
      <c r="E146" s="33">
        <v>6179594.559148401</v>
      </c>
      <c r="F146" s="33">
        <v>-3999846.2808305323</v>
      </c>
      <c r="G146" s="33">
        <v>2513523.2980972826</v>
      </c>
      <c r="H146" s="33">
        <v>-1228182.4492490739</v>
      </c>
      <c r="I146" s="33">
        <v>3556125.4439324439</v>
      </c>
    </row>
    <row r="147" spans="2:9">
      <c r="B147" s="33">
        <v>140</v>
      </c>
      <c r="C147" s="33">
        <v>7347259.3457889855</v>
      </c>
      <c r="D147" s="33">
        <v>6560757.7994188815</v>
      </c>
      <c r="E147" s="33">
        <v>-1466076.7752633691</v>
      </c>
      <c r="F147" s="33">
        <v>8724043.5389464349</v>
      </c>
      <c r="G147" s="33">
        <v>5559848.5664832592</v>
      </c>
      <c r="H147" s="33">
        <v>-7966374.9272659272</v>
      </c>
      <c r="I147" s="33">
        <v>-1924552.9128843546</v>
      </c>
    </row>
    <row r="148" spans="2:9">
      <c r="B148" s="33">
        <v>141</v>
      </c>
      <c r="C148" s="33">
        <v>12195414.172449052</v>
      </c>
      <c r="D148" s="33">
        <v>867556.74173338711</v>
      </c>
      <c r="E148" s="33">
        <v>-1343008.8368161172</v>
      </c>
      <c r="F148" s="33">
        <v>12564584.416990101</v>
      </c>
      <c r="G148" s="33">
        <v>7248331.6381818652</v>
      </c>
      <c r="H148" s="33">
        <v>-1652638.2467180938</v>
      </c>
      <c r="I148" s="33">
        <v>4242395.5373355597</v>
      </c>
    </row>
    <row r="149" spans="2:9">
      <c r="B149" s="33">
        <v>142</v>
      </c>
      <c r="C149" s="33">
        <v>2081274.7478238046</v>
      </c>
      <c r="D149" s="33">
        <v>4286744.9933207631</v>
      </c>
      <c r="E149" s="33">
        <v>7722437.3073866218</v>
      </c>
      <c r="F149" s="33">
        <v>-3130403.3856076747</v>
      </c>
      <c r="G149" s="33">
        <v>8992353.5743413419</v>
      </c>
      <c r="H149" s="33">
        <v>-1744236.8254924715</v>
      </c>
      <c r="I149" s="33">
        <v>1605110.5238535255</v>
      </c>
    </row>
    <row r="150" spans="2:9">
      <c r="B150" s="33">
        <v>143</v>
      </c>
      <c r="C150" s="33">
        <v>16255176.70630613</v>
      </c>
      <c r="D150" s="33">
        <v>8530752.179939419</v>
      </c>
      <c r="E150" s="33">
        <v>9099232.5230544806</v>
      </c>
      <c r="F150" s="33">
        <v>2243178.6506798267</v>
      </c>
      <c r="G150" s="33">
        <v>6570701.7164859772</v>
      </c>
      <c r="H150" s="33">
        <v>-3693673.375021562</v>
      </c>
      <c r="I150" s="33">
        <v>-322393.55373199284</v>
      </c>
    </row>
    <row r="151" spans="2:9">
      <c r="B151" s="33">
        <v>144</v>
      </c>
      <c r="C151" s="33">
        <v>12865367.013893411</v>
      </c>
      <c r="D151" s="33">
        <v>17447236.27527304</v>
      </c>
      <c r="E151" s="33">
        <v>9658269.4966356456</v>
      </c>
      <c r="F151" s="33">
        <v>4684331.7628077567</v>
      </c>
      <c r="G151" s="33">
        <v>10485786.999966681</v>
      </c>
      <c r="H151" s="33">
        <v>-19053802.575202778</v>
      </c>
      <c r="I151" s="33">
        <v>105205.85731388628</v>
      </c>
    </row>
    <row r="152" spans="2:9">
      <c r="B152" s="33">
        <v>145</v>
      </c>
      <c r="C152" s="33">
        <v>6759487.5535392314</v>
      </c>
      <c r="D152" s="33">
        <v>17361314.54257597</v>
      </c>
      <c r="E152" s="33">
        <v>-1349767.6911340207</v>
      </c>
      <c r="F152" s="33">
        <v>5914942.932338655</v>
      </c>
      <c r="G152" s="33">
        <v>-7181580.1349897832</v>
      </c>
      <c r="H152" s="33">
        <v>-1036498.8309276402</v>
      </c>
      <c r="I152" s="33">
        <v>-3765985.5650208294</v>
      </c>
    </row>
    <row r="153" spans="2:9">
      <c r="B153" s="33">
        <v>146</v>
      </c>
      <c r="C153" s="33">
        <v>20190077.577782735</v>
      </c>
      <c r="D153" s="33">
        <v>12413385.361510634</v>
      </c>
      <c r="E153" s="33">
        <v>12947228.41346024</v>
      </c>
      <c r="F153" s="33">
        <v>-3173828.6642158926</v>
      </c>
      <c r="G153" s="33">
        <v>1367068.6721524</v>
      </c>
      <c r="H153" s="33">
        <v>2087448.6928096712</v>
      </c>
      <c r="I153" s="33">
        <v>7931174.536661908</v>
      </c>
    </row>
    <row r="154" spans="2:9">
      <c r="B154" s="33">
        <v>147</v>
      </c>
      <c r="C154" s="33">
        <v>6176839.0283307284</v>
      </c>
      <c r="D154" s="33">
        <v>-415489.11797726154</v>
      </c>
      <c r="E154" s="33">
        <v>13466986.746403545</v>
      </c>
      <c r="F154" s="33">
        <v>-4658306.8217789084</v>
      </c>
      <c r="G154" s="33">
        <v>10703770.090407729</v>
      </c>
      <c r="H154" s="33">
        <v>-5633604.6230451167</v>
      </c>
      <c r="I154" s="33">
        <v>-6541685.4730899334</v>
      </c>
    </row>
    <row r="155" spans="2:9">
      <c r="B155" s="33">
        <v>148</v>
      </c>
      <c r="C155" s="33">
        <v>15671438.926626086</v>
      </c>
      <c r="D155" s="33">
        <v>22185048.329636499</v>
      </c>
      <c r="E155" s="33">
        <v>7358886.5892421305</v>
      </c>
      <c r="F155" s="33">
        <v>2092856.1966165751</v>
      </c>
      <c r="G155" s="33">
        <v>-1944038.3127685338</v>
      </c>
      <c r="H155" s="33">
        <v>1281507.3669986129</v>
      </c>
      <c r="I155" s="33">
        <v>-745059.1918245703</v>
      </c>
    </row>
    <row r="156" spans="2:9">
      <c r="B156" s="33">
        <v>149</v>
      </c>
      <c r="C156" s="33">
        <v>8054164.5284292698</v>
      </c>
      <c r="D156" s="33">
        <v>13440417.730391487</v>
      </c>
      <c r="E156" s="33">
        <v>1075692.314770177</v>
      </c>
      <c r="F156" s="33">
        <v>11267013.688829988</v>
      </c>
      <c r="G156" s="33">
        <v>4165043.9099211395</v>
      </c>
      <c r="H156" s="33">
        <v>4810555.9664576352</v>
      </c>
      <c r="I156" s="33">
        <v>-7521497.6111114323</v>
      </c>
    </row>
    <row r="157" spans="2:9">
      <c r="B157" s="33">
        <v>150</v>
      </c>
      <c r="C157" s="33">
        <v>19926102.118119776</v>
      </c>
      <c r="D157" s="33">
        <v>-1046628.1704490185</v>
      </c>
      <c r="E157" s="33">
        <v>12972586.237785608</v>
      </c>
      <c r="F157" s="33">
        <v>7835068.1805753708</v>
      </c>
      <c r="G157" s="33">
        <v>-2365432.6205037534</v>
      </c>
      <c r="H157" s="33">
        <v>3998887.6554548442</v>
      </c>
      <c r="I157" s="33">
        <v>-2154616.4756803811</v>
      </c>
    </row>
    <row r="158" spans="2:9">
      <c r="B158" s="33">
        <v>151</v>
      </c>
      <c r="C158" s="33">
        <v>15528419.823440313</v>
      </c>
      <c r="D158" s="33">
        <v>13109046.502140343</v>
      </c>
      <c r="E158" s="33">
        <v>3863747.4134577513</v>
      </c>
      <c r="F158" s="33">
        <v>1361344.0764058381</v>
      </c>
      <c r="G158" s="33">
        <v>5508091.3482697606</v>
      </c>
      <c r="H158" s="33">
        <v>3351520.4799241424</v>
      </c>
      <c r="I158" s="33">
        <v>-6157748.3807854652</v>
      </c>
    </row>
    <row r="159" spans="2:9">
      <c r="B159" s="33">
        <v>152</v>
      </c>
      <c r="C159" s="33">
        <v>14893192.35566695</v>
      </c>
      <c r="D159" s="33">
        <v>6119504.4651299119</v>
      </c>
      <c r="E159" s="33">
        <v>8510135.4681337476</v>
      </c>
      <c r="F159" s="33">
        <v>-3935993.243187055</v>
      </c>
      <c r="G159" s="33">
        <v>-2516280.5667973012</v>
      </c>
      <c r="H159" s="33">
        <v>-3481233.1590740532</v>
      </c>
      <c r="I159" s="33">
        <v>-9607596.5320528001</v>
      </c>
    </row>
    <row r="160" spans="2:9">
      <c r="B160" s="33">
        <v>153</v>
      </c>
      <c r="C160" s="33">
        <v>9801500.506601274</v>
      </c>
      <c r="D160" s="33">
        <v>15254209.886625037</v>
      </c>
      <c r="E160" s="33">
        <v>10769013.657460064</v>
      </c>
      <c r="F160" s="33">
        <v>7262727.9054507166</v>
      </c>
      <c r="G160" s="33">
        <v>2251911.3894545436</v>
      </c>
      <c r="H160" s="33">
        <v>-1468983.9895368516</v>
      </c>
      <c r="I160" s="33">
        <v>-6927788.3085412979</v>
      </c>
    </row>
    <row r="161" spans="2:9">
      <c r="B161" s="33">
        <v>154</v>
      </c>
      <c r="C161" s="33">
        <v>9340492.9563720822</v>
      </c>
      <c r="D161" s="33">
        <v>6329548.9653640389</v>
      </c>
      <c r="E161" s="33">
        <v>-12121063.300083891</v>
      </c>
      <c r="F161" s="33">
        <v>2561677.1376473159</v>
      </c>
      <c r="G161" s="33">
        <v>11836776.720641553</v>
      </c>
      <c r="H161" s="33">
        <v>2024635.5921800137</v>
      </c>
      <c r="I161" s="33">
        <v>-7901668.430041641</v>
      </c>
    </row>
    <row r="162" spans="2:9">
      <c r="B162" s="33">
        <v>155</v>
      </c>
      <c r="C162" s="33">
        <v>12689069.477362037</v>
      </c>
      <c r="D162" s="33">
        <v>8705835.6330443472</v>
      </c>
      <c r="E162" s="33">
        <v>1798848.0224455893</v>
      </c>
      <c r="F162" s="33">
        <v>9698106.5621933043</v>
      </c>
      <c r="G162" s="33">
        <v>-4190525.8423633724</v>
      </c>
      <c r="H162" s="33">
        <v>-4805868.1386038959</v>
      </c>
      <c r="I162" s="33">
        <v>-2891832.5166571736</v>
      </c>
    </row>
    <row r="163" spans="2:9">
      <c r="B163" s="33">
        <v>156</v>
      </c>
      <c r="C163" s="33">
        <v>14502168.132098407</v>
      </c>
      <c r="D163" s="33">
        <v>8062244.4264224768</v>
      </c>
      <c r="E163" s="33">
        <v>16869150.303830564</v>
      </c>
      <c r="F163" s="33">
        <v>8557049.2517366707</v>
      </c>
      <c r="G163" s="33">
        <v>2407420.5323799551</v>
      </c>
      <c r="H163" s="33">
        <v>7510893.5157453716</v>
      </c>
      <c r="I163" s="33">
        <v>4064246.8473706096</v>
      </c>
    </row>
    <row r="164" spans="2:9">
      <c r="B164" s="33">
        <v>157</v>
      </c>
      <c r="C164" s="33">
        <v>9572410.595788464</v>
      </c>
      <c r="D164" s="33">
        <v>6698557.3368329108</v>
      </c>
      <c r="E164" s="33">
        <v>3237619.7383833975</v>
      </c>
      <c r="F164" s="33">
        <v>-938146.19186849892</v>
      </c>
      <c r="G164" s="33">
        <v>-931224.82233186066</v>
      </c>
      <c r="H164" s="33">
        <v>5076955.1638156176</v>
      </c>
      <c r="I164" s="33">
        <v>3002864.8611336648</v>
      </c>
    </row>
    <row r="165" spans="2:9">
      <c r="B165" s="33">
        <v>158</v>
      </c>
      <c r="C165" s="33">
        <v>4687060.1124548614</v>
      </c>
      <c r="D165" s="33">
        <v>14802530.823323697</v>
      </c>
      <c r="E165" s="33">
        <v>744367.30709046125</v>
      </c>
      <c r="F165" s="33">
        <v>7992199.7721025795</v>
      </c>
      <c r="G165" s="33">
        <v>9435730.5889382958</v>
      </c>
      <c r="H165" s="33">
        <v>-6480392.556493327</v>
      </c>
      <c r="I165" s="33">
        <v>-5105816.9812710136</v>
      </c>
    </row>
    <row r="166" spans="2:9">
      <c r="B166" s="33">
        <v>159</v>
      </c>
      <c r="C166" s="33">
        <v>1712671.9516897798</v>
      </c>
      <c r="D166" s="33">
        <v>22885249.741608545</v>
      </c>
      <c r="E166" s="33">
        <v>3950002.3522880375</v>
      </c>
      <c r="F166" s="33">
        <v>9726343.3777549118</v>
      </c>
      <c r="G166" s="33">
        <v>6905739.2777519226</v>
      </c>
      <c r="H166" s="33">
        <v>7511098.4660466462</v>
      </c>
      <c r="I166" s="33">
        <v>2013500.5777204633</v>
      </c>
    </row>
    <row r="167" spans="2:9">
      <c r="B167" s="33">
        <v>160</v>
      </c>
      <c r="C167" s="33">
        <v>7264090.3892714828</v>
      </c>
      <c r="D167" s="33">
        <v>3068349.6959739923</v>
      </c>
      <c r="E167" s="33">
        <v>16496815.467339396</v>
      </c>
      <c r="F167" s="33">
        <v>15049087.830752805</v>
      </c>
      <c r="G167" s="33">
        <v>4774758.2649934292</v>
      </c>
      <c r="H167" s="33">
        <v>-2316172.6457452476</v>
      </c>
      <c r="I167" s="33">
        <v>-3314587.1187993884</v>
      </c>
    </row>
    <row r="168" spans="2:9">
      <c r="B168" s="33">
        <v>161</v>
      </c>
      <c r="C168" s="33">
        <v>13840579.514153719</v>
      </c>
      <c r="D168" s="33">
        <v>12055690.739233866</v>
      </c>
      <c r="E168" s="33">
        <v>1865213.410146147</v>
      </c>
      <c r="F168" s="33">
        <v>4948128.0858989805</v>
      </c>
      <c r="G168" s="33">
        <v>-5643409.4054796398</v>
      </c>
      <c r="H168" s="33">
        <v>2802342.6660548747</v>
      </c>
      <c r="I168" s="33">
        <v>-5413462.295822829</v>
      </c>
    </row>
    <row r="169" spans="2:9">
      <c r="B169" s="33">
        <v>162</v>
      </c>
      <c r="C169" s="33">
        <v>3800107.3680375665</v>
      </c>
      <c r="D169" s="33">
        <v>6834757.6576185822</v>
      </c>
      <c r="E169" s="33">
        <v>3215619.6763741672</v>
      </c>
      <c r="F169" s="33">
        <v>13627348.292972416</v>
      </c>
      <c r="G169" s="33">
        <v>9441724.2297932804</v>
      </c>
      <c r="H169" s="33">
        <v>5763043.0693463087</v>
      </c>
      <c r="I169" s="33">
        <v>-10653370.205359071</v>
      </c>
    </row>
    <row r="170" spans="2:9">
      <c r="B170" s="33">
        <v>163</v>
      </c>
      <c r="C170" s="33">
        <v>13809488.919910461</v>
      </c>
      <c r="D170" s="33">
        <v>10010882.1831626</v>
      </c>
      <c r="E170" s="33">
        <v>8860886.2474233359</v>
      </c>
      <c r="F170" s="33">
        <v>14121644.974542275</v>
      </c>
      <c r="G170" s="33">
        <v>2676057.8593412638</v>
      </c>
      <c r="H170" s="33">
        <v>4156578.0212349445</v>
      </c>
      <c r="I170" s="33">
        <v>-9013370.8113109618</v>
      </c>
    </row>
    <row r="171" spans="2:9">
      <c r="B171" s="33">
        <v>164</v>
      </c>
      <c r="C171" s="33">
        <v>2562693.7138694078</v>
      </c>
      <c r="D171" s="33">
        <v>6260529.5206407011</v>
      </c>
      <c r="E171" s="33">
        <v>13437016.87620303</v>
      </c>
      <c r="F171" s="33">
        <v>-1402155.2186095566</v>
      </c>
      <c r="G171" s="33">
        <v>2220446.3330333084</v>
      </c>
      <c r="H171" s="33">
        <v>-2860174.071915105</v>
      </c>
      <c r="I171" s="33">
        <v>753171.3274461478</v>
      </c>
    </row>
    <row r="172" spans="2:9">
      <c r="B172" s="33">
        <v>165</v>
      </c>
      <c r="C172" s="33">
        <v>12323373.598787755</v>
      </c>
      <c r="D172" s="33">
        <v>6365009.0690657496</v>
      </c>
      <c r="E172" s="33">
        <v>10689734.741873533</v>
      </c>
      <c r="F172" s="33">
        <v>7521144.6507487446</v>
      </c>
      <c r="G172" s="33">
        <v>2826100.0639593899</v>
      </c>
      <c r="H172" s="33">
        <v>-141756.78273941576</v>
      </c>
      <c r="I172" s="33">
        <v>-6177974.357557103</v>
      </c>
    </row>
    <row r="173" spans="2:9">
      <c r="B173" s="33">
        <v>166</v>
      </c>
      <c r="C173" s="33">
        <v>6278670.0501749367</v>
      </c>
      <c r="D173" s="33">
        <v>-1188218.5739635527</v>
      </c>
      <c r="E173" s="33">
        <v>-1445133.0400567949</v>
      </c>
      <c r="F173" s="33">
        <v>513690.06852792203</v>
      </c>
      <c r="G173" s="33">
        <v>196751.02369357646</v>
      </c>
      <c r="H173" s="33">
        <v>-8057889.3824336529</v>
      </c>
      <c r="I173" s="33">
        <v>-4723344.5831663609</v>
      </c>
    </row>
    <row r="174" spans="2:9">
      <c r="B174" s="33">
        <v>167</v>
      </c>
      <c r="C174" s="33">
        <v>12348780.516704813</v>
      </c>
      <c r="D174" s="33">
        <v>12050838.820228174</v>
      </c>
      <c r="E174" s="33">
        <v>5837362.9797773659</v>
      </c>
      <c r="F174" s="33">
        <v>7853298.0972393602</v>
      </c>
      <c r="G174" s="33">
        <v>501960.41232766211</v>
      </c>
      <c r="H174" s="33">
        <v>-493119.39005714655</v>
      </c>
      <c r="I174" s="33">
        <v>-1853636.7774323672</v>
      </c>
    </row>
    <row r="175" spans="2:9">
      <c r="B175" s="33">
        <v>168</v>
      </c>
      <c r="C175" s="33">
        <v>14110795.407623321</v>
      </c>
      <c r="D175" s="33">
        <v>8975062.6956711262</v>
      </c>
      <c r="E175" s="33">
        <v>14708587.961335465</v>
      </c>
      <c r="F175" s="33">
        <v>12386739.861282155</v>
      </c>
      <c r="G175" s="33">
        <v>-3087427.3127596825</v>
      </c>
      <c r="H175" s="33">
        <v>-10513814.879861295</v>
      </c>
      <c r="I175" s="33">
        <v>-9533869.9772109091</v>
      </c>
    </row>
    <row r="176" spans="2:9">
      <c r="B176" s="33">
        <v>169</v>
      </c>
      <c r="C176" s="33">
        <v>15732193.997592047</v>
      </c>
      <c r="D176" s="33">
        <v>-865415.35126534104</v>
      </c>
      <c r="E176" s="33">
        <v>5633686.8872969598</v>
      </c>
      <c r="F176" s="33">
        <v>6436002.5648075193</v>
      </c>
      <c r="G176" s="33">
        <v>-238282.17335575819</v>
      </c>
      <c r="H176" s="33">
        <v>-7274840.1707335263</v>
      </c>
      <c r="I176" s="33">
        <v>-4072799.7665738165</v>
      </c>
    </row>
    <row r="177" spans="2:9">
      <c r="B177" s="33">
        <v>170</v>
      </c>
      <c r="C177" s="33">
        <v>11659388.412188441</v>
      </c>
      <c r="D177" s="33">
        <v>16011397.188577637</v>
      </c>
      <c r="E177" s="33">
        <v>562235.66964444518</v>
      </c>
      <c r="F177" s="33">
        <v>1742105.2780593932</v>
      </c>
      <c r="G177" s="33">
        <v>2431399.5266702771</v>
      </c>
      <c r="H177" s="33">
        <v>909976.86708813906</v>
      </c>
      <c r="I177" s="33">
        <v>1783933.7574425638</v>
      </c>
    </row>
    <row r="178" spans="2:9">
      <c r="B178" s="33">
        <v>171</v>
      </c>
      <c r="C178" s="33">
        <v>8885290.1890609562</v>
      </c>
      <c r="D178" s="33">
        <v>7686880.6602387428</v>
      </c>
      <c r="E178" s="33">
        <v>14696143.500767678</v>
      </c>
      <c r="F178" s="33">
        <v>-686875.11859543622</v>
      </c>
      <c r="G178" s="33">
        <v>-86085.194177672267</v>
      </c>
      <c r="H178" s="33">
        <v>-1549451.7893998325</v>
      </c>
      <c r="I178" s="33">
        <v>-626153.69131860137</v>
      </c>
    </row>
    <row r="179" spans="2:9">
      <c r="B179" s="33">
        <v>172</v>
      </c>
      <c r="C179" s="33">
        <v>17248049.254045099</v>
      </c>
      <c r="D179" s="33">
        <v>11800433.290992767</v>
      </c>
      <c r="E179" s="33">
        <v>12577587.956380785</v>
      </c>
      <c r="F179" s="33">
        <v>6766318.2738845348</v>
      </c>
      <c r="G179" s="33">
        <v>8465405.1118667871</v>
      </c>
      <c r="H179" s="33">
        <v>-6423753.221241653</v>
      </c>
      <c r="I179" s="33">
        <v>-4021116.7325949818</v>
      </c>
    </row>
    <row r="180" spans="2:9">
      <c r="B180" s="33">
        <v>173</v>
      </c>
      <c r="C180" s="33">
        <v>7256257.4910164177</v>
      </c>
      <c r="D180" s="33">
        <v>3074258.0549214333</v>
      </c>
      <c r="E180" s="33">
        <v>-442923.59945224226</v>
      </c>
      <c r="F180" s="33">
        <v>-5019782.8318064809</v>
      </c>
      <c r="G180" s="33">
        <v>-6519223.2151712924</v>
      </c>
      <c r="H180" s="33">
        <v>2994139.8955737948</v>
      </c>
      <c r="I180" s="33">
        <v>1419226.4878265262</v>
      </c>
    </row>
    <row r="181" spans="2:9">
      <c r="B181" s="33">
        <v>174</v>
      </c>
      <c r="C181" s="33">
        <v>7489654.5926660299</v>
      </c>
      <c r="D181" s="33">
        <v>13108871.734366119</v>
      </c>
      <c r="E181" s="33">
        <v>5902913.5219419748</v>
      </c>
      <c r="F181" s="33">
        <v>3581441.13894324</v>
      </c>
      <c r="G181" s="33">
        <v>-957419.33537107706</v>
      </c>
      <c r="H181" s="33">
        <v>2141456.6362039298</v>
      </c>
      <c r="I181" s="33">
        <v>-13375859.025309876</v>
      </c>
    </row>
    <row r="182" spans="2:9">
      <c r="B182" s="33">
        <v>175</v>
      </c>
      <c r="C182" s="33">
        <v>3298179.3078984618</v>
      </c>
      <c r="D182" s="33">
        <v>4053460.4556854218</v>
      </c>
      <c r="E182" s="33">
        <v>11927211.523912475</v>
      </c>
      <c r="F182" s="33">
        <v>9518460.2970703989</v>
      </c>
      <c r="G182" s="33">
        <v>6656337.1366428882</v>
      </c>
      <c r="H182" s="33">
        <v>-4517632.3324280977</v>
      </c>
      <c r="I182" s="33">
        <v>2032043.1868903339</v>
      </c>
    </row>
    <row r="183" spans="2:9">
      <c r="B183" s="33">
        <v>176</v>
      </c>
      <c r="C183" s="33">
        <v>8066828.7465939522</v>
      </c>
      <c r="D183" s="33">
        <v>1635258.2201326489</v>
      </c>
      <c r="E183" s="33">
        <v>13835622.17252484</v>
      </c>
      <c r="F183" s="33">
        <v>9519394.7312144786</v>
      </c>
      <c r="G183" s="33">
        <v>6143821.3941370398</v>
      </c>
      <c r="H183" s="33">
        <v>-4413511.8509337008</v>
      </c>
      <c r="I183" s="33">
        <v>-2128864.0369650722</v>
      </c>
    </row>
    <row r="184" spans="2:9">
      <c r="B184" s="33">
        <v>177</v>
      </c>
      <c r="C184" s="33">
        <v>8660497.3921827972</v>
      </c>
      <c r="D184" s="33">
        <v>14571878.900489062</v>
      </c>
      <c r="E184" s="33">
        <v>11828090.107109487</v>
      </c>
      <c r="F184" s="33">
        <v>184592.17619650066</v>
      </c>
      <c r="G184" s="33">
        <v>4804771.0727686286</v>
      </c>
      <c r="H184" s="33">
        <v>-295733.73010793328</v>
      </c>
      <c r="I184" s="33">
        <v>-4401282.4263572395</v>
      </c>
    </row>
    <row r="185" spans="2:9">
      <c r="B185" s="33">
        <v>178</v>
      </c>
      <c r="C185" s="33">
        <v>10743073.798643246</v>
      </c>
      <c r="D185" s="33">
        <v>10132366.599826813</v>
      </c>
      <c r="E185" s="33">
        <v>9254070.2560407221</v>
      </c>
      <c r="F185" s="33">
        <v>8901702.4633435011</v>
      </c>
      <c r="G185" s="33">
        <v>-1348681.2381186038</v>
      </c>
      <c r="H185" s="33">
        <v>3032037.8861428052</v>
      </c>
      <c r="I185" s="33">
        <v>-2686060.6287973821</v>
      </c>
    </row>
    <row r="186" spans="2:9">
      <c r="B186" s="33">
        <v>179</v>
      </c>
      <c r="C186" s="33">
        <v>14586802.555555299</v>
      </c>
      <c r="D186" s="33">
        <v>15157548.639698759</v>
      </c>
      <c r="E186" s="33">
        <v>3724777.3841520548</v>
      </c>
      <c r="F186" s="33">
        <v>-5050326.0778878331</v>
      </c>
      <c r="G186" s="33">
        <v>9904894.9486688823</v>
      </c>
      <c r="H186" s="33">
        <v>5133306.9156047553</v>
      </c>
      <c r="I186" s="33">
        <v>-2088728.4828992486</v>
      </c>
    </row>
    <row r="187" spans="2:9">
      <c r="B187" s="33">
        <v>180</v>
      </c>
      <c r="C187" s="33">
        <v>10927874.184617966</v>
      </c>
      <c r="D187" s="33">
        <v>1365855.6503478438</v>
      </c>
      <c r="E187" s="33">
        <v>4934419.1807600409</v>
      </c>
      <c r="F187" s="33">
        <v>12422525.849163115</v>
      </c>
      <c r="G187" s="33">
        <v>3569778.3860355914</v>
      </c>
      <c r="H187" s="33">
        <v>-11440552.122417316</v>
      </c>
      <c r="I187" s="33">
        <v>-6256995.4581646174</v>
      </c>
    </row>
    <row r="188" spans="2:9">
      <c r="B188" s="33">
        <v>181</v>
      </c>
      <c r="C188" s="33">
        <v>1634559.4130128771</v>
      </c>
      <c r="D188" s="33">
        <v>8645450.0963854194</v>
      </c>
      <c r="E188" s="33">
        <v>6992212.8238467425</v>
      </c>
      <c r="F188" s="33">
        <v>1094382.4213592857</v>
      </c>
      <c r="G188" s="33">
        <v>-3460566.6497870982</v>
      </c>
      <c r="H188" s="33">
        <v>845781.53912602365</v>
      </c>
      <c r="I188" s="33">
        <v>-4703561.5164539963</v>
      </c>
    </row>
    <row r="189" spans="2:9">
      <c r="B189" s="33">
        <v>182</v>
      </c>
      <c r="C189" s="33">
        <v>18436540.996597633</v>
      </c>
      <c r="D189" s="33">
        <v>9155834.2931145877</v>
      </c>
      <c r="E189" s="33">
        <v>3468544.2860701382</v>
      </c>
      <c r="F189" s="33">
        <v>9668486.7654700428</v>
      </c>
      <c r="G189" s="33">
        <v>5979385.0575156957</v>
      </c>
      <c r="H189" s="33">
        <v>-1448327.0303795189</v>
      </c>
      <c r="I189" s="33">
        <v>-2313611.5372886956</v>
      </c>
    </row>
    <row r="190" spans="2:9">
      <c r="B190" s="33">
        <v>183</v>
      </c>
      <c r="C190" s="33">
        <v>18914540.603452235</v>
      </c>
      <c r="D190" s="33">
        <v>8822386.4088677168</v>
      </c>
      <c r="E190" s="33">
        <v>5236338.0918277055</v>
      </c>
      <c r="F190" s="33">
        <v>7404363.246832937</v>
      </c>
      <c r="G190" s="33">
        <v>-13433517.977194414</v>
      </c>
      <c r="H190" s="33">
        <v>7003664.4681182057</v>
      </c>
      <c r="I190" s="33">
        <v>7043003.1187221259</v>
      </c>
    </row>
    <row r="191" spans="2:9">
      <c r="B191" s="33">
        <v>184</v>
      </c>
      <c r="C191" s="33">
        <v>14311985.554952323</v>
      </c>
      <c r="D191" s="33">
        <v>11979221.727241784</v>
      </c>
      <c r="E191" s="33">
        <v>6590446.945155412</v>
      </c>
      <c r="F191" s="33">
        <v>4619262.1247088313</v>
      </c>
      <c r="G191" s="33">
        <v>741230.24232551455</v>
      </c>
      <c r="H191" s="33">
        <v>6345682.1907041818</v>
      </c>
      <c r="I191" s="33">
        <v>-7181376.6621800959</v>
      </c>
    </row>
    <row r="192" spans="2:9">
      <c r="B192" s="33">
        <v>185</v>
      </c>
      <c r="C192" s="33">
        <v>15098289.195674136</v>
      </c>
      <c r="D192" s="33">
        <v>7424590.5051924586</v>
      </c>
      <c r="E192" s="33">
        <v>6735985.4832088798</v>
      </c>
      <c r="F192" s="33">
        <v>1031188.8680415452</v>
      </c>
      <c r="G192" s="33">
        <v>11699982.05383566</v>
      </c>
      <c r="H192" s="33">
        <v>-3465873.7560419887</v>
      </c>
      <c r="I192" s="33">
        <v>1039328.0024352223</v>
      </c>
    </row>
    <row r="193" spans="2:9">
      <c r="B193" s="33">
        <v>186</v>
      </c>
      <c r="C193" s="33">
        <v>-2312989.7299769521</v>
      </c>
      <c r="D193" s="33">
        <v>4710034.8908578306</v>
      </c>
      <c r="E193" s="33">
        <v>7714442.7678966075</v>
      </c>
      <c r="F193" s="33">
        <v>92197.857325866818</v>
      </c>
      <c r="G193" s="33">
        <v>-5634187.3204530478</v>
      </c>
      <c r="H193" s="33">
        <v>-6364684.1057778001</v>
      </c>
      <c r="I193" s="33">
        <v>522977.04658535123</v>
      </c>
    </row>
    <row r="194" spans="2:9">
      <c r="B194" s="33">
        <v>187</v>
      </c>
      <c r="C194" s="33">
        <v>17237926.476179391</v>
      </c>
      <c r="D194" s="33">
        <v>6871949.5787768513</v>
      </c>
      <c r="E194" s="33">
        <v>-2925800.2069801688</v>
      </c>
      <c r="F194" s="33">
        <v>2761575.5965248644</v>
      </c>
      <c r="G194" s="33">
        <v>-70946.439616084099</v>
      </c>
      <c r="H194" s="33">
        <v>6612067.8617309779</v>
      </c>
      <c r="I194" s="33">
        <v>-7644114.5494833142</v>
      </c>
    </row>
    <row r="195" spans="2:9">
      <c r="B195" s="33">
        <v>188</v>
      </c>
      <c r="C195" s="33">
        <v>14640616.030180573</v>
      </c>
      <c r="D195" s="33">
        <v>6393566.2073740065</v>
      </c>
      <c r="E195" s="33">
        <v>-265878.04552590847</v>
      </c>
      <c r="F195" s="33">
        <v>3393961.4747314304</v>
      </c>
      <c r="G195" s="33">
        <v>6240642.0830273777</v>
      </c>
      <c r="H195" s="33">
        <v>5942990.8304487765</v>
      </c>
      <c r="I195" s="33">
        <v>-2348807.9914926887</v>
      </c>
    </row>
    <row r="196" spans="2:9">
      <c r="B196" s="33">
        <v>189</v>
      </c>
      <c r="C196" s="33">
        <v>16096064.435518175</v>
      </c>
      <c r="D196" s="33">
        <v>3910650.3061068803</v>
      </c>
      <c r="E196" s="33">
        <v>-1365262.8831905872</v>
      </c>
      <c r="F196" s="33">
        <v>1854826.1550241262</v>
      </c>
      <c r="G196" s="33">
        <v>-4837910.761357218</v>
      </c>
      <c r="H196" s="33">
        <v>2824834.1279762387</v>
      </c>
      <c r="I196" s="33">
        <v>7195924.2433124483</v>
      </c>
    </row>
    <row r="197" spans="2:9">
      <c r="B197" s="33">
        <v>190</v>
      </c>
      <c r="C197" s="33">
        <v>7261053.4601199031</v>
      </c>
      <c r="D197" s="33">
        <v>3982527.1795441061</v>
      </c>
      <c r="E197" s="33">
        <v>12906178.361261576</v>
      </c>
      <c r="F197" s="33">
        <v>10832696.465923354</v>
      </c>
      <c r="G197" s="33">
        <v>7783954.17608504</v>
      </c>
      <c r="H197" s="33">
        <v>-3166490.99642694</v>
      </c>
      <c r="I197" s="33">
        <v>2116052.3627542704</v>
      </c>
    </row>
    <row r="198" spans="2:9">
      <c r="B198" s="33">
        <v>191</v>
      </c>
      <c r="C198" s="33">
        <v>9391249.9004025459</v>
      </c>
      <c r="D198" s="33">
        <v>10472029.691291705</v>
      </c>
      <c r="E198" s="33">
        <v>16974729.35152559</v>
      </c>
      <c r="F198" s="33">
        <v>4001368.8166501671</v>
      </c>
      <c r="G198" s="33">
        <v>6324646.5855613351</v>
      </c>
      <c r="H198" s="33">
        <v>-2064823.4824234843</v>
      </c>
      <c r="I198" s="33">
        <v>-2901451.3537794054</v>
      </c>
    </row>
    <row r="199" spans="2:9">
      <c r="B199" s="33">
        <v>192</v>
      </c>
      <c r="C199" s="33">
        <v>6591728.9515779465</v>
      </c>
      <c r="D199" s="33">
        <v>24201639.595600456</v>
      </c>
      <c r="E199" s="33">
        <v>-1013473.460102722</v>
      </c>
      <c r="F199" s="33">
        <v>7346922.7230549604</v>
      </c>
      <c r="G199" s="33">
        <v>-6631755.2954307348</v>
      </c>
      <c r="H199" s="33">
        <v>4535960.1289714575</v>
      </c>
      <c r="I199" s="33">
        <v>-10443389.179154724</v>
      </c>
    </row>
    <row r="200" spans="2:9">
      <c r="B200" s="33">
        <v>193</v>
      </c>
      <c r="C200" s="33">
        <v>11081199.230621934</v>
      </c>
      <c r="D200" s="33">
        <v>12967540.233758822</v>
      </c>
      <c r="E200" s="33">
        <v>-1958944.6247417331</v>
      </c>
      <c r="F200" s="33">
        <v>8051583.270968169</v>
      </c>
      <c r="G200" s="33">
        <v>4276846.9085644484</v>
      </c>
      <c r="H200" s="33">
        <v>4465745.4780048728</v>
      </c>
      <c r="I200" s="33">
        <v>-10762448.780918553</v>
      </c>
    </row>
    <row r="201" spans="2:9">
      <c r="B201" s="33">
        <v>194</v>
      </c>
      <c r="C201" s="33">
        <v>9760186.2894238532</v>
      </c>
      <c r="D201" s="33">
        <v>15878116.456378132</v>
      </c>
      <c r="E201" s="33">
        <v>2245712.4331105649</v>
      </c>
      <c r="F201" s="33">
        <v>6922317.4191315174</v>
      </c>
      <c r="G201" s="33">
        <v>-940023.25466603041</v>
      </c>
      <c r="H201" s="33">
        <v>-6057409.8767701238</v>
      </c>
      <c r="I201" s="33">
        <v>-2074510.9885103852</v>
      </c>
    </row>
    <row r="202" spans="2:9">
      <c r="B202" s="33">
        <v>195</v>
      </c>
      <c r="C202" s="33">
        <v>10385107.060296774</v>
      </c>
      <c r="D202" s="33">
        <v>8054947.666802451</v>
      </c>
      <c r="E202" s="33">
        <v>6022154.027433604</v>
      </c>
      <c r="F202" s="33">
        <v>4924823.4138931185</v>
      </c>
      <c r="G202" s="33">
        <v>1562140.2604069114</v>
      </c>
      <c r="H202" s="33">
        <v>-2713353.0469986647</v>
      </c>
      <c r="I202" s="33">
        <v>1788191.5685996711</v>
      </c>
    </row>
    <row r="203" spans="2:9">
      <c r="B203" s="33">
        <v>196</v>
      </c>
      <c r="C203" s="33">
        <v>10968015.157816485</v>
      </c>
      <c r="D203" s="33">
        <v>6115816.3477406502</v>
      </c>
      <c r="E203" s="33">
        <v>-1170349.4004889429</v>
      </c>
      <c r="F203" s="33">
        <v>4283617.9785919935</v>
      </c>
      <c r="G203" s="33">
        <v>-1777401.7350329608</v>
      </c>
      <c r="H203" s="33">
        <v>2073351.9053970575</v>
      </c>
      <c r="I203" s="33">
        <v>2280973.1488210261</v>
      </c>
    </row>
    <row r="204" spans="2:9">
      <c r="B204" s="33">
        <v>197</v>
      </c>
      <c r="C204" s="33">
        <v>10241419.955912471</v>
      </c>
      <c r="D204" s="33">
        <v>5499330.1540175974</v>
      </c>
      <c r="E204" s="33">
        <v>12709288.011684433</v>
      </c>
      <c r="F204" s="33">
        <v>5180741.918166101</v>
      </c>
      <c r="G204" s="33">
        <v>5320815.6206989288</v>
      </c>
      <c r="H204" s="33">
        <v>-7340560.2274303436</v>
      </c>
      <c r="I204" s="33">
        <v>-8268954.7630905658</v>
      </c>
    </row>
    <row r="205" spans="2:9">
      <c r="B205" s="33">
        <v>198</v>
      </c>
      <c r="C205" s="33">
        <v>8938696.5168078542</v>
      </c>
      <c r="D205" s="33">
        <v>18122837.602223366</v>
      </c>
      <c r="E205" s="33">
        <v>1132366.2765757143</v>
      </c>
      <c r="F205" s="33">
        <v>2339495.3163694143</v>
      </c>
      <c r="G205" s="33">
        <v>1717612.4996296912</v>
      </c>
      <c r="H205" s="33">
        <v>-6289854.6815848798</v>
      </c>
      <c r="I205" s="33">
        <v>2988246.379345268</v>
      </c>
    </row>
    <row r="206" spans="2:9">
      <c r="B206" s="33">
        <v>199</v>
      </c>
      <c r="C206" s="33">
        <v>19761847.686582237</v>
      </c>
      <c r="D206" s="33">
        <v>5996005.3580642939</v>
      </c>
      <c r="E206" s="33">
        <v>-1041463.7656684518</v>
      </c>
      <c r="F206" s="33">
        <v>199386.07716400921</v>
      </c>
      <c r="G206" s="33">
        <v>-2390900.2908161879</v>
      </c>
      <c r="H206" s="33">
        <v>6979406.183574453</v>
      </c>
      <c r="I206" s="33">
        <v>-9900674.3210324347</v>
      </c>
    </row>
    <row r="207" spans="2:9">
      <c r="B207" s="33">
        <v>200</v>
      </c>
      <c r="C207" s="33">
        <v>5518994.4275819957</v>
      </c>
      <c r="D207" s="33">
        <v>12400826.444345176</v>
      </c>
      <c r="E207" s="33">
        <v>8631153.9156850278</v>
      </c>
      <c r="F207" s="33">
        <v>7978826.3092738837</v>
      </c>
      <c r="G207" s="33">
        <v>5044833.8258327842</v>
      </c>
      <c r="H207" s="33">
        <v>-5824364.684620589</v>
      </c>
      <c r="I207" s="33">
        <v>4458555.2945888638</v>
      </c>
    </row>
  </sheetData>
  <mergeCells count="1">
    <mergeCell ref="C5:I5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F7A207-F043-D940-A5A3-B6F67A3D5533}">
  <sheetPr codeName="Arkusz32">
    <tabColor theme="0" tint="-0.499984740745262"/>
  </sheetPr>
  <dimension ref="A4:I208"/>
  <sheetViews>
    <sheetView workbookViewId="0">
      <selection activeCell="M38" sqref="M38"/>
    </sheetView>
  </sheetViews>
  <sheetFormatPr defaultColWidth="10.77734375" defaultRowHeight="13.2"/>
  <cols>
    <col min="1" max="1" width="10.77734375" style="33"/>
    <col min="2" max="9" width="14.33203125" style="33" customWidth="1"/>
    <col min="10" max="16384" width="10.77734375" style="33"/>
  </cols>
  <sheetData>
    <row r="4" spans="1:9">
      <c r="B4" s="70" t="s">
        <v>121</v>
      </c>
      <c r="C4" s="94">
        <f>AVERAGE(C9:C208)</f>
        <v>5357002.7293606158</v>
      </c>
      <c r="D4" s="94">
        <f t="shared" ref="D4:I4" si="0">AVERAGE(D9:D208)</f>
        <v>3515624.3899903516</v>
      </c>
      <c r="E4" s="94">
        <f t="shared" si="0"/>
        <v>1352191.1770123385</v>
      </c>
      <c r="F4" s="94">
        <f t="shared" si="0"/>
        <v>-1177276.2979717252</v>
      </c>
      <c r="G4" s="94">
        <f t="shared" si="0"/>
        <v>-2598178.8699924694</v>
      </c>
      <c r="H4" s="94">
        <f t="shared" si="0"/>
        <v>-5247436.7304428546</v>
      </c>
      <c r="I4" s="94">
        <f t="shared" si="0"/>
        <v>-7044778.5969415847</v>
      </c>
    </row>
    <row r="6" spans="1:9" ht="15.6">
      <c r="C6" s="205" t="s">
        <v>133</v>
      </c>
      <c r="D6" s="205"/>
      <c r="E6" s="205"/>
      <c r="F6" s="205"/>
      <c r="G6" s="205"/>
      <c r="H6" s="205"/>
      <c r="I6" s="205"/>
    </row>
    <row r="7" spans="1:9">
      <c r="B7" s="101" t="s">
        <v>10</v>
      </c>
      <c r="C7" s="103">
        <v>-0.15</v>
      </c>
      <c r="D7" s="103">
        <v>-0.1</v>
      </c>
      <c r="E7" s="103">
        <v>-0.05</v>
      </c>
      <c r="F7" s="103">
        <v>0</v>
      </c>
      <c r="G7" s="103">
        <v>0.05</v>
      </c>
      <c r="H7" s="103">
        <v>0.1</v>
      </c>
      <c r="I7" s="103">
        <v>0.15</v>
      </c>
    </row>
    <row r="8" spans="1:9">
      <c r="A8" s="70" t="s">
        <v>134</v>
      </c>
      <c r="B8" s="105">
        <v>2736843.4748380333</v>
      </c>
      <c r="C8" s="106">
        <v>36341606.868500002</v>
      </c>
      <c r="D8" s="106">
        <v>38479348.449000001</v>
      </c>
      <c r="E8" s="106">
        <v>40617090.0295</v>
      </c>
      <c r="F8" s="106">
        <v>42754831.609999999</v>
      </c>
      <c r="G8" s="106">
        <v>44892573.190499999</v>
      </c>
      <c r="H8" s="106">
        <v>47030314.771000005</v>
      </c>
      <c r="I8" s="106">
        <v>49168056.351499997</v>
      </c>
    </row>
    <row r="9" spans="1:9">
      <c r="B9" s="102">
        <v>1</v>
      </c>
      <c r="C9" s="104">
        <v>10910533.519947156</v>
      </c>
      <c r="D9" s="104">
        <v>368324.71752229333</v>
      </c>
      <c r="E9" s="104">
        <v>2840050.8156577647</v>
      </c>
      <c r="F9" s="104">
        <v>4009088.0124400258</v>
      </c>
      <c r="G9" s="104">
        <v>-1477461.0512275994</v>
      </c>
      <c r="H9" s="104">
        <v>-12044967.277235255</v>
      </c>
      <c r="I9" s="104">
        <v>-201312.92304471135</v>
      </c>
    </row>
    <row r="10" spans="1:9">
      <c r="B10" s="102">
        <v>2</v>
      </c>
      <c r="C10" s="104">
        <v>6281189.071718514</v>
      </c>
      <c r="D10" s="104">
        <v>-886434.51444213092</v>
      </c>
      <c r="E10" s="104">
        <v>836692.81784179807</v>
      </c>
      <c r="F10" s="104">
        <v>3385633.541103363</v>
      </c>
      <c r="G10" s="104">
        <v>-6582846.3146501482</v>
      </c>
      <c r="H10" s="104">
        <v>-5918444.1605034769</v>
      </c>
      <c r="I10" s="104">
        <v>-5888316.1515520811</v>
      </c>
    </row>
    <row r="11" spans="1:9">
      <c r="B11" s="102">
        <v>3</v>
      </c>
      <c r="C11" s="104">
        <v>8855961.8993676305</v>
      </c>
      <c r="D11" s="104">
        <v>2162773.9186685383</v>
      </c>
      <c r="E11" s="104">
        <v>2943376.99770087</v>
      </c>
      <c r="F11" s="104">
        <v>-831888.41442601383</v>
      </c>
      <c r="G11" s="104">
        <v>-2928867.3954272419</v>
      </c>
      <c r="H11" s="104">
        <v>-9185407.7758330256</v>
      </c>
      <c r="I11" s="104">
        <v>-1942653.6525434554</v>
      </c>
    </row>
    <row r="12" spans="1:9">
      <c r="B12" s="102">
        <v>4</v>
      </c>
      <c r="C12" s="104">
        <v>7279479.9836428612</v>
      </c>
      <c r="D12" s="104">
        <v>8521187.5899747014</v>
      </c>
      <c r="E12" s="104">
        <v>115183.88012991846</v>
      </c>
      <c r="F12" s="104">
        <v>10555985.910668656</v>
      </c>
      <c r="G12" s="104">
        <v>-3570626.9138304442</v>
      </c>
      <c r="H12" s="104">
        <v>-6909349.988942191</v>
      </c>
      <c r="I12" s="104">
        <v>-5746511.7629842013</v>
      </c>
    </row>
    <row r="13" spans="1:9">
      <c r="B13" s="102">
        <v>5</v>
      </c>
      <c r="C13" s="104">
        <v>4788329.2830690742</v>
      </c>
      <c r="D13" s="104">
        <v>5569110.8598273546</v>
      </c>
      <c r="E13" s="104">
        <v>-372857.35671035945</v>
      </c>
      <c r="F13" s="104">
        <v>-204959.17550046742</v>
      </c>
      <c r="G13" s="104">
        <v>-11704734.458344251</v>
      </c>
      <c r="H13" s="104">
        <v>-12066865.554372773</v>
      </c>
      <c r="I13" s="104">
        <v>-10162560.868249193</v>
      </c>
    </row>
    <row r="14" spans="1:9">
      <c r="B14" s="102">
        <v>6</v>
      </c>
      <c r="C14" s="104">
        <v>-1317871.5409492999</v>
      </c>
      <c r="D14" s="104">
        <v>9936460.9812020659</v>
      </c>
      <c r="E14" s="104">
        <v>-3643973.1161043495</v>
      </c>
      <c r="F14" s="104">
        <v>2333880.9246176034</v>
      </c>
      <c r="G14" s="104">
        <v>-2806975.4379158169</v>
      </c>
      <c r="H14" s="104">
        <v>-11330851.513387561</v>
      </c>
      <c r="I14" s="104">
        <v>-19771013.152531475</v>
      </c>
    </row>
    <row r="15" spans="1:9">
      <c r="B15" s="102">
        <v>7</v>
      </c>
      <c r="C15" s="104">
        <v>7899102.523361519</v>
      </c>
      <c r="D15" s="104">
        <v>3138626.4603483975</v>
      </c>
      <c r="E15" s="104">
        <v>-3957225.2656178325</v>
      </c>
      <c r="F15" s="104">
        <v>8611333.7148220837</v>
      </c>
      <c r="G15" s="104">
        <v>-6074737.975631088</v>
      </c>
      <c r="H15" s="104">
        <v>-4493915.9727690518</v>
      </c>
      <c r="I15" s="104">
        <v>-7214159.3827573508</v>
      </c>
    </row>
    <row r="16" spans="1:9">
      <c r="B16" s="102">
        <v>8</v>
      </c>
      <c r="C16" s="104">
        <v>4771739.4320187122</v>
      </c>
      <c r="D16" s="104">
        <v>-4830571.5460098684</v>
      </c>
      <c r="E16" s="104">
        <v>-2869059.7443220019</v>
      </c>
      <c r="F16" s="104">
        <v>3475733.7762468606</v>
      </c>
      <c r="G16" s="104">
        <v>12663770.53095977</v>
      </c>
      <c r="H16" s="104">
        <v>-16594491.065989077</v>
      </c>
      <c r="I16" s="104">
        <v>-12302631.316942453</v>
      </c>
    </row>
    <row r="17" spans="2:9">
      <c r="B17" s="102">
        <v>9</v>
      </c>
      <c r="C17" s="104">
        <v>9812977.581140995</v>
      </c>
      <c r="D17" s="104">
        <v>88339.123333707452</v>
      </c>
      <c r="E17" s="104">
        <v>-9526119.1492668837</v>
      </c>
      <c r="F17" s="104">
        <v>2967338.0453736782</v>
      </c>
      <c r="G17" s="104">
        <v>-6290387.4324302822</v>
      </c>
      <c r="H17" s="104">
        <v>-5078210.1929727048</v>
      </c>
      <c r="I17" s="104">
        <v>-3019818.9325965792</v>
      </c>
    </row>
    <row r="18" spans="2:9">
      <c r="B18" s="102">
        <v>10</v>
      </c>
      <c r="C18" s="104">
        <v>2099326.9187238514</v>
      </c>
      <c r="D18" s="104">
        <v>-8062280.2796985209</v>
      </c>
      <c r="E18" s="104">
        <v>11196556.704914212</v>
      </c>
      <c r="F18" s="104">
        <v>-2860274.8562792242</v>
      </c>
      <c r="G18" s="104">
        <v>-3708705.8120161444</v>
      </c>
      <c r="H18" s="104">
        <v>-8960084.2629112303</v>
      </c>
      <c r="I18" s="104">
        <v>-1763020.6959106624</v>
      </c>
    </row>
    <row r="19" spans="2:9">
      <c r="B19" s="102">
        <v>11</v>
      </c>
      <c r="C19" s="104">
        <v>-459207.51374530792</v>
      </c>
      <c r="D19" s="104">
        <v>-7723607.2914757729</v>
      </c>
      <c r="E19" s="104">
        <v>-6573232.0526798815</v>
      </c>
      <c r="F19" s="104">
        <v>-11068481.820989773</v>
      </c>
      <c r="G19" s="104">
        <v>-3016721.383869186</v>
      </c>
      <c r="H19" s="104">
        <v>-8416340.4338864833</v>
      </c>
      <c r="I19" s="104">
        <v>-2851932.7569503784</v>
      </c>
    </row>
    <row r="20" spans="2:9">
      <c r="B20" s="102">
        <v>12</v>
      </c>
      <c r="C20" s="104">
        <v>12339307.582284003</v>
      </c>
      <c r="D20" s="104">
        <v>876273.61899882555</v>
      </c>
      <c r="E20" s="104">
        <v>-6923631.4818884581</v>
      </c>
      <c r="F20" s="104">
        <v>-5292896.5648669749</v>
      </c>
      <c r="G20" s="104">
        <v>-10949702.719577834</v>
      </c>
      <c r="H20" s="104">
        <v>-9755651.455973804</v>
      </c>
      <c r="I20" s="104">
        <v>-9938869.0283607543</v>
      </c>
    </row>
    <row r="21" spans="2:9">
      <c r="B21" s="102">
        <v>13</v>
      </c>
      <c r="C21" s="104">
        <v>-2821559.9583651572</v>
      </c>
      <c r="D21" s="104">
        <v>2903448.1852258295</v>
      </c>
      <c r="E21" s="104">
        <v>7580644.597709626</v>
      </c>
      <c r="F21" s="104">
        <v>-1313018.2967255414</v>
      </c>
      <c r="G21" s="104">
        <v>-1515536.0588262975</v>
      </c>
      <c r="H21" s="104">
        <v>-446035.67932023108</v>
      </c>
      <c r="I21" s="104">
        <v>-4894420.9638721794</v>
      </c>
    </row>
    <row r="22" spans="2:9">
      <c r="B22" s="102">
        <v>14</v>
      </c>
      <c r="C22" s="104">
        <v>1564508.4562751651</v>
      </c>
      <c r="D22" s="104">
        <v>-390185.82114163041</v>
      </c>
      <c r="E22" s="104">
        <v>8700118.1558692008</v>
      </c>
      <c r="F22" s="104">
        <v>2646929.2592261732</v>
      </c>
      <c r="G22" s="104">
        <v>228417.36340115964</v>
      </c>
      <c r="H22" s="104">
        <v>-2289407.6817238927</v>
      </c>
      <c r="I22" s="104">
        <v>-11532890.149372965</v>
      </c>
    </row>
    <row r="23" spans="2:9">
      <c r="B23" s="102">
        <v>15</v>
      </c>
      <c r="C23" s="104">
        <v>5978516.8826864362</v>
      </c>
      <c r="D23" s="104">
        <v>8183436.7430824488</v>
      </c>
      <c r="E23" s="104">
        <v>-2383058.5047502369</v>
      </c>
      <c r="F23" s="104">
        <v>8672382.9485746771</v>
      </c>
      <c r="G23" s="104">
        <v>-4513038.4908867925</v>
      </c>
      <c r="H23" s="104">
        <v>-7050724.9112922996</v>
      </c>
      <c r="I23" s="104">
        <v>-5856681.635710746</v>
      </c>
    </row>
    <row r="24" spans="2:9">
      <c r="B24" s="102">
        <v>16</v>
      </c>
      <c r="C24" s="104">
        <v>2504038.9417987615</v>
      </c>
      <c r="D24" s="104">
        <v>3234216.0194787383</v>
      </c>
      <c r="E24" s="104">
        <v>-2935507.7729836702</v>
      </c>
      <c r="F24" s="104">
        <v>-5823585.1600396633</v>
      </c>
      <c r="G24" s="104">
        <v>-6236148.1005457193</v>
      </c>
      <c r="H24" s="104">
        <v>-5801928.1669729799</v>
      </c>
      <c r="I24" s="104">
        <v>-8193368.3715459108</v>
      </c>
    </row>
    <row r="25" spans="2:9">
      <c r="B25" s="102">
        <v>17</v>
      </c>
      <c r="C25" s="104">
        <v>1500200.3275175691</v>
      </c>
      <c r="D25" s="104">
        <v>-250527.29507279396</v>
      </c>
      <c r="E25" s="104">
        <v>5164446.5487331003</v>
      </c>
      <c r="F25" s="104">
        <v>-11079806.78610681</v>
      </c>
      <c r="G25" s="104">
        <v>-9641288.920316115</v>
      </c>
      <c r="H25" s="104">
        <v>-1512963.51539886</v>
      </c>
      <c r="I25" s="104">
        <v>-3814498.7017500401</v>
      </c>
    </row>
    <row r="26" spans="2:9">
      <c r="B26" s="102">
        <v>18</v>
      </c>
      <c r="C26" s="104">
        <v>4939964.5532618165</v>
      </c>
      <c r="D26" s="104">
        <v>5056340.5416365117</v>
      </c>
      <c r="E26" s="104">
        <v>13286765.746955231</v>
      </c>
      <c r="F26" s="104">
        <v>4846023.1629734784</v>
      </c>
      <c r="G26" s="104">
        <v>5976303.8927206993</v>
      </c>
      <c r="H26" s="104">
        <v>-1262541.2729820609</v>
      </c>
      <c r="I26" s="104">
        <v>7008682.4333444387</v>
      </c>
    </row>
    <row r="27" spans="2:9">
      <c r="B27" s="102">
        <v>19</v>
      </c>
      <c r="C27" s="104">
        <v>8545368.0503755212</v>
      </c>
      <c r="D27" s="104">
        <v>-726931.00973564386</v>
      </c>
      <c r="E27" s="104">
        <v>3057868.8775969595</v>
      </c>
      <c r="F27" s="104">
        <v>-2846059.7494272441</v>
      </c>
      <c r="G27" s="104">
        <v>-8485466.9262638986</v>
      </c>
      <c r="H27" s="104">
        <v>-11177868.869836509</v>
      </c>
      <c r="I27" s="104">
        <v>-11705351.688547939</v>
      </c>
    </row>
    <row r="28" spans="2:9">
      <c r="B28" s="102">
        <v>20</v>
      </c>
      <c r="C28" s="104">
        <v>8297101.2837028652</v>
      </c>
      <c r="D28" s="104">
        <v>-5286383.3101241738</v>
      </c>
      <c r="E28" s="104">
        <v>992882.18023338914</v>
      </c>
      <c r="F28" s="104">
        <v>-6272383.3665019721</v>
      </c>
      <c r="G28" s="104">
        <v>-6034551.8937056512</v>
      </c>
      <c r="H28" s="104">
        <v>-10759988.447042957</v>
      </c>
      <c r="I28" s="104">
        <v>-18844820.708055824</v>
      </c>
    </row>
    <row r="29" spans="2:9">
      <c r="B29" s="102">
        <v>21</v>
      </c>
      <c r="C29" s="104">
        <v>6866421.5973044336</v>
      </c>
      <c r="D29" s="104">
        <v>6047316.1811605543</v>
      </c>
      <c r="E29" s="104">
        <v>3275790.5524322093</v>
      </c>
      <c r="F29" s="104">
        <v>1383378.8818204701</v>
      </c>
      <c r="G29" s="104">
        <v>-688872.35652400553</v>
      </c>
      <c r="H29" s="104">
        <v>-2961706.0248246342</v>
      </c>
      <c r="I29" s="104">
        <v>-746064.08684544265</v>
      </c>
    </row>
    <row r="30" spans="2:9">
      <c r="B30" s="102">
        <v>22</v>
      </c>
      <c r="C30" s="104">
        <v>11824487.391756237</v>
      </c>
      <c r="D30" s="104">
        <v>13637983.267849475</v>
      </c>
      <c r="E30" s="104">
        <v>3649360.1689581871</v>
      </c>
      <c r="F30" s="104">
        <v>-9587614.7567076385</v>
      </c>
      <c r="G30" s="104">
        <v>1175858.190949738</v>
      </c>
      <c r="H30" s="104">
        <v>-4024278.9550311118</v>
      </c>
      <c r="I30" s="104">
        <v>-7245775.7840939611</v>
      </c>
    </row>
    <row r="31" spans="2:9">
      <c r="B31" s="102">
        <v>23</v>
      </c>
      <c r="C31" s="104">
        <v>3726931.9915703833</v>
      </c>
      <c r="D31" s="104">
        <v>5041573.2038400322</v>
      </c>
      <c r="E31" s="104">
        <v>-8848304.5964802653</v>
      </c>
      <c r="F31" s="104">
        <v>-7109485.0116673261</v>
      </c>
      <c r="G31" s="104">
        <v>-2648440.487019822</v>
      </c>
      <c r="H31" s="104">
        <v>-10728583.668439746</v>
      </c>
      <c r="I31" s="104">
        <v>-17649694.496766001</v>
      </c>
    </row>
    <row r="32" spans="2:9">
      <c r="B32" s="102">
        <v>24</v>
      </c>
      <c r="C32" s="104">
        <v>8467478.5602112859</v>
      </c>
      <c r="D32" s="104">
        <v>16771341.557971045</v>
      </c>
      <c r="E32" s="104">
        <v>3664935.7158450931</v>
      </c>
      <c r="F32" s="104">
        <v>-12615316.539327055</v>
      </c>
      <c r="G32" s="104">
        <v>-5438647.3158109486</v>
      </c>
      <c r="H32" s="104">
        <v>-14288923.994264737</v>
      </c>
      <c r="I32" s="104">
        <v>-15848059.420052707</v>
      </c>
    </row>
    <row r="33" spans="2:9">
      <c r="B33" s="102">
        <v>25</v>
      </c>
      <c r="C33" s="104">
        <v>14219369.561365008</v>
      </c>
      <c r="D33" s="104">
        <v>7729673.0073000193</v>
      </c>
      <c r="E33" s="104">
        <v>6903080.0259617567</v>
      </c>
      <c r="F33" s="104">
        <v>520594.03578844666</v>
      </c>
      <c r="G33" s="104">
        <v>-2736773.9906446189</v>
      </c>
      <c r="H33" s="104">
        <v>-6442517.1100783497</v>
      </c>
      <c r="I33" s="104">
        <v>-12992266.140709713</v>
      </c>
    </row>
    <row r="34" spans="2:9">
      <c r="B34" s="102">
        <v>26</v>
      </c>
      <c r="C34" s="104">
        <v>9011019.6014395356</v>
      </c>
      <c r="D34" s="104">
        <v>-759025.91959437728</v>
      </c>
      <c r="E34" s="104">
        <v>7867141.798531577</v>
      </c>
      <c r="F34" s="104">
        <v>-3867746.4744345248</v>
      </c>
      <c r="G34" s="104">
        <v>255043.19701510668</v>
      </c>
      <c r="H34" s="104">
        <v>-12416495.913784489</v>
      </c>
      <c r="I34" s="104">
        <v>-10528628.128654808</v>
      </c>
    </row>
    <row r="35" spans="2:9">
      <c r="B35" s="102">
        <v>27</v>
      </c>
      <c r="C35" s="104">
        <v>-11690101.898404673</v>
      </c>
      <c r="D35" s="104">
        <v>6985375.3862209767</v>
      </c>
      <c r="E35" s="104">
        <v>5601699.2773837149</v>
      </c>
      <c r="F35" s="104">
        <v>1169742.8678643107</v>
      </c>
      <c r="G35" s="104">
        <v>-2565969.2587710917</v>
      </c>
      <c r="H35" s="104">
        <v>-11447985.725776896</v>
      </c>
      <c r="I35" s="104">
        <v>2047815.0033787489</v>
      </c>
    </row>
    <row r="36" spans="2:9">
      <c r="B36" s="102">
        <v>28</v>
      </c>
      <c r="C36" s="104">
        <v>8443145.3644255102</v>
      </c>
      <c r="D36" s="104">
        <v>4857778.0408544242</v>
      </c>
      <c r="E36" s="104">
        <v>6195485.5106121004</v>
      </c>
      <c r="F36" s="104">
        <v>287986.76287913322</v>
      </c>
      <c r="G36" s="104">
        <v>-10820073.833344102</v>
      </c>
      <c r="H36" s="104">
        <v>551161.6086922437</v>
      </c>
      <c r="I36" s="104">
        <v>-2186546.3800093085</v>
      </c>
    </row>
    <row r="37" spans="2:9">
      <c r="B37" s="102">
        <v>29</v>
      </c>
      <c r="C37" s="104">
        <v>-2245525.6496325582</v>
      </c>
      <c r="D37" s="104">
        <v>4663367.2533046454</v>
      </c>
      <c r="E37" s="104">
        <v>-4557382.6045611203</v>
      </c>
      <c r="F37" s="104">
        <v>-1508673.8393047601</v>
      </c>
      <c r="G37" s="104">
        <v>-1733627.2244786918</v>
      </c>
      <c r="H37" s="104">
        <v>-463547.74756443501</v>
      </c>
      <c r="I37" s="104">
        <v>-14185489.873187751</v>
      </c>
    </row>
    <row r="38" spans="2:9">
      <c r="B38" s="102">
        <v>30</v>
      </c>
      <c r="C38" s="104">
        <v>2449574.5976431817</v>
      </c>
      <c r="D38" s="104">
        <v>8329437.1861607432</v>
      </c>
      <c r="E38" s="104">
        <v>4506985.8910768926</v>
      </c>
      <c r="F38" s="104">
        <v>-8458274.6429438144</v>
      </c>
      <c r="G38" s="104">
        <v>1662655.4455557019</v>
      </c>
      <c r="H38" s="104">
        <v>-2838929.5642079115</v>
      </c>
      <c r="I38" s="104">
        <v>-5946856.1758179963</v>
      </c>
    </row>
    <row r="39" spans="2:9">
      <c r="B39" s="102">
        <v>31</v>
      </c>
      <c r="C39" s="104">
        <v>3259677.1594022065</v>
      </c>
      <c r="D39" s="104">
        <v>2734669.272841692</v>
      </c>
      <c r="E39" s="104">
        <v>2224572.921055764</v>
      </c>
      <c r="F39" s="104">
        <v>-10820091.83438471</v>
      </c>
      <c r="G39" s="104">
        <v>-7560281.7959922701</v>
      </c>
      <c r="H39" s="104">
        <v>2471235.2067048401</v>
      </c>
      <c r="I39" s="104">
        <v>-13216476.23680456</v>
      </c>
    </row>
    <row r="40" spans="2:9">
      <c r="B40" s="102">
        <v>32</v>
      </c>
      <c r="C40" s="104">
        <v>12254297.417941868</v>
      </c>
      <c r="D40" s="104">
        <v>4124405.1354242563</v>
      </c>
      <c r="E40" s="104">
        <v>7250028.1682615131</v>
      </c>
      <c r="F40" s="104">
        <v>-588298.09803552926</v>
      </c>
      <c r="G40" s="104">
        <v>-11214733.123414367</v>
      </c>
      <c r="H40" s="104">
        <v>-10726941.749559328</v>
      </c>
      <c r="I40" s="104">
        <v>-13739399.766301125</v>
      </c>
    </row>
    <row r="41" spans="2:9">
      <c r="B41" s="102">
        <v>33</v>
      </c>
      <c r="C41" s="104">
        <v>12624176.64241223</v>
      </c>
      <c r="D41" s="104">
        <v>1421505.8300977498</v>
      </c>
      <c r="E41" s="104">
        <v>1498149.1719721407</v>
      </c>
      <c r="F41" s="104">
        <v>6454354.812707454</v>
      </c>
      <c r="G41" s="104">
        <v>-5145151.716666773</v>
      </c>
      <c r="H41" s="104">
        <v>-14035660.755491436</v>
      </c>
      <c r="I41" s="104">
        <v>-9728966.9598039538</v>
      </c>
    </row>
    <row r="42" spans="2:9">
      <c r="B42" s="102">
        <v>34</v>
      </c>
      <c r="C42" s="104">
        <v>6051132.6230041832</v>
      </c>
      <c r="D42" s="104">
        <v>4022558.3866500258</v>
      </c>
      <c r="E42" s="104">
        <v>12515654.416138306</v>
      </c>
      <c r="F42" s="104">
        <v>-3958209.3484849334</v>
      </c>
      <c r="G42" s="104">
        <v>5679318.265131712</v>
      </c>
      <c r="H42" s="104">
        <v>-11278158.061640874</v>
      </c>
      <c r="I42" s="104">
        <v>-316776.43976695836</v>
      </c>
    </row>
    <row r="43" spans="2:9">
      <c r="B43" s="102">
        <v>35</v>
      </c>
      <c r="C43" s="104">
        <v>671154.38529895246</v>
      </c>
      <c r="D43" s="104">
        <v>6349782.3981644362</v>
      </c>
      <c r="E43" s="104">
        <v>-8326635.7806062251</v>
      </c>
      <c r="F43" s="104">
        <v>-9566543.5095040053</v>
      </c>
      <c r="G43" s="104">
        <v>-771371.03324973583</v>
      </c>
      <c r="H43" s="104">
        <v>-8317578.4023393244</v>
      </c>
      <c r="I43" s="104">
        <v>-12880618.13182345</v>
      </c>
    </row>
    <row r="44" spans="2:9">
      <c r="B44" s="102">
        <v>36</v>
      </c>
      <c r="C44" s="104">
        <v>5717265.0297593772</v>
      </c>
      <c r="D44" s="104">
        <v>4110064.8937555104</v>
      </c>
      <c r="E44" s="104">
        <v>-860161.28873817623</v>
      </c>
      <c r="F44" s="104">
        <v>2003322.8685136288</v>
      </c>
      <c r="G44" s="104">
        <v>9136278.1748261005</v>
      </c>
      <c r="H44" s="104">
        <v>-4991282.2370324582</v>
      </c>
      <c r="I44" s="104">
        <v>-7426494.0241110474</v>
      </c>
    </row>
    <row r="45" spans="2:9">
      <c r="B45" s="102">
        <v>37</v>
      </c>
      <c r="C45" s="104">
        <v>16013646.601158828</v>
      </c>
      <c r="D45" s="104">
        <v>8666880.1041519195</v>
      </c>
      <c r="E45" s="104">
        <v>-5484568.3928081691</v>
      </c>
      <c r="F45" s="104">
        <v>-1265510.1662840992</v>
      </c>
      <c r="G45" s="104">
        <v>-4018046.9361894429</v>
      </c>
      <c r="H45" s="104">
        <v>2073760.272426188</v>
      </c>
      <c r="I45" s="104">
        <v>-9458345.0450692475</v>
      </c>
    </row>
    <row r="46" spans="2:9">
      <c r="B46" s="102">
        <v>38</v>
      </c>
      <c r="C46" s="104">
        <v>-1427701.0940022022</v>
      </c>
      <c r="D46" s="104">
        <v>-4260531.4489702284</v>
      </c>
      <c r="E46" s="104">
        <v>-2188805.3922716677</v>
      </c>
      <c r="F46" s="104">
        <v>-3202600.1913158447</v>
      </c>
      <c r="G46" s="104">
        <v>-18094765.053519323</v>
      </c>
      <c r="H46" s="104">
        <v>-7773097.8408977538</v>
      </c>
      <c r="I46" s="104">
        <v>-5857352.1641077697</v>
      </c>
    </row>
    <row r="47" spans="2:9">
      <c r="B47" s="102">
        <v>39</v>
      </c>
      <c r="C47" s="104">
        <v>8730301.483797431</v>
      </c>
      <c r="D47" s="104">
        <v>-2162455.2148249894</v>
      </c>
      <c r="E47" s="104">
        <v>-2107937.759591043</v>
      </c>
      <c r="F47" s="104">
        <v>-4863215.0089144558</v>
      </c>
      <c r="G47" s="104">
        <v>-13044505.947406411</v>
      </c>
      <c r="H47" s="104">
        <v>-4650912.5689247996</v>
      </c>
      <c r="I47" s="104">
        <v>-12097563.353132993</v>
      </c>
    </row>
    <row r="48" spans="2:9">
      <c r="B48" s="102">
        <v>40</v>
      </c>
      <c r="C48" s="104">
        <v>-1248122.5730785131</v>
      </c>
      <c r="D48" s="104">
        <v>-4814620.4208420068</v>
      </c>
      <c r="E48" s="104">
        <v>6669333.7602013648</v>
      </c>
      <c r="F48" s="104">
        <v>-3761133.4711463451</v>
      </c>
      <c r="G48" s="104">
        <v>-4003315.6923021078</v>
      </c>
      <c r="H48" s="104">
        <v>-2300219.0595739633</v>
      </c>
      <c r="I48" s="104">
        <v>-6071412.0522511899</v>
      </c>
    </row>
    <row r="49" spans="2:9">
      <c r="B49" s="102">
        <v>41</v>
      </c>
      <c r="C49" s="104">
        <v>278305.19894629717</v>
      </c>
      <c r="D49" s="104">
        <v>4694532.7591817528</v>
      </c>
      <c r="E49" s="104">
        <v>15964926.076128244</v>
      </c>
      <c r="F49" s="104">
        <v>-8199196.9918636382</v>
      </c>
      <c r="G49" s="104">
        <v>-10420374.146808222</v>
      </c>
      <c r="H49" s="104">
        <v>-7724405.8158690482</v>
      </c>
      <c r="I49" s="104">
        <v>-19191781.05114156</v>
      </c>
    </row>
    <row r="50" spans="2:9">
      <c r="B50" s="102">
        <v>42</v>
      </c>
      <c r="C50" s="104">
        <v>12903972.763526469</v>
      </c>
      <c r="D50" s="104">
        <v>5124889.2618704587</v>
      </c>
      <c r="E50" s="104">
        <v>1804444.4764078408</v>
      </c>
      <c r="F50" s="104">
        <v>-2173520.2010515183</v>
      </c>
      <c r="G50" s="104">
        <v>-4579346.9782382548</v>
      </c>
      <c r="H50" s="104">
        <v>-4072010.2064137012</v>
      </c>
      <c r="I50" s="104">
        <v>-8703567.2394627631</v>
      </c>
    </row>
    <row r="51" spans="2:9">
      <c r="B51" s="102">
        <v>43</v>
      </c>
      <c r="C51" s="104">
        <v>16431035.830220401</v>
      </c>
      <c r="D51" s="104">
        <v>6183253.2561901361</v>
      </c>
      <c r="E51" s="104">
        <v>-3212972.5359884351</v>
      </c>
      <c r="F51" s="104">
        <v>2373150.8047080338</v>
      </c>
      <c r="G51" s="104">
        <v>3780314.8694040328</v>
      </c>
      <c r="H51" s="104">
        <v>-11762555.528785482</v>
      </c>
      <c r="I51" s="104">
        <v>-10346937.604155123</v>
      </c>
    </row>
    <row r="52" spans="2:9">
      <c r="B52" s="102">
        <v>44</v>
      </c>
      <c r="C52" s="104">
        <v>5605921.9931480885</v>
      </c>
      <c r="D52" s="104">
        <v>8542793.516406849</v>
      </c>
      <c r="E52" s="104">
        <v>-3774130.6903817505</v>
      </c>
      <c r="F52" s="104">
        <v>4805150.176562354</v>
      </c>
      <c r="G52" s="104">
        <v>4892974.2233571857</v>
      </c>
      <c r="H52" s="104">
        <v>-1078634.0239156485</v>
      </c>
      <c r="I52" s="104">
        <v>-4872180.584006086</v>
      </c>
    </row>
    <row r="53" spans="2:9">
      <c r="B53" s="102">
        <v>45</v>
      </c>
      <c r="C53" s="104">
        <v>13123843.393704459</v>
      </c>
      <c r="D53" s="104">
        <v>2649058.4025972933</v>
      </c>
      <c r="E53" s="104">
        <v>-12230451.412162095</v>
      </c>
      <c r="F53" s="104">
        <v>-1963207.3170202076</v>
      </c>
      <c r="G53" s="104">
        <v>-4217777.4380889982</v>
      </c>
      <c r="H53" s="104">
        <v>-9629556.6134896725</v>
      </c>
      <c r="I53" s="104">
        <v>-3168504.0099329799</v>
      </c>
    </row>
    <row r="54" spans="2:9">
      <c r="B54" s="102">
        <v>46</v>
      </c>
      <c r="C54" s="104">
        <v>2526449.9158039391</v>
      </c>
      <c r="D54" s="104">
        <v>-330587.89482739568</v>
      </c>
      <c r="E54" s="104">
        <v>-1614964.9600064903</v>
      </c>
      <c r="F54" s="104">
        <v>-3151344.8475242853</v>
      </c>
      <c r="G54" s="104">
        <v>-4374983.2394175678</v>
      </c>
      <c r="H54" s="104">
        <v>-1656534.9519156814</v>
      </c>
      <c r="I54" s="104">
        <v>-3980000.686320588</v>
      </c>
    </row>
    <row r="55" spans="2:9">
      <c r="B55" s="102">
        <v>47</v>
      </c>
      <c r="C55" s="104">
        <v>4377116.7030728757</v>
      </c>
      <c r="D55" s="104">
        <v>1795319.8335589916</v>
      </c>
      <c r="E55" s="104">
        <v>6039817.1792896688</v>
      </c>
      <c r="F55" s="104">
        <v>4884499.2315201759</v>
      </c>
      <c r="G55" s="104">
        <v>4719462.5727567673</v>
      </c>
      <c r="H55" s="104">
        <v>-5679159.7845498174</v>
      </c>
      <c r="I55" s="104">
        <v>-1288119.4203675091</v>
      </c>
    </row>
    <row r="56" spans="2:9">
      <c r="B56" s="102">
        <v>48</v>
      </c>
      <c r="C56" s="104">
        <v>-1403324.0444821864</v>
      </c>
      <c r="D56" s="104">
        <v>4226693.5987746716</v>
      </c>
      <c r="E56" s="104">
        <v>2527887.1909887642</v>
      </c>
      <c r="F56" s="104">
        <v>8527657.7983690798</v>
      </c>
      <c r="G56" s="104">
        <v>-5528917.6842404753</v>
      </c>
      <c r="H56" s="104">
        <v>-14495664.365917161</v>
      </c>
      <c r="I56" s="104">
        <v>-1449855.7768108994</v>
      </c>
    </row>
    <row r="57" spans="2:9">
      <c r="B57" s="102">
        <v>49</v>
      </c>
      <c r="C57" s="104">
        <v>4462257.0086585134</v>
      </c>
      <c r="D57" s="104">
        <v>-3760349.7155335397</v>
      </c>
      <c r="E57" s="104">
        <v>2400103.1537752002</v>
      </c>
      <c r="F57" s="104">
        <v>-6165577.0980581343</v>
      </c>
      <c r="G57" s="104">
        <v>-8250198.5129659921</v>
      </c>
      <c r="H57" s="104">
        <v>-12370045.023540169</v>
      </c>
      <c r="I57" s="104">
        <v>-754464.823044613</v>
      </c>
    </row>
    <row r="58" spans="2:9">
      <c r="B58" s="102">
        <v>50</v>
      </c>
      <c r="C58" s="104">
        <v>2752095.7651016414</v>
      </c>
      <c r="D58" s="104">
        <v>3029176.6213790625</v>
      </c>
      <c r="E58" s="104">
        <v>-5885340.8105475307</v>
      </c>
      <c r="F58" s="104">
        <v>19440460.201873749</v>
      </c>
      <c r="G58" s="104">
        <v>-10915916.82719475</v>
      </c>
      <c r="H58" s="104">
        <v>-4941631.1443085521</v>
      </c>
      <c r="I58" s="104">
        <v>-8211010.4416604638</v>
      </c>
    </row>
    <row r="59" spans="2:9">
      <c r="B59" s="102">
        <v>51</v>
      </c>
      <c r="C59" s="104">
        <v>2059795.7908418477</v>
      </c>
      <c r="D59" s="104">
        <v>-3599401.9513245821</v>
      </c>
      <c r="E59" s="104">
        <v>2134432.797791943</v>
      </c>
      <c r="F59" s="104">
        <v>-8450155.0017206073</v>
      </c>
      <c r="G59" s="104">
        <v>-6491993.1286854446</v>
      </c>
      <c r="H59" s="104">
        <v>1138607.4479309618</v>
      </c>
      <c r="I59" s="104">
        <v>-17393531.838992655</v>
      </c>
    </row>
    <row r="60" spans="2:9">
      <c r="B60" s="102">
        <v>52</v>
      </c>
      <c r="C60" s="104">
        <v>8471726.0265108049</v>
      </c>
      <c r="D60" s="104">
        <v>-1439850.1331044883</v>
      </c>
      <c r="E60" s="104">
        <v>12061425.783044264</v>
      </c>
      <c r="F60" s="104">
        <v>-5685036.2129918486</v>
      </c>
      <c r="G60" s="104">
        <v>-5870064.8245347887</v>
      </c>
      <c r="H60" s="104">
        <v>-5660956.736191079</v>
      </c>
      <c r="I60" s="104">
        <v>-8952353.2376724929</v>
      </c>
    </row>
    <row r="61" spans="2:9">
      <c r="B61" s="102">
        <v>53</v>
      </c>
      <c r="C61" s="104">
        <v>2663590.0123326927</v>
      </c>
      <c r="D61" s="104">
        <v>12096963.337692499</v>
      </c>
      <c r="E61" s="104">
        <v>3742822.7447485626</v>
      </c>
      <c r="F61" s="104">
        <v>6401847.1624391526</v>
      </c>
      <c r="G61" s="104">
        <v>-2266909.5373788476</v>
      </c>
      <c r="H61" s="104">
        <v>-5672202.4440870583</v>
      </c>
      <c r="I61" s="104">
        <v>-4706848.1602191031</v>
      </c>
    </row>
    <row r="62" spans="2:9">
      <c r="B62" s="102">
        <v>54</v>
      </c>
      <c r="C62" s="104">
        <v>7655088.5913232118</v>
      </c>
      <c r="D62" s="104">
        <v>552600.3308801949</v>
      </c>
      <c r="E62" s="104">
        <v>1952538.1731813848</v>
      </c>
      <c r="F62" s="104">
        <v>-2263488.1814876795</v>
      </c>
      <c r="G62" s="104">
        <v>-1449282.3459323943</v>
      </c>
      <c r="H62" s="104">
        <v>6453028.0551944226</v>
      </c>
      <c r="I62" s="104">
        <v>-5456958.8469657153</v>
      </c>
    </row>
    <row r="63" spans="2:9">
      <c r="B63" s="102">
        <v>55</v>
      </c>
      <c r="C63" s="104">
        <v>15852443.813229308</v>
      </c>
      <c r="D63" s="104">
        <v>4444416.5773695558</v>
      </c>
      <c r="E63" s="104">
        <v>-5260822.6367976665</v>
      </c>
      <c r="F63" s="104">
        <v>261327.41667865217</v>
      </c>
      <c r="G63" s="104">
        <v>-461403.6078120172</v>
      </c>
      <c r="H63" s="104">
        <v>-9730286.7961065173</v>
      </c>
      <c r="I63" s="104">
        <v>-2281268.8342273384</v>
      </c>
    </row>
    <row r="64" spans="2:9">
      <c r="B64" s="102">
        <v>56</v>
      </c>
      <c r="C64" s="104">
        <v>10427381.101282641</v>
      </c>
      <c r="D64" s="104">
        <v>3914697.6647050083</v>
      </c>
      <c r="E64" s="104">
        <v>-213292.20932273567</v>
      </c>
      <c r="F64" s="104">
        <v>12042629.716991946</v>
      </c>
      <c r="G64" s="104">
        <v>1982625.2152144015</v>
      </c>
      <c r="H64" s="104">
        <v>-5347667.0686659366</v>
      </c>
      <c r="I64" s="104">
        <v>-3225309.5267429054</v>
      </c>
    </row>
    <row r="65" spans="2:9">
      <c r="B65" s="102">
        <v>57</v>
      </c>
      <c r="C65" s="104">
        <v>190370.8472238332</v>
      </c>
      <c r="D65" s="104">
        <v>10074147.338755175</v>
      </c>
      <c r="E65" s="104">
        <v>-7693658.8772036284</v>
      </c>
      <c r="F65" s="104">
        <v>-13440603.846715003</v>
      </c>
      <c r="G65" s="104">
        <v>-6882549.0845828205</v>
      </c>
      <c r="H65" s="104">
        <v>490511.58934155107</v>
      </c>
      <c r="I65" s="104">
        <v>-2354648.3619458228</v>
      </c>
    </row>
    <row r="66" spans="2:9">
      <c r="B66" s="102">
        <v>58</v>
      </c>
      <c r="C66" s="104">
        <v>5472916.0200265944</v>
      </c>
      <c r="D66" s="104">
        <v>-568601.78434705734</v>
      </c>
      <c r="E66" s="104">
        <v>-8710453.236107856</v>
      </c>
      <c r="F66" s="104">
        <v>7269526.2705596089</v>
      </c>
      <c r="G66" s="104">
        <v>-1321991.156010136</v>
      </c>
      <c r="H66" s="104">
        <v>-3437609.6270041466</v>
      </c>
      <c r="I66" s="104">
        <v>-11887572.582540497</v>
      </c>
    </row>
    <row r="67" spans="2:9">
      <c r="B67" s="102">
        <v>59</v>
      </c>
      <c r="C67" s="104">
        <v>4421062.9894804657</v>
      </c>
      <c r="D67" s="104">
        <v>1286511.6393648684</v>
      </c>
      <c r="E67" s="104">
        <v>4517132.6868375838</v>
      </c>
      <c r="F67" s="104">
        <v>2323641.1190111637</v>
      </c>
      <c r="G67" s="104">
        <v>2929321.7681930363</v>
      </c>
      <c r="H67" s="104">
        <v>-2041705.5980162323</v>
      </c>
      <c r="I67" s="104">
        <v>-12678849.095058367</v>
      </c>
    </row>
    <row r="68" spans="2:9">
      <c r="B68" s="102">
        <v>60</v>
      </c>
      <c r="C68" s="104">
        <v>13532462.425297707</v>
      </c>
      <c r="D68" s="104">
        <v>3924487.1840598732</v>
      </c>
      <c r="E68" s="104">
        <v>597996.42425847054</v>
      </c>
      <c r="F68" s="104">
        <v>2987008.6307254732</v>
      </c>
      <c r="G68" s="104">
        <v>-7552134.2400309592</v>
      </c>
      <c r="H68" s="104">
        <v>-11161470.14532344</v>
      </c>
      <c r="I68" s="104">
        <v>1309184.9720698893</v>
      </c>
    </row>
    <row r="69" spans="2:9">
      <c r="B69" s="102">
        <v>61</v>
      </c>
      <c r="C69" s="104">
        <v>6772478.1119990051</v>
      </c>
      <c r="D69" s="104">
        <v>1031010.9841759503</v>
      </c>
      <c r="E69" s="104">
        <v>6684126.8337990195</v>
      </c>
      <c r="F69" s="104">
        <v>-1808249.1069194078</v>
      </c>
      <c r="G69" s="104">
        <v>-3863739.3133587241</v>
      </c>
      <c r="H69" s="104">
        <v>-19316819.288399667</v>
      </c>
      <c r="I69" s="104">
        <v>-7009387.9976380169</v>
      </c>
    </row>
    <row r="70" spans="2:9">
      <c r="B70" s="102">
        <v>62</v>
      </c>
      <c r="C70" s="104">
        <v>2008371.8362203091</v>
      </c>
      <c r="D70" s="104">
        <v>-4665798.4403182715</v>
      </c>
      <c r="E70" s="104">
        <v>9187128.2128377855</v>
      </c>
      <c r="F70" s="104">
        <v>-7840815.3539610207</v>
      </c>
      <c r="G70" s="104">
        <v>-4286797.8119347394</v>
      </c>
      <c r="H70" s="104">
        <v>-16757481.402418837</v>
      </c>
      <c r="I70" s="104">
        <v>7429569.4156716615</v>
      </c>
    </row>
    <row r="71" spans="2:9">
      <c r="B71" s="102">
        <v>63</v>
      </c>
      <c r="C71" s="104">
        <v>20140275.629320651</v>
      </c>
      <c r="D71" s="104">
        <v>-3308292.302296564</v>
      </c>
      <c r="E71" s="104">
        <v>9356216.3419886976</v>
      </c>
      <c r="F71" s="104">
        <v>2743291.1071157753</v>
      </c>
      <c r="G71" s="104">
        <v>-226092.75795969367</v>
      </c>
      <c r="H71" s="104">
        <v>-911730.97526887059</v>
      </c>
      <c r="I71" s="104">
        <v>-4904772.5527207106</v>
      </c>
    </row>
    <row r="72" spans="2:9">
      <c r="B72" s="102">
        <v>64</v>
      </c>
      <c r="C72" s="104">
        <v>988915.95402359962</v>
      </c>
      <c r="D72" s="104">
        <v>1966810.7081081569</v>
      </c>
      <c r="E72" s="104">
        <v>1675429.2494228929</v>
      </c>
      <c r="F72" s="104">
        <v>-8631671.2125466317</v>
      </c>
      <c r="G72" s="104">
        <v>-652003.16161048412</v>
      </c>
      <c r="H72" s="104">
        <v>-6262420.7598411143</v>
      </c>
      <c r="I72" s="104">
        <v>-13705401.745351911</v>
      </c>
    </row>
    <row r="73" spans="2:9">
      <c r="B73" s="102">
        <v>65</v>
      </c>
      <c r="C73" s="104">
        <v>2067864.1377479881</v>
      </c>
      <c r="D73" s="104">
        <v>8166483.682330668</v>
      </c>
      <c r="E73" s="104">
        <v>7044271.1522162557</v>
      </c>
      <c r="F73" s="104">
        <v>3176319.9904648215</v>
      </c>
      <c r="G73" s="104">
        <v>-493779.66190262139</v>
      </c>
      <c r="H73" s="104">
        <v>-1524979.9455332756</v>
      </c>
      <c r="I73" s="104">
        <v>-15247615.017929867</v>
      </c>
    </row>
    <row r="74" spans="2:9">
      <c r="B74" s="102">
        <v>66</v>
      </c>
      <c r="C74" s="104">
        <v>212742.60218723118</v>
      </c>
      <c r="D74" s="104">
        <v>-766707.85935115814</v>
      </c>
      <c r="E74" s="104">
        <v>194666.6890000701</v>
      </c>
      <c r="F74" s="104">
        <v>11207953.962722406</v>
      </c>
      <c r="G74" s="104">
        <v>-1096333.4097676575</v>
      </c>
      <c r="H74" s="104">
        <v>-3243735.2265732288</v>
      </c>
      <c r="I74" s="104">
        <v>-23454001.747730136</v>
      </c>
    </row>
    <row r="75" spans="2:9">
      <c r="B75" s="102">
        <v>67</v>
      </c>
      <c r="C75" s="104">
        <v>4761268.489577204</v>
      </c>
      <c r="D75" s="104">
        <v>3749676.2344333231</v>
      </c>
      <c r="E75" s="104">
        <v>8466819.5249675214</v>
      </c>
      <c r="F75" s="104">
        <v>3438391.8164856434</v>
      </c>
      <c r="G75" s="104">
        <v>-2321752.3761872351</v>
      </c>
      <c r="H75" s="104">
        <v>3312645.7030354142</v>
      </c>
      <c r="I75" s="104">
        <v>-2406987.874497816</v>
      </c>
    </row>
    <row r="76" spans="2:9">
      <c r="B76" s="102">
        <v>68</v>
      </c>
      <c r="C76" s="104">
        <v>-4256248.1251714975</v>
      </c>
      <c r="D76" s="104">
        <v>10956021.204662919</v>
      </c>
      <c r="E76" s="104">
        <v>6753485.656993404</v>
      </c>
      <c r="F76" s="104">
        <v>-11881009.907285452</v>
      </c>
      <c r="G76" s="104">
        <v>916641.23800116777</v>
      </c>
      <c r="H76" s="104">
        <v>-8510975.4991556108</v>
      </c>
      <c r="I76" s="104">
        <v>-14134923.04921031</v>
      </c>
    </row>
    <row r="77" spans="2:9">
      <c r="B77" s="102">
        <v>69</v>
      </c>
      <c r="C77" s="104">
        <v>-2747387.1333182454</v>
      </c>
      <c r="D77" s="104">
        <v>2897589.7799012065</v>
      </c>
      <c r="E77" s="104">
        <v>3342035.7973863333</v>
      </c>
      <c r="F77" s="104">
        <v>-10341977.016769215</v>
      </c>
      <c r="G77" s="104">
        <v>4083759.5524573475</v>
      </c>
      <c r="H77" s="104">
        <v>-18053302.351826325</v>
      </c>
      <c r="I77" s="104">
        <v>-4102828.5785364956</v>
      </c>
    </row>
    <row r="78" spans="2:9">
      <c r="B78" s="102">
        <v>70</v>
      </c>
      <c r="C78" s="104">
        <v>7335367.0045661926</v>
      </c>
      <c r="D78" s="104">
        <v>12547812.204684168</v>
      </c>
      <c r="E78" s="104">
        <v>7721568.582223922</v>
      </c>
      <c r="F78" s="104">
        <v>-12612550.742045313</v>
      </c>
      <c r="G78" s="104">
        <v>-6874623.9615488052</v>
      </c>
      <c r="H78" s="104">
        <v>-5534479.2291842848</v>
      </c>
      <c r="I78" s="104">
        <v>-7674452.2611006647</v>
      </c>
    </row>
    <row r="79" spans="2:9">
      <c r="B79" s="102">
        <v>71</v>
      </c>
      <c r="C79" s="104">
        <v>9276250.8702228367</v>
      </c>
      <c r="D79" s="104">
        <v>6032757.151293382</v>
      </c>
      <c r="E79" s="104">
        <v>6505886.4631632715</v>
      </c>
      <c r="F79" s="104">
        <v>-3825138.7225820869</v>
      </c>
      <c r="G79" s="104">
        <v>-708906.87984627485</v>
      </c>
      <c r="H79" s="104">
        <v>1278550.6226952821</v>
      </c>
      <c r="I79" s="104">
        <v>-5837668.0995356143</v>
      </c>
    </row>
    <row r="80" spans="2:9">
      <c r="B80" s="102">
        <v>72</v>
      </c>
      <c r="C80" s="104">
        <v>6513622.048845768</v>
      </c>
      <c r="D80" s="104">
        <v>6448032.9384434521</v>
      </c>
      <c r="E80" s="104">
        <v>8287415.6589544863</v>
      </c>
      <c r="F80" s="104">
        <v>-10758113.50231497</v>
      </c>
      <c r="G80" s="104">
        <v>-4055716.449699223</v>
      </c>
      <c r="H80" s="104">
        <v>3987575.8338593692</v>
      </c>
      <c r="I80" s="104">
        <v>-9358171.1687911153</v>
      </c>
    </row>
    <row r="81" spans="2:9">
      <c r="B81" s="102">
        <v>73</v>
      </c>
      <c r="C81" s="104">
        <v>930242.21618042886</v>
      </c>
      <c r="D81" s="104">
        <v>-4876876.2633854598</v>
      </c>
      <c r="E81" s="104">
        <v>3582854.242884621</v>
      </c>
      <c r="F81" s="104">
        <v>2729657.9145807475</v>
      </c>
      <c r="G81" s="104">
        <v>-4400114.0979872942</v>
      </c>
      <c r="H81" s="104">
        <v>6247956.98936598</v>
      </c>
      <c r="I81" s="104">
        <v>1060868.4209711999</v>
      </c>
    </row>
    <row r="82" spans="2:9">
      <c r="B82" s="102">
        <v>74</v>
      </c>
      <c r="C82" s="104">
        <v>-3196592.6284494698</v>
      </c>
      <c r="D82" s="104">
        <v>-2420829.9364413917</v>
      </c>
      <c r="E82" s="104">
        <v>-1838985.6068844348</v>
      </c>
      <c r="F82" s="104">
        <v>-1585729.2074289918</v>
      </c>
      <c r="G82" s="104">
        <v>-1126238.8360564858</v>
      </c>
      <c r="H82" s="104">
        <v>-11058606.644052178</v>
      </c>
      <c r="I82" s="104">
        <v>-9988717.4034544975</v>
      </c>
    </row>
    <row r="83" spans="2:9">
      <c r="B83" s="102">
        <v>75</v>
      </c>
      <c r="C83" s="104">
        <v>7549071.3879085779</v>
      </c>
      <c r="D83" s="104">
        <v>14576477.620988265</v>
      </c>
      <c r="E83" s="104">
        <v>7703683.3497442007</v>
      </c>
      <c r="F83" s="104">
        <v>1282113.7402656823</v>
      </c>
      <c r="G83" s="104">
        <v>1085765.5638598651</v>
      </c>
      <c r="H83" s="104">
        <v>-1554523.6095873564</v>
      </c>
      <c r="I83" s="104">
        <v>-5186637.1918216199</v>
      </c>
    </row>
    <row r="84" spans="2:9">
      <c r="B84" s="102">
        <v>76</v>
      </c>
      <c r="C84" s="104">
        <v>5237387.9440710694</v>
      </c>
      <c r="D84" s="104">
        <v>10321621.170829087</v>
      </c>
      <c r="E84" s="104">
        <v>-5560438.7045555264</v>
      </c>
      <c r="F84" s="104">
        <v>-9072824.2018882036</v>
      </c>
      <c r="G84" s="104">
        <v>5304136.2868205458</v>
      </c>
      <c r="H84" s="104">
        <v>2286108.4423668236</v>
      </c>
      <c r="I84" s="104">
        <v>-17134136.08816658</v>
      </c>
    </row>
    <row r="85" spans="2:9">
      <c r="B85" s="102">
        <v>77</v>
      </c>
      <c r="C85" s="104">
        <v>2004448.9419419765</v>
      </c>
      <c r="D85" s="104">
        <v>3124440.466125682</v>
      </c>
      <c r="E85" s="104">
        <v>-2697464.6151895821</v>
      </c>
      <c r="F85" s="104">
        <v>-1788788.3875884712</v>
      </c>
      <c r="G85" s="104">
        <v>-6251230.6838933378</v>
      </c>
      <c r="H85" s="104">
        <v>-8903550.7752354443</v>
      </c>
      <c r="I85" s="104">
        <v>-176828.77163402736</v>
      </c>
    </row>
    <row r="86" spans="2:9">
      <c r="B86" s="102">
        <v>78</v>
      </c>
      <c r="C86" s="104">
        <v>3226082.2122984231</v>
      </c>
      <c r="D86" s="104">
        <v>-1026443.3862118572</v>
      </c>
      <c r="E86" s="104">
        <v>1286560.3862882555</v>
      </c>
      <c r="F86" s="104">
        <v>6195830.462708205</v>
      </c>
      <c r="G86" s="104">
        <v>-3958325.4772301912</v>
      </c>
      <c r="H86" s="104">
        <v>-8449782.3714659512</v>
      </c>
      <c r="I86" s="104">
        <v>-23755192.615308657</v>
      </c>
    </row>
    <row r="87" spans="2:9">
      <c r="B87" s="102">
        <v>79</v>
      </c>
      <c r="C87" s="104">
        <v>10979497.4038551</v>
      </c>
      <c r="D87" s="104">
        <v>3032561.2718692571</v>
      </c>
      <c r="E87" s="104">
        <v>7658319.9692706764</v>
      </c>
      <c r="F87" s="104">
        <v>2063620.2693993896</v>
      </c>
      <c r="G87" s="104">
        <v>3182267.8829043061</v>
      </c>
      <c r="H87" s="104">
        <v>-9542255.7235985398</v>
      </c>
      <c r="I87" s="104">
        <v>-11671429.03057225</v>
      </c>
    </row>
    <row r="88" spans="2:9">
      <c r="B88" s="102">
        <v>80</v>
      </c>
      <c r="C88" s="104">
        <v>1211545.2148275524</v>
      </c>
      <c r="D88" s="104">
        <v>4879243.401145041</v>
      </c>
      <c r="E88" s="104">
        <v>-1295165.3769633323</v>
      </c>
      <c r="F88" s="104">
        <v>-2964820.2155299783</v>
      </c>
      <c r="G88" s="104">
        <v>-10136993.646527544</v>
      </c>
      <c r="H88" s="104">
        <v>3743735.6471042484</v>
      </c>
      <c r="I88" s="104">
        <v>-1657014.9520097077</v>
      </c>
    </row>
    <row r="89" spans="2:9">
      <c r="B89" s="102">
        <v>81</v>
      </c>
      <c r="C89" s="104">
        <v>6892797.5764787942</v>
      </c>
      <c r="D89" s="104">
        <v>6958922.2910393178</v>
      </c>
      <c r="E89" s="104">
        <v>2774854.3701693118</v>
      </c>
      <c r="F89" s="104">
        <v>-8075566.2159609348</v>
      </c>
      <c r="G89" s="104">
        <v>-4310013.7124123126</v>
      </c>
      <c r="H89" s="104">
        <v>-9757296.3353130668</v>
      </c>
      <c r="I89" s="104">
        <v>-6213732.9331819713</v>
      </c>
    </row>
    <row r="90" spans="2:9">
      <c r="B90" s="102">
        <v>82</v>
      </c>
      <c r="C90" s="104">
        <v>5116946.7424474806</v>
      </c>
      <c r="D90" s="104">
        <v>2994652.1219339669</v>
      </c>
      <c r="E90" s="104">
        <v>-3991021.1675085574</v>
      </c>
      <c r="F90" s="104">
        <v>3068600.2157248408</v>
      </c>
      <c r="G90" s="104">
        <v>-1384209.520813182</v>
      </c>
      <c r="H90" s="104">
        <v>-14754635.477092192</v>
      </c>
      <c r="I90" s="104">
        <v>-10462630.009864405</v>
      </c>
    </row>
    <row r="91" spans="2:9">
      <c r="B91" s="102">
        <v>83</v>
      </c>
      <c r="C91" s="104">
        <v>6334072.001955539</v>
      </c>
      <c r="D91" s="104">
        <v>6007262.96299389</v>
      </c>
      <c r="E91" s="104">
        <v>-1886118.7366999239</v>
      </c>
      <c r="F91" s="104">
        <v>-5121264.5280328691</v>
      </c>
      <c r="G91" s="104">
        <v>-1429495.5256512165</v>
      </c>
      <c r="H91" s="104">
        <v>-15431745.163069576</v>
      </c>
      <c r="I91" s="104">
        <v>-2118505.9211345762</v>
      </c>
    </row>
    <row r="92" spans="2:9">
      <c r="B92" s="102">
        <v>84</v>
      </c>
      <c r="C92" s="104">
        <v>6558669.5856382549</v>
      </c>
      <c r="D92" s="104">
        <v>4716800.8840594143</v>
      </c>
      <c r="E92" s="104">
        <v>-2504189.034504205</v>
      </c>
      <c r="F92" s="104">
        <v>-554728.06680987775</v>
      </c>
      <c r="G92" s="104">
        <v>1621135.8500610292</v>
      </c>
      <c r="H92" s="104">
        <v>-1880902.2340057194</v>
      </c>
      <c r="I92" s="104">
        <v>-7891210.9989330918</v>
      </c>
    </row>
    <row r="93" spans="2:9">
      <c r="B93" s="102">
        <v>85</v>
      </c>
      <c r="C93" s="104">
        <v>10165810.496626973</v>
      </c>
      <c r="D93" s="104">
        <v>1019262.9971876442</v>
      </c>
      <c r="E93" s="104">
        <v>1375840.7203989476</v>
      </c>
      <c r="F93" s="104">
        <v>8057675.7428284585</v>
      </c>
      <c r="G93" s="104">
        <v>-9357857.8946282566</v>
      </c>
      <c r="H93" s="104">
        <v>-9265183.3213499188</v>
      </c>
      <c r="I93" s="104">
        <v>-10996894.595741391</v>
      </c>
    </row>
    <row r="94" spans="2:9">
      <c r="B94" s="102">
        <v>86</v>
      </c>
      <c r="C94" s="104">
        <v>8985447.9737327695</v>
      </c>
      <c r="D94" s="104">
        <v>4734264.8073571324</v>
      </c>
      <c r="E94" s="104">
        <v>7859334.0204835534</v>
      </c>
      <c r="F94" s="104">
        <v>-4428076.9993693084</v>
      </c>
      <c r="G94" s="104">
        <v>4977046.4026770443</v>
      </c>
      <c r="H94" s="104">
        <v>-2310103.1200059652</v>
      </c>
      <c r="I94" s="104">
        <v>-7692314.0939101577</v>
      </c>
    </row>
    <row r="95" spans="2:9">
      <c r="B95" s="102">
        <v>87</v>
      </c>
      <c r="C95" s="104">
        <v>4544770.2120514214</v>
      </c>
      <c r="D95" s="104">
        <v>-2407179.8526095599</v>
      </c>
      <c r="E95" s="104">
        <v>-4160208.2945264578</v>
      </c>
      <c r="F95" s="104">
        <v>-7884658.8741210997</v>
      </c>
      <c r="G95" s="104">
        <v>1077125.3374055028</v>
      </c>
      <c r="H95" s="104">
        <v>-22699.905549511313</v>
      </c>
      <c r="I95" s="104">
        <v>-4141306.995636493</v>
      </c>
    </row>
    <row r="96" spans="2:9">
      <c r="B96" s="102">
        <v>88</v>
      </c>
      <c r="C96" s="104">
        <v>8112988.6393450797</v>
      </c>
      <c r="D96" s="104">
        <v>4209493.8149208874</v>
      </c>
      <c r="E96" s="104">
        <v>8483079.0754977912</v>
      </c>
      <c r="F96" s="104">
        <v>-1747880.4780639708</v>
      </c>
      <c r="G96" s="104">
        <v>-3153512.5112561733</v>
      </c>
      <c r="H96" s="104">
        <v>720582.29501861334</v>
      </c>
      <c r="I96" s="104">
        <v>-3060167.7035582513</v>
      </c>
    </row>
    <row r="97" spans="2:9">
      <c r="B97" s="102">
        <v>89</v>
      </c>
      <c r="C97" s="104">
        <v>-10212409.868789077</v>
      </c>
      <c r="D97" s="104">
        <v>16566126.819920033</v>
      </c>
      <c r="E97" s="104">
        <v>9004776.2641738951</v>
      </c>
      <c r="F97" s="104">
        <v>4632859.3484247923</v>
      </c>
      <c r="G97" s="104">
        <v>-6053924.8472865373</v>
      </c>
      <c r="H97" s="104">
        <v>-6864041.4882207215</v>
      </c>
      <c r="I97" s="104">
        <v>-1175198.606108278</v>
      </c>
    </row>
    <row r="98" spans="2:9">
      <c r="B98" s="102">
        <v>90</v>
      </c>
      <c r="C98" s="104">
        <v>-2196853.7244644016</v>
      </c>
      <c r="D98" s="104">
        <v>930814.6431389153</v>
      </c>
      <c r="E98" s="104">
        <v>6717375.3813392669</v>
      </c>
      <c r="F98" s="104">
        <v>-4484753.1673541665</v>
      </c>
      <c r="G98" s="104">
        <v>76744.12990732491</v>
      </c>
      <c r="H98" s="104">
        <v>-5702249.6804586202</v>
      </c>
      <c r="I98" s="104">
        <v>-854003.16344042122</v>
      </c>
    </row>
    <row r="99" spans="2:9">
      <c r="B99" s="102">
        <v>91</v>
      </c>
      <c r="C99" s="104">
        <v>382073.65523196757</v>
      </c>
      <c r="D99" s="104">
        <v>8905967.6569069177</v>
      </c>
      <c r="E99" s="104">
        <v>11406939.231535405</v>
      </c>
      <c r="F99" s="104">
        <v>-4595922.5433073938</v>
      </c>
      <c r="G99" s="104">
        <v>3047216.4413143843</v>
      </c>
      <c r="H99" s="104">
        <v>-1532553.5814947933</v>
      </c>
      <c r="I99" s="104">
        <v>-3090086.5456808805</v>
      </c>
    </row>
    <row r="100" spans="2:9">
      <c r="B100" s="102">
        <v>92</v>
      </c>
      <c r="C100" s="104">
        <v>-3984677.4823967814</v>
      </c>
      <c r="D100" s="104">
        <v>5164804.8019950688</v>
      </c>
      <c r="E100" s="104">
        <v>-2148935.9523955882</v>
      </c>
      <c r="F100" s="104">
        <v>-6788187.8118706942</v>
      </c>
      <c r="G100" s="104">
        <v>600984.67831529677</v>
      </c>
      <c r="H100" s="104">
        <v>-3162488.5899663419</v>
      </c>
      <c r="I100" s="104">
        <v>-10809952.334166557</v>
      </c>
    </row>
    <row r="101" spans="2:9">
      <c r="B101" s="102">
        <v>93</v>
      </c>
      <c r="C101" s="104">
        <v>6075341.5444455445</v>
      </c>
      <c r="D101" s="104">
        <v>768820.02199669182</v>
      </c>
      <c r="E101" s="104">
        <v>-6127412.7871240079</v>
      </c>
      <c r="F101" s="104">
        <v>-2803813.4659806043</v>
      </c>
      <c r="G101" s="104">
        <v>-9589903.9093123674</v>
      </c>
      <c r="H101" s="104">
        <v>-5464597.45791547</v>
      </c>
      <c r="I101" s="104">
        <v>-9371069.9596007615</v>
      </c>
    </row>
    <row r="102" spans="2:9">
      <c r="B102" s="102">
        <v>94</v>
      </c>
      <c r="C102" s="104">
        <v>2430605.2304033041</v>
      </c>
      <c r="D102" s="104">
        <v>-3537771.0839328915</v>
      </c>
      <c r="E102" s="104">
        <v>-7600081.734719798</v>
      </c>
      <c r="F102" s="104">
        <v>3696903.4592698216</v>
      </c>
      <c r="G102" s="104">
        <v>-2667407.4702771753</v>
      </c>
      <c r="H102" s="104">
        <v>-5410571.7649186254</v>
      </c>
      <c r="I102" s="104">
        <v>-7877320.76958552</v>
      </c>
    </row>
    <row r="103" spans="2:9">
      <c r="B103" s="102">
        <v>95</v>
      </c>
      <c r="C103" s="104">
        <v>10067813.929871961</v>
      </c>
      <c r="D103" s="104">
        <v>-5637852.9180237055</v>
      </c>
      <c r="E103" s="104">
        <v>6716228.185370639</v>
      </c>
      <c r="F103" s="104">
        <v>-8764987.247088328</v>
      </c>
      <c r="G103" s="104">
        <v>-5422772.7056624144</v>
      </c>
      <c r="H103" s="104">
        <v>-3858868.0614940524</v>
      </c>
      <c r="I103" s="104">
        <v>983123.23460826278</v>
      </c>
    </row>
    <row r="104" spans="2:9">
      <c r="B104" s="102">
        <v>96</v>
      </c>
      <c r="C104" s="104">
        <v>4601783.594457984</v>
      </c>
      <c r="D104" s="104">
        <v>3106652.8631073236</v>
      </c>
      <c r="E104" s="104">
        <v>-3436872.1729185879</v>
      </c>
      <c r="F104" s="104">
        <v>-958517.33575704694</v>
      </c>
      <c r="G104" s="104">
        <v>-14778325.294866219</v>
      </c>
      <c r="H104" s="104">
        <v>-1708048.9711613506</v>
      </c>
      <c r="I104" s="104">
        <v>-6418384.4684965909</v>
      </c>
    </row>
    <row r="105" spans="2:9">
      <c r="B105" s="102">
        <v>97</v>
      </c>
      <c r="C105" s="104">
        <v>18985545.105333075</v>
      </c>
      <c r="D105" s="104">
        <v>2016767.5159740448</v>
      </c>
      <c r="E105" s="104">
        <v>8450989.6865014434</v>
      </c>
      <c r="F105" s="104">
        <v>1998509.9463709742</v>
      </c>
      <c r="G105" s="104">
        <v>-12016414.039157137</v>
      </c>
      <c r="H105" s="104">
        <v>715336.60795210302</v>
      </c>
      <c r="I105" s="104">
        <v>1258254.0205290318</v>
      </c>
    </row>
    <row r="106" spans="2:9">
      <c r="B106" s="102">
        <v>98</v>
      </c>
      <c r="C106" s="104">
        <v>-2142215.0452891737</v>
      </c>
      <c r="D106" s="104">
        <v>4114664.6508359611</v>
      </c>
      <c r="E106" s="104">
        <v>-875960.85736234486</v>
      </c>
      <c r="F106" s="104">
        <v>2329771.1062180996</v>
      </c>
      <c r="G106" s="104">
        <v>4302355.5013616383</v>
      </c>
      <c r="H106" s="104">
        <v>-8083604.7409667373</v>
      </c>
      <c r="I106" s="104">
        <v>-10979539.450999901</v>
      </c>
    </row>
    <row r="107" spans="2:9">
      <c r="B107" s="102">
        <v>99</v>
      </c>
      <c r="C107" s="104">
        <v>12344501.703007549</v>
      </c>
      <c r="D107" s="104">
        <v>-1810515.6999448389</v>
      </c>
      <c r="E107" s="104">
        <v>4354909.265903011</v>
      </c>
      <c r="F107" s="104">
        <v>-149936.70744989812</v>
      </c>
      <c r="G107" s="104">
        <v>728010.56472414732</v>
      </c>
      <c r="H107" s="104">
        <v>-3478246.2349670678</v>
      </c>
      <c r="I107" s="104">
        <v>-7578839.2759528905</v>
      </c>
    </row>
    <row r="108" spans="2:9">
      <c r="B108" s="102">
        <v>100</v>
      </c>
      <c r="C108" s="104">
        <v>6041763.6789799333</v>
      </c>
      <c r="D108" s="104">
        <v>1858246.9701806009</v>
      </c>
      <c r="E108" s="104">
        <v>-3992643.9477466345</v>
      </c>
      <c r="F108" s="104">
        <v>-645615.3713234067</v>
      </c>
      <c r="G108" s="104">
        <v>1488878.1391347051</v>
      </c>
      <c r="H108" s="104">
        <v>-9277523.1426886171</v>
      </c>
      <c r="I108" s="104">
        <v>-9111105.4688846469</v>
      </c>
    </row>
    <row r="109" spans="2:9">
      <c r="B109" s="102">
        <v>101</v>
      </c>
      <c r="C109" s="104">
        <v>9644759.6574838758</v>
      </c>
      <c r="D109" s="104">
        <v>14106953.126515687</v>
      </c>
      <c r="E109" s="104">
        <v>-2609198.2997856736</v>
      </c>
      <c r="F109" s="104">
        <v>4726296.2126669735</v>
      </c>
      <c r="G109" s="104">
        <v>-8630875.5319029391</v>
      </c>
      <c r="H109" s="104">
        <v>-7277965.3613014966</v>
      </c>
      <c r="I109" s="104">
        <v>-11028142.010085866</v>
      </c>
    </row>
    <row r="110" spans="2:9">
      <c r="B110" s="102">
        <v>102</v>
      </c>
      <c r="C110" s="104">
        <v>8285068.3743907213</v>
      </c>
      <c r="D110" s="104">
        <v>255720.32908603549</v>
      </c>
      <c r="E110" s="104">
        <v>4304092.5820449144</v>
      </c>
      <c r="F110" s="104">
        <v>1027558.8705516309</v>
      </c>
      <c r="G110" s="104">
        <v>-100719.39944568276</v>
      </c>
      <c r="H110" s="104">
        <v>-11157497.262408927</v>
      </c>
      <c r="I110" s="104">
        <v>-16600549.15417549</v>
      </c>
    </row>
    <row r="111" spans="2:9">
      <c r="B111" s="102">
        <v>103</v>
      </c>
      <c r="C111" s="104">
        <v>5371485.3584317863</v>
      </c>
      <c r="D111" s="104">
        <v>9650211.9497532547</v>
      </c>
      <c r="E111" s="104">
        <v>-1722075.9514510185</v>
      </c>
      <c r="F111" s="104">
        <v>-2847662.4441562593</v>
      </c>
      <c r="G111" s="104">
        <v>-2039954.4608157575</v>
      </c>
      <c r="H111" s="104">
        <v>-10907207.855944753</v>
      </c>
      <c r="I111" s="104">
        <v>-14744550.360345349</v>
      </c>
    </row>
    <row r="112" spans="2:9">
      <c r="B112" s="102">
        <v>104</v>
      </c>
      <c r="C112" s="104">
        <v>6540631.922215268</v>
      </c>
      <c r="D112" s="104">
        <v>1806445.1277768612</v>
      </c>
      <c r="E112" s="104">
        <v>11056600.432387277</v>
      </c>
      <c r="F112" s="104">
        <v>-3677679.4579075575</v>
      </c>
      <c r="G112" s="104">
        <v>3047820.1514039338</v>
      </c>
      <c r="H112" s="104">
        <v>6378918.7782186717</v>
      </c>
      <c r="I112" s="104">
        <v>5801167.9046023488</v>
      </c>
    </row>
    <row r="113" spans="2:9">
      <c r="B113" s="102">
        <v>105</v>
      </c>
      <c r="C113" s="104">
        <v>5439224.9480889589</v>
      </c>
      <c r="D113" s="104">
        <v>8552977.3545297235</v>
      </c>
      <c r="E113" s="104">
        <v>-4465637.3967538029</v>
      </c>
      <c r="F113" s="104">
        <v>-6809562.5130911469</v>
      </c>
      <c r="G113" s="104">
        <v>750539.14393407106</v>
      </c>
      <c r="H113" s="104">
        <v>-4126882.4764599055</v>
      </c>
      <c r="I113" s="104">
        <v>-5175375.370701462</v>
      </c>
    </row>
    <row r="114" spans="2:9">
      <c r="B114" s="102">
        <v>106</v>
      </c>
      <c r="C114" s="104">
        <v>7667264.5569374859</v>
      </c>
      <c r="D114" s="104">
        <v>10115231.261153236</v>
      </c>
      <c r="E114" s="104">
        <v>-181307.61808225513</v>
      </c>
      <c r="F114" s="104">
        <v>1840281.5676355958</v>
      </c>
      <c r="G114" s="104">
        <v>-2432574.2830944806</v>
      </c>
      <c r="H114" s="104">
        <v>-2532251.1702278852</v>
      </c>
      <c r="I114" s="104">
        <v>-6408329.9973020256</v>
      </c>
    </row>
    <row r="115" spans="2:9">
      <c r="B115" s="102">
        <v>107</v>
      </c>
      <c r="C115" s="104">
        <v>15871744.799838424</v>
      </c>
      <c r="D115" s="104">
        <v>3847482.2861856818</v>
      </c>
      <c r="E115" s="104">
        <v>-4491353.6872043014</v>
      </c>
      <c r="F115" s="104">
        <v>3096054.3692611158</v>
      </c>
      <c r="G115" s="104">
        <v>-2146222.9576507807</v>
      </c>
      <c r="H115" s="104">
        <v>-8567923.756784305</v>
      </c>
      <c r="I115" s="104">
        <v>-4133881.3186608404</v>
      </c>
    </row>
    <row r="116" spans="2:9">
      <c r="B116" s="102">
        <v>108</v>
      </c>
      <c r="C116" s="104">
        <v>7712642.1366527826</v>
      </c>
      <c r="D116" s="104">
        <v>6734213.2043015808</v>
      </c>
      <c r="E116" s="104">
        <v>-175270.76242302358</v>
      </c>
      <c r="F116" s="104">
        <v>-7651648.1708559841</v>
      </c>
      <c r="G116" s="104">
        <v>-1856999.2680598795</v>
      </c>
      <c r="H116" s="104">
        <v>1885327.4763461947</v>
      </c>
      <c r="I116" s="104">
        <v>-5584756.0453451872</v>
      </c>
    </row>
    <row r="117" spans="2:9">
      <c r="B117" s="102">
        <v>109</v>
      </c>
      <c r="C117" s="104">
        <v>12299324.964995861</v>
      </c>
      <c r="D117" s="104">
        <v>5541550.6763295084</v>
      </c>
      <c r="E117" s="104">
        <v>1567666.0534750372</v>
      </c>
      <c r="F117" s="104">
        <v>2208161.1388406008</v>
      </c>
      <c r="G117" s="104">
        <v>-13358365.118995205</v>
      </c>
      <c r="H117" s="104">
        <v>-11431426.487269551</v>
      </c>
      <c r="I117" s="104">
        <v>-13268932.223522648</v>
      </c>
    </row>
    <row r="118" spans="2:9">
      <c r="B118" s="102">
        <v>110</v>
      </c>
      <c r="C118" s="104">
        <v>1856311.5597602576</v>
      </c>
      <c r="D118" s="104">
        <v>-2380090.5333743095</v>
      </c>
      <c r="E118" s="104">
        <v>2344505.4265867025</v>
      </c>
      <c r="F118" s="104">
        <v>-4792890.2200734168</v>
      </c>
      <c r="G118" s="104">
        <v>5682569.8837753534</v>
      </c>
      <c r="H118" s="104">
        <v>-9178473.5234852433</v>
      </c>
      <c r="I118" s="104">
        <v>-12460897.289600715</v>
      </c>
    </row>
    <row r="119" spans="2:9">
      <c r="B119" s="102">
        <v>111</v>
      </c>
      <c r="C119" s="104">
        <v>10303496.392234042</v>
      </c>
      <c r="D119" s="104">
        <v>8150239.1938510537</v>
      </c>
      <c r="E119" s="104">
        <v>-1090693.4636645913</v>
      </c>
      <c r="F119" s="104">
        <v>-1491043.0614170432</v>
      </c>
      <c r="G119" s="104">
        <v>11204709.063280642</v>
      </c>
      <c r="H119" s="104">
        <v>1354199.8126243353</v>
      </c>
      <c r="I119" s="104">
        <v>-1641074.6197674572</v>
      </c>
    </row>
    <row r="120" spans="2:9">
      <c r="B120" s="102">
        <v>112</v>
      </c>
      <c r="C120" s="104">
        <v>4045872.0389466733</v>
      </c>
      <c r="D120" s="104">
        <v>8190979.2167379707</v>
      </c>
      <c r="E120" s="104">
        <v>5138265.859522149</v>
      </c>
      <c r="F120" s="104">
        <v>-4028908.3921752423</v>
      </c>
      <c r="G120" s="104">
        <v>3879591.7954421192</v>
      </c>
      <c r="H120" s="104">
        <v>-20122291.361920878</v>
      </c>
      <c r="I120" s="104">
        <v>-6084219.4465569407</v>
      </c>
    </row>
    <row r="121" spans="2:9">
      <c r="B121" s="102">
        <v>113</v>
      </c>
      <c r="C121" s="104">
        <v>4606961.710646227</v>
      </c>
      <c r="D121" s="104">
        <v>11016519.089959994</v>
      </c>
      <c r="E121" s="104">
        <v>-3798442.2906596363</v>
      </c>
      <c r="F121" s="104">
        <v>-10108966.245680749</v>
      </c>
      <c r="G121" s="104">
        <v>-552231.60911743343</v>
      </c>
      <c r="H121" s="104">
        <v>-2221689.9548062533</v>
      </c>
      <c r="I121" s="104">
        <v>-20165599.857524022</v>
      </c>
    </row>
    <row r="122" spans="2:9">
      <c r="B122" s="102">
        <v>114</v>
      </c>
      <c r="C122" s="104">
        <v>-2783763.5111014545</v>
      </c>
      <c r="D122" s="104">
        <v>-242800.43258324265</v>
      </c>
      <c r="E122" s="104">
        <v>261682.4109852016</v>
      </c>
      <c r="F122" s="104">
        <v>4209822.8259554058</v>
      </c>
      <c r="G122" s="104">
        <v>-8902674.9149305522</v>
      </c>
      <c r="H122" s="104">
        <v>-11059086.08928746</v>
      </c>
      <c r="I122" s="104">
        <v>-14324653.857426465</v>
      </c>
    </row>
    <row r="123" spans="2:9">
      <c r="B123" s="102">
        <v>115</v>
      </c>
      <c r="C123" s="104">
        <v>3279621.3856032342</v>
      </c>
      <c r="D123" s="104">
        <v>-583296.76292046905</v>
      </c>
      <c r="E123" s="104">
        <v>3232624.9596178085</v>
      </c>
      <c r="F123" s="104">
        <v>-7654554.1284850091</v>
      </c>
      <c r="G123" s="104">
        <v>-12496215.919185698</v>
      </c>
      <c r="H123" s="104">
        <v>-4364390.7357523739</v>
      </c>
      <c r="I123" s="104">
        <v>4737694.1274255961</v>
      </c>
    </row>
    <row r="124" spans="2:9">
      <c r="B124" s="102">
        <v>116</v>
      </c>
      <c r="C124" s="104">
        <v>2146383.5555212796</v>
      </c>
      <c r="D124" s="104">
        <v>13925910.798444837</v>
      </c>
      <c r="E124" s="104">
        <v>8922187.8545395732</v>
      </c>
      <c r="F124" s="104">
        <v>-294119.86111430824</v>
      </c>
      <c r="G124" s="104">
        <v>-15049713.861028701</v>
      </c>
      <c r="H124" s="104">
        <v>945205.07447105646</v>
      </c>
      <c r="I124" s="104">
        <v>-10189429.955627739</v>
      </c>
    </row>
    <row r="125" spans="2:9">
      <c r="B125" s="102">
        <v>117</v>
      </c>
      <c r="C125" s="104">
        <v>-947225.81642091274</v>
      </c>
      <c r="D125" s="104">
        <v>7335834.2192508727</v>
      </c>
      <c r="E125" s="104">
        <v>-1461991.5814245641</v>
      </c>
      <c r="F125" s="104">
        <v>-5262075.8264333755</v>
      </c>
      <c r="G125" s="104">
        <v>-13871382.70271866</v>
      </c>
      <c r="H125" s="104">
        <v>-9014036.8834920079</v>
      </c>
      <c r="I125" s="104">
        <v>-12625506.035169095</v>
      </c>
    </row>
    <row r="126" spans="2:9">
      <c r="B126" s="102">
        <v>118</v>
      </c>
      <c r="C126" s="104">
        <v>2529960.0074720383</v>
      </c>
      <c r="D126" s="104">
        <v>1260705.5490768105</v>
      </c>
      <c r="E126" s="104">
        <v>-2289369.1474478245</v>
      </c>
      <c r="F126" s="104">
        <v>2123322.237351045</v>
      </c>
      <c r="G126" s="104">
        <v>1010378.2992223799</v>
      </c>
      <c r="H126" s="104">
        <v>-11109427.990239382</v>
      </c>
      <c r="I126" s="104">
        <v>-8283436.2947436869</v>
      </c>
    </row>
    <row r="127" spans="2:9">
      <c r="B127" s="102">
        <v>119</v>
      </c>
      <c r="C127" s="104">
        <v>5776319.906009838</v>
      </c>
      <c r="D127" s="104">
        <v>4043940.8267457336</v>
      </c>
      <c r="E127" s="104">
        <v>1855201.1554030776</v>
      </c>
      <c r="F127" s="104">
        <v>-3839499.6212607324</v>
      </c>
      <c r="G127" s="104">
        <v>-458728.14305432141</v>
      </c>
      <c r="H127" s="104">
        <v>-2508037.1698157489</v>
      </c>
      <c r="I127" s="104">
        <v>-9289396.3059608638</v>
      </c>
    </row>
    <row r="128" spans="2:9">
      <c r="B128" s="102">
        <v>120</v>
      </c>
      <c r="C128" s="104">
        <v>5596109.0206594169</v>
      </c>
      <c r="D128" s="104">
        <v>1738893.4555152953</v>
      </c>
      <c r="E128" s="104">
        <v>-5049500.78296417</v>
      </c>
      <c r="F128" s="104">
        <v>-1829825.5161170959</v>
      </c>
      <c r="G128" s="104">
        <v>-6540944.5593098998</v>
      </c>
      <c r="H128" s="104">
        <v>318459.37865777314</v>
      </c>
      <c r="I128" s="104">
        <v>-3644449.278278172</v>
      </c>
    </row>
    <row r="129" spans="2:9">
      <c r="B129" s="102">
        <v>121</v>
      </c>
      <c r="C129" s="104">
        <v>13976951.222219497</v>
      </c>
      <c r="D129" s="104">
        <v>2072335.9854329973</v>
      </c>
      <c r="E129" s="104">
        <v>-6705.440973341465</v>
      </c>
      <c r="F129" s="104">
        <v>4931590.3304762542</v>
      </c>
      <c r="G129" s="104">
        <v>356279.95060569048</v>
      </c>
      <c r="H129" s="104">
        <v>-6403304.7664742172</v>
      </c>
      <c r="I129" s="104">
        <v>-15311135.133982003</v>
      </c>
    </row>
    <row r="130" spans="2:9">
      <c r="B130" s="102">
        <v>122</v>
      </c>
      <c r="C130" s="104">
        <v>12864622.311013222</v>
      </c>
      <c r="D130" s="104">
        <v>-398203.80795063078</v>
      </c>
      <c r="E130" s="104">
        <v>-3434676.50228329</v>
      </c>
      <c r="F130" s="104">
        <v>-883054.21698012948</v>
      </c>
      <c r="G130" s="104">
        <v>-1726360.720389694</v>
      </c>
      <c r="H130" s="104">
        <v>-1156186.1919394732</v>
      </c>
      <c r="I130" s="104">
        <v>-6844584.5598000884</v>
      </c>
    </row>
    <row r="131" spans="2:9">
      <c r="B131" s="102">
        <v>123</v>
      </c>
      <c r="C131" s="104">
        <v>5163341.9851934165</v>
      </c>
      <c r="D131" s="104">
        <v>676067.94401086867</v>
      </c>
      <c r="E131" s="104">
        <v>-4983196.597674951</v>
      </c>
      <c r="F131" s="104">
        <v>3104235.3755177855</v>
      </c>
      <c r="G131" s="104">
        <v>-5929078.5845563859</v>
      </c>
      <c r="H131" s="104">
        <v>-3755752.402050063</v>
      </c>
      <c r="I131" s="104">
        <v>-12391926.916685343</v>
      </c>
    </row>
    <row r="132" spans="2:9">
      <c r="B132" s="102">
        <v>124</v>
      </c>
      <c r="C132" s="104">
        <v>6214606.7512104362</v>
      </c>
      <c r="D132" s="104">
        <v>-3061553.2217493802</v>
      </c>
      <c r="E132" s="104">
        <v>-994281.54406543076</v>
      </c>
      <c r="F132" s="104">
        <v>4458532.578551963</v>
      </c>
      <c r="G132" s="104">
        <v>-1555183.0158107281</v>
      </c>
      <c r="H132" s="104">
        <v>-6153486.6337268203</v>
      </c>
      <c r="I132" s="104">
        <v>-8363576.5929704159</v>
      </c>
    </row>
    <row r="133" spans="2:9">
      <c r="B133" s="102">
        <v>125</v>
      </c>
      <c r="C133" s="104">
        <v>3918689.3364498913</v>
      </c>
      <c r="D133" s="104">
        <v>2336991.5166485906</v>
      </c>
      <c r="E133" s="104">
        <v>-6110101.865411073</v>
      </c>
      <c r="F133" s="104">
        <v>-7072523.6989390701</v>
      </c>
      <c r="G133" s="104">
        <v>-16588901.291183025</v>
      </c>
      <c r="H133" s="104">
        <v>-5285227.4176588953</v>
      </c>
      <c r="I133" s="104">
        <v>-11002977.786201984</v>
      </c>
    </row>
    <row r="134" spans="2:9">
      <c r="B134" s="102">
        <v>126</v>
      </c>
      <c r="C134" s="104">
        <v>-5529818.1586473733</v>
      </c>
      <c r="D134" s="104">
        <v>-6505501.4838499427</v>
      </c>
      <c r="E134" s="104">
        <v>2402196.6499065608</v>
      </c>
      <c r="F134" s="104">
        <v>-4874513.7374956459</v>
      </c>
      <c r="G134" s="104">
        <v>970516.81504708529</v>
      </c>
      <c r="H134" s="104">
        <v>-1816221.2800897509</v>
      </c>
      <c r="I134" s="104">
        <v>-4145732.2414826006</v>
      </c>
    </row>
    <row r="135" spans="2:9">
      <c r="B135" s="102">
        <v>127</v>
      </c>
      <c r="C135" s="104">
        <v>5894102.1653616577</v>
      </c>
      <c r="D135" s="104">
        <v>1260781.839642033</v>
      </c>
      <c r="E135" s="104">
        <v>3974880.7877871543</v>
      </c>
      <c r="F135" s="104">
        <v>-1119703.4618573338</v>
      </c>
      <c r="G135" s="104">
        <v>218254.86991539598</v>
      </c>
      <c r="H135" s="104">
        <v>-15204471.398412883</v>
      </c>
      <c r="I135" s="104">
        <v>-1572126.6187268198</v>
      </c>
    </row>
    <row r="136" spans="2:9">
      <c r="B136" s="102">
        <v>128</v>
      </c>
      <c r="C136" s="104">
        <v>-680226.84838694334</v>
      </c>
      <c r="D136" s="104">
        <v>12667339.326856792</v>
      </c>
      <c r="E136" s="104">
        <v>7881277.3503757417</v>
      </c>
      <c r="F136" s="104">
        <v>-9984911.4795421362</v>
      </c>
      <c r="G136" s="104">
        <v>-7041321.5251718163</v>
      </c>
      <c r="H136" s="104">
        <v>-5904825.1431281716</v>
      </c>
      <c r="I136" s="104">
        <v>-3709169.4550547749</v>
      </c>
    </row>
    <row r="137" spans="2:9">
      <c r="B137" s="102">
        <v>129</v>
      </c>
      <c r="C137" s="104">
        <v>12105967.581440315</v>
      </c>
      <c r="D137" s="104">
        <v>-2529903.5826841444</v>
      </c>
      <c r="E137" s="104">
        <v>-3417139.9615181088</v>
      </c>
      <c r="F137" s="104">
        <v>-2179446.2055556476</v>
      </c>
      <c r="G137" s="104">
        <v>283597.90113636851</v>
      </c>
      <c r="H137" s="104">
        <v>-10773207.855643287</v>
      </c>
      <c r="I137" s="104">
        <v>467040.99994207919</v>
      </c>
    </row>
    <row r="138" spans="2:9">
      <c r="B138" s="102">
        <v>130</v>
      </c>
      <c r="C138" s="104">
        <v>1641180.621967569</v>
      </c>
      <c r="D138" s="104">
        <v>7312774.5916763246</v>
      </c>
      <c r="E138" s="104">
        <v>11269339.974445656</v>
      </c>
      <c r="F138" s="104">
        <v>-4248559.6416393071</v>
      </c>
      <c r="G138" s="104">
        <v>441536.88653567433</v>
      </c>
      <c r="H138" s="104">
        <v>-2126717.6279275417</v>
      </c>
      <c r="I138" s="104">
        <v>-6061817.5966937393</v>
      </c>
    </row>
    <row r="139" spans="2:9">
      <c r="B139" s="102">
        <v>131</v>
      </c>
      <c r="C139" s="104">
        <v>12050031.684302121</v>
      </c>
      <c r="D139" s="104">
        <v>4512333.8227260262</v>
      </c>
      <c r="E139" s="104">
        <v>836162.79287287593</v>
      </c>
      <c r="F139" s="104">
        <v>-2790479.8252652735</v>
      </c>
      <c r="G139" s="104">
        <v>-5003604.1280294359</v>
      </c>
      <c r="H139" s="104">
        <v>-4890923.7016574591</v>
      </c>
      <c r="I139" s="104">
        <v>-1708696.4722274244</v>
      </c>
    </row>
    <row r="140" spans="2:9">
      <c r="B140" s="102">
        <v>132</v>
      </c>
      <c r="C140" s="104">
        <v>6557698.4767946154</v>
      </c>
      <c r="D140" s="104">
        <v>8302838.2634700388</v>
      </c>
      <c r="E140" s="104">
        <v>-4349983.1581047773</v>
      </c>
      <c r="F140" s="104">
        <v>335905.87159051001</v>
      </c>
      <c r="G140" s="104">
        <v>-877804.38078963757</v>
      </c>
      <c r="H140" s="104">
        <v>-4215273.0285612643</v>
      </c>
      <c r="I140" s="104">
        <v>-6341626.4137305617</v>
      </c>
    </row>
    <row r="141" spans="2:9">
      <c r="B141" s="102">
        <v>133</v>
      </c>
      <c r="C141" s="104">
        <v>4038831.2225389034</v>
      </c>
      <c r="D141" s="104">
        <v>-4364867.1468612254</v>
      </c>
      <c r="E141" s="104">
        <v>782057.80138842762</v>
      </c>
      <c r="F141" s="104">
        <v>-3332490.5039795637</v>
      </c>
      <c r="G141" s="104">
        <v>610270.36851245165</v>
      </c>
      <c r="H141" s="104">
        <v>-3395211.7653044611</v>
      </c>
      <c r="I141" s="104">
        <v>-3632325.1778142601</v>
      </c>
    </row>
    <row r="142" spans="2:9">
      <c r="B142" s="102">
        <v>134</v>
      </c>
      <c r="C142" s="104">
        <v>6049843.2471581697</v>
      </c>
      <c r="D142" s="104">
        <v>8389151.0523153394</v>
      </c>
      <c r="E142" s="104">
        <v>-7612540.7996503413</v>
      </c>
      <c r="F142" s="104">
        <v>455932.98883095384</v>
      </c>
      <c r="G142" s="104">
        <v>-2863712.6328549236</v>
      </c>
      <c r="H142" s="104">
        <v>-6978595.597001493</v>
      </c>
      <c r="I142" s="104">
        <v>-8285409.1661626101</v>
      </c>
    </row>
    <row r="143" spans="2:9">
      <c r="B143" s="102">
        <v>135</v>
      </c>
      <c r="C143" s="104">
        <v>2062152.3914775699</v>
      </c>
      <c r="D143" s="104">
        <v>2097732.4978367537</v>
      </c>
      <c r="E143" s="104">
        <v>-206175.49903559685</v>
      </c>
      <c r="F143" s="104">
        <v>1752214.922190249</v>
      </c>
      <c r="G143" s="104">
        <v>-4165308.9044556022</v>
      </c>
      <c r="H143" s="104">
        <v>-7675965.1042839587</v>
      </c>
      <c r="I143" s="104">
        <v>-3644740.9299454093</v>
      </c>
    </row>
    <row r="144" spans="2:9">
      <c r="B144" s="102">
        <v>136</v>
      </c>
      <c r="C144" s="104">
        <v>-6453154.5994222909</v>
      </c>
      <c r="D144" s="104">
        <v>7438091.5917003155</v>
      </c>
      <c r="E144" s="104">
        <v>5645427.5343389362</v>
      </c>
      <c r="F144" s="104">
        <v>229818.14379528165</v>
      </c>
      <c r="G144" s="104">
        <v>-7062722.2028751671</v>
      </c>
      <c r="H144" s="104">
        <v>-4874586.0715022981</v>
      </c>
      <c r="I144" s="104">
        <v>-12272240.623169988</v>
      </c>
    </row>
    <row r="145" spans="2:9">
      <c r="B145" s="102">
        <v>137</v>
      </c>
      <c r="C145" s="104">
        <v>6821995.3081360608</v>
      </c>
      <c r="D145" s="104">
        <v>9027799.366971761</v>
      </c>
      <c r="E145" s="104">
        <v>-2817786.3149156123</v>
      </c>
      <c r="F145" s="104">
        <v>-3390968.4000060707</v>
      </c>
      <c r="G145" s="104">
        <v>8525337.3053453118</v>
      </c>
      <c r="H145" s="104">
        <v>-5084308.0550921857</v>
      </c>
      <c r="I145" s="104">
        <v>-8389529.2418203503</v>
      </c>
    </row>
    <row r="146" spans="2:9">
      <c r="B146" s="102">
        <v>138</v>
      </c>
      <c r="C146" s="104">
        <v>6205575.4507686198</v>
      </c>
      <c r="D146" s="104">
        <v>-1013467.6633935571</v>
      </c>
      <c r="E146" s="104">
        <v>-7440525.3468058407</v>
      </c>
      <c r="F146" s="104">
        <v>-5607234.8698196113</v>
      </c>
      <c r="G146" s="104">
        <v>-2914713.5773552954</v>
      </c>
      <c r="H146" s="104">
        <v>7740336.6272301525</v>
      </c>
      <c r="I146" s="104">
        <v>-14857256.912876964</v>
      </c>
    </row>
    <row r="147" spans="2:9">
      <c r="B147" s="102">
        <v>139</v>
      </c>
      <c r="C147" s="104">
        <v>1728339.5560464114</v>
      </c>
      <c r="D147" s="104">
        <v>16197188.655976027</v>
      </c>
      <c r="E147" s="104">
        <v>4631798.7235258967</v>
      </c>
      <c r="F147" s="104">
        <v>-3927893.56312114</v>
      </c>
      <c r="G147" s="104">
        <v>-1520471.9766845256</v>
      </c>
      <c r="H147" s="104">
        <v>-2511984.773083061</v>
      </c>
      <c r="I147" s="104">
        <v>-7957379.4293978065</v>
      </c>
    </row>
    <row r="148" spans="2:9">
      <c r="B148" s="102">
        <v>140</v>
      </c>
      <c r="C148" s="104">
        <v>2708880.0371744782</v>
      </c>
      <c r="D148" s="104">
        <v>8360844.2014493048</v>
      </c>
      <c r="E148" s="104">
        <v>3670544.4607549906</v>
      </c>
      <c r="F148" s="104">
        <v>-2044543.7213300467</v>
      </c>
      <c r="G148" s="104">
        <v>-329784.34891289473</v>
      </c>
      <c r="H148" s="104">
        <v>-1978134.6728243381</v>
      </c>
      <c r="I148" s="104">
        <v>-2504006.5492164493</v>
      </c>
    </row>
    <row r="149" spans="2:9">
      <c r="B149" s="102">
        <v>141</v>
      </c>
      <c r="C149" s="104">
        <v>15164987.115101248</v>
      </c>
      <c r="D149" s="104">
        <v>1286579.622419402</v>
      </c>
      <c r="E149" s="104">
        <v>-8059908.4520887136</v>
      </c>
      <c r="F149" s="104">
        <v>-2230522.0107811987</v>
      </c>
      <c r="G149" s="104">
        <v>-11932608.995433211</v>
      </c>
      <c r="H149" s="104">
        <v>-6282893.0137703568</v>
      </c>
      <c r="I149" s="104">
        <v>-6635502.8249723017</v>
      </c>
    </row>
    <row r="150" spans="2:9">
      <c r="B150" s="102">
        <v>142</v>
      </c>
      <c r="C150" s="104">
        <v>3341432.9446585923</v>
      </c>
      <c r="D150" s="104">
        <v>2003999.0148280561</v>
      </c>
      <c r="E150" s="104">
        <v>2475946.1801154315</v>
      </c>
      <c r="F150" s="104">
        <v>1238133.5769513249</v>
      </c>
      <c r="G150" s="104">
        <v>-5243758.4911362976</v>
      </c>
      <c r="H150" s="104">
        <v>1199273.2691042721</v>
      </c>
      <c r="I150" s="104">
        <v>-12494879.429546639</v>
      </c>
    </row>
    <row r="151" spans="2:9">
      <c r="B151" s="102">
        <v>143</v>
      </c>
      <c r="C151" s="104">
        <v>6871489.7587613314</v>
      </c>
      <c r="D151" s="104">
        <v>-1427969.846978426</v>
      </c>
      <c r="E151" s="104">
        <v>12714800.451290265</v>
      </c>
      <c r="F151" s="104">
        <v>-2942306.5131729394</v>
      </c>
      <c r="G151" s="104">
        <v>-1498969.4792615473</v>
      </c>
      <c r="H151" s="104">
        <v>-10993716.586457282</v>
      </c>
      <c r="I151" s="104">
        <v>-4993509.0974180996</v>
      </c>
    </row>
    <row r="152" spans="2:9">
      <c r="B152" s="102">
        <v>144</v>
      </c>
      <c r="C152" s="104">
        <v>14978097.861203432</v>
      </c>
      <c r="D152" s="104">
        <v>-4683956.2554519922</v>
      </c>
      <c r="E152" s="104">
        <v>-2249590.1875778288</v>
      </c>
      <c r="F152" s="104">
        <v>-914562.68349578977</v>
      </c>
      <c r="G152" s="104">
        <v>-11885228.267869398</v>
      </c>
      <c r="H152" s="104">
        <v>-8746904.1357035935</v>
      </c>
      <c r="I152" s="104">
        <v>-17451788.427137092</v>
      </c>
    </row>
    <row r="153" spans="2:9">
      <c r="B153" s="102">
        <v>145</v>
      </c>
      <c r="C153" s="104">
        <v>8318756.412128076</v>
      </c>
      <c r="D153" s="104">
        <v>455794.17250202596</v>
      </c>
      <c r="E153" s="104">
        <v>6855056.1571317911</v>
      </c>
      <c r="F153" s="104">
        <v>-8158658.0371943712</v>
      </c>
      <c r="G153" s="104">
        <v>3900691.4918850511</v>
      </c>
      <c r="H153" s="104">
        <v>-5227905.1193314791</v>
      </c>
      <c r="I153" s="104">
        <v>-6296392.8345274627</v>
      </c>
    </row>
    <row r="154" spans="2:9">
      <c r="B154" s="102">
        <v>146</v>
      </c>
      <c r="C154" s="104">
        <v>14900333.18657288</v>
      </c>
      <c r="D154" s="104">
        <v>9352520.1918634772</v>
      </c>
      <c r="E154" s="104">
        <v>4531962.8331373185</v>
      </c>
      <c r="F154" s="104">
        <v>5371630.6666374356</v>
      </c>
      <c r="G154" s="104">
        <v>6569585.7156222165</v>
      </c>
      <c r="H154" s="104">
        <v>-9994124.7188802212</v>
      </c>
      <c r="I154" s="104">
        <v>-4099111.3310506791</v>
      </c>
    </row>
    <row r="155" spans="2:9">
      <c r="B155" s="102">
        <v>147</v>
      </c>
      <c r="C155" s="104">
        <v>17665700.230035663</v>
      </c>
      <c r="D155" s="104">
        <v>2937510.4695757478</v>
      </c>
      <c r="E155" s="104">
        <v>3915443.7138537467</v>
      </c>
      <c r="F155" s="104">
        <v>143760.48242528737</v>
      </c>
      <c r="G155" s="104">
        <v>-710742.91087424755</v>
      </c>
      <c r="H155" s="104">
        <v>-5290548.3391591758</v>
      </c>
      <c r="I155" s="104">
        <v>-2532099.5635066926</v>
      </c>
    </row>
    <row r="156" spans="2:9">
      <c r="B156" s="102">
        <v>148</v>
      </c>
      <c r="C156" s="104">
        <v>-2964655.891504392</v>
      </c>
      <c r="D156" s="104">
        <v>-1121981.8291890323</v>
      </c>
      <c r="E156" s="104">
        <v>5327886.4341098219</v>
      </c>
      <c r="F156" s="104">
        <v>-2330838.9564931691</v>
      </c>
      <c r="G156" s="104">
        <v>-9971175.1205689013</v>
      </c>
      <c r="H156" s="104">
        <v>-4889269.6730800867</v>
      </c>
      <c r="I156" s="104">
        <v>-6208621.6057342738</v>
      </c>
    </row>
    <row r="157" spans="2:9">
      <c r="B157" s="102">
        <v>149</v>
      </c>
      <c r="C157" s="104">
        <v>3789544.7316504419</v>
      </c>
      <c r="D157" s="104">
        <v>6663899.7577152103</v>
      </c>
      <c r="E157" s="104">
        <v>5094441.6005618423</v>
      </c>
      <c r="F157" s="104">
        <v>-3630371.0893762708</v>
      </c>
      <c r="G157" s="104">
        <v>-4700569.8465905041</v>
      </c>
      <c r="H157" s="104">
        <v>-12901186.491798073</v>
      </c>
      <c r="I157" s="104">
        <v>-12770215.363253891</v>
      </c>
    </row>
    <row r="158" spans="2:9">
      <c r="B158" s="102">
        <v>150</v>
      </c>
      <c r="C158" s="104">
        <v>5713270.3188215345</v>
      </c>
      <c r="D158" s="104">
        <v>-1356570.6530863643</v>
      </c>
      <c r="E158" s="104">
        <v>4552137.6720765978</v>
      </c>
      <c r="F158" s="104">
        <v>720248.14343270659</v>
      </c>
      <c r="G158" s="104">
        <v>5762538.8187268674</v>
      </c>
      <c r="H158" s="104">
        <v>-10099605.951742232</v>
      </c>
      <c r="I158" s="104">
        <v>-10418442.278883353</v>
      </c>
    </row>
    <row r="159" spans="2:9">
      <c r="B159" s="102">
        <v>151</v>
      </c>
      <c r="C159" s="104">
        <v>1259089.956289202</v>
      </c>
      <c r="D159" s="104">
        <v>1048369.1420311481</v>
      </c>
      <c r="E159" s="104">
        <v>3941704.7954130322</v>
      </c>
      <c r="F159" s="104">
        <v>6421526.0180363953</v>
      </c>
      <c r="G159" s="104">
        <v>-9849075.2093432993</v>
      </c>
      <c r="H159" s="104">
        <v>-4206673.3772706538</v>
      </c>
      <c r="I159" s="104">
        <v>-8033792.5453911126</v>
      </c>
    </row>
    <row r="160" spans="2:9">
      <c r="B160" s="102">
        <v>152</v>
      </c>
      <c r="C160" s="104">
        <v>8078615.264160037</v>
      </c>
      <c r="D160" s="104">
        <v>14150080.277305409</v>
      </c>
      <c r="E160" s="104">
        <v>5782460.7336851209</v>
      </c>
      <c r="F160" s="104">
        <v>-11375642.086042911</v>
      </c>
      <c r="G160" s="104">
        <v>-2539325.2721752673</v>
      </c>
      <c r="H160" s="104">
        <v>-5505135.3603764772</v>
      </c>
      <c r="I160" s="104">
        <v>-5099038.5047188252</v>
      </c>
    </row>
    <row r="161" spans="2:9">
      <c r="B161" s="102">
        <v>153</v>
      </c>
      <c r="C161" s="104">
        <v>6474101.8739078641</v>
      </c>
      <c r="D161" s="104">
        <v>3825250.6408525109</v>
      </c>
      <c r="E161" s="104">
        <v>-5891386.3638216853</v>
      </c>
      <c r="F161" s="104">
        <v>-9456591.8127708137</v>
      </c>
      <c r="G161" s="104">
        <v>-4646714.371235162</v>
      </c>
      <c r="H161" s="104">
        <v>-7470439.9746263176</v>
      </c>
      <c r="I161" s="104">
        <v>-387748.4860663563</v>
      </c>
    </row>
    <row r="162" spans="2:9">
      <c r="B162" s="102">
        <v>154</v>
      </c>
      <c r="C162" s="104">
        <v>7098704.7569449693</v>
      </c>
      <c r="D162" s="104">
        <v>1559306.8185299486</v>
      </c>
      <c r="E162" s="104">
        <v>-2971510.1382342875</v>
      </c>
      <c r="F162" s="104">
        <v>-1003989.9655237198</v>
      </c>
      <c r="G162" s="104">
        <v>-8264904.7440682352</v>
      </c>
      <c r="H162" s="104">
        <v>-5119069.3572015315</v>
      </c>
      <c r="I162" s="104">
        <v>-17282881.776297063</v>
      </c>
    </row>
    <row r="163" spans="2:9">
      <c r="B163" s="102">
        <v>155</v>
      </c>
      <c r="C163" s="104">
        <v>8084544.3440840989</v>
      </c>
      <c r="D163" s="104">
        <v>-1814180.2498435527</v>
      </c>
      <c r="E163" s="104">
        <v>-2838257.4035835266</v>
      </c>
      <c r="F163" s="104">
        <v>-4355947.5550749898</v>
      </c>
      <c r="G163" s="104">
        <v>-5890177.3023807853</v>
      </c>
      <c r="H163" s="104">
        <v>-7921767.4003164172</v>
      </c>
      <c r="I163" s="104">
        <v>-10330125.000444829</v>
      </c>
    </row>
    <row r="164" spans="2:9">
      <c r="B164" s="102">
        <v>156</v>
      </c>
      <c r="C164" s="104">
        <v>-3833787.1890380532</v>
      </c>
      <c r="D164" s="104">
        <v>758896.01054771245</v>
      </c>
      <c r="E164" s="104">
        <v>3311561.9366528988</v>
      </c>
      <c r="F164" s="104">
        <v>3178023.6363677233</v>
      </c>
      <c r="G164" s="104">
        <v>-1327574.4955533594</v>
      </c>
      <c r="H164" s="104">
        <v>-1636479.4889538586</v>
      </c>
      <c r="I164" s="104">
        <v>-4884358.5201120675</v>
      </c>
    </row>
    <row r="165" spans="2:9">
      <c r="B165" s="102">
        <v>157</v>
      </c>
      <c r="C165" s="104">
        <v>14893637.293891028</v>
      </c>
      <c r="D165" s="104">
        <v>2110917.8754261881</v>
      </c>
      <c r="E165" s="104">
        <v>-4736598.7158127725</v>
      </c>
      <c r="F165" s="104">
        <v>-550263.1713026464</v>
      </c>
      <c r="G165" s="104">
        <v>-7384773.2524635941</v>
      </c>
      <c r="H165" s="104">
        <v>-2528435.8941892236</v>
      </c>
      <c r="I165" s="104">
        <v>-16381903.047807053</v>
      </c>
    </row>
    <row r="166" spans="2:9">
      <c r="B166" s="102">
        <v>158</v>
      </c>
      <c r="C166" s="104">
        <v>8796261.4816842824</v>
      </c>
      <c r="D166" s="104">
        <v>-6066091.6545897573</v>
      </c>
      <c r="E166" s="104">
        <v>2881731.3579985201</v>
      </c>
      <c r="F166" s="104">
        <v>-3867809.6641814858</v>
      </c>
      <c r="G166" s="104">
        <v>8575188.3482158184</v>
      </c>
      <c r="H166" s="104">
        <v>1386033.7949685603</v>
      </c>
      <c r="I166" s="104">
        <v>-4006718.6358154118</v>
      </c>
    </row>
    <row r="167" spans="2:9">
      <c r="B167" s="102">
        <v>159</v>
      </c>
      <c r="C167" s="104">
        <v>2420311.8355337083</v>
      </c>
      <c r="D167" s="104">
        <v>11230845.110415235</v>
      </c>
      <c r="E167" s="104">
        <v>3855765.2641927153</v>
      </c>
      <c r="F167" s="104">
        <v>-4213865.8993019313</v>
      </c>
      <c r="G167" s="104">
        <v>5750326.9266978651</v>
      </c>
      <c r="H167" s="104">
        <v>-6591136.6926506162</v>
      </c>
      <c r="I167" s="104">
        <v>-6834992.6005641669</v>
      </c>
    </row>
    <row r="168" spans="2:9">
      <c r="B168" s="102">
        <v>160</v>
      </c>
      <c r="C168" s="104">
        <v>-4095681.8262557089</v>
      </c>
      <c r="D168" s="104">
        <v>-200762.65214733779</v>
      </c>
      <c r="E168" s="104">
        <v>-3128293.2478434592</v>
      </c>
      <c r="F168" s="104">
        <v>6585967.8320050836</v>
      </c>
      <c r="G168" s="104">
        <v>-5281738.9111312181</v>
      </c>
      <c r="H168" s="104">
        <v>-1028801.3495843709</v>
      </c>
      <c r="I168" s="104">
        <v>-8138872.0894673616</v>
      </c>
    </row>
    <row r="169" spans="2:9">
      <c r="B169" s="102">
        <v>161</v>
      </c>
      <c r="C169" s="104">
        <v>2074435.0618182272</v>
      </c>
      <c r="D169" s="104">
        <v>-5410864.7725422084</v>
      </c>
      <c r="E169" s="104">
        <v>-3498909.981723845</v>
      </c>
      <c r="F169" s="104">
        <v>8342420.3816243112</v>
      </c>
      <c r="G169" s="104">
        <v>-864976.83109602332</v>
      </c>
      <c r="H169" s="104">
        <v>-5944112.8766563684</v>
      </c>
      <c r="I169" s="104">
        <v>-10013173.680404276</v>
      </c>
    </row>
    <row r="170" spans="2:9">
      <c r="B170" s="102">
        <v>162</v>
      </c>
      <c r="C170" s="104">
        <v>5341998.9599511623</v>
      </c>
      <c r="D170" s="104">
        <v>-115543.74257677794</v>
      </c>
      <c r="E170" s="104">
        <v>-2695636.3575168848</v>
      </c>
      <c r="F170" s="104">
        <v>8248390.9374468327</v>
      </c>
      <c r="G170" s="104">
        <v>15803792.845476061</v>
      </c>
      <c r="H170" s="104">
        <v>-10122923.400077</v>
      </c>
      <c r="I170" s="104">
        <v>1338905.7437938303</v>
      </c>
    </row>
    <row r="171" spans="2:9">
      <c r="B171" s="102">
        <v>163</v>
      </c>
      <c r="C171" s="104">
        <v>3649350.5459027737</v>
      </c>
      <c r="D171" s="104">
        <v>3836124.5093756169</v>
      </c>
      <c r="E171" s="104">
        <v>349443.25678026676</v>
      </c>
      <c r="F171" s="104">
        <v>5237842.9538583905</v>
      </c>
      <c r="G171" s="104">
        <v>-8196891.9793399274</v>
      </c>
      <c r="H171" s="104">
        <v>-8147642.874952957</v>
      </c>
      <c r="I171" s="104">
        <v>-6825461.1585193425</v>
      </c>
    </row>
    <row r="172" spans="2:9">
      <c r="B172" s="102">
        <v>164</v>
      </c>
      <c r="C172" s="104">
        <v>6090045.086721614</v>
      </c>
      <c r="D172" s="104">
        <v>228244.61484500766</v>
      </c>
      <c r="E172" s="104">
        <v>-11137950.949891701</v>
      </c>
      <c r="F172" s="104">
        <v>2110792.0332672745</v>
      </c>
      <c r="G172" s="104">
        <v>-3962265.9830508828</v>
      </c>
      <c r="H172" s="104">
        <v>918174.22236037254</v>
      </c>
      <c r="I172" s="104">
        <v>-8760296.0261809826</v>
      </c>
    </row>
    <row r="173" spans="2:9">
      <c r="B173" s="102">
        <v>165</v>
      </c>
      <c r="C173" s="104">
        <v>5200500.8713807464</v>
      </c>
      <c r="D173" s="104">
        <v>654720.34552778304</v>
      </c>
      <c r="E173" s="104">
        <v>4764556.045544818</v>
      </c>
      <c r="F173" s="104">
        <v>-5632657.1935470998</v>
      </c>
      <c r="G173" s="104">
        <v>-11249915.227354228</v>
      </c>
      <c r="H173" s="104">
        <v>-2134681.9669917077</v>
      </c>
      <c r="I173" s="104">
        <v>-848132.94252102077</v>
      </c>
    </row>
    <row r="174" spans="2:9">
      <c r="B174" s="102">
        <v>166</v>
      </c>
      <c r="C174" s="104">
        <v>4279658.6303071827</v>
      </c>
      <c r="D174" s="104">
        <v>13689103.951616526</v>
      </c>
      <c r="E174" s="104">
        <v>1660547.5293515623</v>
      </c>
      <c r="F174" s="104">
        <v>8014913.1458502561</v>
      </c>
      <c r="G174" s="104">
        <v>-329758.42960226536</v>
      </c>
      <c r="H174" s="104">
        <v>5414572.1022894531</v>
      </c>
      <c r="I174" s="104">
        <v>2532757.3128112853</v>
      </c>
    </row>
    <row r="175" spans="2:9">
      <c r="B175" s="102">
        <v>167</v>
      </c>
      <c r="C175" s="104">
        <v>11610046.606224492</v>
      </c>
      <c r="D175" s="104">
        <v>245668.39638291299</v>
      </c>
      <c r="E175" s="104">
        <v>4170051.3323358595</v>
      </c>
      <c r="F175" s="104">
        <v>8766515.3927437961</v>
      </c>
      <c r="G175" s="104">
        <v>-11317711.09237279</v>
      </c>
      <c r="H175" s="104">
        <v>-6670976.111903891</v>
      </c>
      <c r="I175" s="104">
        <v>-3446046.2708418965</v>
      </c>
    </row>
    <row r="176" spans="2:9">
      <c r="B176" s="102">
        <v>168</v>
      </c>
      <c r="C176" s="104">
        <v>507544.94214428961</v>
      </c>
      <c r="D176" s="104">
        <v>8853764.6541279256</v>
      </c>
      <c r="E176" s="104">
        <v>5756069.7399419546</v>
      </c>
      <c r="F176" s="104">
        <v>3456013.4678493589</v>
      </c>
      <c r="G176" s="104">
        <v>-6291369.7659059912</v>
      </c>
      <c r="H176" s="104">
        <v>3044420.8526552916</v>
      </c>
      <c r="I176" s="104">
        <v>-9579265.5733819455</v>
      </c>
    </row>
    <row r="177" spans="2:9">
      <c r="B177" s="102">
        <v>169</v>
      </c>
      <c r="C177" s="104">
        <v>5316893.3407160491</v>
      </c>
      <c r="D177" s="104">
        <v>4749466.8852391243</v>
      </c>
      <c r="E177" s="104">
        <v>6935104.6123254746</v>
      </c>
      <c r="F177" s="104">
        <v>-4770814.8906392306</v>
      </c>
      <c r="G177" s="104">
        <v>-8218411.6088784784</v>
      </c>
      <c r="H177" s="104">
        <v>-5168142.3899046034</v>
      </c>
      <c r="I177" s="104">
        <v>1435834.9403966069</v>
      </c>
    </row>
    <row r="178" spans="2:9">
      <c r="B178" s="102">
        <v>170</v>
      </c>
      <c r="C178" s="104">
        <v>6899257.0315515995</v>
      </c>
      <c r="D178" s="104">
        <v>3077463.4650745392</v>
      </c>
      <c r="E178" s="104">
        <v>2268937.8772480488</v>
      </c>
      <c r="F178" s="104">
        <v>-3470464.9901978374</v>
      </c>
      <c r="G178" s="104">
        <v>4617335.8847889304</v>
      </c>
      <c r="H178" s="104">
        <v>-4066094.3645867556</v>
      </c>
      <c r="I178" s="104">
        <v>-9524860.3796787709</v>
      </c>
    </row>
    <row r="179" spans="2:9">
      <c r="B179" s="102">
        <v>171</v>
      </c>
      <c r="C179" s="104">
        <v>1666313.0646437705</v>
      </c>
      <c r="D179" s="104">
        <v>2588962.313635394</v>
      </c>
      <c r="E179" s="104">
        <v>5042243.3642046154</v>
      </c>
      <c r="F179" s="104">
        <v>-172077.37891979516</v>
      </c>
      <c r="G179" s="104">
        <v>905347.99539802969</v>
      </c>
      <c r="H179" s="104">
        <v>-6397531.6234285384</v>
      </c>
      <c r="I179" s="104">
        <v>-2452982.3983876109</v>
      </c>
    </row>
    <row r="180" spans="2:9">
      <c r="B180" s="102">
        <v>172</v>
      </c>
      <c r="C180" s="104">
        <v>-6284848.9401710331</v>
      </c>
      <c r="D180" s="104">
        <v>5609955.2370646</v>
      </c>
      <c r="E180" s="104">
        <v>4445652.6841608882</v>
      </c>
      <c r="F180" s="104">
        <v>5206302.7775185406</v>
      </c>
      <c r="G180" s="104">
        <v>-6933264.9548227042</v>
      </c>
      <c r="H180" s="104">
        <v>1530045.3454642892</v>
      </c>
      <c r="I180" s="104">
        <v>2263796.2763761729</v>
      </c>
    </row>
    <row r="181" spans="2:9">
      <c r="B181" s="102">
        <v>173</v>
      </c>
      <c r="C181" s="104">
        <v>4098570.9247063398</v>
      </c>
      <c r="D181" s="104">
        <v>12045444.440096647</v>
      </c>
      <c r="E181" s="104">
        <v>7699126.0942219049</v>
      </c>
      <c r="F181" s="104">
        <v>-3956446.6515519023</v>
      </c>
      <c r="G181" s="104">
        <v>-1071720.1124370396</v>
      </c>
      <c r="H181" s="104">
        <v>-3244372.1270005554</v>
      </c>
      <c r="I181" s="104">
        <v>-4240396.4364243299</v>
      </c>
    </row>
    <row r="182" spans="2:9">
      <c r="B182" s="102">
        <v>174</v>
      </c>
      <c r="C182" s="104">
        <v>9609784.6964380741</v>
      </c>
      <c r="D182" s="104">
        <v>6057047.5844049901</v>
      </c>
      <c r="E182" s="104">
        <v>-4230317.7595828772</v>
      </c>
      <c r="F182" s="104">
        <v>2607022.1543373764</v>
      </c>
      <c r="G182" s="104">
        <v>676416.67469236255</v>
      </c>
      <c r="H182" s="104">
        <v>-2825675.4584910423</v>
      </c>
      <c r="I182" s="104">
        <v>-7290090.2438870519</v>
      </c>
    </row>
    <row r="183" spans="2:9">
      <c r="B183" s="102">
        <v>175</v>
      </c>
      <c r="C183" s="104">
        <v>8281164.8919341415</v>
      </c>
      <c r="D183" s="104">
        <v>-2855674.3940512836</v>
      </c>
      <c r="E183" s="104">
        <v>2431121.5443241298</v>
      </c>
      <c r="F183" s="104">
        <v>-5350975.2983882427</v>
      </c>
      <c r="G183" s="104">
        <v>-77778.141113340855</v>
      </c>
      <c r="H183" s="104">
        <v>2142604.2506928295</v>
      </c>
      <c r="I183" s="104">
        <v>-7296796.060566619</v>
      </c>
    </row>
    <row r="184" spans="2:9">
      <c r="B184" s="102">
        <v>176</v>
      </c>
      <c r="C184" s="104">
        <v>2553095.1138387173</v>
      </c>
      <c r="D184" s="104">
        <v>20237166.868262649</v>
      </c>
      <c r="E184" s="104">
        <v>-1056340.160530746</v>
      </c>
      <c r="F184" s="104">
        <v>1702847.8674189597</v>
      </c>
      <c r="G184" s="104">
        <v>-3389283.1654143035</v>
      </c>
      <c r="H184" s="104">
        <v>-298245.53946186602</v>
      </c>
      <c r="I184" s="104">
        <v>910201.58535534143</v>
      </c>
    </row>
    <row r="185" spans="2:9">
      <c r="B185" s="102">
        <v>177</v>
      </c>
      <c r="C185" s="104">
        <v>10763247.451541319</v>
      </c>
      <c r="D185" s="104">
        <v>993934.24087385833</v>
      </c>
      <c r="E185" s="104">
        <v>9191644.3593008667</v>
      </c>
      <c r="F185" s="104">
        <v>-3864251.8665114343</v>
      </c>
      <c r="G185" s="104">
        <v>2679978.037089929</v>
      </c>
      <c r="H185" s="104">
        <v>-3432190.9229892641</v>
      </c>
      <c r="I185" s="104">
        <v>-7802869.1818173379</v>
      </c>
    </row>
    <row r="186" spans="2:9">
      <c r="B186" s="102">
        <v>178</v>
      </c>
      <c r="C186" s="104">
        <v>-1422262.4991026372</v>
      </c>
      <c r="D186" s="104">
        <v>1527358.4106887877</v>
      </c>
      <c r="E186" s="104">
        <v>-8340454.20033364</v>
      </c>
      <c r="F186" s="104">
        <v>1714829.9668330997</v>
      </c>
      <c r="G186" s="104">
        <v>-3949427.9117836952</v>
      </c>
      <c r="H186" s="104">
        <v>-1563873.1235628575</v>
      </c>
      <c r="I186" s="104">
        <v>-2260816.7379078865</v>
      </c>
    </row>
    <row r="187" spans="2:9">
      <c r="B187" s="102">
        <v>179</v>
      </c>
      <c r="C187" s="104">
        <v>2505673.9612361789</v>
      </c>
      <c r="D187" s="104">
        <v>-7964890.7098206878</v>
      </c>
      <c r="E187" s="104">
        <v>839934.98293784261</v>
      </c>
      <c r="F187" s="104">
        <v>1275006.4724869877</v>
      </c>
      <c r="G187" s="104">
        <v>5662214.7037635893</v>
      </c>
      <c r="H187" s="104">
        <v>-3189700.3478042036</v>
      </c>
      <c r="I187" s="104">
        <v>-7828667.7070353925</v>
      </c>
    </row>
    <row r="188" spans="2:9">
      <c r="B188" s="102">
        <v>180</v>
      </c>
      <c r="C188" s="104">
        <v>881143.59308977425</v>
      </c>
      <c r="D188" s="104">
        <v>836597.39806054533</v>
      </c>
      <c r="E188" s="104">
        <v>6988144.8005301952</v>
      </c>
      <c r="F188" s="104">
        <v>-5107370.379039973</v>
      </c>
      <c r="G188" s="104">
        <v>-3452061.868762821</v>
      </c>
      <c r="H188" s="104">
        <v>-8607689.7640930265</v>
      </c>
      <c r="I188" s="104">
        <v>-5790476.050126493</v>
      </c>
    </row>
    <row r="189" spans="2:9">
      <c r="B189" s="102">
        <v>181</v>
      </c>
      <c r="C189" s="104">
        <v>8737191.2582840919</v>
      </c>
      <c r="D189" s="104">
        <v>10477259.455859929</v>
      </c>
      <c r="E189" s="104">
        <v>8460230.1159817576</v>
      </c>
      <c r="F189" s="104">
        <v>-4676455.8114936501</v>
      </c>
      <c r="G189" s="104">
        <v>8391853.1711313576</v>
      </c>
      <c r="H189" s="104">
        <v>-6150898.4075102657</v>
      </c>
      <c r="I189" s="104">
        <v>-8799646.3901697695</v>
      </c>
    </row>
    <row r="190" spans="2:9">
      <c r="B190" s="102">
        <v>182</v>
      </c>
      <c r="C190" s="104">
        <v>6056699.1942439675</v>
      </c>
      <c r="D190" s="104">
        <v>4091153.467669189</v>
      </c>
      <c r="E190" s="104">
        <v>-1292970.8885165006</v>
      </c>
      <c r="F190" s="104">
        <v>-7352465.3671805412</v>
      </c>
      <c r="G190" s="104">
        <v>383556.21984371543</v>
      </c>
      <c r="H190" s="104">
        <v>-9629013.3575469702</v>
      </c>
      <c r="I190" s="104">
        <v>3794932.6345331371</v>
      </c>
    </row>
    <row r="191" spans="2:9">
      <c r="B191" s="102">
        <v>183</v>
      </c>
      <c r="C191" s="104">
        <v>7855310.5582185537</v>
      </c>
      <c r="D191" s="104">
        <v>4818570.7056688964</v>
      </c>
      <c r="E191" s="104">
        <v>1188617.8082654774</v>
      </c>
      <c r="F191" s="104">
        <v>1294535.9807217419</v>
      </c>
      <c r="G191" s="104">
        <v>6580116.3487523347</v>
      </c>
      <c r="H191" s="104">
        <v>-9697684.7134113908</v>
      </c>
      <c r="I191" s="104">
        <v>-4507615.4020478725</v>
      </c>
    </row>
    <row r="192" spans="2:9">
      <c r="B192" s="102">
        <v>184</v>
      </c>
      <c r="C192" s="104">
        <v>5424681.4765084237</v>
      </c>
      <c r="D192" s="104">
        <v>791831.61669799685</v>
      </c>
      <c r="E192" s="104">
        <v>4216808.3704399765</v>
      </c>
      <c r="F192" s="104">
        <v>-2758978.8307688385</v>
      </c>
      <c r="G192" s="104">
        <v>-8091102.6282714903</v>
      </c>
      <c r="H192" s="104">
        <v>-3758167.6845095158</v>
      </c>
      <c r="I192" s="104">
        <v>-20737411.821793094</v>
      </c>
    </row>
    <row r="193" spans="2:9">
      <c r="B193" s="102">
        <v>185</v>
      </c>
      <c r="C193" s="104">
        <v>-3502696.3545412421</v>
      </c>
      <c r="D193" s="104">
        <v>9889862.5038257837</v>
      </c>
      <c r="E193" s="104">
        <v>1632341.6875600517</v>
      </c>
      <c r="F193" s="104">
        <v>4861635.8029893786</v>
      </c>
      <c r="G193" s="104">
        <v>-2694889.0705909878</v>
      </c>
      <c r="H193" s="104">
        <v>-1504785.9302868098</v>
      </c>
      <c r="I193" s="104">
        <v>4912249.6502399892</v>
      </c>
    </row>
    <row r="194" spans="2:9">
      <c r="B194" s="102">
        <v>186</v>
      </c>
      <c r="C194" s="104">
        <v>-748724.59866485</v>
      </c>
      <c r="D194" s="104">
        <v>7700167.7122868598</v>
      </c>
      <c r="E194" s="104">
        <v>-5840033.7058032751</v>
      </c>
      <c r="F194" s="104">
        <v>-8486819.4072047323</v>
      </c>
      <c r="G194" s="104">
        <v>-348177.00779829919</v>
      </c>
      <c r="H194" s="104">
        <v>851869.59231022</v>
      </c>
      <c r="I194" s="104">
        <v>-5788400.8070093393</v>
      </c>
    </row>
    <row r="195" spans="2:9">
      <c r="B195" s="102">
        <v>187</v>
      </c>
      <c r="C195" s="104">
        <v>10781001.075434327</v>
      </c>
      <c r="D195" s="104">
        <v>7352300.6324249804</v>
      </c>
      <c r="E195" s="104">
        <v>-1310306.087167874</v>
      </c>
      <c r="F195" s="104">
        <v>-8305.0918275415897</v>
      </c>
      <c r="G195" s="104">
        <v>2555515.3880977482</v>
      </c>
      <c r="H195" s="104">
        <v>1494464.1769113243</v>
      </c>
      <c r="I195" s="104">
        <v>-9393638.0422667116</v>
      </c>
    </row>
    <row r="196" spans="2:9">
      <c r="B196" s="102">
        <v>188</v>
      </c>
      <c r="C196" s="104">
        <v>3263763.432386905</v>
      </c>
      <c r="D196" s="104">
        <v>-866881.28457115591</v>
      </c>
      <c r="E196" s="104">
        <v>-3628836.9384221286</v>
      </c>
      <c r="F196" s="104">
        <v>1108423.0672414601</v>
      </c>
      <c r="G196" s="104">
        <v>-5028330.4142963737</v>
      </c>
      <c r="H196" s="104">
        <v>-6530256.466497317</v>
      </c>
      <c r="I196" s="104">
        <v>-10099953.427460715</v>
      </c>
    </row>
    <row r="197" spans="2:9">
      <c r="B197" s="102">
        <v>189</v>
      </c>
      <c r="C197" s="104">
        <v>-5463630.2651637346</v>
      </c>
      <c r="D197" s="104">
        <v>7303579.5601762831</v>
      </c>
      <c r="E197" s="104">
        <v>2034360.2695115209</v>
      </c>
      <c r="F197" s="104">
        <v>-3843349.5859860778</v>
      </c>
      <c r="G197" s="104">
        <v>5310421.4161978811</v>
      </c>
      <c r="H197" s="104">
        <v>-428231.97723372281</v>
      </c>
      <c r="I197" s="104">
        <v>-10888234.639596164</v>
      </c>
    </row>
    <row r="198" spans="2:9">
      <c r="B198" s="102">
        <v>190</v>
      </c>
      <c r="C198" s="104">
        <v>7874542.131783247</v>
      </c>
      <c r="D198" s="104">
        <v>255061.7968634516</v>
      </c>
      <c r="E198" s="104">
        <v>-6242621.3912801445</v>
      </c>
      <c r="F198" s="104">
        <v>-1470694.5674609393</v>
      </c>
      <c r="G198" s="104">
        <v>-972110.50146450102</v>
      </c>
      <c r="H198" s="104">
        <v>-6807251.3081478775</v>
      </c>
      <c r="I198" s="104">
        <v>-10107621.728429317</v>
      </c>
    </row>
    <row r="199" spans="2:9">
      <c r="B199" s="102">
        <v>191</v>
      </c>
      <c r="C199" s="104">
        <v>2361480.2095104605</v>
      </c>
      <c r="D199" s="104">
        <v>10654946.371002555</v>
      </c>
      <c r="E199" s="104">
        <v>15161736.569225639</v>
      </c>
      <c r="F199" s="104">
        <v>-3333177.0956441462</v>
      </c>
      <c r="G199" s="104">
        <v>-1048984.0970651954</v>
      </c>
      <c r="H199" s="104">
        <v>-6848352.1155145466</v>
      </c>
      <c r="I199" s="104">
        <v>-8305823.4089867622</v>
      </c>
    </row>
    <row r="200" spans="2:9">
      <c r="B200" s="102">
        <v>192</v>
      </c>
      <c r="C200" s="104">
        <v>1690626.4456521869</v>
      </c>
      <c r="D200" s="104">
        <v>8208220.6563925594</v>
      </c>
      <c r="E200" s="104">
        <v>-6112275.7289915979</v>
      </c>
      <c r="F200" s="104">
        <v>-7144359.9703025669</v>
      </c>
      <c r="G200" s="104">
        <v>-8432397.6646543741</v>
      </c>
      <c r="H200" s="104">
        <v>7098972.2665956616</v>
      </c>
      <c r="I200" s="104">
        <v>-14024567.610604644</v>
      </c>
    </row>
    <row r="201" spans="2:9">
      <c r="B201" s="102">
        <v>193</v>
      </c>
      <c r="C201" s="104">
        <v>5619792.0163694918</v>
      </c>
      <c r="D201" s="104">
        <v>3260373.9751004875</v>
      </c>
      <c r="E201" s="104">
        <v>1012140.4539949745</v>
      </c>
      <c r="F201" s="104">
        <v>2275964.6480109841</v>
      </c>
      <c r="G201" s="104">
        <v>9868648.8787542284</v>
      </c>
      <c r="H201" s="104">
        <v>271380.68205170333</v>
      </c>
      <c r="I201" s="104">
        <v>313616.99864338338</v>
      </c>
    </row>
    <row r="202" spans="2:9">
      <c r="B202" s="102">
        <v>194</v>
      </c>
      <c r="C202" s="104">
        <v>4257957.9436701834</v>
      </c>
      <c r="D202" s="104">
        <v>-1274855.0738475025</v>
      </c>
      <c r="E202" s="104">
        <v>3328738.4825319797</v>
      </c>
      <c r="F202" s="104">
        <v>-2206578.8112734258</v>
      </c>
      <c r="G202" s="104">
        <v>-3636082.5708812177</v>
      </c>
      <c r="H202" s="104">
        <v>-570691.63303260505</v>
      </c>
      <c r="I202" s="104">
        <v>-454486.99363347888</v>
      </c>
    </row>
    <row r="203" spans="2:9">
      <c r="B203" s="102">
        <v>195</v>
      </c>
      <c r="C203" s="104">
        <v>-15354.622200042009</v>
      </c>
      <c r="D203" s="104">
        <v>1509699.2411174625</v>
      </c>
      <c r="E203" s="104">
        <v>-2135947.6565581113</v>
      </c>
      <c r="F203" s="104">
        <v>1650586.8711641878</v>
      </c>
      <c r="G203" s="104">
        <v>-746709.09283283353</v>
      </c>
      <c r="H203" s="104">
        <v>-4906029.6665050387</v>
      </c>
      <c r="I203" s="104">
        <v>-3492822.5718004256</v>
      </c>
    </row>
    <row r="204" spans="2:9">
      <c r="B204" s="102">
        <v>196</v>
      </c>
      <c r="C204" s="104">
        <v>10950006.432153583</v>
      </c>
      <c r="D204" s="104">
        <v>-7248727.2584801167</v>
      </c>
      <c r="E204" s="104">
        <v>6101289.8636995405</v>
      </c>
      <c r="F204" s="104">
        <v>120139.83575591445</v>
      </c>
      <c r="G204" s="104">
        <v>-9997376.573818326</v>
      </c>
      <c r="H204" s="104">
        <v>-3786518.3409958333</v>
      </c>
      <c r="I204" s="104">
        <v>-2009814.8736262769</v>
      </c>
    </row>
    <row r="205" spans="2:9">
      <c r="B205" s="102">
        <v>197</v>
      </c>
      <c r="C205" s="104">
        <v>16862670.838025376</v>
      </c>
      <c r="D205" s="104">
        <v>-218458.09855276346</v>
      </c>
      <c r="E205" s="104">
        <v>-7902549.3436343968</v>
      </c>
      <c r="F205" s="104">
        <v>5917319.9240507632</v>
      </c>
      <c r="G205" s="104">
        <v>-4832904.9373044521</v>
      </c>
      <c r="H205" s="104">
        <v>-1741074.7509163469</v>
      </c>
      <c r="I205" s="104">
        <v>-3906574.3521875292</v>
      </c>
    </row>
    <row r="206" spans="2:9">
      <c r="B206" s="102">
        <v>198</v>
      </c>
      <c r="C206" s="104">
        <v>2386758.672810927</v>
      </c>
      <c r="D206" s="104">
        <v>8265562.2544884086</v>
      </c>
      <c r="E206" s="104">
        <v>9003078.0541753918</v>
      </c>
      <c r="F206" s="104">
        <v>634232.96210640669</v>
      </c>
      <c r="G206" s="104">
        <v>-1148853.8232157379</v>
      </c>
      <c r="H206" s="104">
        <v>-590749.94635519385</v>
      </c>
      <c r="I206" s="104">
        <v>-6371793.673867479</v>
      </c>
    </row>
    <row r="207" spans="2:9">
      <c r="B207" s="102">
        <v>199</v>
      </c>
      <c r="C207" s="104">
        <v>15676594.189151123</v>
      </c>
      <c r="D207" s="104">
        <v>12903130.134180918</v>
      </c>
      <c r="E207" s="104">
        <v>2599235.1084906459</v>
      </c>
      <c r="F207" s="104">
        <v>6839898.0290576518</v>
      </c>
      <c r="G207" s="104">
        <v>-1576185.1623645276</v>
      </c>
      <c r="H207" s="104">
        <v>-8924074.9701006562</v>
      </c>
      <c r="I207" s="104">
        <v>-6423326.5832340419</v>
      </c>
    </row>
    <row r="208" spans="2:9">
      <c r="B208" s="102">
        <v>200</v>
      </c>
      <c r="C208" s="104">
        <v>8761577.4494469762</v>
      </c>
      <c r="D208" s="104">
        <v>8243937.7474072278</v>
      </c>
      <c r="E208" s="104">
        <v>-4456760.957321316</v>
      </c>
      <c r="F208" s="104">
        <v>-5505854.6053388715</v>
      </c>
      <c r="G208" s="104">
        <v>4040432.4882959425</v>
      </c>
      <c r="H208" s="104">
        <v>-18252744.936435953</v>
      </c>
      <c r="I208" s="104">
        <v>-7439111.6224044263</v>
      </c>
    </row>
  </sheetData>
  <mergeCells count="1">
    <mergeCell ref="C6:I6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86899D-2E55-8141-B4DB-43342BF718C0}">
  <sheetPr codeName="Arkusz33">
    <tabColor theme="0" tint="-0.499984740745262"/>
  </sheetPr>
  <dimension ref="A3:I207"/>
  <sheetViews>
    <sheetView workbookViewId="0">
      <selection activeCell="F25" sqref="F25"/>
    </sheetView>
  </sheetViews>
  <sheetFormatPr defaultColWidth="10.77734375" defaultRowHeight="13.2"/>
  <cols>
    <col min="1" max="1" width="10.77734375" style="33"/>
    <col min="2" max="9" width="15" style="33" customWidth="1"/>
    <col min="10" max="16384" width="10.77734375" style="33"/>
  </cols>
  <sheetData>
    <row r="3" spans="1:9">
      <c r="B3" s="70" t="s">
        <v>121</v>
      </c>
      <c r="C3" s="94">
        <f t="shared" ref="C3:I3" si="0">AVERAGE(C8:C207)</f>
        <v>-1005307.1283997057</v>
      </c>
      <c r="D3" s="94">
        <f t="shared" si="0"/>
        <v>-2827857.1773256869</v>
      </c>
      <c r="E3" s="94">
        <f t="shared" si="0"/>
        <v>-4966934.0072631799</v>
      </c>
      <c r="F3" s="94">
        <f t="shared" si="0"/>
        <v>-7061225.7993543604</v>
      </c>
      <c r="G3" s="94">
        <f t="shared" si="0"/>
        <v>-9754249.492827706</v>
      </c>
      <c r="H3" s="94">
        <f t="shared" si="0"/>
        <v>-11836034.200961377</v>
      </c>
      <c r="I3" s="94">
        <f t="shared" si="0"/>
        <v>-14377861.880898759</v>
      </c>
    </row>
    <row r="4" spans="1:9">
      <c r="A4" s="70"/>
    </row>
    <row r="5" spans="1:9" ht="15.6">
      <c r="C5" s="205" t="s">
        <v>133</v>
      </c>
      <c r="D5" s="205"/>
      <c r="E5" s="205"/>
      <c r="F5" s="205"/>
      <c r="G5" s="205"/>
      <c r="H5" s="205"/>
      <c r="I5" s="205"/>
    </row>
    <row r="6" spans="1:9">
      <c r="B6" s="101" t="s">
        <v>10</v>
      </c>
      <c r="C6" s="103">
        <v>-0.15</v>
      </c>
      <c r="D6" s="103">
        <v>-0.1</v>
      </c>
      <c r="E6" s="103">
        <v>-0.05</v>
      </c>
      <c r="F6" s="103">
        <v>0</v>
      </c>
      <c r="G6" s="103">
        <v>0.05</v>
      </c>
      <c r="H6" s="103">
        <v>0.1</v>
      </c>
      <c r="I6" s="103">
        <v>0.15</v>
      </c>
    </row>
    <row r="7" spans="1:9">
      <c r="A7" s="70" t="s">
        <v>134</v>
      </c>
      <c r="B7" s="105">
        <v>-11886302.634607553</v>
      </c>
      <c r="C7" s="106">
        <v>36341606.868500002</v>
      </c>
      <c r="D7" s="106">
        <v>38479348.449000001</v>
      </c>
      <c r="E7" s="106">
        <v>40617090.0295</v>
      </c>
      <c r="F7" s="106">
        <v>42754831.609999999</v>
      </c>
      <c r="G7" s="106">
        <v>44892573.190499999</v>
      </c>
      <c r="H7" s="106">
        <v>47030314.771000005</v>
      </c>
      <c r="I7" s="106">
        <v>49168056.351499997</v>
      </c>
    </row>
    <row r="8" spans="1:9">
      <c r="B8" s="102">
        <v>1</v>
      </c>
      <c r="C8" s="104">
        <v>6203889.5982562751</v>
      </c>
      <c r="D8" s="104">
        <v>-4331042.3099830002</v>
      </c>
      <c r="E8" s="104">
        <v>1282277.5487660319</v>
      </c>
      <c r="F8" s="104">
        <v>-14369278.113867611</v>
      </c>
      <c r="G8" s="104">
        <v>-9840737.6478864551</v>
      </c>
      <c r="H8" s="104">
        <v>-14690183.062097728</v>
      </c>
      <c r="I8" s="104">
        <v>-16805660.397414863</v>
      </c>
    </row>
    <row r="9" spans="1:9">
      <c r="B9" s="102">
        <v>2</v>
      </c>
      <c r="C9" s="104">
        <v>-629638.25073868036</v>
      </c>
      <c r="D9" s="104">
        <v>-3867127.4448908418</v>
      </c>
      <c r="E9" s="104">
        <v>1642079.0494630933</v>
      </c>
      <c r="F9" s="104">
        <v>-10326616.53886874</v>
      </c>
      <c r="G9" s="104">
        <v>-11712490.757094309</v>
      </c>
      <c r="H9" s="104">
        <v>-9178328.4026969373</v>
      </c>
      <c r="I9" s="104">
        <v>-19313027.637689069</v>
      </c>
    </row>
    <row r="10" spans="1:9">
      <c r="B10" s="102">
        <v>3</v>
      </c>
      <c r="C10" s="104">
        <v>-2554799.3522251397</v>
      </c>
      <c r="D10" s="104">
        <v>-8754848.3308881521</v>
      </c>
      <c r="E10" s="104">
        <v>-3177095.3359959424</v>
      </c>
      <c r="F10" s="104">
        <v>-2987445.7724678069</v>
      </c>
      <c r="G10" s="104">
        <v>-14819410.57433936</v>
      </c>
      <c r="H10" s="104">
        <v>-15489216.931103677</v>
      </c>
      <c r="I10" s="104">
        <v>-11320785.121714741</v>
      </c>
    </row>
    <row r="11" spans="1:9">
      <c r="B11" s="102">
        <v>4</v>
      </c>
      <c r="C11" s="104">
        <v>5152144.563558951</v>
      </c>
      <c r="D11" s="104">
        <v>4911352.2167700529</v>
      </c>
      <c r="E11" s="104">
        <v>-9453736.2159344256</v>
      </c>
      <c r="F11" s="104">
        <v>-6131629.0611972213</v>
      </c>
      <c r="G11" s="104">
        <v>-8845310.076397121</v>
      </c>
      <c r="H11" s="104">
        <v>-19378959.89796786</v>
      </c>
      <c r="I11" s="104">
        <v>-9281715.5857334286</v>
      </c>
    </row>
    <row r="12" spans="1:9">
      <c r="B12" s="102">
        <v>5</v>
      </c>
      <c r="C12" s="104">
        <v>-6127048.6875490099</v>
      </c>
      <c r="D12" s="104">
        <v>-9555108.7829460055</v>
      </c>
      <c r="E12" s="104">
        <v>-4793577.8560636193</v>
      </c>
      <c r="F12" s="104">
        <v>-13603108.754001483</v>
      </c>
      <c r="G12" s="104">
        <v>-8669354.1986403316</v>
      </c>
      <c r="H12" s="104">
        <v>-5493702.1396052092</v>
      </c>
      <c r="I12" s="104">
        <v>-10333718.417114839</v>
      </c>
    </row>
    <row r="13" spans="1:9">
      <c r="B13" s="102">
        <v>6</v>
      </c>
      <c r="C13" s="104">
        <v>-6864575.1721000671</v>
      </c>
      <c r="D13" s="104">
        <v>-5590498.6971538663</v>
      </c>
      <c r="E13" s="104">
        <v>-3991126.4563009739</v>
      </c>
      <c r="F13" s="104">
        <v>-8280072.2044724822</v>
      </c>
      <c r="G13" s="104">
        <v>-18761270.770402849</v>
      </c>
      <c r="H13" s="104">
        <v>-14053212.935793296</v>
      </c>
      <c r="I13" s="104">
        <v>-11989128.760426804</v>
      </c>
    </row>
    <row r="14" spans="1:9">
      <c r="B14" s="102">
        <v>7</v>
      </c>
      <c r="C14" s="104">
        <v>-6059005.3808034807</v>
      </c>
      <c r="D14" s="104">
        <v>-3288824.7681401372</v>
      </c>
      <c r="E14" s="104">
        <v>-2924688.7087476999</v>
      </c>
      <c r="F14" s="104">
        <v>-4150690.1241696626</v>
      </c>
      <c r="G14" s="104">
        <v>-12828170.335603043</v>
      </c>
      <c r="H14" s="104">
        <v>-11167851.260440394</v>
      </c>
      <c r="I14" s="104">
        <v>-7372727.183156848</v>
      </c>
    </row>
    <row r="15" spans="1:9">
      <c r="B15" s="102">
        <v>8</v>
      </c>
      <c r="C15" s="104">
        <v>4332123.1403909177</v>
      </c>
      <c r="D15" s="104">
        <v>-3398084.997686401</v>
      </c>
      <c r="E15" s="104">
        <v>-971881.86783091724</v>
      </c>
      <c r="F15" s="104">
        <v>-18882307.926039591</v>
      </c>
      <c r="G15" s="104">
        <v>-16897860.705783352</v>
      </c>
      <c r="H15" s="104">
        <v>-9572584.0986858904</v>
      </c>
      <c r="I15" s="104">
        <v>-19715915.775399461</v>
      </c>
    </row>
    <row r="16" spans="1:9">
      <c r="B16" s="102">
        <v>9</v>
      </c>
      <c r="C16" s="104">
        <v>3383669.4040029496</v>
      </c>
      <c r="D16" s="104">
        <v>-6566907.4472849518</v>
      </c>
      <c r="E16" s="104">
        <v>-1162199.0618220568</v>
      </c>
      <c r="F16" s="104">
        <v>-13354303.179045722</v>
      </c>
      <c r="G16" s="104">
        <v>-7786714.0059329718</v>
      </c>
      <c r="H16" s="104">
        <v>-11006609.341297224</v>
      </c>
      <c r="I16" s="104">
        <v>-14159771.40829581</v>
      </c>
    </row>
    <row r="17" spans="2:9">
      <c r="B17" s="102">
        <v>10</v>
      </c>
      <c r="C17" s="104">
        <v>33792.309304654598</v>
      </c>
      <c r="D17" s="104">
        <v>-9091734.8453352451</v>
      </c>
      <c r="E17" s="104">
        <v>2310628.5830353647</v>
      </c>
      <c r="F17" s="104">
        <v>-1341383.4744388163</v>
      </c>
      <c r="G17" s="104">
        <v>-6435191.1829769015</v>
      </c>
      <c r="H17" s="104">
        <v>-8604484.6026564986</v>
      </c>
      <c r="I17" s="104">
        <v>-15166824.471066549</v>
      </c>
    </row>
    <row r="18" spans="2:9">
      <c r="B18" s="102">
        <v>11</v>
      </c>
      <c r="C18" s="104">
        <v>-2457415.9487285316</v>
      </c>
      <c r="D18" s="104">
        <v>-7651389.4419020414</v>
      </c>
      <c r="E18" s="104">
        <v>-2860662.004222095</v>
      </c>
      <c r="F18" s="104">
        <v>-14022722.996729195</v>
      </c>
      <c r="G18" s="104">
        <v>-16550374.412816629</v>
      </c>
      <c r="H18" s="104">
        <v>-9769262.6988942325</v>
      </c>
      <c r="I18" s="104">
        <v>-17290690.741881251</v>
      </c>
    </row>
    <row r="19" spans="2:9">
      <c r="B19" s="102">
        <v>12</v>
      </c>
      <c r="C19" s="104">
        <v>-2599809.3041421324</v>
      </c>
      <c r="D19" s="104">
        <v>-3114458.196888417</v>
      </c>
      <c r="E19" s="104">
        <v>-958855.14397631586</v>
      </c>
      <c r="F19" s="104">
        <v>-8254075.9972263873</v>
      </c>
      <c r="G19" s="104">
        <v>-10960841.59601815</v>
      </c>
      <c r="H19" s="104">
        <v>-14636865.198524162</v>
      </c>
      <c r="I19" s="104">
        <v>-15760453.446023047</v>
      </c>
    </row>
    <row r="20" spans="2:9">
      <c r="B20" s="102">
        <v>13</v>
      </c>
      <c r="C20" s="104">
        <v>8921384.5987949222</v>
      </c>
      <c r="D20" s="104">
        <v>2085273.7528236806</v>
      </c>
      <c r="E20" s="104">
        <v>-15190745.791903988</v>
      </c>
      <c r="F20" s="104">
        <v>-10692581.971686989</v>
      </c>
      <c r="G20" s="104">
        <v>-9789887.9458440095</v>
      </c>
      <c r="H20" s="104">
        <v>-22176538.023905769</v>
      </c>
      <c r="I20" s="104">
        <v>-10554626.145665616</v>
      </c>
    </row>
    <row r="21" spans="2:9">
      <c r="B21" s="102">
        <v>14</v>
      </c>
      <c r="C21" s="104">
        <v>-4470941.7237101644</v>
      </c>
      <c r="D21" s="104">
        <v>4817823.0173579752</v>
      </c>
      <c r="E21" s="104">
        <v>-3073632.0168868899</v>
      </c>
      <c r="F21" s="104">
        <v>-9916048.4038005024</v>
      </c>
      <c r="G21" s="104">
        <v>-1892779.4023979455</v>
      </c>
      <c r="H21" s="104">
        <v>-6226120.3525490016</v>
      </c>
      <c r="I21" s="104">
        <v>-9455730.9843341708</v>
      </c>
    </row>
    <row r="22" spans="2:9">
      <c r="B22" s="102">
        <v>15</v>
      </c>
      <c r="C22" s="104">
        <v>4568701.7850256711</v>
      </c>
      <c r="D22" s="104">
        <v>-10113650.120648518</v>
      </c>
      <c r="E22" s="104">
        <v>-9707952.1892270744</v>
      </c>
      <c r="F22" s="104">
        <v>-8989247.6074424237</v>
      </c>
      <c r="G22" s="104">
        <v>2288553.5741641521</v>
      </c>
      <c r="H22" s="104">
        <v>-9941749.3766856939</v>
      </c>
      <c r="I22" s="104">
        <v>-20253122.061863542</v>
      </c>
    </row>
    <row r="23" spans="2:9">
      <c r="B23" s="102">
        <v>16</v>
      </c>
      <c r="C23" s="104">
        <v>7125899.7425504476</v>
      </c>
      <c r="D23" s="104">
        <v>-5026086.2892282456</v>
      </c>
      <c r="E23" s="104">
        <v>-7926002.6914883405</v>
      </c>
      <c r="F23" s="104">
        <v>-3848578.6177184135</v>
      </c>
      <c r="G23" s="104">
        <v>3503461.0296846628</v>
      </c>
      <c r="H23" s="104">
        <v>-6043126.0880123377</v>
      </c>
      <c r="I23" s="104">
        <v>-24199302.683137923</v>
      </c>
    </row>
    <row r="24" spans="2:9">
      <c r="B24" s="102">
        <v>17</v>
      </c>
      <c r="C24" s="104">
        <v>4869794.5715225488</v>
      </c>
      <c r="D24" s="104">
        <v>-9759016.6723475009</v>
      </c>
      <c r="E24" s="104">
        <v>-5467474.6255480498</v>
      </c>
      <c r="F24" s="104">
        <v>-2747935.7940411568</v>
      </c>
      <c r="G24" s="104">
        <v>-4183362.9959367365</v>
      </c>
      <c r="H24" s="104">
        <v>-11535916.184886783</v>
      </c>
      <c r="I24" s="104">
        <v>-14902161.326532692</v>
      </c>
    </row>
    <row r="25" spans="2:9">
      <c r="B25" s="102">
        <v>18</v>
      </c>
      <c r="C25" s="104">
        <v>-1316546.7836598456</v>
      </c>
      <c r="D25" s="104">
        <v>-3991763.5706680119</v>
      </c>
      <c r="E25" s="104">
        <v>-8964215.4187406898</v>
      </c>
      <c r="F25" s="104">
        <v>-12747148.659728676</v>
      </c>
      <c r="G25" s="104">
        <v>-7891652.2932289541</v>
      </c>
      <c r="H25" s="104">
        <v>-5457036.076789096</v>
      </c>
      <c r="I25" s="104">
        <v>-17628675.003481165</v>
      </c>
    </row>
    <row r="26" spans="2:9">
      <c r="B26" s="102">
        <v>19</v>
      </c>
      <c r="C26" s="104">
        <v>-5800907.5107328594</v>
      </c>
      <c r="D26" s="104">
        <v>-10719570.704420686</v>
      </c>
      <c r="E26" s="104">
        <v>-8298087.3527766764</v>
      </c>
      <c r="F26" s="104">
        <v>-2260616.5998471528</v>
      </c>
      <c r="G26" s="104">
        <v>-7831287.6381157637</v>
      </c>
      <c r="H26" s="104">
        <v>-18156035.935757712</v>
      </c>
      <c r="I26" s="104">
        <v>-15967678.507973641</v>
      </c>
    </row>
    <row r="27" spans="2:9">
      <c r="B27" s="102">
        <v>20</v>
      </c>
      <c r="C27" s="104">
        <v>-8068489.5596933812</v>
      </c>
      <c r="D27" s="104">
        <v>2053453.7295497209</v>
      </c>
      <c r="E27" s="104">
        <v>-2052543.6973035336</v>
      </c>
      <c r="F27" s="104">
        <v>-10888866.145723149</v>
      </c>
      <c r="G27" s="104">
        <v>-5541553.3791967481</v>
      </c>
      <c r="H27" s="104">
        <v>-17283187.368257672</v>
      </c>
      <c r="I27" s="104">
        <v>-22549833.232196212</v>
      </c>
    </row>
    <row r="28" spans="2:9">
      <c r="B28" s="102">
        <v>21</v>
      </c>
      <c r="C28" s="104">
        <v>-3280771.2129323483</v>
      </c>
      <c r="D28" s="104">
        <v>-31202.5929145962</v>
      </c>
      <c r="E28" s="104">
        <v>-692769.93680666387</v>
      </c>
      <c r="F28" s="104">
        <v>-6113496.0201102197</v>
      </c>
      <c r="G28" s="104">
        <v>-7590090.4863291681</v>
      </c>
      <c r="H28" s="104">
        <v>-8396135.7624009103</v>
      </c>
      <c r="I28" s="104">
        <v>-9519307.9285229445</v>
      </c>
    </row>
    <row r="29" spans="2:9">
      <c r="B29" s="102">
        <v>22</v>
      </c>
      <c r="C29" s="104">
        <v>7832096.6415401548</v>
      </c>
      <c r="D29" s="104">
        <v>-7280622.7937960923</v>
      </c>
      <c r="E29" s="104">
        <v>4864782.6085467041</v>
      </c>
      <c r="F29" s="104">
        <v>-13737364.860576704</v>
      </c>
      <c r="G29" s="104">
        <v>-10756471.907306701</v>
      </c>
      <c r="H29" s="104">
        <v>-4843139.89845258</v>
      </c>
      <c r="I29" s="104">
        <v>-12136344.490190431</v>
      </c>
    </row>
    <row r="30" spans="2:9">
      <c r="B30" s="102">
        <v>23</v>
      </c>
      <c r="C30" s="104">
        <v>-7112734.5059771836</v>
      </c>
      <c r="D30" s="104">
        <v>-4976257.207222715</v>
      </c>
      <c r="E30" s="104">
        <v>-2829092.0814298093</v>
      </c>
      <c r="F30" s="104">
        <v>-12950228.69379963</v>
      </c>
      <c r="G30" s="104">
        <v>-6233815.605728671</v>
      </c>
      <c r="H30" s="104">
        <v>-15486297.139924318</v>
      </c>
      <c r="I30" s="104">
        <v>-24467660.917022347</v>
      </c>
    </row>
    <row r="31" spans="2:9">
      <c r="B31" s="102">
        <v>24</v>
      </c>
      <c r="C31" s="104">
        <v>-18513988.006417871</v>
      </c>
      <c r="D31" s="104">
        <v>814596.33227279782</v>
      </c>
      <c r="E31" s="104">
        <v>-15805828.924415931</v>
      </c>
      <c r="F31" s="104">
        <v>-3281019.0368863493</v>
      </c>
      <c r="G31" s="104">
        <v>-11190326.091752693</v>
      </c>
      <c r="H31" s="104">
        <v>-18927183.007894963</v>
      </c>
      <c r="I31" s="104">
        <v>-11661555.337465301</v>
      </c>
    </row>
    <row r="32" spans="2:9">
      <c r="B32" s="102">
        <v>25</v>
      </c>
      <c r="C32" s="104">
        <v>-2141974.0343145877</v>
      </c>
      <c r="D32" s="104">
        <v>-1705889.2656913102</v>
      </c>
      <c r="E32" s="104">
        <v>-12405568.113106012</v>
      </c>
      <c r="F32" s="104">
        <v>-9828446.1625037491</v>
      </c>
      <c r="G32" s="104">
        <v>-9954401.3096912205</v>
      </c>
      <c r="H32" s="104">
        <v>-22135852.827017143</v>
      </c>
      <c r="I32" s="104">
        <v>-13478145.464628324</v>
      </c>
    </row>
    <row r="33" spans="2:9">
      <c r="B33" s="102">
        <v>26</v>
      </c>
      <c r="C33" s="104">
        <v>-7522862.2081903815</v>
      </c>
      <c r="D33" s="104">
        <v>5208850.0147057176</v>
      </c>
      <c r="E33" s="104">
        <v>-1098569.4615117311</v>
      </c>
      <c r="F33" s="104">
        <v>-8379948.8625168204</v>
      </c>
      <c r="G33" s="104">
        <v>-7446560.4249356389</v>
      </c>
      <c r="H33" s="104">
        <v>-8856335.327427417</v>
      </c>
      <c r="I33" s="104">
        <v>-7961431.0074791014</v>
      </c>
    </row>
    <row r="34" spans="2:9">
      <c r="B34" s="102">
        <v>27</v>
      </c>
      <c r="C34" s="104">
        <v>-15873.868446066976</v>
      </c>
      <c r="D34" s="104">
        <v>3857164.3327748775</v>
      </c>
      <c r="E34" s="104">
        <v>-6196937.962673068</v>
      </c>
      <c r="F34" s="104">
        <v>-11860277.931782022</v>
      </c>
      <c r="G34" s="104">
        <v>-14926570.560733005</v>
      </c>
      <c r="H34" s="104">
        <v>-16433056.909147963</v>
      </c>
      <c r="I34" s="104">
        <v>-13033709.548466444</v>
      </c>
    </row>
    <row r="35" spans="2:9">
      <c r="B35" s="102">
        <v>28</v>
      </c>
      <c r="C35" s="104">
        <v>5539569.1156737506</v>
      </c>
      <c r="D35" s="104">
        <v>-4514030.7212737501</v>
      </c>
      <c r="E35" s="104">
        <v>-2046874.5017049313</v>
      </c>
      <c r="F35" s="104">
        <v>-5406700.933730647</v>
      </c>
      <c r="G35" s="104">
        <v>-5149228.2795594037</v>
      </c>
      <c r="H35" s="104">
        <v>-17875081.448304549</v>
      </c>
      <c r="I35" s="104">
        <v>-13886236.011475295</v>
      </c>
    </row>
    <row r="36" spans="2:9">
      <c r="B36" s="102">
        <v>29</v>
      </c>
      <c r="C36" s="104">
        <v>680973.28088326752</v>
      </c>
      <c r="D36" s="104">
        <v>-5755939.8282823265</v>
      </c>
      <c r="E36" s="104">
        <v>796033.92065002024</v>
      </c>
      <c r="F36" s="104">
        <v>-6106864.5333090723</v>
      </c>
      <c r="G36" s="104">
        <v>-12644435.024639219</v>
      </c>
      <c r="H36" s="104">
        <v>-15500864.536733404</v>
      </c>
      <c r="I36" s="104">
        <v>-16433279.195084348</v>
      </c>
    </row>
    <row r="37" spans="2:9">
      <c r="B37" s="102">
        <v>30</v>
      </c>
      <c r="C37" s="104">
        <v>327357.32294483483</v>
      </c>
      <c r="D37" s="104">
        <v>-1468882.0257323831</v>
      </c>
      <c r="E37" s="104">
        <v>-389725.18197035789</v>
      </c>
      <c r="F37" s="104">
        <v>-14330498.217987299</v>
      </c>
      <c r="G37" s="104">
        <v>-7663681.6345971376</v>
      </c>
      <c r="H37" s="104">
        <v>-17584463.249355137</v>
      </c>
      <c r="I37" s="104">
        <v>-10767999.572505221</v>
      </c>
    </row>
    <row r="38" spans="2:9">
      <c r="B38" s="102">
        <v>31</v>
      </c>
      <c r="C38" s="104">
        <v>-6416403.495905444</v>
      </c>
      <c r="D38" s="104">
        <v>-8111379.9362893701</v>
      </c>
      <c r="E38" s="104">
        <v>-4442056.2389943898</v>
      </c>
      <c r="F38" s="104">
        <v>-181734.35120841861</v>
      </c>
      <c r="G38" s="104">
        <v>-13728534.772712201</v>
      </c>
      <c r="H38" s="104">
        <v>-10710682.227163509</v>
      </c>
      <c r="I38" s="104">
        <v>-10954660.906490982</v>
      </c>
    </row>
    <row r="39" spans="2:9">
      <c r="B39" s="102">
        <v>32</v>
      </c>
      <c r="C39" s="104">
        <v>-2699198.4671039581</v>
      </c>
      <c r="D39" s="104">
        <v>-4532083.2831597924</v>
      </c>
      <c r="E39" s="104">
        <v>-1481244.3920562714</v>
      </c>
      <c r="F39" s="104">
        <v>1529903.5864019394</v>
      </c>
      <c r="G39" s="104">
        <v>-17291646.369254887</v>
      </c>
      <c r="H39" s="104">
        <v>-9242789.5313055813</v>
      </c>
      <c r="I39" s="104">
        <v>-19968232.235841677</v>
      </c>
    </row>
    <row r="40" spans="2:9">
      <c r="B40" s="102">
        <v>33</v>
      </c>
      <c r="C40" s="104">
        <v>-1135781.5304737687</v>
      </c>
      <c r="D40" s="104">
        <v>-4223051.1413019747</v>
      </c>
      <c r="E40" s="104">
        <v>-2198024.3295467347</v>
      </c>
      <c r="F40" s="104">
        <v>-2098418.0828657597</v>
      </c>
      <c r="G40" s="104">
        <v>-10320220.402002826</v>
      </c>
      <c r="H40" s="104">
        <v>-8971998.5792991221</v>
      </c>
      <c r="I40" s="104">
        <v>-13029643.716936722</v>
      </c>
    </row>
    <row r="41" spans="2:9">
      <c r="B41" s="102">
        <v>34</v>
      </c>
      <c r="C41" s="104">
        <v>399983.82592779398</v>
      </c>
      <c r="D41" s="104">
        <v>-7782214.6819046289</v>
      </c>
      <c r="E41" s="104">
        <v>-9394016.8621584326</v>
      </c>
      <c r="F41" s="104">
        <v>-11384186.198676944</v>
      </c>
      <c r="G41" s="104">
        <v>-16270179.729519635</v>
      </c>
      <c r="H41" s="104">
        <v>-10142131.972936824</v>
      </c>
      <c r="I41" s="104">
        <v>-18408948.040097192</v>
      </c>
    </row>
    <row r="42" spans="2:9">
      <c r="B42" s="102">
        <v>35</v>
      </c>
      <c r="C42" s="104">
        <v>3496033.9993062615</v>
      </c>
      <c r="D42" s="104">
        <v>1794632.5892373025</v>
      </c>
      <c r="E42" s="104">
        <v>-3386013.0282862633</v>
      </c>
      <c r="F42" s="104">
        <v>-7105502.2039010525</v>
      </c>
      <c r="G42" s="104">
        <v>-7238087.1011381447</v>
      </c>
      <c r="H42" s="104">
        <v>-17779670.756020367</v>
      </c>
      <c r="I42" s="104">
        <v>-14149791.446251735</v>
      </c>
    </row>
    <row r="43" spans="2:9">
      <c r="B43" s="102">
        <v>36</v>
      </c>
      <c r="C43" s="104">
        <v>1702740.0506220311</v>
      </c>
      <c r="D43" s="104">
        <v>-6690993.2730496377</v>
      </c>
      <c r="E43" s="104">
        <v>-5151086.7625509202</v>
      </c>
      <c r="F43" s="104">
        <v>3306314.8125651181</v>
      </c>
      <c r="G43" s="104">
        <v>-12005609.700857162</v>
      </c>
      <c r="H43" s="104">
        <v>-17478094.838442743</v>
      </c>
      <c r="I43" s="104">
        <v>-14273904.779294312</v>
      </c>
    </row>
    <row r="44" spans="2:9">
      <c r="B44" s="102">
        <v>37</v>
      </c>
      <c r="C44" s="104">
        <v>-1781559.3944013566</v>
      </c>
      <c r="D44" s="104">
        <v>-8573924.9000515193</v>
      </c>
      <c r="E44" s="104">
        <v>-11196721.744023234</v>
      </c>
      <c r="F44" s="104">
        <v>-2570250.6011185199</v>
      </c>
      <c r="G44" s="104">
        <v>-13597095.222650468</v>
      </c>
      <c r="H44" s="104">
        <v>-9349886.6675985307</v>
      </c>
      <c r="I44" s="104">
        <v>-19261651.046313211</v>
      </c>
    </row>
    <row r="45" spans="2:9">
      <c r="B45" s="102">
        <v>38</v>
      </c>
      <c r="C45" s="104">
        <v>-2159328.6323916018</v>
      </c>
      <c r="D45" s="104">
        <v>1412030.0544048995</v>
      </c>
      <c r="E45" s="104">
        <v>-5633204.498249799</v>
      </c>
      <c r="F45" s="104">
        <v>-880807.92398154736</v>
      </c>
      <c r="G45" s="104">
        <v>-1715514.190572679</v>
      </c>
      <c r="H45" s="104">
        <v>-10222129.225298971</v>
      </c>
      <c r="I45" s="104">
        <v>-14201274.259207308</v>
      </c>
    </row>
    <row r="46" spans="2:9">
      <c r="B46" s="102">
        <v>39</v>
      </c>
      <c r="C46" s="104">
        <v>-368004.51679813862</v>
      </c>
      <c r="D46" s="104">
        <v>-177442.59160675108</v>
      </c>
      <c r="E46" s="104">
        <v>-9603043.5358770192</v>
      </c>
      <c r="F46" s="104">
        <v>-1898925.7653863728</v>
      </c>
      <c r="G46" s="104">
        <v>-16045508.295190528</v>
      </c>
      <c r="H46" s="104">
        <v>-12036978.202543795</v>
      </c>
      <c r="I46" s="104">
        <v>-8414932.0586882383</v>
      </c>
    </row>
    <row r="47" spans="2:9">
      <c r="B47" s="102">
        <v>40</v>
      </c>
      <c r="C47" s="104">
        <v>-7263761.6529821455</v>
      </c>
      <c r="D47" s="104">
        <v>-7597534.9877826869</v>
      </c>
      <c r="E47" s="104">
        <v>-13274839.112267196</v>
      </c>
      <c r="F47" s="104">
        <v>-15320538.755961135</v>
      </c>
      <c r="G47" s="104">
        <v>-9452508.9505210668</v>
      </c>
      <c r="H47" s="104">
        <v>-5617445.816745311</v>
      </c>
      <c r="I47" s="104">
        <v>-12200963.688631773</v>
      </c>
    </row>
    <row r="48" spans="2:9">
      <c r="B48" s="102">
        <v>41</v>
      </c>
      <c r="C48" s="104">
        <v>-870513.127010867</v>
      </c>
      <c r="D48" s="104">
        <v>641339.19236606359</v>
      </c>
      <c r="E48" s="104">
        <v>-1368823.4512058794</v>
      </c>
      <c r="F48" s="104">
        <v>-6857522.7651444376</v>
      </c>
      <c r="G48" s="104">
        <v>-11625297.426372871</v>
      </c>
      <c r="H48" s="104">
        <v>-17604176.104842737</v>
      </c>
      <c r="I48" s="104">
        <v>-16316726.286727205</v>
      </c>
    </row>
    <row r="49" spans="2:9">
      <c r="B49" s="102">
        <v>42</v>
      </c>
      <c r="C49" s="104">
        <v>5454514.639292255</v>
      </c>
      <c r="D49" s="104">
        <v>-1076926.8126341701</v>
      </c>
      <c r="E49" s="104">
        <v>-3031567.6803790927</v>
      </c>
      <c r="F49" s="104">
        <v>-7772912.9266531467</v>
      </c>
      <c r="G49" s="104">
        <v>-7680443.723736465</v>
      </c>
      <c r="H49" s="104">
        <v>-12388851.470413521</v>
      </c>
      <c r="I49" s="104">
        <v>-10108113.728105858</v>
      </c>
    </row>
    <row r="50" spans="2:9">
      <c r="B50" s="102">
        <v>43</v>
      </c>
      <c r="C50" s="104">
        <v>2033541.8354256004</v>
      </c>
      <c r="D50" s="104">
        <v>-3089674.5491176546</v>
      </c>
      <c r="E50" s="104">
        <v>-8365648.5760181695</v>
      </c>
      <c r="F50" s="104">
        <v>-13905654.662968189</v>
      </c>
      <c r="G50" s="104">
        <v>-7419602.9209400564</v>
      </c>
      <c r="H50" s="104">
        <v>-12555702.604205623</v>
      </c>
      <c r="I50" s="104">
        <v>-16675192.790407836</v>
      </c>
    </row>
    <row r="51" spans="2:9">
      <c r="B51" s="102">
        <v>44</v>
      </c>
      <c r="C51" s="104">
        <v>-1551225.6090527624</v>
      </c>
      <c r="D51" s="104">
        <v>3503292.0218060315</v>
      </c>
      <c r="E51" s="104">
        <v>124861.48084843159</v>
      </c>
      <c r="F51" s="104">
        <v>-2303894.5791404396</v>
      </c>
      <c r="G51" s="104">
        <v>-5007339.6439827532</v>
      </c>
      <c r="H51" s="104">
        <v>-13291704.162848562</v>
      </c>
      <c r="I51" s="104">
        <v>-13028600.502992094</v>
      </c>
    </row>
    <row r="52" spans="2:9">
      <c r="B52" s="102">
        <v>45</v>
      </c>
      <c r="C52" s="104">
        <v>626989.98206292093</v>
      </c>
      <c r="D52" s="104">
        <v>2632666.8729433864</v>
      </c>
      <c r="E52" s="104">
        <v>-606074.62038479745</v>
      </c>
      <c r="F52" s="104">
        <v>-5480615.0168588161</v>
      </c>
      <c r="G52" s="104">
        <v>965941.22158716619</v>
      </c>
      <c r="H52" s="104">
        <v>-6175307.2132248878</v>
      </c>
      <c r="I52" s="104">
        <v>-14918639.089799136</v>
      </c>
    </row>
    <row r="53" spans="2:9">
      <c r="B53" s="102">
        <v>46</v>
      </c>
      <c r="C53" s="104">
        <v>-6456678.3720459044</v>
      </c>
      <c r="D53" s="104">
        <v>-628371.53043028712</v>
      </c>
      <c r="E53" s="104">
        <v>234127.41535367072</v>
      </c>
      <c r="F53" s="104">
        <v>-8103956.959067151</v>
      </c>
      <c r="G53" s="104">
        <v>-14485222.780783996</v>
      </c>
      <c r="H53" s="104">
        <v>-13126231.729451492</v>
      </c>
      <c r="I53" s="104">
        <v>-12017470.015139475</v>
      </c>
    </row>
    <row r="54" spans="2:9">
      <c r="B54" s="102">
        <v>47</v>
      </c>
      <c r="C54" s="104">
        <v>1809192.1004942656</v>
      </c>
      <c r="D54" s="104">
        <v>7624475.7238649279</v>
      </c>
      <c r="E54" s="104">
        <v>-1881105.6282305568</v>
      </c>
      <c r="F54" s="104">
        <v>-10124290.144296348</v>
      </c>
      <c r="G54" s="104">
        <v>-11378265.676120102</v>
      </c>
      <c r="H54" s="104">
        <v>-10730620.203536242</v>
      </c>
      <c r="I54" s="104">
        <v>-14104429.365894765</v>
      </c>
    </row>
    <row r="55" spans="2:9">
      <c r="B55" s="102">
        <v>48</v>
      </c>
      <c r="C55" s="104">
        <v>2173126.6093132794</v>
      </c>
      <c r="D55" s="104">
        <v>-3181515.8865882009</v>
      </c>
      <c r="E55" s="104">
        <v>-3359488.2964826524</v>
      </c>
      <c r="F55" s="104">
        <v>-2010698.1974534094</v>
      </c>
      <c r="G55" s="104">
        <v>-3853694.6136208624</v>
      </c>
      <c r="H55" s="104">
        <v>-12971575.200369477</v>
      </c>
      <c r="I55" s="104">
        <v>-26853262.077788204</v>
      </c>
    </row>
    <row r="56" spans="2:9">
      <c r="B56" s="102">
        <v>49</v>
      </c>
      <c r="C56" s="104">
        <v>-19233793.582380161</v>
      </c>
      <c r="D56" s="104">
        <v>-2880425.6562193632</v>
      </c>
      <c r="E56" s="104">
        <v>-13654137.396927178</v>
      </c>
      <c r="F56" s="104">
        <v>-5847682.2045192271</v>
      </c>
      <c r="G56" s="104">
        <v>-9903052.1512893289</v>
      </c>
      <c r="H56" s="104">
        <v>-11040854.887675494</v>
      </c>
      <c r="I56" s="104">
        <v>-11727764.695021033</v>
      </c>
    </row>
    <row r="57" spans="2:9">
      <c r="B57" s="102">
        <v>50</v>
      </c>
      <c r="C57" s="104">
        <v>1456332.0093897879</v>
      </c>
      <c r="D57" s="104">
        <v>-1244707.7722294033</v>
      </c>
      <c r="E57" s="104">
        <v>-13614287.12011984</v>
      </c>
      <c r="F57" s="104">
        <v>-6880445.8990268856</v>
      </c>
      <c r="G57" s="104">
        <v>-15944858.512054265</v>
      </c>
      <c r="H57" s="104">
        <v>-13574239.024783</v>
      </c>
      <c r="I57" s="104">
        <v>-19606976.968137786</v>
      </c>
    </row>
    <row r="58" spans="2:9">
      <c r="B58" s="102">
        <v>51</v>
      </c>
      <c r="C58" s="104">
        <v>420749.80042493343</v>
      </c>
      <c r="D58" s="104">
        <v>-6618595.0821074098</v>
      </c>
      <c r="E58" s="104">
        <v>-2975931.5731176138</v>
      </c>
      <c r="F58" s="104">
        <v>-1622933.1023225486</v>
      </c>
      <c r="G58" s="104">
        <v>-12412169.732195243</v>
      </c>
      <c r="H58" s="104">
        <v>-9107188.9569234699</v>
      </c>
      <c r="I58" s="104">
        <v>-14747391.925405681</v>
      </c>
    </row>
    <row r="59" spans="2:9">
      <c r="B59" s="102">
        <v>52</v>
      </c>
      <c r="C59" s="104">
        <v>-3379700.0931696743</v>
      </c>
      <c r="D59" s="104">
        <v>-5536902.2478062212</v>
      </c>
      <c r="E59" s="104">
        <v>-13483823.74883379</v>
      </c>
      <c r="F59" s="104">
        <v>-3481423.6615623236</v>
      </c>
      <c r="G59" s="104">
        <v>-8807507.5756734908</v>
      </c>
      <c r="H59" s="104">
        <v>-10133178.609804496</v>
      </c>
      <c r="I59" s="104">
        <v>-10275163.680972904</v>
      </c>
    </row>
    <row r="60" spans="2:9">
      <c r="B60" s="102">
        <v>53</v>
      </c>
      <c r="C60" s="104">
        <v>2137899.8436322212</v>
      </c>
      <c r="D60" s="104">
        <v>-6396630.0790219307</v>
      </c>
      <c r="E60" s="104">
        <v>-19211812.947091818</v>
      </c>
      <c r="F60" s="104">
        <v>-8323625.7010533512</v>
      </c>
      <c r="G60" s="104">
        <v>-1911871.9301300049</v>
      </c>
      <c r="H60" s="104">
        <v>-14565422.890518129</v>
      </c>
      <c r="I60" s="104">
        <v>-13595630.828727126</v>
      </c>
    </row>
    <row r="61" spans="2:9">
      <c r="B61" s="102">
        <v>54</v>
      </c>
      <c r="C61" s="104">
        <v>1368002.209342584</v>
      </c>
      <c r="D61" s="104">
        <v>7516887.4058697969</v>
      </c>
      <c r="E61" s="104">
        <v>-443942.84187759459</v>
      </c>
      <c r="F61" s="104">
        <v>-3494786.5469305366</v>
      </c>
      <c r="G61" s="104">
        <v>-9473028.1930383593</v>
      </c>
      <c r="H61" s="104">
        <v>-17466805.043389544</v>
      </c>
      <c r="I61" s="104">
        <v>-14566319.605086356</v>
      </c>
    </row>
    <row r="62" spans="2:9">
      <c r="B62" s="102">
        <v>55</v>
      </c>
      <c r="C62" s="104">
        <v>-242484.82925079763</v>
      </c>
      <c r="D62" s="104">
        <v>-5230752.1060944051</v>
      </c>
      <c r="E62" s="104">
        <v>-20581419.30549328</v>
      </c>
      <c r="F62" s="104">
        <v>-1814328.0714012384</v>
      </c>
      <c r="G62" s="104">
        <v>1922576.5600031614</v>
      </c>
      <c r="H62" s="104">
        <v>-18623725.988815442</v>
      </c>
      <c r="I62" s="104">
        <v>-16293830.511381328</v>
      </c>
    </row>
    <row r="63" spans="2:9">
      <c r="B63" s="102">
        <v>56</v>
      </c>
      <c r="C63" s="104">
        <v>2962128.7554823905</v>
      </c>
      <c r="D63" s="104">
        <v>-5191350.5356957316</v>
      </c>
      <c r="E63" s="104">
        <v>-1174601.983017236</v>
      </c>
      <c r="F63" s="104">
        <v>-8283768.908023119</v>
      </c>
      <c r="G63" s="104">
        <v>-7297010.3502021432</v>
      </c>
      <c r="H63" s="104">
        <v>-13812311.198120728</v>
      </c>
      <c r="I63" s="104">
        <v>-12113602.867034286</v>
      </c>
    </row>
    <row r="64" spans="2:9">
      <c r="B64" s="102">
        <v>57</v>
      </c>
      <c r="C64" s="104">
        <v>-8018783.9683900476</v>
      </c>
      <c r="D64" s="104">
        <v>-3239578.7492233217</v>
      </c>
      <c r="E64" s="104">
        <v>-8720843.7995592654</v>
      </c>
      <c r="F64" s="104">
        <v>-16341058.956348285</v>
      </c>
      <c r="G64" s="104">
        <v>-16855426.068392828</v>
      </c>
      <c r="H64" s="104">
        <v>-8981786.9220694751</v>
      </c>
      <c r="I64" s="104">
        <v>-16969629.840472892</v>
      </c>
    </row>
    <row r="65" spans="2:9">
      <c r="B65" s="102">
        <v>58</v>
      </c>
      <c r="C65" s="104">
        <v>-5386405.6402994096</v>
      </c>
      <c r="D65" s="104">
        <v>-10160256.66029945</v>
      </c>
      <c r="E65" s="104">
        <v>-10610898.403322458</v>
      </c>
      <c r="F65" s="104">
        <v>2215755.288375929</v>
      </c>
      <c r="G65" s="104">
        <v>-7222678.5333851278</v>
      </c>
      <c r="H65" s="104">
        <v>-20081538.231961414</v>
      </c>
      <c r="I65" s="104">
        <v>-22166977.337371603</v>
      </c>
    </row>
    <row r="66" spans="2:9">
      <c r="B66" s="102">
        <v>59</v>
      </c>
      <c r="C66" s="104">
        <v>677851.52314004302</v>
      </c>
      <c r="D66" s="104">
        <v>8313899.2696442604</v>
      </c>
      <c r="E66" s="104">
        <v>-9824430.1043112874</v>
      </c>
      <c r="F66" s="104">
        <v>-6895101.8454272896</v>
      </c>
      <c r="G66" s="104">
        <v>-3608934.6262651086</v>
      </c>
      <c r="H66" s="104">
        <v>-5294373.9445464313</v>
      </c>
      <c r="I66" s="104">
        <v>-9576864.0330432653</v>
      </c>
    </row>
    <row r="67" spans="2:9">
      <c r="B67" s="102">
        <v>60</v>
      </c>
      <c r="C67" s="104">
        <v>-7746949.0414586514</v>
      </c>
      <c r="D67" s="104">
        <v>-541428.98336403072</v>
      </c>
      <c r="E67" s="104">
        <v>-5334077.7398063987</v>
      </c>
      <c r="F67" s="104">
        <v>-125927.22299592197</v>
      </c>
      <c r="G67" s="104">
        <v>-7235399.7854581326</v>
      </c>
      <c r="H67" s="104">
        <v>-20401545.832051873</v>
      </c>
      <c r="I67" s="104">
        <v>-20029558.811509371</v>
      </c>
    </row>
    <row r="68" spans="2:9">
      <c r="B68" s="102">
        <v>61</v>
      </c>
      <c r="C68" s="104">
        <v>3512440.7385231405</v>
      </c>
      <c r="D68" s="104">
        <v>-5115506.3939746618</v>
      </c>
      <c r="E68" s="104">
        <v>-8245057.1042118371</v>
      </c>
      <c r="F68" s="104">
        <v>-5037155.1252501458</v>
      </c>
      <c r="G68" s="104">
        <v>7135729.8212504238</v>
      </c>
      <c r="H68" s="104">
        <v>-10683780.679219916</v>
      </c>
      <c r="I68" s="104">
        <v>-16614020.864048421</v>
      </c>
    </row>
    <row r="69" spans="2:9">
      <c r="B69" s="102">
        <v>62</v>
      </c>
      <c r="C69" s="104">
        <v>-3550324.9912958741</v>
      </c>
      <c r="D69" s="104">
        <v>-2770330.3755850345</v>
      </c>
      <c r="E69" s="104">
        <v>1956876.6495754272</v>
      </c>
      <c r="F69" s="104">
        <v>-11167504.856688589</v>
      </c>
      <c r="G69" s="104">
        <v>-9231444.2930299044</v>
      </c>
      <c r="H69" s="104">
        <v>-15997905.389213502</v>
      </c>
      <c r="I69" s="104">
        <v>-8651545.954157725</v>
      </c>
    </row>
    <row r="70" spans="2:9">
      <c r="B70" s="102">
        <v>63</v>
      </c>
      <c r="C70" s="104">
        <v>2150003.0640937537</v>
      </c>
      <c r="D70" s="104">
        <v>-4877011.419598341</v>
      </c>
      <c r="E70" s="104">
        <v>-12030600.742124602</v>
      </c>
      <c r="F70" s="104">
        <v>-8213329.3982972801</v>
      </c>
      <c r="G70" s="104">
        <v>-14341830.984023854</v>
      </c>
      <c r="H70" s="104">
        <v>-11128320.192980364</v>
      </c>
      <c r="I70" s="104">
        <v>-13462654.173990041</v>
      </c>
    </row>
    <row r="71" spans="2:9">
      <c r="B71" s="102">
        <v>64</v>
      </c>
      <c r="C71" s="104">
        <v>-1082120.4470117688</v>
      </c>
      <c r="D71" s="104">
        <v>-3002265.4569953233</v>
      </c>
      <c r="E71" s="104">
        <v>-155825.784694314</v>
      </c>
      <c r="F71" s="104">
        <v>-4024100.1902654767</v>
      </c>
      <c r="G71" s="104">
        <v>-19139837.231893778</v>
      </c>
      <c r="H71" s="104">
        <v>-14300622.269938797</v>
      </c>
      <c r="I71" s="104">
        <v>-17952222.834611207</v>
      </c>
    </row>
    <row r="72" spans="2:9">
      <c r="B72" s="102">
        <v>65</v>
      </c>
      <c r="C72" s="104">
        <v>2770695.213434279</v>
      </c>
      <c r="D72" s="104">
        <v>-4942441.7306083888</v>
      </c>
      <c r="E72" s="104">
        <v>-6761350.9718821645</v>
      </c>
      <c r="F72" s="104">
        <v>-12720683.782292634</v>
      </c>
      <c r="G72" s="104">
        <v>-19793766.815160573</v>
      </c>
      <c r="H72" s="104">
        <v>-11164506.823307559</v>
      </c>
      <c r="I72" s="104">
        <v>-12888948.085006937</v>
      </c>
    </row>
    <row r="73" spans="2:9">
      <c r="B73" s="102">
        <v>66</v>
      </c>
      <c r="C73" s="104">
        <v>1203532.0499677956</v>
      </c>
      <c r="D73" s="104">
        <v>-6299371.3856616169</v>
      </c>
      <c r="E73" s="104">
        <v>-7649889.8554216772</v>
      </c>
      <c r="F73" s="104">
        <v>-12593300.272617608</v>
      </c>
      <c r="G73" s="104">
        <v>-13561444.904279903</v>
      </c>
      <c r="H73" s="104">
        <v>-5756319.3203833252</v>
      </c>
      <c r="I73" s="104">
        <v>-8528938.2886302173</v>
      </c>
    </row>
    <row r="74" spans="2:9">
      <c r="B74" s="102">
        <v>67</v>
      </c>
      <c r="C74" s="104">
        <v>4086649.8427687436</v>
      </c>
      <c r="D74" s="104">
        <v>-3970844.5541926473</v>
      </c>
      <c r="E74" s="104">
        <v>-13295157.503946349</v>
      </c>
      <c r="F74" s="104">
        <v>-13492018.375335842</v>
      </c>
      <c r="G74" s="104">
        <v>-16699628.110938177</v>
      </c>
      <c r="H74" s="104">
        <v>-8023192.0584901124</v>
      </c>
      <c r="I74" s="104">
        <v>-13052708.781087145</v>
      </c>
    </row>
    <row r="75" spans="2:9">
      <c r="B75" s="102">
        <v>68</v>
      </c>
      <c r="C75" s="104">
        <v>1164503.9641198069</v>
      </c>
      <c r="D75" s="104">
        <v>2604648.3428545594</v>
      </c>
      <c r="E75" s="104">
        <v>-21346486.812228039</v>
      </c>
      <c r="F75" s="104">
        <v>-3846855.3465990275</v>
      </c>
      <c r="G75" s="104">
        <v>-14835097.837594941</v>
      </c>
      <c r="H75" s="104">
        <v>-17241759.431237653</v>
      </c>
      <c r="I75" s="104">
        <v>-11069623.294039249</v>
      </c>
    </row>
    <row r="76" spans="2:9">
      <c r="B76" s="102">
        <v>69</v>
      </c>
      <c r="C76" s="104">
        <v>-1372279.0414258838</v>
      </c>
      <c r="D76" s="104">
        <v>-3865073.9758679867</v>
      </c>
      <c r="E76" s="104">
        <v>-4664928.8753574938</v>
      </c>
      <c r="F76" s="104">
        <v>-16411597.812183365</v>
      </c>
      <c r="G76" s="104">
        <v>-9681151.0042617023</v>
      </c>
      <c r="H76" s="104">
        <v>-17850882.410573795</v>
      </c>
      <c r="I76" s="104">
        <v>-10779302.282322675</v>
      </c>
    </row>
    <row r="77" spans="2:9">
      <c r="B77" s="102">
        <v>70</v>
      </c>
      <c r="C77" s="104">
        <v>-2191140.193643257</v>
      </c>
      <c r="D77" s="104">
        <v>-5534711.9442097098</v>
      </c>
      <c r="E77" s="104">
        <v>-8538442.4263518006</v>
      </c>
      <c r="F77" s="104">
        <v>-10273570.435745567</v>
      </c>
      <c r="G77" s="104">
        <v>-8149940.3370808959</v>
      </c>
      <c r="H77" s="104">
        <v>-19444486.408434704</v>
      </c>
      <c r="I77" s="104">
        <v>-19161112.031326324</v>
      </c>
    </row>
    <row r="78" spans="2:9">
      <c r="B78" s="102">
        <v>71</v>
      </c>
      <c r="C78" s="104">
        <v>1717097.9102701694</v>
      </c>
      <c r="D78" s="104">
        <v>-1648935.1741915792</v>
      </c>
      <c r="E78" s="104">
        <v>1926509.5865885168</v>
      </c>
      <c r="F78" s="104">
        <v>-8509720.358607322</v>
      </c>
      <c r="G78" s="104">
        <v>-13778715.32951358</v>
      </c>
      <c r="H78" s="104">
        <v>-15409670.349440023</v>
      </c>
      <c r="I78" s="104">
        <v>-9601484.5031166524</v>
      </c>
    </row>
    <row r="79" spans="2:9">
      <c r="B79" s="102">
        <v>72</v>
      </c>
      <c r="C79" s="104">
        <v>651290.17835062742</v>
      </c>
      <c r="D79" s="104">
        <v>7898283.8041116595</v>
      </c>
      <c r="E79" s="104">
        <v>-6073361.9123249352</v>
      </c>
      <c r="F79" s="104">
        <v>-2365024.7437800616</v>
      </c>
      <c r="G79" s="104">
        <v>-5344248.1853903234</v>
      </c>
      <c r="H79" s="104">
        <v>-18692444.308294281</v>
      </c>
      <c r="I79" s="104">
        <v>-16178385.511282727</v>
      </c>
    </row>
    <row r="80" spans="2:9">
      <c r="B80" s="102">
        <v>73</v>
      </c>
      <c r="C80" s="104">
        <v>2065034.7014298737</v>
      </c>
      <c r="D80" s="104">
        <v>-4423958.8640964031</v>
      </c>
      <c r="E80" s="104">
        <v>-7769153.4898480624</v>
      </c>
      <c r="F80" s="104">
        <v>-1906511.7050439864</v>
      </c>
      <c r="G80" s="104">
        <v>757623.26270441711</v>
      </c>
      <c r="H80" s="104">
        <v>-12094326.506019115</v>
      </c>
      <c r="I80" s="104">
        <v>-20627965.287188664</v>
      </c>
    </row>
    <row r="81" spans="2:9">
      <c r="B81" s="102">
        <v>74</v>
      </c>
      <c r="C81" s="104">
        <v>-1984870.0830688924</v>
      </c>
      <c r="D81" s="104">
        <v>6799883.6780237854</v>
      </c>
      <c r="E81" s="104">
        <v>-2992702.8073230982</v>
      </c>
      <c r="F81" s="104">
        <v>-18751651.814306661</v>
      </c>
      <c r="G81" s="104">
        <v>-14264042.364002407</v>
      </c>
      <c r="H81" s="104">
        <v>-14352077.199948788</v>
      </c>
      <c r="I81" s="104">
        <v>-7046178.8686109483</v>
      </c>
    </row>
    <row r="82" spans="2:9">
      <c r="B82" s="102">
        <v>75</v>
      </c>
      <c r="C82" s="104">
        <v>-4836293.3734374791</v>
      </c>
      <c r="D82" s="104">
        <v>-11555151.035499379</v>
      </c>
      <c r="E82" s="104">
        <v>-8690262.575963214</v>
      </c>
      <c r="F82" s="104">
        <v>-5185983.1507729888</v>
      </c>
      <c r="G82" s="104">
        <v>-17226808.785446316</v>
      </c>
      <c r="H82" s="104">
        <v>-13668706.071605101</v>
      </c>
      <c r="I82" s="104">
        <v>-10734512.021973267</v>
      </c>
    </row>
    <row r="83" spans="2:9">
      <c r="B83" s="102">
        <v>76</v>
      </c>
      <c r="C83" s="104">
        <v>3583451.2131750584</v>
      </c>
      <c r="D83" s="104">
        <v>5820624.4358568788</v>
      </c>
      <c r="E83" s="104">
        <v>-3372210.2759256959</v>
      </c>
      <c r="F83" s="104">
        <v>-481567.77144168317</v>
      </c>
      <c r="G83" s="104">
        <v>-8721345.0116741657</v>
      </c>
      <c r="H83" s="104">
        <v>-10166302.838251904</v>
      </c>
      <c r="I83" s="104">
        <v>-6980926.4121566564</v>
      </c>
    </row>
    <row r="84" spans="2:9">
      <c r="B84" s="102">
        <v>77</v>
      </c>
      <c r="C84" s="104">
        <v>-976021.06574557722</v>
      </c>
      <c r="D84" s="104">
        <v>-1637891.9465760738</v>
      </c>
      <c r="E84" s="104">
        <v>-6486752.4276466817</v>
      </c>
      <c r="F84" s="104">
        <v>-10434513.874422207</v>
      </c>
      <c r="G84" s="104">
        <v>-9888389.7448131591</v>
      </c>
      <c r="H84" s="104">
        <v>-16593725.507348388</v>
      </c>
      <c r="I84" s="104">
        <v>-11207074.809497863</v>
      </c>
    </row>
    <row r="85" spans="2:9">
      <c r="B85" s="102">
        <v>78</v>
      </c>
      <c r="C85" s="104">
        <v>-2064097.8973027319</v>
      </c>
      <c r="D85" s="104">
        <v>1734471.4911623895</v>
      </c>
      <c r="E85" s="104">
        <v>-3082727.0189996809</v>
      </c>
      <c r="F85" s="104">
        <v>-2465256.4474980533</v>
      </c>
      <c r="G85" s="104">
        <v>-11342416.330360934</v>
      </c>
      <c r="H85" s="104">
        <v>-7217692.4152497351</v>
      </c>
      <c r="I85" s="104">
        <v>-19203181.948424056</v>
      </c>
    </row>
    <row r="86" spans="2:9">
      <c r="B86" s="102">
        <v>79</v>
      </c>
      <c r="C86" s="104">
        <v>-6582720.0836296827</v>
      </c>
      <c r="D86" s="104">
        <v>3444373.3081059307</v>
      </c>
      <c r="E86" s="104">
        <v>-920816.66679890454</v>
      </c>
      <c r="F86" s="104">
        <v>-4449690.6624745578</v>
      </c>
      <c r="G86" s="104">
        <v>-17294229.506639034</v>
      </c>
      <c r="H86" s="104">
        <v>-10643237.517074391</v>
      </c>
      <c r="I86" s="104">
        <v>-8340805.5447475761</v>
      </c>
    </row>
    <row r="87" spans="2:9">
      <c r="B87" s="102">
        <v>80</v>
      </c>
      <c r="C87" s="104">
        <v>4618465.6542737335</v>
      </c>
      <c r="D87" s="104">
        <v>-2112277.5863461941</v>
      </c>
      <c r="E87" s="104">
        <v>196412.71790707111</v>
      </c>
      <c r="F87" s="104">
        <v>-1632691.3527423441</v>
      </c>
      <c r="G87" s="104">
        <v>-12987602.466883242</v>
      </c>
      <c r="H87" s="104">
        <v>-11058377.566784307</v>
      </c>
      <c r="I87" s="104">
        <v>-16800942.882689059</v>
      </c>
    </row>
    <row r="88" spans="2:9">
      <c r="B88" s="102">
        <v>81</v>
      </c>
      <c r="C88" s="104">
        <v>-758158.26102907956</v>
      </c>
      <c r="D88" s="104">
        <v>-3013.6952617317438</v>
      </c>
      <c r="E88" s="104">
        <v>-14972227.00656949</v>
      </c>
      <c r="F88" s="104">
        <v>-8739055.2376777381</v>
      </c>
      <c r="G88" s="104">
        <v>-12459479.94329375</v>
      </c>
      <c r="H88" s="104">
        <v>-5153748.5862565488</v>
      </c>
      <c r="I88" s="104">
        <v>-10787123.220942765</v>
      </c>
    </row>
    <row r="89" spans="2:9">
      <c r="B89" s="102">
        <v>82</v>
      </c>
      <c r="C89" s="104">
        <v>-1723093.0604709834</v>
      </c>
      <c r="D89" s="104">
        <v>-3959164.8484328985</v>
      </c>
      <c r="E89" s="104">
        <v>-4645209.5634524226</v>
      </c>
      <c r="F89" s="104">
        <v>-8744414.5283948928</v>
      </c>
      <c r="G89" s="104">
        <v>-20355592.01252605</v>
      </c>
      <c r="H89" s="104">
        <v>-10688432.623023123</v>
      </c>
      <c r="I89" s="104">
        <v>-16419849.768255934</v>
      </c>
    </row>
    <row r="90" spans="2:9">
      <c r="B90" s="102">
        <v>83</v>
      </c>
      <c r="C90" s="104">
        <v>-8724286.8255467713</v>
      </c>
      <c r="D90" s="104">
        <v>-2163374.3025576621</v>
      </c>
      <c r="E90" s="104">
        <v>75652.508856981993</v>
      </c>
      <c r="F90" s="104">
        <v>-3817136.6808964312</v>
      </c>
      <c r="G90" s="104">
        <v>-14334373.422943965</v>
      </c>
      <c r="H90" s="104">
        <v>-13213271.530503199</v>
      </c>
      <c r="I90" s="104">
        <v>-13307558.587531328</v>
      </c>
    </row>
    <row r="91" spans="2:9">
      <c r="B91" s="102">
        <v>84</v>
      </c>
      <c r="C91" s="104">
        <v>6409938.3525051028</v>
      </c>
      <c r="D91" s="104">
        <v>-6045145.0164780021</v>
      </c>
      <c r="E91" s="104">
        <v>-11175564.048213363</v>
      </c>
      <c r="F91" s="104">
        <v>-4458546.487290293</v>
      </c>
      <c r="G91" s="104">
        <v>-14476193.53542465</v>
      </c>
      <c r="H91" s="104">
        <v>-4769565.6565250158</v>
      </c>
      <c r="I91" s="104">
        <v>-12373844.022276416</v>
      </c>
    </row>
    <row r="92" spans="2:9">
      <c r="B92" s="102">
        <v>85</v>
      </c>
      <c r="C92" s="104">
        <v>282329.36781144142</v>
      </c>
      <c r="D92" s="104">
        <v>-5074214.8710475713</v>
      </c>
      <c r="E92" s="104">
        <v>-1132146.3232192546</v>
      </c>
      <c r="F92" s="104">
        <v>-5117055.6030329168</v>
      </c>
      <c r="G92" s="104">
        <v>-11854965.653468758</v>
      </c>
      <c r="H92" s="104">
        <v>-14699785.923122913</v>
      </c>
      <c r="I92" s="104">
        <v>-7131741.982712388</v>
      </c>
    </row>
    <row r="93" spans="2:9">
      <c r="B93" s="102">
        <v>86</v>
      </c>
      <c r="C93" s="104">
        <v>3279616.0634903908</v>
      </c>
      <c r="D93" s="104">
        <v>3343824.6747865677</v>
      </c>
      <c r="E93" s="104">
        <v>5427864.2898795307</v>
      </c>
      <c r="F93" s="104">
        <v>-11055333.813074037</v>
      </c>
      <c r="G93" s="104">
        <v>-13494725.980953202</v>
      </c>
      <c r="H93" s="104">
        <v>-5785026.5034810305</v>
      </c>
      <c r="I93" s="104">
        <v>-22790994.873323575</v>
      </c>
    </row>
    <row r="94" spans="2:9">
      <c r="B94" s="102">
        <v>87</v>
      </c>
      <c r="C94" s="104">
        <v>-3404647.1981542706</v>
      </c>
      <c r="D94" s="104">
        <v>-1714707.0966912061</v>
      </c>
      <c r="E94" s="104">
        <v>-12302567.548501059</v>
      </c>
      <c r="F94" s="104">
        <v>-10921829.386162847</v>
      </c>
      <c r="G94" s="104">
        <v>-17620967.546765447</v>
      </c>
      <c r="H94" s="104">
        <v>-15992633.902420104</v>
      </c>
      <c r="I94" s="104">
        <v>-11396747.366241112</v>
      </c>
    </row>
    <row r="95" spans="2:9">
      <c r="B95" s="102">
        <v>88</v>
      </c>
      <c r="C95" s="104">
        <v>-6824316.1824626625</v>
      </c>
      <c r="D95" s="104">
        <v>-1744517.0739776641</v>
      </c>
      <c r="E95" s="104">
        <v>-4372638.9772711843</v>
      </c>
      <c r="F95" s="104">
        <v>-9743966.9606900066</v>
      </c>
      <c r="G95" s="104">
        <v>-11714106.016238928</v>
      </c>
      <c r="H95" s="104">
        <v>-8407735.1237968802</v>
      </c>
      <c r="I95" s="104">
        <v>-21237256.992295489</v>
      </c>
    </row>
    <row r="96" spans="2:9">
      <c r="B96" s="102">
        <v>89</v>
      </c>
      <c r="C96" s="104">
        <v>2403625.9927249849</v>
      </c>
      <c r="D96" s="104">
        <v>1743374.8388787806</v>
      </c>
      <c r="E96" s="104">
        <v>-10876255.995298073</v>
      </c>
      <c r="F96" s="104">
        <v>-14570773.265868858</v>
      </c>
      <c r="G96" s="104">
        <v>-4561916.4733422995</v>
      </c>
      <c r="H96" s="104">
        <v>-16561758.210037425</v>
      </c>
      <c r="I96" s="104">
        <v>-17012099.608721629</v>
      </c>
    </row>
    <row r="97" spans="2:9">
      <c r="B97" s="102">
        <v>90</v>
      </c>
      <c r="C97" s="104">
        <v>-9383602.8184856176</v>
      </c>
      <c r="D97" s="104">
        <v>4492887.1186793447</v>
      </c>
      <c r="E97" s="104">
        <v>-6029025.9494337887</v>
      </c>
      <c r="F97" s="104">
        <v>-300869.22789779305</v>
      </c>
      <c r="G97" s="104">
        <v>-10233091.307956904</v>
      </c>
      <c r="H97" s="104">
        <v>-11070351.306558281</v>
      </c>
      <c r="I97" s="104">
        <v>-9135907.7902284116</v>
      </c>
    </row>
    <row r="98" spans="2:9">
      <c r="B98" s="102">
        <v>91</v>
      </c>
      <c r="C98" s="104">
        <v>-1849978.9154438972</v>
      </c>
      <c r="D98" s="104">
        <v>1352644.1343476176</v>
      </c>
      <c r="E98" s="104">
        <v>-3436589.0813521296</v>
      </c>
      <c r="F98" s="104">
        <v>-2855023.5391954929</v>
      </c>
      <c r="G98" s="104">
        <v>-10165782.37190488</v>
      </c>
      <c r="H98" s="104">
        <v>-8020498.0502900481</v>
      </c>
      <c r="I98" s="104">
        <v>-18498481.906039327</v>
      </c>
    </row>
    <row r="99" spans="2:9">
      <c r="B99" s="102">
        <v>92</v>
      </c>
      <c r="C99" s="104">
        <v>-4529607.1538072526</v>
      </c>
      <c r="D99" s="104">
        <v>-880489.12059929967</v>
      </c>
      <c r="E99" s="104">
        <v>-9054985.1594123989</v>
      </c>
      <c r="F99" s="104">
        <v>-8713731.630111143</v>
      </c>
      <c r="G99" s="104">
        <v>-14599090.721646398</v>
      </c>
      <c r="H99" s="104">
        <v>-15364548.973544359</v>
      </c>
      <c r="I99" s="104">
        <v>-18489541.018071994</v>
      </c>
    </row>
    <row r="100" spans="2:9">
      <c r="B100" s="102">
        <v>93</v>
      </c>
      <c r="C100" s="104">
        <v>-4372227.0251955837</v>
      </c>
      <c r="D100" s="104">
        <v>-5069356.3339897394</v>
      </c>
      <c r="E100" s="104">
        <v>4852079.2826779336</v>
      </c>
      <c r="F100" s="104">
        <v>-21752824.301754966</v>
      </c>
      <c r="G100" s="104">
        <v>-8172439.7930002958</v>
      </c>
      <c r="H100" s="104">
        <v>-1064844.7063636929</v>
      </c>
      <c r="I100" s="104">
        <v>-10606347.022851706</v>
      </c>
    </row>
    <row r="101" spans="2:9">
      <c r="B101" s="102">
        <v>94</v>
      </c>
      <c r="C101" s="104">
        <v>-2108352.6581373811</v>
      </c>
      <c r="D101" s="104">
        <v>-4657391.7727680057</v>
      </c>
      <c r="E101" s="104">
        <v>-5039769.4759971946</v>
      </c>
      <c r="F101" s="104">
        <v>-2053592.3691428453</v>
      </c>
      <c r="G101" s="104">
        <v>-6376819.5506138951</v>
      </c>
      <c r="H101" s="104">
        <v>-10485032.885201782</v>
      </c>
      <c r="I101" s="104">
        <v>-17308873.012510911</v>
      </c>
    </row>
    <row r="102" spans="2:9">
      <c r="B102" s="102">
        <v>95</v>
      </c>
      <c r="C102" s="104">
        <v>4309374.1221414953</v>
      </c>
      <c r="D102" s="104">
        <v>2455069.0127913058</v>
      </c>
      <c r="E102" s="104">
        <v>-2353848.0160189569</v>
      </c>
      <c r="F102" s="104">
        <v>-10146025.270487219</v>
      </c>
      <c r="G102" s="104">
        <v>-11864840.584916323</v>
      </c>
      <c r="H102" s="104">
        <v>-21914288.461956397</v>
      </c>
      <c r="I102" s="104">
        <v>-5274356.9393896013</v>
      </c>
    </row>
    <row r="103" spans="2:9">
      <c r="B103" s="102">
        <v>96</v>
      </c>
      <c r="C103" s="104">
        <v>-1211855.3021475673</v>
      </c>
      <c r="D103" s="104">
        <v>-11004079.19256939</v>
      </c>
      <c r="E103" s="104">
        <v>-9570303.5534889102</v>
      </c>
      <c r="F103" s="104">
        <v>6827536.2549658567</v>
      </c>
      <c r="G103" s="104">
        <v>-20000681.446789488</v>
      </c>
      <c r="H103" s="104">
        <v>-7600617.0902512521</v>
      </c>
      <c r="I103" s="104">
        <v>-11514993.182461232</v>
      </c>
    </row>
    <row r="104" spans="2:9">
      <c r="B104" s="102">
        <v>97</v>
      </c>
      <c r="C104" s="104">
        <v>-12230545.346395165</v>
      </c>
      <c r="D104" s="104">
        <v>-2743294.3510859907</v>
      </c>
      <c r="E104" s="104">
        <v>-4744311.0659141839</v>
      </c>
      <c r="F104" s="104">
        <v>-16527016.515476808</v>
      </c>
      <c r="G104" s="104">
        <v>-8469479.8059972525</v>
      </c>
      <c r="H104" s="104">
        <v>-13743438.505706519</v>
      </c>
      <c r="I104" s="104">
        <v>-8770824.3441692144</v>
      </c>
    </row>
    <row r="105" spans="2:9">
      <c r="B105" s="102">
        <v>98</v>
      </c>
      <c r="C105" s="104">
        <v>2781210.3527837694</v>
      </c>
      <c r="D105" s="104">
        <v>-660008.43578219414</v>
      </c>
      <c r="E105" s="104">
        <v>-6092649.8992486596</v>
      </c>
      <c r="F105" s="104">
        <v>-3588820.7263708413</v>
      </c>
      <c r="G105" s="104">
        <v>-14022275.24208729</v>
      </c>
      <c r="H105" s="104">
        <v>-15355358.533093184</v>
      </c>
      <c r="I105" s="104">
        <v>-20314162.430669919</v>
      </c>
    </row>
    <row r="106" spans="2:9">
      <c r="B106" s="102">
        <v>99</v>
      </c>
      <c r="C106" s="104">
        <v>-5273943.3302875608</v>
      </c>
      <c r="D106" s="104">
        <v>1079304.2155314386</v>
      </c>
      <c r="E106" s="104">
        <v>-1905407.5430119932</v>
      </c>
      <c r="F106" s="104">
        <v>-1189247.757858634</v>
      </c>
      <c r="G106" s="104">
        <v>-11153139.273942083</v>
      </c>
      <c r="H106" s="104">
        <v>-18398626.41453211</v>
      </c>
      <c r="I106" s="104">
        <v>-15361164.065925837</v>
      </c>
    </row>
    <row r="107" spans="2:9">
      <c r="B107" s="102">
        <v>100</v>
      </c>
      <c r="C107" s="104">
        <v>-5290418.9463065118</v>
      </c>
      <c r="D107" s="104">
        <v>-4310507.32858257</v>
      </c>
      <c r="E107" s="104">
        <v>-2808906.9939277917</v>
      </c>
      <c r="F107" s="104">
        <v>-15302866.545908362</v>
      </c>
      <c r="G107" s="104">
        <v>-3194623.1720920205</v>
      </c>
      <c r="H107" s="104">
        <v>-14540010.78145054</v>
      </c>
      <c r="I107" s="104">
        <v>-10647537.45774065</v>
      </c>
    </row>
    <row r="108" spans="2:9">
      <c r="B108" s="102">
        <v>101</v>
      </c>
      <c r="C108" s="104">
        <v>-5266663.3662875742</v>
      </c>
      <c r="D108" s="104">
        <v>-4063675.2996257842</v>
      </c>
      <c r="E108" s="104">
        <v>-5217993.8355042487</v>
      </c>
      <c r="F108" s="104">
        <v>-1297357.7411184758</v>
      </c>
      <c r="G108" s="104">
        <v>-13781542.713857219</v>
      </c>
      <c r="H108" s="104">
        <v>-6415858.3098535538</v>
      </c>
      <c r="I108" s="104">
        <v>-28075747.046616808</v>
      </c>
    </row>
    <row r="109" spans="2:9">
      <c r="B109" s="102">
        <v>102</v>
      </c>
      <c r="C109" s="104">
        <v>-335221.36190591753</v>
      </c>
      <c r="D109" s="104">
        <v>-6480138.586265102</v>
      </c>
      <c r="E109" s="104">
        <v>-9402976.3761866242</v>
      </c>
      <c r="F109" s="104">
        <v>-1936240.0331161171</v>
      </c>
      <c r="G109" s="104">
        <v>-3996822.8448388577</v>
      </c>
      <c r="H109" s="104">
        <v>-15768320.440905228</v>
      </c>
      <c r="I109" s="104">
        <v>-12636623.025382191</v>
      </c>
    </row>
    <row r="110" spans="2:9">
      <c r="B110" s="102">
        <v>103</v>
      </c>
      <c r="C110" s="104">
        <v>8221540.0686916858</v>
      </c>
      <c r="D110" s="104">
        <v>2665741.0935820639</v>
      </c>
      <c r="E110" s="104">
        <v>1305214.1290184408</v>
      </c>
      <c r="F110" s="104">
        <v>-11457968.987061203</v>
      </c>
      <c r="G110" s="104">
        <v>-433953.37759706378</v>
      </c>
      <c r="H110" s="104">
        <v>-4967829.4581585526</v>
      </c>
      <c r="I110" s="104">
        <v>-10954771.556116521</v>
      </c>
    </row>
    <row r="111" spans="2:9">
      <c r="B111" s="102">
        <v>104</v>
      </c>
      <c r="C111" s="104">
        <v>1559032.3003025055</v>
      </c>
      <c r="D111" s="104">
        <v>1524987.9976011962</v>
      </c>
      <c r="E111" s="104">
        <v>-15163689.619483337</v>
      </c>
      <c r="F111" s="104">
        <v>-12273080.769447207</v>
      </c>
      <c r="G111" s="104">
        <v>-11474834.708657384</v>
      </c>
      <c r="H111" s="104">
        <v>-5860708.1547385007</v>
      </c>
      <c r="I111" s="104">
        <v>-9977789.8867942095</v>
      </c>
    </row>
    <row r="112" spans="2:9">
      <c r="B112" s="102">
        <v>105</v>
      </c>
      <c r="C112" s="104">
        <v>4875577.7955661416</v>
      </c>
      <c r="D112" s="104">
        <v>-5640839.4070438594</v>
      </c>
      <c r="E112" s="104">
        <v>-6892323.6458930373</v>
      </c>
      <c r="F112" s="104">
        <v>-3867253.1290888786</v>
      </c>
      <c r="G112" s="104">
        <v>-15679746.883518115</v>
      </c>
      <c r="H112" s="104">
        <v>-19100322.130912736</v>
      </c>
      <c r="I112" s="104">
        <v>-16720917.870464489</v>
      </c>
    </row>
    <row r="113" spans="2:9">
      <c r="B113" s="102">
        <v>106</v>
      </c>
      <c r="C113" s="104">
        <v>7220370.9378694147</v>
      </c>
      <c r="D113" s="104">
        <v>4743084.9315075874</v>
      </c>
      <c r="E113" s="104">
        <v>-6992089.2139294893</v>
      </c>
      <c r="F113" s="104">
        <v>-8857907.6081340611</v>
      </c>
      <c r="G113" s="104">
        <v>-5183389.7904355973</v>
      </c>
      <c r="H113" s="104">
        <v>-5857274.7836099416</v>
      </c>
      <c r="I113" s="104">
        <v>-17019804.078228936</v>
      </c>
    </row>
    <row r="114" spans="2:9">
      <c r="B114" s="102">
        <v>107</v>
      </c>
      <c r="C114" s="104">
        <v>-5933127.8564911932</v>
      </c>
      <c r="D114" s="104">
        <v>1193950.8872219026</v>
      </c>
      <c r="E114" s="104">
        <v>-3415758.651542291</v>
      </c>
      <c r="F114" s="104">
        <v>-13928187.180078954</v>
      </c>
      <c r="G114" s="104">
        <v>-9271808.5043249428</v>
      </c>
      <c r="H114" s="104">
        <v>-9583401.7020349354</v>
      </c>
      <c r="I114" s="104">
        <v>-14646504.78041397</v>
      </c>
    </row>
    <row r="115" spans="2:9">
      <c r="B115" s="102">
        <v>108</v>
      </c>
      <c r="C115" s="104">
        <v>-2366514.9187240452</v>
      </c>
      <c r="D115" s="104">
        <v>-2307322.9192825109</v>
      </c>
      <c r="E115" s="104">
        <v>-6173596.5033646375</v>
      </c>
      <c r="F115" s="104">
        <v>-13101248.871330321</v>
      </c>
      <c r="G115" s="104">
        <v>-5873156.4218202233</v>
      </c>
      <c r="H115" s="104">
        <v>-11629052.701065883</v>
      </c>
      <c r="I115" s="104">
        <v>-12060510.595354766</v>
      </c>
    </row>
    <row r="116" spans="2:9">
      <c r="B116" s="102">
        <v>109</v>
      </c>
      <c r="C116" s="104">
        <v>-41664.589798942208</v>
      </c>
      <c r="D116" s="104">
        <v>-8321444.9861030132</v>
      </c>
      <c r="E116" s="104">
        <v>-4599542.8009826094</v>
      </c>
      <c r="F116" s="104">
        <v>-2845786.1077619344</v>
      </c>
      <c r="G116" s="104">
        <v>-11357763.01173082</v>
      </c>
      <c r="H116" s="104">
        <v>-5923970.0008002967</v>
      </c>
      <c r="I116" s="104">
        <v>-20375014.600978643</v>
      </c>
    </row>
    <row r="117" spans="2:9">
      <c r="B117" s="102">
        <v>110</v>
      </c>
      <c r="C117" s="104">
        <v>-7048703.1032288074</v>
      </c>
      <c r="D117" s="104">
        <v>-3388833.6939257085</v>
      </c>
      <c r="E117" s="104">
        <v>-2170993.5571646094</v>
      </c>
      <c r="F117" s="104">
        <v>-9764271.6931912005</v>
      </c>
      <c r="G117" s="104">
        <v>-14726588.67560789</v>
      </c>
      <c r="H117" s="104">
        <v>-13858043.575410798</v>
      </c>
      <c r="I117" s="104">
        <v>-17552658.322015524</v>
      </c>
    </row>
    <row r="118" spans="2:9">
      <c r="B118" s="102">
        <v>111</v>
      </c>
      <c r="C118" s="104">
        <v>3071794.4717074335</v>
      </c>
      <c r="D118" s="104">
        <v>2216075.0981155336</v>
      </c>
      <c r="E118" s="104">
        <v>-13478943.412213415</v>
      </c>
      <c r="F118" s="104">
        <v>-5733448.8017053455</v>
      </c>
      <c r="G118" s="104">
        <v>-10114009.273769841</v>
      </c>
      <c r="H118" s="104">
        <v>-17039045.079942048</v>
      </c>
      <c r="I118" s="104">
        <v>-21033509.293590441</v>
      </c>
    </row>
    <row r="119" spans="2:9">
      <c r="B119" s="102">
        <v>112</v>
      </c>
      <c r="C119" s="104">
        <v>-9151901.1337910891</v>
      </c>
      <c r="D119" s="104">
        <v>-4364487.0283129215</v>
      </c>
      <c r="E119" s="104">
        <v>3573810.1047807485</v>
      </c>
      <c r="F119" s="104">
        <v>-8476853.4211289883</v>
      </c>
      <c r="G119" s="104">
        <v>-9545918.3250791728</v>
      </c>
      <c r="H119" s="104">
        <v>-4301256.9505728334</v>
      </c>
      <c r="I119" s="104">
        <v>-19590085.621740252</v>
      </c>
    </row>
    <row r="120" spans="2:9">
      <c r="B120" s="102">
        <v>113</v>
      </c>
      <c r="C120" s="104">
        <v>686740.95190136135</v>
      </c>
      <c r="D120" s="104">
        <v>-4189438.5974274427</v>
      </c>
      <c r="E120" s="104">
        <v>1671514.8362865448</v>
      </c>
      <c r="F120" s="104">
        <v>-5567454.1664576679</v>
      </c>
      <c r="G120" s="104">
        <v>-1915573.5342836082</v>
      </c>
      <c r="H120" s="104">
        <v>-16198841.49500601</v>
      </c>
      <c r="I120" s="104">
        <v>-21955865.122146249</v>
      </c>
    </row>
    <row r="121" spans="2:9">
      <c r="B121" s="102">
        <v>114</v>
      </c>
      <c r="C121" s="104">
        <v>3728377.7028032392</v>
      </c>
      <c r="D121" s="104">
        <v>-3700118.7761850357</v>
      </c>
      <c r="E121" s="104">
        <v>-6487167.5323221534</v>
      </c>
      <c r="F121" s="104">
        <v>6254714.96360901</v>
      </c>
      <c r="G121" s="104">
        <v>-4108768.9115282744</v>
      </c>
      <c r="H121" s="104">
        <v>-22546758.512029707</v>
      </c>
      <c r="I121" s="104">
        <v>-13002797.984912738</v>
      </c>
    </row>
    <row r="122" spans="2:9">
      <c r="B122" s="102">
        <v>115</v>
      </c>
      <c r="C122" s="104">
        <v>-7550045.9453272521</v>
      </c>
      <c r="D122" s="104">
        <v>-2758382.6411393583</v>
      </c>
      <c r="E122" s="104">
        <v>200720.91369998455</v>
      </c>
      <c r="F122" s="104">
        <v>-5404222.1220514178</v>
      </c>
      <c r="G122" s="104">
        <v>-10990079.503557682</v>
      </c>
      <c r="H122" s="104">
        <v>-10115678.650687322</v>
      </c>
      <c r="I122" s="104">
        <v>-9873413.413523823</v>
      </c>
    </row>
    <row r="123" spans="2:9">
      <c r="B123" s="102">
        <v>116</v>
      </c>
      <c r="C123" s="104">
        <v>-4137573.4392725974</v>
      </c>
      <c r="D123" s="104">
        <v>-5663387.4653879404</v>
      </c>
      <c r="E123" s="104">
        <v>-11547142.495908603</v>
      </c>
      <c r="F123" s="104">
        <v>-1727644.4521572739</v>
      </c>
      <c r="G123" s="104">
        <v>-14478223.78357847</v>
      </c>
      <c r="H123" s="104">
        <v>-8756585.0981831849</v>
      </c>
      <c r="I123" s="104">
        <v>-13643839.212522641</v>
      </c>
    </row>
    <row r="124" spans="2:9">
      <c r="B124" s="102">
        <v>117</v>
      </c>
      <c r="C124" s="104">
        <v>1042018.4434543848</v>
      </c>
      <c r="D124" s="104">
        <v>-703309.04391656816</v>
      </c>
      <c r="E124" s="104">
        <v>-8128206.571348235</v>
      </c>
      <c r="F124" s="104">
        <v>-17616059.234189391</v>
      </c>
      <c r="G124" s="104">
        <v>-8469884.3346741796</v>
      </c>
      <c r="H124" s="104">
        <v>-15252840.927124158</v>
      </c>
      <c r="I124" s="104">
        <v>-12305808.360782623</v>
      </c>
    </row>
    <row r="125" spans="2:9">
      <c r="B125" s="102">
        <v>118</v>
      </c>
      <c r="C125" s="104">
        <v>-10225543.106408209</v>
      </c>
      <c r="D125" s="104">
        <v>1211922.3767756373</v>
      </c>
      <c r="E125" s="104">
        <v>-2945731.7047491819</v>
      </c>
      <c r="F125" s="104">
        <v>-6485448.1193760484</v>
      </c>
      <c r="G125" s="104">
        <v>-7021334.2675022632</v>
      </c>
      <c r="H125" s="104">
        <v>-17585003.453799292</v>
      </c>
      <c r="I125" s="104">
        <v>-10189961.355173364</v>
      </c>
    </row>
    <row r="126" spans="2:9">
      <c r="B126" s="102">
        <v>119</v>
      </c>
      <c r="C126" s="104">
        <v>1897433.9921303689</v>
      </c>
      <c r="D126" s="104">
        <v>-9321723.9356301278</v>
      </c>
      <c r="E126" s="104">
        <v>-1161356.7656145394</v>
      </c>
      <c r="F126" s="104">
        <v>-3822697.8585108519</v>
      </c>
      <c r="G126" s="104">
        <v>-2932977.4777878225</v>
      </c>
      <c r="H126" s="104">
        <v>-10189704.936053574</v>
      </c>
      <c r="I126" s="104">
        <v>-12608239.600163281</v>
      </c>
    </row>
    <row r="127" spans="2:9">
      <c r="B127" s="102">
        <v>120</v>
      </c>
      <c r="C127" s="104">
        <v>3091583.4096934497</v>
      </c>
      <c r="D127" s="104">
        <v>2188623.5415244251</v>
      </c>
      <c r="E127" s="104">
        <v>-10812488.703574315</v>
      </c>
      <c r="F127" s="104">
        <v>-5377354.0770724118</v>
      </c>
      <c r="G127" s="104">
        <v>-4956972.6264147162</v>
      </c>
      <c r="H127" s="104">
        <v>-9097797.631551832</v>
      </c>
      <c r="I127" s="104">
        <v>-9800275.7276692688</v>
      </c>
    </row>
    <row r="128" spans="2:9">
      <c r="B128" s="102">
        <v>121</v>
      </c>
      <c r="C128" s="104">
        <v>3067482.4609431326</v>
      </c>
      <c r="D128" s="104">
        <v>-4342871.1484235674</v>
      </c>
      <c r="E128" s="104">
        <v>1628534.4928688854</v>
      </c>
      <c r="F128" s="104">
        <v>-14536044.189716414</v>
      </c>
      <c r="G128" s="104">
        <v>-7127946.2365062088</v>
      </c>
      <c r="H128" s="104">
        <v>-13145851.638100579</v>
      </c>
      <c r="I128" s="104">
        <v>-15093043.19285427</v>
      </c>
    </row>
    <row r="129" spans="2:9">
      <c r="B129" s="102">
        <v>122</v>
      </c>
      <c r="C129" s="104">
        <v>-1803282.8166562617</v>
      </c>
      <c r="D129" s="104">
        <v>-6594768.4768351316</v>
      </c>
      <c r="E129" s="104">
        <v>-1163366.331847325</v>
      </c>
      <c r="F129" s="104">
        <v>-263870.5965013504</v>
      </c>
      <c r="G129" s="104">
        <v>-13983501.021574661</v>
      </c>
      <c r="H129" s="104">
        <v>-10109285.231574863</v>
      </c>
      <c r="I129" s="104">
        <v>-18539464.066308707</v>
      </c>
    </row>
    <row r="130" spans="2:9">
      <c r="B130" s="102">
        <v>123</v>
      </c>
      <c r="C130" s="104">
        <v>2950406.9590475559</v>
      </c>
      <c r="D130" s="104">
        <v>-12892457.421033204</v>
      </c>
      <c r="E130" s="104">
        <v>-1244466.9406749904</v>
      </c>
      <c r="F130" s="104">
        <v>-2813749.7380495816</v>
      </c>
      <c r="G130" s="104">
        <v>-2864972.5075880289</v>
      </c>
      <c r="H130" s="104">
        <v>-14726864.349611253</v>
      </c>
      <c r="I130" s="104">
        <v>-15718788.165853515</v>
      </c>
    </row>
    <row r="131" spans="2:9">
      <c r="B131" s="102">
        <v>124</v>
      </c>
      <c r="C131" s="104">
        <v>-9977518.9199589491</v>
      </c>
      <c r="D131" s="104">
        <v>1540414.0263297111</v>
      </c>
      <c r="E131" s="104">
        <v>-1340459.8209905326</v>
      </c>
      <c r="F131" s="104">
        <v>-7874758.6685601622</v>
      </c>
      <c r="G131" s="104">
        <v>-15586253.463411674</v>
      </c>
      <c r="H131" s="104">
        <v>-11698991.080870211</v>
      </c>
      <c r="I131" s="104">
        <v>-21566539.961613834</v>
      </c>
    </row>
    <row r="132" spans="2:9">
      <c r="B132" s="102">
        <v>125</v>
      </c>
      <c r="C132" s="104">
        <v>-1616580.7317942679</v>
      </c>
      <c r="D132" s="104">
        <v>-5007549.791062817</v>
      </c>
      <c r="E132" s="104">
        <v>-2006398.175085336</v>
      </c>
      <c r="F132" s="104">
        <v>-3190595.6431434005</v>
      </c>
      <c r="G132" s="104">
        <v>-4099459.9816013575</v>
      </c>
      <c r="H132" s="104">
        <v>-13626119.559381887</v>
      </c>
      <c r="I132" s="104">
        <v>-4808448.6690901965</v>
      </c>
    </row>
    <row r="133" spans="2:9">
      <c r="B133" s="102">
        <v>126</v>
      </c>
      <c r="C133" s="104">
        <v>-76372.524347320199</v>
      </c>
      <c r="D133" s="104">
        <v>6613648.5788809806</v>
      </c>
      <c r="E133" s="104">
        <v>-3924952.0355987549</v>
      </c>
      <c r="F133" s="104">
        <v>-2135961.8993586004</v>
      </c>
      <c r="G133" s="104">
        <v>-7025221.3807266355</v>
      </c>
      <c r="H133" s="104">
        <v>-13908040.561698481</v>
      </c>
      <c r="I133" s="104">
        <v>-7997894.9001266211</v>
      </c>
    </row>
    <row r="134" spans="2:9">
      <c r="B134" s="102">
        <v>127</v>
      </c>
      <c r="C134" s="104">
        <v>893713.32886636257</v>
      </c>
      <c r="D134" s="104">
        <v>-1248738.6280536354</v>
      </c>
      <c r="E134" s="104">
        <v>-226474.59531468153</v>
      </c>
      <c r="F134" s="104">
        <v>-6382065.4987323582</v>
      </c>
      <c r="G134" s="104">
        <v>-9735009.3010683358</v>
      </c>
      <c r="H134" s="104">
        <v>-14637030.928231195</v>
      </c>
      <c r="I134" s="104">
        <v>-12880561.657404065</v>
      </c>
    </row>
    <row r="135" spans="2:9">
      <c r="B135" s="102">
        <v>128</v>
      </c>
      <c r="C135" s="104">
        <v>-6724487.4007517248</v>
      </c>
      <c r="D135" s="104">
        <v>-4998269.6094043404</v>
      </c>
      <c r="E135" s="104">
        <v>-9145292.6747451276</v>
      </c>
      <c r="F135" s="104">
        <v>-10779310.525901377</v>
      </c>
      <c r="G135" s="104">
        <v>-17276924.852379262</v>
      </c>
      <c r="H135" s="104">
        <v>-2926226.3576263636</v>
      </c>
      <c r="I135" s="104">
        <v>-8576722.7736624181</v>
      </c>
    </row>
    <row r="136" spans="2:9">
      <c r="B136" s="102">
        <v>129</v>
      </c>
      <c r="C136" s="104">
        <v>2025733.303060174</v>
      </c>
      <c r="D136" s="104">
        <v>3076810.6361252517</v>
      </c>
      <c r="E136" s="104">
        <v>1114834.1047723889</v>
      </c>
      <c r="F136" s="104">
        <v>-4187296.4732159525</v>
      </c>
      <c r="G136" s="104">
        <v>-10816005.141134098</v>
      </c>
      <c r="H136" s="104">
        <v>-19254369.72307235</v>
      </c>
      <c r="I136" s="104">
        <v>-15067565.664237484</v>
      </c>
    </row>
    <row r="137" spans="2:9">
      <c r="B137" s="102">
        <v>130</v>
      </c>
      <c r="C137" s="104">
        <v>-2537073.2540436685</v>
      </c>
      <c r="D137" s="104">
        <v>-4087061.3438412994</v>
      </c>
      <c r="E137" s="104">
        <v>-1975137.345369935</v>
      </c>
      <c r="F137" s="104">
        <v>-13977512.413874939</v>
      </c>
      <c r="G137" s="104">
        <v>-5697631.5545171648</v>
      </c>
      <c r="H137" s="104">
        <v>-12500541.356707215</v>
      </c>
      <c r="I137" s="104">
        <v>-7582601.6179054528</v>
      </c>
    </row>
    <row r="138" spans="2:9">
      <c r="B138" s="102">
        <v>131</v>
      </c>
      <c r="C138" s="104">
        <v>-6252473.0016055256</v>
      </c>
      <c r="D138" s="104">
        <v>-4684065.7612185329</v>
      </c>
      <c r="E138" s="104">
        <v>-1352439.6019148976</v>
      </c>
      <c r="F138" s="104">
        <v>-15113518.281885996</v>
      </c>
      <c r="G138" s="104">
        <v>-13486003.900899827</v>
      </c>
      <c r="H138" s="104">
        <v>-6061752.3830068707</v>
      </c>
      <c r="I138" s="104">
        <v>-11976814.941660315</v>
      </c>
    </row>
    <row r="139" spans="2:9">
      <c r="B139" s="102">
        <v>132</v>
      </c>
      <c r="C139" s="104">
        <v>4567211.4132028073</v>
      </c>
      <c r="D139" s="104">
        <v>-1503607.7000823319</v>
      </c>
      <c r="E139" s="104">
        <v>-6783187.002962485</v>
      </c>
      <c r="F139" s="104">
        <v>4018632.4289706051</v>
      </c>
      <c r="G139" s="104">
        <v>-6795869.9674782306</v>
      </c>
      <c r="H139" s="104">
        <v>-15448380.050627515</v>
      </c>
      <c r="I139" s="104">
        <v>-14731371.804533541</v>
      </c>
    </row>
    <row r="140" spans="2:9">
      <c r="B140" s="102">
        <v>133</v>
      </c>
      <c r="C140" s="104">
        <v>-3363159.7844214439</v>
      </c>
      <c r="D140" s="104">
        <v>1257475.8773722798</v>
      </c>
      <c r="E140" s="104">
        <v>-9937292.3502218574</v>
      </c>
      <c r="F140" s="104">
        <v>-7035931.3923452944</v>
      </c>
      <c r="G140" s="104">
        <v>-11315372.561234161</v>
      </c>
      <c r="H140" s="104">
        <v>-12096101.026583374</v>
      </c>
      <c r="I140" s="104">
        <v>-22969797.635351628</v>
      </c>
    </row>
    <row r="141" spans="2:9">
      <c r="B141" s="102">
        <v>134</v>
      </c>
      <c r="C141" s="104">
        <v>5485837.3390475959</v>
      </c>
      <c r="D141" s="104">
        <v>-7474823.2429639995</v>
      </c>
      <c r="E141" s="104">
        <v>-14797923.248480886</v>
      </c>
      <c r="F141" s="104">
        <v>2683472.8635444492</v>
      </c>
      <c r="G141" s="104">
        <v>-13695169.94243823</v>
      </c>
      <c r="H141" s="104">
        <v>-12382406.597535431</v>
      </c>
      <c r="I141" s="104">
        <v>-18177341.055231452</v>
      </c>
    </row>
    <row r="142" spans="2:9">
      <c r="B142" s="102">
        <v>135</v>
      </c>
      <c r="C142" s="104">
        <v>7329404.6731478274</v>
      </c>
      <c r="D142" s="104">
        <v>-4883792.9944713861</v>
      </c>
      <c r="E142" s="104">
        <v>-8387380.3876809329</v>
      </c>
      <c r="F142" s="104">
        <v>-5934236.8842335194</v>
      </c>
      <c r="G142" s="104">
        <v>-12496422.070946559</v>
      </c>
      <c r="H142" s="104">
        <v>-10024232.106805816</v>
      </c>
      <c r="I142" s="104">
        <v>-10924822.134211138</v>
      </c>
    </row>
    <row r="143" spans="2:9">
      <c r="B143" s="102">
        <v>136</v>
      </c>
      <c r="C143" s="104">
        <v>-8843835.8111673594</v>
      </c>
      <c r="D143" s="104">
        <v>-3892266.1149309874</v>
      </c>
      <c r="E143" s="104">
        <v>5142091.266338855</v>
      </c>
      <c r="F143" s="104">
        <v>-6832985.1441241652</v>
      </c>
      <c r="G143" s="104">
        <v>-8196657.8872359246</v>
      </c>
      <c r="H143" s="104">
        <v>-8790316.4179791957</v>
      </c>
      <c r="I143" s="104">
        <v>-8563183.126208216</v>
      </c>
    </row>
    <row r="144" spans="2:9">
      <c r="B144" s="102">
        <v>137</v>
      </c>
      <c r="C144" s="104">
        <v>1581078.1072850823</v>
      </c>
      <c r="D144" s="104">
        <v>-3326850.5374148488</v>
      </c>
      <c r="E144" s="104">
        <v>-4588841.7746275961</v>
      </c>
      <c r="F144" s="104">
        <v>-18734489.196902752</v>
      </c>
      <c r="G144" s="104">
        <v>-4634795.923498258</v>
      </c>
      <c r="H144" s="104">
        <v>185308.17962321639</v>
      </c>
      <c r="I144" s="104">
        <v>-30362990.315738767</v>
      </c>
    </row>
    <row r="145" spans="2:9">
      <c r="B145" s="102">
        <v>138</v>
      </c>
      <c r="C145" s="104">
        <v>3903222.8461551368</v>
      </c>
      <c r="D145" s="104">
        <v>-1374744.2068110406</v>
      </c>
      <c r="E145" s="104">
        <v>-1118718.3035267889</v>
      </c>
      <c r="F145" s="104">
        <v>2780705.7028025687</v>
      </c>
      <c r="G145" s="104">
        <v>-9267131.2933942378</v>
      </c>
      <c r="H145" s="104">
        <v>-10375007.88582018</v>
      </c>
      <c r="I145" s="104">
        <v>-6697031.8327125758</v>
      </c>
    </row>
    <row r="146" spans="2:9">
      <c r="B146" s="102">
        <v>139</v>
      </c>
      <c r="C146" s="104">
        <v>1030608.0821893066</v>
      </c>
      <c r="D146" s="104">
        <v>-710429.93359597027</v>
      </c>
      <c r="E146" s="104">
        <v>-3298592.8607009798</v>
      </c>
      <c r="F146" s="104">
        <v>-15820247.682534024</v>
      </c>
      <c r="G146" s="104">
        <v>-14791739.716078922</v>
      </c>
      <c r="H146" s="104">
        <v>-12607482.721280426</v>
      </c>
      <c r="I146" s="104">
        <v>-17990274.814634785</v>
      </c>
    </row>
    <row r="147" spans="2:9">
      <c r="B147" s="102">
        <v>140</v>
      </c>
      <c r="C147" s="104">
        <v>-2776899.3651273251</v>
      </c>
      <c r="D147" s="104">
        <v>5806564.160666585</v>
      </c>
      <c r="E147" s="104">
        <v>-2537244.5746644586</v>
      </c>
      <c r="F147" s="104">
        <v>-8479098.9178346545</v>
      </c>
      <c r="G147" s="104">
        <v>-10585720.517233118</v>
      </c>
      <c r="H147" s="104">
        <v>-13384960.432595745</v>
      </c>
      <c r="I147" s="104">
        <v>-17542622.548858091</v>
      </c>
    </row>
    <row r="148" spans="2:9">
      <c r="B148" s="102">
        <v>141</v>
      </c>
      <c r="C148" s="104">
        <v>1937325.1650255769</v>
      </c>
      <c r="D148" s="104">
        <v>-2084408.5206741393</v>
      </c>
      <c r="E148" s="104">
        <v>93572.594297215343</v>
      </c>
      <c r="F148" s="104">
        <v>-7517911.2112470716</v>
      </c>
      <c r="G148" s="104">
        <v>-2556322.0465043783</v>
      </c>
      <c r="H148" s="104">
        <v>-12187881.80047965</v>
      </c>
      <c r="I148" s="104">
        <v>-11096632.634102926</v>
      </c>
    </row>
    <row r="149" spans="2:9">
      <c r="B149" s="102">
        <v>142</v>
      </c>
      <c r="C149" s="104">
        <v>1980971.9916565865</v>
      </c>
      <c r="D149" s="104">
        <v>-9863770.212285012</v>
      </c>
      <c r="E149" s="104">
        <v>-5619507.753847599</v>
      </c>
      <c r="F149" s="104">
        <v>-870989.07006171346</v>
      </c>
      <c r="G149" s="104">
        <v>-16861059.879446626</v>
      </c>
      <c r="H149" s="104">
        <v>-10047556.149641067</v>
      </c>
      <c r="I149" s="104">
        <v>-5073862.3489812315</v>
      </c>
    </row>
    <row r="150" spans="2:9">
      <c r="B150" s="102">
        <v>143</v>
      </c>
      <c r="C150" s="104">
        <v>656461.86896289885</v>
      </c>
      <c r="D150" s="104">
        <v>2932674.3731688112</v>
      </c>
      <c r="E150" s="104">
        <v>-5700459.5350846797</v>
      </c>
      <c r="F150" s="104">
        <v>-8951713.3753521591</v>
      </c>
      <c r="G150" s="104">
        <v>-5583432.1436830759</v>
      </c>
      <c r="H150" s="104">
        <v>-11556103.00964424</v>
      </c>
      <c r="I150" s="104">
        <v>-18912818.869796649</v>
      </c>
    </row>
    <row r="151" spans="2:9">
      <c r="B151" s="102">
        <v>144</v>
      </c>
      <c r="C151" s="104">
        <v>-242351.09291860461</v>
      </c>
      <c r="D151" s="104">
        <v>3000437.7893009633</v>
      </c>
      <c r="E151" s="104">
        <v>-8489074.8011311293</v>
      </c>
      <c r="F151" s="104">
        <v>-5062405.0545428395</v>
      </c>
      <c r="G151" s="104">
        <v>-2929464.0301145315</v>
      </c>
      <c r="H151" s="104">
        <v>-5390056.0953285843</v>
      </c>
      <c r="I151" s="104">
        <v>-14709725.05728288</v>
      </c>
    </row>
    <row r="152" spans="2:9">
      <c r="B152" s="102">
        <v>145</v>
      </c>
      <c r="C152" s="104">
        <v>-7310881.3833687305</v>
      </c>
      <c r="D152" s="104">
        <v>-9158288.9827670604</v>
      </c>
      <c r="E152" s="104">
        <v>-6728396.3116375953</v>
      </c>
      <c r="F152" s="104">
        <v>-3565460.1770698428</v>
      </c>
      <c r="G152" s="104">
        <v>-8715313.1366219372</v>
      </c>
      <c r="H152" s="104">
        <v>-16857193.922898471</v>
      </c>
      <c r="I152" s="104">
        <v>-18340847.46321626</v>
      </c>
    </row>
    <row r="153" spans="2:9">
      <c r="B153" s="102">
        <v>146</v>
      </c>
      <c r="C153" s="104">
        <v>-9068464.1594612896</v>
      </c>
      <c r="D153" s="104">
        <v>-8918136.5663400292</v>
      </c>
      <c r="E153" s="104">
        <v>-743355.54843768477</v>
      </c>
      <c r="F153" s="104">
        <v>-2059267.9481613636</v>
      </c>
      <c r="G153" s="104">
        <v>-4451822.7720910758</v>
      </c>
      <c r="H153" s="104">
        <v>-16787172.46841225</v>
      </c>
      <c r="I153" s="104">
        <v>-14543649.659289211</v>
      </c>
    </row>
    <row r="154" spans="2:9">
      <c r="B154" s="102">
        <v>147</v>
      </c>
      <c r="C154" s="104">
        <v>-4880873.2792161852</v>
      </c>
      <c r="D154" s="104">
        <v>542929.80542810261</v>
      </c>
      <c r="E154" s="104">
        <v>-9401181.3107359409</v>
      </c>
      <c r="F154" s="104">
        <v>-8100681.6513027847</v>
      </c>
      <c r="G154" s="104">
        <v>-17291944.881964743</v>
      </c>
      <c r="H154" s="104">
        <v>-12757967.98221682</v>
      </c>
      <c r="I154" s="104">
        <v>-7229371.0352326632</v>
      </c>
    </row>
    <row r="155" spans="2:9">
      <c r="B155" s="102">
        <v>148</v>
      </c>
      <c r="C155" s="104">
        <v>-146928.76725374162</v>
      </c>
      <c r="D155" s="104">
        <v>-4122269.8420256674</v>
      </c>
      <c r="E155" s="104">
        <v>-14921473.669415683</v>
      </c>
      <c r="F155" s="104">
        <v>-5307252.8562243283</v>
      </c>
      <c r="G155" s="104">
        <v>-18529764.706221908</v>
      </c>
      <c r="H155" s="104">
        <v>-14393715.679800153</v>
      </c>
      <c r="I155" s="104">
        <v>-12238597.576971024</v>
      </c>
    </row>
    <row r="156" spans="2:9">
      <c r="B156" s="102">
        <v>149</v>
      </c>
      <c r="C156" s="104">
        <v>-11619861.880589023</v>
      </c>
      <c r="D156" s="104">
        <v>1905640.7885691822</v>
      </c>
      <c r="E156" s="104">
        <v>-7990734.5443271548</v>
      </c>
      <c r="F156" s="104">
        <v>-5925660.0744365305</v>
      </c>
      <c r="G156" s="104">
        <v>-14510988.365945652</v>
      </c>
      <c r="H156" s="104">
        <v>-11060710.943274289</v>
      </c>
      <c r="I156" s="104">
        <v>-6540490.9458072633</v>
      </c>
    </row>
    <row r="157" spans="2:9">
      <c r="B157" s="102">
        <v>150</v>
      </c>
      <c r="C157" s="104">
        <v>-2535963.2982914001</v>
      </c>
      <c r="D157" s="104">
        <v>-6341221.4162020981</v>
      </c>
      <c r="E157" s="104">
        <v>-1249973.4128497839</v>
      </c>
      <c r="F157" s="104">
        <v>-5759017.0068223625</v>
      </c>
      <c r="G157" s="104">
        <v>-7783618.3721766621</v>
      </c>
      <c r="H157" s="104">
        <v>-7184870.9494718909</v>
      </c>
      <c r="I157" s="104">
        <v>-12096187.269209832</v>
      </c>
    </row>
    <row r="158" spans="2:9">
      <c r="B158" s="102">
        <v>151</v>
      </c>
      <c r="C158" s="104">
        <v>98271.393198922276</v>
      </c>
      <c r="D158" s="104">
        <v>-14697096.903323069</v>
      </c>
      <c r="E158" s="104">
        <v>-2024845.1684010923</v>
      </c>
      <c r="F158" s="104">
        <v>1060651.1179296672</v>
      </c>
      <c r="G158" s="104">
        <v>-11951533.770995095</v>
      </c>
      <c r="H158" s="104">
        <v>-7540361.2852654159</v>
      </c>
      <c r="I158" s="104">
        <v>-12735384.630610242</v>
      </c>
    </row>
    <row r="159" spans="2:9">
      <c r="B159" s="102">
        <v>152</v>
      </c>
      <c r="C159" s="104">
        <v>2653339.2137357444</v>
      </c>
      <c r="D159" s="104">
        <v>-642327.64912970364</v>
      </c>
      <c r="E159" s="104">
        <v>-5336311.5711741596</v>
      </c>
      <c r="F159" s="104">
        <v>-8231808.3146276176</v>
      </c>
      <c r="G159" s="104">
        <v>-8128027.489042908</v>
      </c>
      <c r="H159" s="104">
        <v>-12093233.384820491</v>
      </c>
      <c r="I159" s="104">
        <v>-7718002.2295120507</v>
      </c>
    </row>
    <row r="160" spans="2:9">
      <c r="B160" s="102">
        <v>153</v>
      </c>
      <c r="C160" s="104">
        <v>-11984006.892643109</v>
      </c>
      <c r="D160" s="104">
        <v>3214365.7834712714</v>
      </c>
      <c r="E160" s="104">
        <v>1045723.7495560944</v>
      </c>
      <c r="F160" s="104">
        <v>-634499.22444440424</v>
      </c>
      <c r="G160" s="104">
        <v>-11460680.949874461</v>
      </c>
      <c r="H160" s="104">
        <v>-7095141.4028690159</v>
      </c>
      <c r="I160" s="104">
        <v>-23038359.782463193</v>
      </c>
    </row>
    <row r="161" spans="2:9">
      <c r="B161" s="102">
        <v>154</v>
      </c>
      <c r="C161" s="104">
        <v>3320342.8954155296</v>
      </c>
      <c r="D161" s="104">
        <v>-7952676.8813723922</v>
      </c>
      <c r="E161" s="104">
        <v>-7325013.9583887011</v>
      </c>
      <c r="F161" s="104">
        <v>-11059308.570650592</v>
      </c>
      <c r="G161" s="104">
        <v>-6091769.4916554838</v>
      </c>
      <c r="H161" s="104">
        <v>-15505215.981336504</v>
      </c>
      <c r="I161" s="104">
        <v>-14175871.310310081</v>
      </c>
    </row>
    <row r="162" spans="2:9">
      <c r="B162" s="102">
        <v>155</v>
      </c>
      <c r="C162" s="104">
        <v>-4549712.5631027073</v>
      </c>
      <c r="D162" s="104">
        <v>-4700424.8514837176</v>
      </c>
      <c r="E162" s="104">
        <v>-6355732.7860616148</v>
      </c>
      <c r="F162" s="104">
        <v>-2845884.8928553313</v>
      </c>
      <c r="G162" s="104">
        <v>-3835144.3624264151</v>
      </c>
      <c r="H162" s="104">
        <v>-8524421.2991055697</v>
      </c>
      <c r="I162" s="104">
        <v>-15607995.969673946</v>
      </c>
    </row>
    <row r="163" spans="2:9">
      <c r="B163" s="102">
        <v>156</v>
      </c>
      <c r="C163" s="104">
        <v>-282861.27917671204</v>
      </c>
      <c r="D163" s="104">
        <v>-6295552.9723172188</v>
      </c>
      <c r="E163" s="104">
        <v>-6055327.5999619663</v>
      </c>
      <c r="F163" s="104">
        <v>-2600938.3184854537</v>
      </c>
      <c r="G163" s="104">
        <v>-12040020.785876423</v>
      </c>
      <c r="H163" s="104">
        <v>-14796967.992186576</v>
      </c>
      <c r="I163" s="104">
        <v>-5012673.6038141847</v>
      </c>
    </row>
    <row r="164" spans="2:9">
      <c r="B164" s="102">
        <v>157</v>
      </c>
      <c r="C164" s="104">
        <v>4610701.2368278503</v>
      </c>
      <c r="D164" s="104">
        <v>2452427.0860593766</v>
      </c>
      <c r="E164" s="104">
        <v>5176091.7617302686</v>
      </c>
      <c r="F164" s="104">
        <v>-6701285.3095437139</v>
      </c>
      <c r="G164" s="104">
        <v>-4015671.3277053088</v>
      </c>
      <c r="H164" s="104">
        <v>-8039899.3333617896</v>
      </c>
      <c r="I164" s="104">
        <v>-22857100.496367544</v>
      </c>
    </row>
    <row r="165" spans="2:9">
      <c r="B165" s="102">
        <v>158</v>
      </c>
      <c r="C165" s="104">
        <v>-3840996.3862594962</v>
      </c>
      <c r="D165" s="104">
        <v>-4502738.0337008387</v>
      </c>
      <c r="E165" s="104">
        <v>-13588962.836817503</v>
      </c>
      <c r="F165" s="104">
        <v>3135426.38570638</v>
      </c>
      <c r="G165" s="104">
        <v>-19522704.749566346</v>
      </c>
      <c r="H165" s="104">
        <v>-10410040.829735026</v>
      </c>
      <c r="I165" s="104">
        <v>-11701931.794670001</v>
      </c>
    </row>
    <row r="166" spans="2:9">
      <c r="B166" s="102">
        <v>159</v>
      </c>
      <c r="C166" s="104">
        <v>-4247886.539055869</v>
      </c>
      <c r="D166" s="104">
        <v>-15248019.274432242</v>
      </c>
      <c r="E166" s="104">
        <v>-8706356.6292156279</v>
      </c>
      <c r="F166" s="104">
        <v>-8238077.5657341331</v>
      </c>
      <c r="G166" s="104">
        <v>-11038905.307261258</v>
      </c>
      <c r="H166" s="104">
        <v>-6101468.0295622647</v>
      </c>
      <c r="I166" s="104">
        <v>-13807306.230240852</v>
      </c>
    </row>
    <row r="167" spans="2:9">
      <c r="B167" s="102">
        <v>160</v>
      </c>
      <c r="C167" s="104">
        <v>-4989304.1888716221</v>
      </c>
      <c r="D167" s="104">
        <v>-11534546.772060126</v>
      </c>
      <c r="E167" s="104">
        <v>-2233999.6888801157</v>
      </c>
      <c r="F167" s="104">
        <v>-8334608.4918136299</v>
      </c>
      <c r="G167" s="104">
        <v>-11318182.964643672</v>
      </c>
      <c r="H167" s="104">
        <v>-14724299.819554433</v>
      </c>
      <c r="I167" s="104">
        <v>-18250218.53611052</v>
      </c>
    </row>
    <row r="168" spans="2:9">
      <c r="B168" s="102">
        <v>161</v>
      </c>
      <c r="C168" s="104">
        <v>-64361.204961270094</v>
      </c>
      <c r="D168" s="104">
        <v>5421672.3582442701</v>
      </c>
      <c r="E168" s="104">
        <v>-6808199.6099054068</v>
      </c>
      <c r="F168" s="104">
        <v>-7077938.7164431512</v>
      </c>
      <c r="G168" s="104">
        <v>-1845384.2852315009</v>
      </c>
      <c r="H168" s="104">
        <v>-11123116.508906662</v>
      </c>
      <c r="I168" s="104">
        <v>-14685382.724567398</v>
      </c>
    </row>
    <row r="169" spans="2:9">
      <c r="B169" s="102">
        <v>162</v>
      </c>
      <c r="C169" s="104">
        <v>6656388.6586034596</v>
      </c>
      <c r="D169" s="104">
        <v>-3663397.0188042074</v>
      </c>
      <c r="E169" s="104">
        <v>-2921905.3648193181</v>
      </c>
      <c r="F169" s="104">
        <v>-3634827.212148577</v>
      </c>
      <c r="G169" s="104">
        <v>-17737077.152434111</v>
      </c>
      <c r="H169" s="104">
        <v>-16708552.971960351</v>
      </c>
      <c r="I169" s="104">
        <v>-16296066.707835227</v>
      </c>
    </row>
    <row r="170" spans="2:9">
      <c r="B170" s="102">
        <v>163</v>
      </c>
      <c r="C170" s="104">
        <v>5249553.6289844215</v>
      </c>
      <c r="D170" s="104">
        <v>3793237.8016117066</v>
      </c>
      <c r="E170" s="104">
        <v>-6093467.8864441365</v>
      </c>
      <c r="F170" s="104">
        <v>-3008143.7323655486</v>
      </c>
      <c r="G170" s="104">
        <v>-6289769.0499939322</v>
      </c>
      <c r="H170" s="104">
        <v>-11151182.940502807</v>
      </c>
      <c r="I170" s="104">
        <v>-13094932.298918784</v>
      </c>
    </row>
    <row r="171" spans="2:9">
      <c r="B171" s="102">
        <v>164</v>
      </c>
      <c r="C171" s="104">
        <v>-2009337.5692642778</v>
      </c>
      <c r="D171" s="104">
        <v>1334038.0436942726</v>
      </c>
      <c r="E171" s="104">
        <v>-4138793.5951183885</v>
      </c>
      <c r="F171" s="104">
        <v>-11915535.034969524</v>
      </c>
      <c r="G171" s="104">
        <v>-12153643.300158501</v>
      </c>
      <c r="H171" s="104">
        <v>-14430993.44611764</v>
      </c>
      <c r="I171" s="104">
        <v>-20140266.592417061</v>
      </c>
    </row>
    <row r="172" spans="2:9">
      <c r="B172" s="102">
        <v>165</v>
      </c>
      <c r="C172" s="104">
        <v>-7741510.1516070664</v>
      </c>
      <c r="D172" s="104">
        <v>-230645.42835782468</v>
      </c>
      <c r="E172" s="104">
        <v>-7016924.0796333998</v>
      </c>
      <c r="F172" s="104">
        <v>-11380091.550959662</v>
      </c>
      <c r="G172" s="104">
        <v>-12869700.198616207</v>
      </c>
      <c r="H172" s="104">
        <v>-10918084.938746706</v>
      </c>
      <c r="I172" s="104">
        <v>-15497547.545764074</v>
      </c>
    </row>
    <row r="173" spans="2:9">
      <c r="B173" s="102">
        <v>166</v>
      </c>
      <c r="C173" s="104">
        <v>-5498036.0421866924</v>
      </c>
      <c r="D173" s="104">
        <v>-2932460.2503602505</v>
      </c>
      <c r="E173" s="104">
        <v>31281.559353470802</v>
      </c>
      <c r="F173" s="104">
        <v>1370961.5187710524</v>
      </c>
      <c r="G173" s="104">
        <v>-5693475.4705189019</v>
      </c>
      <c r="H173" s="104">
        <v>-10354570.739358932</v>
      </c>
      <c r="I173" s="104">
        <v>-11686027.408949897</v>
      </c>
    </row>
    <row r="174" spans="2:9">
      <c r="B174" s="102">
        <v>167</v>
      </c>
      <c r="C174" s="104">
        <v>4079353.7608541697</v>
      </c>
      <c r="D174" s="104">
        <v>-5689163.3184466511</v>
      </c>
      <c r="E174" s="104">
        <v>-5969664.0493673831</v>
      </c>
      <c r="F174" s="104">
        <v>-5485175.3872146904</v>
      </c>
      <c r="G174" s="104">
        <v>-15077302.375487491</v>
      </c>
      <c r="H174" s="104">
        <v>-18399066.777117044</v>
      </c>
      <c r="I174" s="104">
        <v>-15213500.967496261</v>
      </c>
    </row>
    <row r="175" spans="2:9">
      <c r="B175" s="102">
        <v>168</v>
      </c>
      <c r="C175" s="104">
        <v>1420375.6137850434</v>
      </c>
      <c r="D175" s="104">
        <v>-342097.80251522362</v>
      </c>
      <c r="E175" s="104">
        <v>-10357599.353835791</v>
      </c>
      <c r="F175" s="104">
        <v>-20150929.556977734</v>
      </c>
      <c r="G175" s="104">
        <v>-9649348.102802068</v>
      </c>
      <c r="H175" s="104">
        <v>-7920126.9010529965</v>
      </c>
      <c r="I175" s="104">
        <v>-9388923.3678600788</v>
      </c>
    </row>
    <row r="176" spans="2:9">
      <c r="B176" s="102">
        <v>169</v>
      </c>
      <c r="C176" s="104">
        <v>13976786.969038814</v>
      </c>
      <c r="D176" s="104">
        <v>12862162.857967541</v>
      </c>
      <c r="E176" s="104">
        <v>142551.76407968998</v>
      </c>
      <c r="F176" s="104">
        <v>-12991222.768042848</v>
      </c>
      <c r="G176" s="104">
        <v>-2153156.3675047755</v>
      </c>
      <c r="H176" s="104">
        <v>-9472176.8161018044</v>
      </c>
      <c r="I176" s="104">
        <v>-13300726.848723859</v>
      </c>
    </row>
    <row r="177" spans="2:9">
      <c r="B177" s="102">
        <v>170</v>
      </c>
      <c r="C177" s="104">
        <v>22718.492147356272</v>
      </c>
      <c r="D177" s="104">
        <v>-4395875.0721357465</v>
      </c>
      <c r="E177" s="104">
        <v>-3204402.2533638328</v>
      </c>
      <c r="F177" s="104">
        <v>-9704591.3997211158</v>
      </c>
      <c r="G177" s="104">
        <v>-8300774.8891440928</v>
      </c>
      <c r="H177" s="104">
        <v>-16375904.430688441</v>
      </c>
      <c r="I177" s="104">
        <v>-7110663.7867088318</v>
      </c>
    </row>
    <row r="178" spans="2:9">
      <c r="B178" s="102">
        <v>171</v>
      </c>
      <c r="C178" s="104">
        <v>862270.84876857698</v>
      </c>
      <c r="D178" s="104">
        <v>-10346247.219260335</v>
      </c>
      <c r="E178" s="104">
        <v>-3008345.7347661257</v>
      </c>
      <c r="F178" s="104">
        <v>-7836380.8328656852</v>
      </c>
      <c r="G178" s="104">
        <v>2517285.7121029496</v>
      </c>
      <c r="H178" s="104">
        <v>-6625463.1991825998</v>
      </c>
      <c r="I178" s="104">
        <v>-20251637.411116436</v>
      </c>
    </row>
    <row r="179" spans="2:9">
      <c r="B179" s="102">
        <v>172</v>
      </c>
      <c r="C179" s="104">
        <v>-5587356.155056864</v>
      </c>
      <c r="D179" s="104">
        <v>1199173.7602059841</v>
      </c>
      <c r="E179" s="104">
        <v>-4108336.1184478104</v>
      </c>
      <c r="F179" s="104">
        <v>-1016059.6721545011</v>
      </c>
      <c r="G179" s="104">
        <v>-14933769.944652855</v>
      </c>
      <c r="H179" s="104">
        <v>-5160594.3025913537</v>
      </c>
      <c r="I179" s="104">
        <v>-14649211.908621222</v>
      </c>
    </row>
    <row r="180" spans="2:9">
      <c r="B180" s="102">
        <v>173</v>
      </c>
      <c r="C180" s="104">
        <v>-5269704.1721034646</v>
      </c>
      <c r="D180" s="104">
        <v>-7185525.724179551</v>
      </c>
      <c r="E180" s="104">
        <v>-10733713.620814368</v>
      </c>
      <c r="F180" s="104">
        <v>-2599801.6406689584</v>
      </c>
      <c r="G180" s="104">
        <v>-7540626.7738159746</v>
      </c>
      <c r="H180" s="104">
        <v>-10075429.05005531</v>
      </c>
      <c r="I180" s="104">
        <v>-11729836.638235614</v>
      </c>
    </row>
    <row r="181" spans="2:9">
      <c r="B181" s="102">
        <v>174</v>
      </c>
      <c r="C181" s="104">
        <v>1841874.3484997302</v>
      </c>
      <c r="D181" s="104">
        <v>-7388099.7662203759</v>
      </c>
      <c r="E181" s="104">
        <v>-3729878.7049374431</v>
      </c>
      <c r="F181" s="104">
        <v>-8815208.4106583446</v>
      </c>
      <c r="G181" s="104">
        <v>-10966278.000332877</v>
      </c>
      <c r="H181" s="104">
        <v>-5799394.5581561774</v>
      </c>
      <c r="I181" s="104">
        <v>-10335638.66002658</v>
      </c>
    </row>
    <row r="182" spans="2:9">
      <c r="B182" s="102">
        <v>175</v>
      </c>
      <c r="C182" s="104">
        <v>-752208.09939976037</v>
      </c>
      <c r="D182" s="104">
        <v>-4250730.3472596407</v>
      </c>
      <c r="E182" s="104">
        <v>-14404151.972834572</v>
      </c>
      <c r="F182" s="104">
        <v>-6982351.282081604</v>
      </c>
      <c r="G182" s="104">
        <v>-7790881.5586007833</v>
      </c>
      <c r="H182" s="104">
        <v>-13165638.007739425</v>
      </c>
      <c r="I182" s="104">
        <v>-10928049.308282882</v>
      </c>
    </row>
    <row r="183" spans="2:9">
      <c r="B183" s="102">
        <v>176</v>
      </c>
      <c r="C183" s="104">
        <v>-6010168.9457812756</v>
      </c>
      <c r="D183" s="104">
        <v>-5293061.7121224552</v>
      </c>
      <c r="E183" s="104">
        <v>-1589807.9101618975</v>
      </c>
      <c r="F183" s="104">
        <v>-8137031.3488941342</v>
      </c>
      <c r="G183" s="104">
        <v>-10811250.384591252</v>
      </c>
      <c r="H183" s="104">
        <v>-10189974.579382315</v>
      </c>
      <c r="I183" s="104">
        <v>-20436344.157392859</v>
      </c>
    </row>
    <row r="184" spans="2:9">
      <c r="B184" s="102">
        <v>177</v>
      </c>
      <c r="C184" s="104">
        <v>-658793.4637593329</v>
      </c>
      <c r="D184" s="104">
        <v>-3601999.4105668217</v>
      </c>
      <c r="E184" s="104">
        <v>-5079286.6709991395</v>
      </c>
      <c r="F184" s="104">
        <v>-6231684.7466861457</v>
      </c>
      <c r="G184" s="104">
        <v>-11756080.048029959</v>
      </c>
      <c r="H184" s="104">
        <v>-4992407.2484634817</v>
      </c>
      <c r="I184" s="104">
        <v>-7096026.2001521587</v>
      </c>
    </row>
    <row r="185" spans="2:9">
      <c r="B185" s="102">
        <v>178</v>
      </c>
      <c r="C185" s="104">
        <v>-9898681.9977210462</v>
      </c>
      <c r="D185" s="104">
        <v>-1082891.7605225593</v>
      </c>
      <c r="E185" s="104">
        <v>-10734132.695435449</v>
      </c>
      <c r="F185" s="104">
        <v>-5107534.4247689247</v>
      </c>
      <c r="G185" s="104">
        <v>-17153099.037034288</v>
      </c>
      <c r="H185" s="104">
        <v>-8496473.0049539208</v>
      </c>
      <c r="I185" s="104">
        <v>-23532300.730402216</v>
      </c>
    </row>
    <row r="186" spans="2:9">
      <c r="B186" s="102">
        <v>179</v>
      </c>
      <c r="C186" s="104">
        <v>1479874.7424515188</v>
      </c>
      <c r="D186" s="104">
        <v>-2886246.0370301753</v>
      </c>
      <c r="E186" s="104">
        <v>1418181.8053121418</v>
      </c>
      <c r="F186" s="104">
        <v>-14857813.640879512</v>
      </c>
      <c r="G186" s="104">
        <v>-9366341.4906402379</v>
      </c>
      <c r="H186" s="104">
        <v>-10111139.202767745</v>
      </c>
      <c r="I186" s="104">
        <v>-5789386.3609273583</v>
      </c>
    </row>
    <row r="187" spans="2:9">
      <c r="B187" s="102">
        <v>180</v>
      </c>
      <c r="C187" s="104">
        <v>3260316.5416669399</v>
      </c>
      <c r="D187" s="104">
        <v>999766.65651369095</v>
      </c>
      <c r="E187" s="104">
        <v>-6669455.960136503</v>
      </c>
      <c r="F187" s="104">
        <v>-7308598.3649426848</v>
      </c>
      <c r="G187" s="104">
        <v>-14376905.444246307</v>
      </c>
      <c r="H187" s="104">
        <v>-11323649.370059133</v>
      </c>
      <c r="I187" s="104">
        <v>-22430535.59700492</v>
      </c>
    </row>
    <row r="188" spans="2:9">
      <c r="B188" s="102">
        <v>181</v>
      </c>
      <c r="C188" s="104">
        <v>4009805.7648698688</v>
      </c>
      <c r="D188" s="104">
        <v>-2975401.1891051233</v>
      </c>
      <c r="E188" s="104">
        <v>-4056026.0656620115</v>
      </c>
      <c r="F188" s="104">
        <v>-10018970.761766687</v>
      </c>
      <c r="G188" s="104">
        <v>-14820139.76603204</v>
      </c>
      <c r="H188" s="104">
        <v>-8599059.0659736395</v>
      </c>
      <c r="I188" s="104">
        <v>-8542739.3286741972</v>
      </c>
    </row>
    <row r="189" spans="2:9">
      <c r="B189" s="102">
        <v>182</v>
      </c>
      <c r="C189" s="104">
        <v>-2605271.3645200878</v>
      </c>
      <c r="D189" s="104">
        <v>-5485688.9386862814</v>
      </c>
      <c r="E189" s="104">
        <v>-6852982.9126601666</v>
      </c>
      <c r="F189" s="104">
        <v>-7128402.3787423074</v>
      </c>
      <c r="G189" s="104">
        <v>499133.74927414954</v>
      </c>
      <c r="H189" s="104">
        <v>-7548164.6586506218</v>
      </c>
      <c r="I189" s="104">
        <v>-5301552.2066955715</v>
      </c>
    </row>
    <row r="190" spans="2:9">
      <c r="B190" s="102">
        <v>183</v>
      </c>
      <c r="C190" s="104">
        <v>565395.88463407755</v>
      </c>
      <c r="D190" s="104">
        <v>-2223102.0301184803</v>
      </c>
      <c r="E190" s="104">
        <v>-12363395.360313624</v>
      </c>
      <c r="F190" s="104">
        <v>-5903138.3645020723</v>
      </c>
      <c r="G190" s="104">
        <v>-5801957.0761355013</v>
      </c>
      <c r="H190" s="104">
        <v>-6742210.1596451253</v>
      </c>
      <c r="I190" s="104">
        <v>-24449046.680519655</v>
      </c>
    </row>
    <row r="191" spans="2:9">
      <c r="B191" s="102">
        <v>184</v>
      </c>
      <c r="C191" s="104">
        <v>-6387543.184454307</v>
      </c>
      <c r="D191" s="104">
        <v>-3733012.43779172</v>
      </c>
      <c r="E191" s="104">
        <v>-1907337.5398037434</v>
      </c>
      <c r="F191" s="104">
        <v>-967067.09171681106</v>
      </c>
      <c r="G191" s="104">
        <v>-2919335.8647066504</v>
      </c>
      <c r="H191" s="104">
        <v>-6015512.6474436671</v>
      </c>
      <c r="I191" s="104">
        <v>-13808486.711423263</v>
      </c>
    </row>
    <row r="192" spans="2:9">
      <c r="B192" s="102">
        <v>185</v>
      </c>
      <c r="C192" s="104">
        <v>-4028232.492887944</v>
      </c>
      <c r="D192" s="104">
        <v>1125094.5040912032</v>
      </c>
      <c r="E192" s="104">
        <v>6087204.6025699675</v>
      </c>
      <c r="F192" s="104">
        <v>-12362994.31729506</v>
      </c>
      <c r="G192" s="104">
        <v>-17754982.207599163</v>
      </c>
      <c r="H192" s="104">
        <v>-16096756.158946395</v>
      </c>
      <c r="I192" s="104">
        <v>-27102868.862799957</v>
      </c>
    </row>
    <row r="193" spans="2:9">
      <c r="B193" s="102">
        <v>186</v>
      </c>
      <c r="C193" s="104">
        <v>-6361101.4018337727</v>
      </c>
      <c r="D193" s="104">
        <v>-2676771.321643576</v>
      </c>
      <c r="E193" s="104">
        <v>1677694.9568593055</v>
      </c>
      <c r="F193" s="104">
        <v>-16152242.115982175</v>
      </c>
      <c r="G193" s="104">
        <v>-12951501.946816921</v>
      </c>
      <c r="H193" s="104">
        <v>-7829808.3581353873</v>
      </c>
      <c r="I193" s="104">
        <v>-6665240.9384298325</v>
      </c>
    </row>
    <row r="194" spans="2:9">
      <c r="B194" s="102">
        <v>187</v>
      </c>
      <c r="C194" s="104">
        <v>2906921.7614085525</v>
      </c>
      <c r="D194" s="104">
        <v>686045.70519153774</v>
      </c>
      <c r="E194" s="104">
        <v>-8086092.4849058688</v>
      </c>
      <c r="F194" s="104">
        <v>-3883629.1394377649</v>
      </c>
      <c r="G194" s="104">
        <v>-9144035.7819838524</v>
      </c>
      <c r="H194" s="104">
        <v>-10239066.527238369</v>
      </c>
      <c r="I194" s="104">
        <v>-17020129.695134342</v>
      </c>
    </row>
    <row r="195" spans="2:9">
      <c r="B195" s="102">
        <v>188</v>
      </c>
      <c r="C195" s="104">
        <v>1696671.6037166119</v>
      </c>
      <c r="D195" s="104">
        <v>-4742600.7349380404</v>
      </c>
      <c r="E195" s="104">
        <v>-3198372.8070586175</v>
      </c>
      <c r="F195" s="104">
        <v>3769338.6892426908</v>
      </c>
      <c r="G195" s="104">
        <v>-14597241.967842132</v>
      </c>
      <c r="H195" s="104">
        <v>-9296839.5489258617</v>
      </c>
      <c r="I195" s="104">
        <v>-16016022.563489601</v>
      </c>
    </row>
    <row r="196" spans="2:9">
      <c r="B196" s="102">
        <v>189</v>
      </c>
      <c r="C196" s="104">
        <v>-886048.17772299051</v>
      </c>
      <c r="D196" s="104">
        <v>-3775754.6906266212</v>
      </c>
      <c r="E196" s="104">
        <v>-4709458.4428489655</v>
      </c>
      <c r="F196" s="104">
        <v>-8375334.7778079212</v>
      </c>
      <c r="G196" s="104">
        <v>-4663041.868115589</v>
      </c>
      <c r="H196" s="104">
        <v>-15158293.634775236</v>
      </c>
      <c r="I196" s="104">
        <v>-22604926.289858699</v>
      </c>
    </row>
    <row r="197" spans="2:9">
      <c r="B197" s="102">
        <v>190</v>
      </c>
      <c r="C197" s="104">
        <v>-75829.287511453032</v>
      </c>
      <c r="D197" s="104">
        <v>-411806.69540396333</v>
      </c>
      <c r="E197" s="104">
        <v>-7734726.0653996915</v>
      </c>
      <c r="F197" s="104">
        <v>-10956716.219945982</v>
      </c>
      <c r="G197" s="104">
        <v>-6204018.1080033928</v>
      </c>
      <c r="H197" s="104">
        <v>-8961173.353943333</v>
      </c>
      <c r="I197" s="104">
        <v>-12706843.307269022</v>
      </c>
    </row>
    <row r="198" spans="2:9">
      <c r="B198" s="102">
        <v>191</v>
      </c>
      <c r="C198" s="104">
        <v>5672216.8349950463</v>
      </c>
      <c r="D198" s="104">
        <v>-5432774.0339631438</v>
      </c>
      <c r="E198" s="104">
        <v>3787650.827849105</v>
      </c>
      <c r="F198" s="104">
        <v>-3405069.3590380996</v>
      </c>
      <c r="G198" s="104">
        <v>-16245824.443429798</v>
      </c>
      <c r="H198" s="104">
        <v>-9057008.116317451</v>
      </c>
      <c r="I198" s="104">
        <v>-18716288.198421344</v>
      </c>
    </row>
    <row r="199" spans="2:9">
      <c r="B199" s="102">
        <v>192</v>
      </c>
      <c r="C199" s="104">
        <v>-5244372.5663558841</v>
      </c>
      <c r="D199" s="104">
        <v>-1143011.611789912</v>
      </c>
      <c r="E199" s="104">
        <v>-4922133.931904912</v>
      </c>
      <c r="F199" s="104">
        <v>-15066927.53371948</v>
      </c>
      <c r="G199" s="104">
        <v>-1258102.9659381509</v>
      </c>
      <c r="H199" s="104">
        <v>-8839298.1544944048</v>
      </c>
      <c r="I199" s="104">
        <v>-11510630.583706692</v>
      </c>
    </row>
    <row r="200" spans="2:9">
      <c r="B200" s="102">
        <v>193</v>
      </c>
      <c r="C200" s="104">
        <v>-4336505.019613713</v>
      </c>
      <c r="D200" s="104">
        <v>-16149150.535109088</v>
      </c>
      <c r="E200" s="104">
        <v>2653340.3832422644</v>
      </c>
      <c r="F200" s="104">
        <v>-17130830.873642325</v>
      </c>
      <c r="G200" s="104">
        <v>-5931115.866980955</v>
      </c>
      <c r="H200" s="104">
        <v>-16357937.289903715</v>
      </c>
      <c r="I200" s="104">
        <v>-23150453.807384998</v>
      </c>
    </row>
    <row r="201" spans="2:9">
      <c r="B201" s="102">
        <v>194</v>
      </c>
      <c r="C201" s="104">
        <v>6060325.2924425304</v>
      </c>
      <c r="D201" s="104">
        <v>-7533253.8989820778</v>
      </c>
      <c r="E201" s="104">
        <v>2586611.2992767692</v>
      </c>
      <c r="F201" s="104">
        <v>-13015633.838076726</v>
      </c>
      <c r="G201" s="104">
        <v>-11299754.215706632</v>
      </c>
      <c r="H201" s="104">
        <v>-22719730.791129649</v>
      </c>
      <c r="I201" s="104">
        <v>-13848485.874901131</v>
      </c>
    </row>
    <row r="202" spans="2:9">
      <c r="B202" s="102">
        <v>195</v>
      </c>
      <c r="C202" s="104">
        <v>3078718.8634520918</v>
      </c>
      <c r="D202" s="104">
        <v>-4047293.65433532</v>
      </c>
      <c r="E202" s="104">
        <v>-7613560.107627362</v>
      </c>
      <c r="F202" s="104">
        <v>2873773.6942149252</v>
      </c>
      <c r="G202" s="104">
        <v>-7069581.1792039871</v>
      </c>
      <c r="H202" s="104">
        <v>-3478270.9836051464</v>
      </c>
      <c r="I202" s="104">
        <v>-11099631.056485385</v>
      </c>
    </row>
    <row r="203" spans="2:9">
      <c r="B203" s="102">
        <v>196</v>
      </c>
      <c r="C203" s="104">
        <v>-419968.23859864473</v>
      </c>
      <c r="D203" s="104">
        <v>-8422985.7322788388</v>
      </c>
      <c r="E203" s="104">
        <v>-6191534.6384004802</v>
      </c>
      <c r="F203" s="104">
        <v>-8936886.3522132188</v>
      </c>
      <c r="G203" s="104">
        <v>16423.932611018419</v>
      </c>
      <c r="H203" s="104">
        <v>-11325491.511511445</v>
      </c>
      <c r="I203" s="104">
        <v>-11754552.862089068</v>
      </c>
    </row>
    <row r="204" spans="2:9">
      <c r="B204" s="102">
        <v>197</v>
      </c>
      <c r="C204" s="104">
        <v>-3761041.6824805588</v>
      </c>
      <c r="D204" s="104">
        <v>-14814458.231192753</v>
      </c>
      <c r="E204" s="104">
        <v>3337334.7152808011</v>
      </c>
      <c r="F204" s="104">
        <v>-2975179.3914428502</v>
      </c>
      <c r="G204" s="104">
        <v>-13432688.295139119</v>
      </c>
      <c r="H204" s="104">
        <v>-15200064.598793685</v>
      </c>
      <c r="I204" s="104">
        <v>-21748429.506226659</v>
      </c>
    </row>
    <row r="205" spans="2:9">
      <c r="B205" s="102">
        <v>198</v>
      </c>
      <c r="C205" s="104">
        <v>-8062746.1328570694</v>
      </c>
      <c r="D205" s="104">
        <v>-12833023.925231293</v>
      </c>
      <c r="E205" s="104">
        <v>-3611084.0603663623</v>
      </c>
      <c r="F205" s="104">
        <v>-8382979.7621496618</v>
      </c>
      <c r="G205" s="104">
        <v>-17391697.70264715</v>
      </c>
      <c r="H205" s="104">
        <v>-5038587.6640565544</v>
      </c>
      <c r="I205" s="104">
        <v>-17174751.400137022</v>
      </c>
    </row>
    <row r="206" spans="2:9">
      <c r="B206" s="102">
        <v>199</v>
      </c>
      <c r="C206" s="104">
        <v>8900441.9681989104</v>
      </c>
      <c r="D206" s="104">
        <v>-7533.2924170792103</v>
      </c>
      <c r="E206" s="104">
        <v>-4410569.5221887082</v>
      </c>
      <c r="F206" s="104">
        <v>-17228292.668295652</v>
      </c>
      <c r="G206" s="104">
        <v>-11076813.103722736</v>
      </c>
      <c r="H206" s="104">
        <v>-15872256.554234967</v>
      </c>
      <c r="I206" s="104">
        <v>-9665694.3231578469</v>
      </c>
    </row>
    <row r="207" spans="2:9">
      <c r="B207" s="102">
        <v>200</v>
      </c>
      <c r="C207" s="104">
        <v>10992643.505386442</v>
      </c>
      <c r="D207" s="104">
        <v>-6310871.7914530337</v>
      </c>
      <c r="E207" s="104">
        <v>-9605589.1312825531</v>
      </c>
      <c r="F207" s="104">
        <v>-8080854.10182105</v>
      </c>
      <c r="G207" s="104">
        <v>-7035338.1489199996</v>
      </c>
      <c r="H207" s="104">
        <v>-15719909.687673375</v>
      </c>
      <c r="I207" s="104">
        <v>-16428245.511112139</v>
      </c>
    </row>
  </sheetData>
  <mergeCells count="1">
    <mergeCell ref="C5:I5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675DE-B5A6-3748-B365-9FD0B88184C5}">
  <sheetPr codeName="Arkusz34">
    <tabColor theme="0" tint="-0.499984740745262"/>
  </sheetPr>
  <dimension ref="A3:I207"/>
  <sheetViews>
    <sheetView workbookViewId="0">
      <selection activeCell="E29" sqref="E29"/>
    </sheetView>
  </sheetViews>
  <sheetFormatPr defaultColWidth="10.77734375" defaultRowHeight="13.2"/>
  <cols>
    <col min="1" max="1" width="10.77734375" style="33"/>
    <col min="2" max="9" width="14.6640625" style="33" customWidth="1"/>
    <col min="10" max="16384" width="10.77734375" style="33"/>
  </cols>
  <sheetData>
    <row r="3" spans="1:9">
      <c r="B3" s="70" t="s">
        <v>121</v>
      </c>
      <c r="C3" s="94">
        <f>AVERAGE(C8:C207)</f>
        <v>-9288682.5688003693</v>
      </c>
      <c r="D3" s="94">
        <f t="shared" ref="D3:I3" si="0">AVERAGE(D8:D207)</f>
        <v>-11580353.340095954</v>
      </c>
      <c r="E3" s="94">
        <f t="shared" si="0"/>
        <v>-13068324.251849122</v>
      </c>
      <c r="F3" s="94">
        <f t="shared" si="0"/>
        <v>-15496539.00732789</v>
      </c>
      <c r="G3" s="94">
        <f t="shared" si="0"/>
        <v>-17705383.53754364</v>
      </c>
      <c r="H3" s="94">
        <f t="shared" si="0"/>
        <v>-19962427.533461895</v>
      </c>
      <c r="I3" s="94">
        <f t="shared" si="0"/>
        <v>-22628625.753107503</v>
      </c>
    </row>
    <row r="5" spans="1:9" ht="15.6">
      <c r="C5" s="205" t="s">
        <v>133</v>
      </c>
      <c r="D5" s="205"/>
      <c r="E5" s="205"/>
      <c r="F5" s="205"/>
      <c r="G5" s="205"/>
      <c r="H5" s="205"/>
      <c r="I5" s="205"/>
    </row>
    <row r="6" spans="1:9">
      <c r="B6" s="101" t="s">
        <v>10</v>
      </c>
      <c r="C6" s="103">
        <v>-0.15</v>
      </c>
      <c r="D6" s="103">
        <v>-0.1</v>
      </c>
      <c r="E6" s="103">
        <v>-0.05</v>
      </c>
      <c r="F6" s="103">
        <v>0</v>
      </c>
      <c r="G6" s="103">
        <v>0.05</v>
      </c>
      <c r="H6" s="103">
        <v>0.1</v>
      </c>
      <c r="I6" s="103">
        <v>0.15</v>
      </c>
    </row>
    <row r="7" spans="1:9">
      <c r="A7" s="70" t="s">
        <v>134</v>
      </c>
      <c r="B7" s="105">
        <v>-9309028.9433150291</v>
      </c>
      <c r="C7" s="106">
        <v>36341606.868500002</v>
      </c>
      <c r="D7" s="106">
        <v>38479348.449000001</v>
      </c>
      <c r="E7" s="106">
        <v>40617090.0295</v>
      </c>
      <c r="F7" s="106">
        <v>42754831.609999999</v>
      </c>
      <c r="G7" s="106">
        <v>44892573.190499999</v>
      </c>
      <c r="H7" s="106">
        <v>47030314.771000005</v>
      </c>
      <c r="I7" s="106">
        <v>49168056.351499997</v>
      </c>
    </row>
    <row r="8" spans="1:9">
      <c r="B8" s="102">
        <v>1</v>
      </c>
      <c r="C8" s="104">
        <v>-8714940.1494868249</v>
      </c>
      <c r="D8" s="104">
        <v>-11131290.991072103</v>
      </c>
      <c r="E8" s="104">
        <v>-16286071.247080415</v>
      </c>
      <c r="F8" s="104">
        <v>-16900813.42738831</v>
      </c>
      <c r="G8" s="104">
        <v>-12421306.662748262</v>
      </c>
      <c r="H8" s="104">
        <v>-16930696.387275815</v>
      </c>
      <c r="I8" s="104">
        <v>-17953033.082704842</v>
      </c>
    </row>
    <row r="9" spans="1:9">
      <c r="B9" s="102">
        <v>2</v>
      </c>
      <c r="C9" s="104">
        <v>-5042899.8440154046</v>
      </c>
      <c r="D9" s="104">
        <v>-14131173.356943876</v>
      </c>
      <c r="E9" s="104">
        <v>-12246594.734593451</v>
      </c>
      <c r="F9" s="104">
        <v>-11722618.265507087</v>
      </c>
      <c r="G9" s="104">
        <v>-15029783.069831386</v>
      </c>
      <c r="H9" s="104">
        <v>-16803275.419165492</v>
      </c>
      <c r="I9" s="104">
        <v>-22833020.891782999</v>
      </c>
    </row>
    <row r="10" spans="1:9">
      <c r="B10" s="102">
        <v>3</v>
      </c>
      <c r="C10" s="104">
        <v>-18294792.969489902</v>
      </c>
      <c r="D10" s="104">
        <v>-17785495.085919484</v>
      </c>
      <c r="E10" s="104">
        <v>-14891158.020718962</v>
      </c>
      <c r="F10" s="104">
        <v>-28751079.25306423</v>
      </c>
      <c r="G10" s="104">
        <v>-22395021.091757759</v>
      </c>
      <c r="H10" s="104">
        <v>-19820388.215328559</v>
      </c>
      <c r="I10" s="104">
        <v>-24094324.471930251</v>
      </c>
    </row>
    <row r="11" spans="1:9">
      <c r="B11" s="102">
        <v>4</v>
      </c>
      <c r="C11" s="104">
        <v>-13158910.643699884</v>
      </c>
      <c r="D11" s="104">
        <v>-11721177.144108787</v>
      </c>
      <c r="E11" s="104">
        <v>-13933460.868371427</v>
      </c>
      <c r="F11" s="104">
        <v>-15465961.784613907</v>
      </c>
      <c r="G11" s="104">
        <v>-19534710.588849843</v>
      </c>
      <c r="H11" s="104">
        <v>-21507768.849257782</v>
      </c>
      <c r="I11" s="104">
        <v>-17725875.013698637</v>
      </c>
    </row>
    <row r="12" spans="1:9">
      <c r="B12" s="102">
        <v>5</v>
      </c>
      <c r="C12" s="104">
        <v>-7510624.2162296623</v>
      </c>
      <c r="D12" s="104">
        <v>-12320125.550123602</v>
      </c>
      <c r="E12" s="104">
        <v>-12495896.296267822</v>
      </c>
      <c r="F12" s="104">
        <v>-7544653.1083500981</v>
      </c>
      <c r="G12" s="104">
        <v>-18575605.73541452</v>
      </c>
      <c r="H12" s="104">
        <v>-29523379.241791233</v>
      </c>
      <c r="I12" s="104">
        <v>-28153524.292012155</v>
      </c>
    </row>
    <row r="13" spans="1:9">
      <c r="B13" s="102">
        <v>6</v>
      </c>
      <c r="C13" s="104">
        <v>-9127722.8249320388</v>
      </c>
      <c r="D13" s="104">
        <v>-17848558.216193944</v>
      </c>
      <c r="E13" s="104">
        <v>-16909185.032714188</v>
      </c>
      <c r="F13" s="104">
        <v>-9309866.1195695102</v>
      </c>
      <c r="G13" s="104">
        <v>-22358824.683755249</v>
      </c>
      <c r="H13" s="104">
        <v>-18720593.138868868</v>
      </c>
      <c r="I13" s="104">
        <v>-16870535.385609016</v>
      </c>
    </row>
    <row r="14" spans="1:9">
      <c r="B14" s="102">
        <v>7</v>
      </c>
      <c r="C14" s="104">
        <v>-8709039.0785297751</v>
      </c>
      <c r="D14" s="104">
        <v>-8519205.5482339263</v>
      </c>
      <c r="E14" s="104">
        <v>-5710207.0180962384</v>
      </c>
      <c r="F14" s="104">
        <v>-21312066.089772135</v>
      </c>
      <c r="G14" s="104">
        <v>-11375339.727275789</v>
      </c>
      <c r="H14" s="104">
        <v>-29410986.076109737</v>
      </c>
      <c r="I14" s="104">
        <v>-13463663.638615385</v>
      </c>
    </row>
    <row r="15" spans="1:9">
      <c r="B15" s="102">
        <v>8</v>
      </c>
      <c r="C15" s="104">
        <v>-8842389.6205722988</v>
      </c>
      <c r="D15" s="104">
        <v>-17006487.944721073</v>
      </c>
      <c r="E15" s="104">
        <v>-8748808.4860896617</v>
      </c>
      <c r="F15" s="104">
        <v>-13693020.961879715</v>
      </c>
      <c r="G15" s="104">
        <v>-15698664.155851036</v>
      </c>
      <c r="H15" s="104">
        <v>-17195772.746341258</v>
      </c>
      <c r="I15" s="104">
        <v>-27496627.101757482</v>
      </c>
    </row>
    <row r="16" spans="1:9">
      <c r="B16" s="102">
        <v>9</v>
      </c>
      <c r="C16" s="104">
        <v>-8499984.4092035145</v>
      </c>
      <c r="D16" s="104">
        <v>-4424708.9321007431</v>
      </c>
      <c r="E16" s="104">
        <v>-14344324.175602064</v>
      </c>
      <c r="F16" s="104">
        <v>-9069944.0875615478</v>
      </c>
      <c r="G16" s="104">
        <v>-19812965.590656012</v>
      </c>
      <c r="H16" s="104">
        <v>-19490342.923636988</v>
      </c>
      <c r="I16" s="104">
        <v>-18917912.294256777</v>
      </c>
    </row>
    <row r="17" spans="2:9">
      <c r="B17" s="102">
        <v>10</v>
      </c>
      <c r="C17" s="104">
        <v>-9209044.1947591454</v>
      </c>
      <c r="D17" s="104">
        <v>-10898866.265261546</v>
      </c>
      <c r="E17" s="104">
        <v>-12565539.655376807</v>
      </c>
      <c r="F17" s="104">
        <v>-23501555.902037218</v>
      </c>
      <c r="G17" s="104">
        <v>-21050207.142860457</v>
      </c>
      <c r="H17" s="104">
        <v>-19295856.716551021</v>
      </c>
      <c r="I17" s="104">
        <v>-27670765.087620005</v>
      </c>
    </row>
    <row r="18" spans="2:9">
      <c r="B18" s="102">
        <v>11</v>
      </c>
      <c r="C18" s="104">
        <v>-9492634.6011909395</v>
      </c>
      <c r="D18" s="104">
        <v>-5805646.133395806</v>
      </c>
      <c r="E18" s="104">
        <v>-14156482.763681933</v>
      </c>
      <c r="F18" s="104">
        <v>-11197195.70127818</v>
      </c>
      <c r="G18" s="104">
        <v>-16685177.50371784</v>
      </c>
      <c r="H18" s="104">
        <v>-16800792.052216098</v>
      </c>
      <c r="I18" s="104">
        <v>-14919832.333720431</v>
      </c>
    </row>
    <row r="19" spans="2:9">
      <c r="B19" s="102">
        <v>12</v>
      </c>
      <c r="C19" s="104">
        <v>1429407.0472978801</v>
      </c>
      <c r="D19" s="104">
        <v>-6132227.4436931014</v>
      </c>
      <c r="E19" s="104">
        <v>-17594812.249604613</v>
      </c>
      <c r="F19" s="104">
        <v>-24480073.818719193</v>
      </c>
      <c r="G19" s="104">
        <v>-14524652.99759683</v>
      </c>
      <c r="H19" s="104">
        <v>-14604557.189343825</v>
      </c>
      <c r="I19" s="104">
        <v>-24174482.347868443</v>
      </c>
    </row>
    <row r="20" spans="2:9">
      <c r="B20" s="102">
        <v>13</v>
      </c>
      <c r="C20" s="104">
        <v>-6544329.8236362487</v>
      </c>
      <c r="D20" s="104">
        <v>-10988841.986859947</v>
      </c>
      <c r="E20" s="104">
        <v>-12373715.614633799</v>
      </c>
      <c r="F20" s="104">
        <v>-18415020.841231316</v>
      </c>
      <c r="G20" s="104">
        <v>-14498167.643174171</v>
      </c>
      <c r="H20" s="104">
        <v>-22159556.674266875</v>
      </c>
      <c r="I20" s="104">
        <v>-24818872.079339594</v>
      </c>
    </row>
    <row r="21" spans="2:9">
      <c r="B21" s="102">
        <v>14</v>
      </c>
      <c r="C21" s="104">
        <v>-120119.20894947648</v>
      </c>
      <c r="D21" s="104">
        <v>-13262271.581770539</v>
      </c>
      <c r="E21" s="104">
        <v>-14382724.290685773</v>
      </c>
      <c r="F21" s="104">
        <v>-8093048.9803846776</v>
      </c>
      <c r="G21" s="104">
        <v>-24939597.395971239</v>
      </c>
      <c r="H21" s="104">
        <v>-25925726.236821756</v>
      </c>
      <c r="I21" s="104">
        <v>-24999957.859056175</v>
      </c>
    </row>
    <row r="22" spans="2:9">
      <c r="B22" s="102">
        <v>15</v>
      </c>
      <c r="C22" s="104">
        <v>-5400244.1047528535</v>
      </c>
      <c r="D22" s="104">
        <v>-16473795.104143068</v>
      </c>
      <c r="E22" s="104">
        <v>-8492048.9145737886</v>
      </c>
      <c r="F22" s="104">
        <v>-9978155.6247662157</v>
      </c>
      <c r="G22" s="104">
        <v>-18376008.4114407</v>
      </c>
      <c r="H22" s="104">
        <v>-22062229.613761619</v>
      </c>
      <c r="I22" s="104">
        <v>-32571923.082288668</v>
      </c>
    </row>
    <row r="23" spans="2:9">
      <c r="B23" s="102">
        <v>16</v>
      </c>
      <c r="C23" s="104">
        <v>-8159646.7117973119</v>
      </c>
      <c r="D23" s="104">
        <v>-18434153.144599974</v>
      </c>
      <c r="E23" s="104">
        <v>-13229592.91164121</v>
      </c>
      <c r="F23" s="104">
        <v>-22833652.308684498</v>
      </c>
      <c r="G23" s="104">
        <v>-10515628.699157432</v>
      </c>
      <c r="H23" s="104">
        <v>-24811907.470515996</v>
      </c>
      <c r="I23" s="104">
        <v>-35380104.473616362</v>
      </c>
    </row>
    <row r="24" spans="2:9">
      <c r="B24" s="102">
        <v>17</v>
      </c>
      <c r="C24" s="104">
        <v>-5412505.7666468322</v>
      </c>
      <c r="D24" s="104">
        <v>-11385790.821839094</v>
      </c>
      <c r="E24" s="104">
        <v>-4866248.3301141262</v>
      </c>
      <c r="F24" s="104">
        <v>-14770306.207295001</v>
      </c>
      <c r="G24" s="104">
        <v>-27840513.933240741</v>
      </c>
      <c r="H24" s="104">
        <v>-20329267.798101068</v>
      </c>
      <c r="I24" s="104">
        <v>-22339223.484249294</v>
      </c>
    </row>
    <row r="25" spans="2:9">
      <c r="B25" s="102">
        <v>18</v>
      </c>
      <c r="C25" s="104">
        <v>-10337381.266984478</v>
      </c>
      <c r="D25" s="104">
        <v>-11798671.708867192</v>
      </c>
      <c r="E25" s="104">
        <v>-13050832.373897061</v>
      </c>
      <c r="F25" s="104">
        <v>-13331587.084228829</v>
      </c>
      <c r="G25" s="104">
        <v>-19376485.694983348</v>
      </c>
      <c r="H25" s="104">
        <v>-19327004.860115796</v>
      </c>
      <c r="I25" s="104">
        <v>-14613220.753639817</v>
      </c>
    </row>
    <row r="26" spans="2:9">
      <c r="B26" s="102">
        <v>19</v>
      </c>
      <c r="C26" s="104">
        <v>-6944035.6028967649</v>
      </c>
      <c r="D26" s="104">
        <v>-18295759.878635928</v>
      </c>
      <c r="E26" s="104">
        <v>-15957972.456626907</v>
      </c>
      <c r="F26" s="104">
        <v>-16238784.970205516</v>
      </c>
      <c r="G26" s="104">
        <v>-23681605.061683536</v>
      </c>
      <c r="H26" s="104">
        <v>-12674098.555080295</v>
      </c>
      <c r="I26" s="104">
        <v>-24334664.695436627</v>
      </c>
    </row>
    <row r="27" spans="2:9">
      <c r="B27" s="102">
        <v>20</v>
      </c>
      <c r="C27" s="104">
        <v>-6142101.4159020633</v>
      </c>
      <c r="D27" s="104">
        <v>-6867707.5571706891</v>
      </c>
      <c r="E27" s="104">
        <v>-9961904.3043370694</v>
      </c>
      <c r="F27" s="104">
        <v>-16227734.365256026</v>
      </c>
      <c r="G27" s="104">
        <v>-21103277.549367636</v>
      </c>
      <c r="H27" s="104">
        <v>-22974848.784333676</v>
      </c>
      <c r="I27" s="104">
        <v>-27109495.065664068</v>
      </c>
    </row>
    <row r="28" spans="2:9">
      <c r="B28" s="102">
        <v>21</v>
      </c>
      <c r="C28" s="104">
        <v>-6845993.2787768543</v>
      </c>
      <c r="D28" s="104">
        <v>-14687263.459233791</v>
      </c>
      <c r="E28" s="104">
        <v>-22265088.680931911</v>
      </c>
      <c r="F28" s="104">
        <v>-16492502.736563161</v>
      </c>
      <c r="G28" s="104">
        <v>-11862776.756122112</v>
      </c>
      <c r="H28" s="104">
        <v>-20108014.838517293</v>
      </c>
      <c r="I28" s="104">
        <v>-21057083.001598239</v>
      </c>
    </row>
    <row r="29" spans="2:9">
      <c r="B29" s="102">
        <v>22</v>
      </c>
      <c r="C29" s="104">
        <v>-7042303.9093951583</v>
      </c>
      <c r="D29" s="104">
        <v>-17600250.348120168</v>
      </c>
      <c r="E29" s="104">
        <v>-15464877.943003267</v>
      </c>
      <c r="F29" s="104">
        <v>-22263885.239169881</v>
      </c>
      <c r="G29" s="104">
        <v>-8970041.2581574619</v>
      </c>
      <c r="H29" s="104">
        <v>-20765753.27298677</v>
      </c>
      <c r="I29" s="104">
        <v>-33062673.725469381</v>
      </c>
    </row>
    <row r="30" spans="2:9">
      <c r="B30" s="102">
        <v>23</v>
      </c>
      <c r="C30" s="104">
        <v>-14287356.263268307</v>
      </c>
      <c r="D30" s="104">
        <v>-8561780.2913572043</v>
      </c>
      <c r="E30" s="104">
        <v>-11102509.33251445</v>
      </c>
      <c r="F30" s="104">
        <v>-10843457.744543537</v>
      </c>
      <c r="G30" s="104">
        <v>-14139531.201918945</v>
      </c>
      <c r="H30" s="104">
        <v>-22814141.028990537</v>
      </c>
      <c r="I30" s="104">
        <v>-18793250.74955675</v>
      </c>
    </row>
    <row r="31" spans="2:9">
      <c r="B31" s="102">
        <v>24</v>
      </c>
      <c r="C31" s="104">
        <v>-8175013.6077462733</v>
      </c>
      <c r="D31" s="104">
        <v>-8520979.9357808232</v>
      </c>
      <c r="E31" s="104">
        <v>-17254079.156581864</v>
      </c>
      <c r="F31" s="104">
        <v>-14959764.737796813</v>
      </c>
      <c r="G31" s="104">
        <v>-14568026.896313354</v>
      </c>
      <c r="H31" s="104">
        <v>-15976985.38556689</v>
      </c>
      <c r="I31" s="104">
        <v>-19119502.314084679</v>
      </c>
    </row>
    <row r="32" spans="2:9">
      <c r="B32" s="102">
        <v>25</v>
      </c>
      <c r="C32" s="104">
        <v>-10443925.288707331</v>
      </c>
      <c r="D32" s="104">
        <v>-15469367.528693542</v>
      </c>
      <c r="E32" s="104">
        <v>-19341708.507900968</v>
      </c>
      <c r="F32" s="104">
        <v>-14290413.493710518</v>
      </c>
      <c r="G32" s="104">
        <v>-13989390.960654557</v>
      </c>
      <c r="H32" s="104">
        <v>-22882375.538502723</v>
      </c>
      <c r="I32" s="104">
        <v>-26440358.523350388</v>
      </c>
    </row>
    <row r="33" spans="2:9">
      <c r="B33" s="102">
        <v>26</v>
      </c>
      <c r="C33" s="104">
        <v>-10306511.187069044</v>
      </c>
      <c r="D33" s="104">
        <v>-9558306.6195969731</v>
      </c>
      <c r="E33" s="104">
        <v>-19423769.501161501</v>
      </c>
      <c r="F33" s="104">
        <v>-15525573.426763982</v>
      </c>
      <c r="G33" s="104">
        <v>-21066310.527768508</v>
      </c>
      <c r="H33" s="104">
        <v>-18264045.647364005</v>
      </c>
      <c r="I33" s="104">
        <v>-28936432.271346688</v>
      </c>
    </row>
    <row r="34" spans="2:9">
      <c r="B34" s="102">
        <v>27</v>
      </c>
      <c r="C34" s="104">
        <v>-17158240.214177996</v>
      </c>
      <c r="D34" s="104">
        <v>-4012265.7264814824</v>
      </c>
      <c r="E34" s="104">
        <v>-18654155.114579439</v>
      </c>
      <c r="F34" s="104">
        <v>-16875190.269831255</v>
      </c>
      <c r="G34" s="104">
        <v>-23155880.36518161</v>
      </c>
      <c r="H34" s="104">
        <v>-18296879.628121644</v>
      </c>
      <c r="I34" s="104">
        <v>-29431530.84049879</v>
      </c>
    </row>
    <row r="35" spans="2:9">
      <c r="B35" s="102">
        <v>28</v>
      </c>
      <c r="C35" s="104">
        <v>-17778683.744643465</v>
      </c>
      <c r="D35" s="104">
        <v>-12235914.281827003</v>
      </c>
      <c r="E35" s="104">
        <v>-14125484.137255564</v>
      </c>
      <c r="F35" s="104">
        <v>-15124498.514168546</v>
      </c>
      <c r="G35" s="104">
        <v>-24297771.63741836</v>
      </c>
      <c r="H35" s="104">
        <v>-24567514.978007317</v>
      </c>
      <c r="I35" s="104">
        <v>-23917406.349307895</v>
      </c>
    </row>
    <row r="36" spans="2:9">
      <c r="B36" s="102">
        <v>29</v>
      </c>
      <c r="C36" s="104">
        <v>-5389056.414961338</v>
      </c>
      <c r="D36" s="104">
        <v>-17708324.5683617</v>
      </c>
      <c r="E36" s="104">
        <v>-9062213.0347621292</v>
      </c>
      <c r="F36" s="104">
        <v>-14442066.626809686</v>
      </c>
      <c r="G36" s="104">
        <v>-17737920.017830238</v>
      </c>
      <c r="H36" s="104">
        <v>-26346542.112127081</v>
      </c>
      <c r="I36" s="104">
        <v>-23415595.735204667</v>
      </c>
    </row>
    <row r="37" spans="2:9">
      <c r="B37" s="102">
        <v>30</v>
      </c>
      <c r="C37" s="104">
        <v>-14531188.636236176</v>
      </c>
      <c r="D37" s="104">
        <v>-11850518.774471566</v>
      </c>
      <c r="E37" s="104">
        <v>-13483632.638019517</v>
      </c>
      <c r="F37" s="104">
        <v>-20186091.572690547</v>
      </c>
      <c r="G37" s="104">
        <v>-19544092.911887616</v>
      </c>
      <c r="H37" s="104">
        <v>-22453453.755709663</v>
      </c>
      <c r="I37" s="104">
        <v>-17601384.47391887</v>
      </c>
    </row>
    <row r="38" spans="2:9">
      <c r="B38" s="102">
        <v>31</v>
      </c>
      <c r="C38" s="104">
        <v>-9862761.9762098193</v>
      </c>
      <c r="D38" s="104">
        <v>-11546761.813309357</v>
      </c>
      <c r="E38" s="104">
        <v>-17409331.199493587</v>
      </c>
      <c r="F38" s="104">
        <v>-20449614.325735599</v>
      </c>
      <c r="G38" s="104">
        <v>-17256570.80858098</v>
      </c>
      <c r="H38" s="104">
        <v>-17590700.209348708</v>
      </c>
      <c r="I38" s="104">
        <v>-18777227.68047756</v>
      </c>
    </row>
    <row r="39" spans="2:9">
      <c r="B39" s="102">
        <v>32</v>
      </c>
      <c r="C39" s="104">
        <v>-11817621.004711747</v>
      </c>
      <c r="D39" s="104">
        <v>-13231504.389859796</v>
      </c>
      <c r="E39" s="104">
        <v>-4556220.1612932682</v>
      </c>
      <c r="F39" s="104">
        <v>-17750232.523323193</v>
      </c>
      <c r="G39" s="104">
        <v>-20048706.858624771</v>
      </c>
      <c r="H39" s="104">
        <v>-20137760.347019017</v>
      </c>
      <c r="I39" s="104">
        <v>-24005218.406143934</v>
      </c>
    </row>
    <row r="40" spans="2:9">
      <c r="B40" s="102">
        <v>33</v>
      </c>
      <c r="C40" s="104">
        <v>-6735707.9816294163</v>
      </c>
      <c r="D40" s="104">
        <v>-15023966.913770854</v>
      </c>
      <c r="E40" s="104">
        <v>-12507138.119127631</v>
      </c>
      <c r="F40" s="104">
        <v>-13152204.598304018</v>
      </c>
      <c r="G40" s="104">
        <v>-15032541.91779311</v>
      </c>
      <c r="H40" s="104">
        <v>-20800684.084163159</v>
      </c>
      <c r="I40" s="104">
        <v>-11151821.40084745</v>
      </c>
    </row>
    <row r="41" spans="2:9">
      <c r="B41" s="102">
        <v>34</v>
      </c>
      <c r="C41" s="104">
        <v>-9586564.3319118172</v>
      </c>
      <c r="D41" s="104">
        <v>-11607473.739497885</v>
      </c>
      <c r="E41" s="104">
        <v>215353.67393437028</v>
      </c>
      <c r="F41" s="104">
        <v>-18596321.407004118</v>
      </c>
      <c r="G41" s="104">
        <v>-17121399.533837095</v>
      </c>
      <c r="H41" s="104">
        <v>-14497578.643879876</v>
      </c>
      <c r="I41" s="104">
        <v>-30530101.493558764</v>
      </c>
    </row>
    <row r="42" spans="2:9">
      <c r="B42" s="102">
        <v>35</v>
      </c>
      <c r="C42" s="104">
        <v>-7567324.6277206242</v>
      </c>
      <c r="D42" s="104">
        <v>-2035964.9601266384</v>
      </c>
      <c r="E42" s="104">
        <v>-9875433.6084889174</v>
      </c>
      <c r="F42" s="104">
        <v>-5533505.4400310814</v>
      </c>
      <c r="G42" s="104">
        <v>-21984590.01445511</v>
      </c>
      <c r="H42" s="104">
        <v>-18483296.207328886</v>
      </c>
      <c r="I42" s="104">
        <v>-29342781.506345913</v>
      </c>
    </row>
    <row r="43" spans="2:9">
      <c r="B43" s="102">
        <v>36</v>
      </c>
      <c r="C43" s="104">
        <v>-6197407.411181584</v>
      </c>
      <c r="D43" s="104">
        <v>-4669024.6238341033</v>
      </c>
      <c r="E43" s="104">
        <v>-9841176.7200717926</v>
      </c>
      <c r="F43" s="104">
        <v>-14789739.636347041</v>
      </c>
      <c r="G43" s="104">
        <v>-13176120.71522145</v>
      </c>
      <c r="H43" s="104">
        <v>-20567366.8482669</v>
      </c>
      <c r="I43" s="104">
        <v>-28630030.764343426</v>
      </c>
    </row>
    <row r="44" spans="2:9">
      <c r="B44" s="102">
        <v>37</v>
      </c>
      <c r="C44" s="104">
        <v>-10271409.955400854</v>
      </c>
      <c r="D44" s="104">
        <v>-7352290.6528375149</v>
      </c>
      <c r="E44" s="104">
        <v>-22084588.96838288</v>
      </c>
      <c r="F44" s="104">
        <v>-11030559.860291272</v>
      </c>
      <c r="G44" s="104">
        <v>-13179536.294241831</v>
      </c>
      <c r="H44" s="104">
        <v>-26984526.08531706</v>
      </c>
      <c r="I44" s="104">
        <v>-22885590.957189605</v>
      </c>
    </row>
    <row r="45" spans="2:9">
      <c r="B45" s="102">
        <v>38</v>
      </c>
      <c r="C45" s="104">
        <v>-7494025.3754286915</v>
      </c>
      <c r="D45" s="104">
        <v>-8869149.689484328</v>
      </c>
      <c r="E45" s="104">
        <v>-13731191.526949883</v>
      </c>
      <c r="F45" s="104">
        <v>-10833346.332868204</v>
      </c>
      <c r="G45" s="104">
        <v>-15686458.015698075</v>
      </c>
      <c r="H45" s="104">
        <v>-27287885.610878855</v>
      </c>
      <c r="I45" s="104">
        <v>-23955948.581004262</v>
      </c>
    </row>
    <row r="46" spans="2:9">
      <c r="B46" s="102">
        <v>39</v>
      </c>
      <c r="C46" s="104">
        <v>-5345103.4144858271</v>
      </c>
      <c r="D46" s="104">
        <v>-11217769.935317621</v>
      </c>
      <c r="E46" s="104">
        <v>-9218226.4651315361</v>
      </c>
      <c r="F46" s="104">
        <v>-28169947.784166649</v>
      </c>
      <c r="G46" s="104">
        <v>-22462340.815764859</v>
      </c>
      <c r="H46" s="104">
        <v>-11069100.931509852</v>
      </c>
      <c r="I46" s="104">
        <v>-26321071.654250696</v>
      </c>
    </row>
    <row r="47" spans="2:9">
      <c r="B47" s="102">
        <v>40</v>
      </c>
      <c r="C47" s="104">
        <v>-1349423.1927342564</v>
      </c>
      <c r="D47" s="104">
        <v>-15707805.483770519</v>
      </c>
      <c r="E47" s="104">
        <v>-10504050.060769558</v>
      </c>
      <c r="F47" s="104">
        <v>-15815021.237299994</v>
      </c>
      <c r="G47" s="104">
        <v>-14195606.662621692</v>
      </c>
      <c r="H47" s="104">
        <v>-18774420.256417394</v>
      </c>
      <c r="I47" s="104">
        <v>-15200110.586987615</v>
      </c>
    </row>
    <row r="48" spans="2:9">
      <c r="B48" s="102">
        <v>41</v>
      </c>
      <c r="C48" s="104">
        <v>-8169209.5727610141</v>
      </c>
      <c r="D48" s="104">
        <v>-16165457.066551551</v>
      </c>
      <c r="E48" s="104">
        <v>-8982386.4357964993</v>
      </c>
      <c r="F48" s="104">
        <v>-17981172.038965255</v>
      </c>
      <c r="G48" s="104">
        <v>-16605696.196683213</v>
      </c>
      <c r="H48" s="104">
        <v>-23541892.446158305</v>
      </c>
      <c r="I48" s="104">
        <v>-18869413.619614497</v>
      </c>
    </row>
    <row r="49" spans="2:9">
      <c r="B49" s="102">
        <v>42</v>
      </c>
      <c r="C49" s="104">
        <v>-24015252.549164712</v>
      </c>
      <c r="D49" s="104">
        <v>-13181878.043409407</v>
      </c>
      <c r="E49" s="104">
        <v>-11102942.632565424</v>
      </c>
      <c r="F49" s="104">
        <v>-8989332.4428919405</v>
      </c>
      <c r="G49" s="104">
        <v>-18125242.186403051</v>
      </c>
      <c r="H49" s="104">
        <v>-22378751.950899705</v>
      </c>
      <c r="I49" s="104">
        <v>-24006997.169428661</v>
      </c>
    </row>
    <row r="50" spans="2:9">
      <c r="B50" s="102">
        <v>43</v>
      </c>
      <c r="C50" s="104">
        <v>-14624990.223165214</v>
      </c>
      <c r="D50" s="104">
        <v>-6039418.6743708551</v>
      </c>
      <c r="E50" s="104">
        <v>-16075108.349595457</v>
      </c>
      <c r="F50" s="104">
        <v>-18283110.779611841</v>
      </c>
      <c r="G50" s="104">
        <v>-11517884.67307128</v>
      </c>
      <c r="H50" s="104">
        <v>-15019124.044460416</v>
      </c>
      <c r="I50" s="104">
        <v>-28073094.297492728</v>
      </c>
    </row>
    <row r="51" spans="2:9">
      <c r="B51" s="102">
        <v>44</v>
      </c>
      <c r="C51" s="104">
        <v>-9127738.5131506771</v>
      </c>
      <c r="D51" s="104">
        <v>-5040652.3741149008</v>
      </c>
      <c r="E51" s="104">
        <v>-15539782.76149109</v>
      </c>
      <c r="F51" s="104">
        <v>-13936892.168077603</v>
      </c>
      <c r="G51" s="104">
        <v>-21415256.275968</v>
      </c>
      <c r="H51" s="104">
        <v>-13643506.033952132</v>
      </c>
      <c r="I51" s="104">
        <v>-22324672.770946622</v>
      </c>
    </row>
    <row r="52" spans="2:9">
      <c r="B52" s="102">
        <v>45</v>
      </c>
      <c r="C52" s="104">
        <v>-8350442.5012373626</v>
      </c>
      <c r="D52" s="104">
        <v>-10811171.765764952</v>
      </c>
      <c r="E52" s="104">
        <v>-13621073.575533807</v>
      </c>
      <c r="F52" s="104">
        <v>-17350726.485409856</v>
      </c>
      <c r="G52" s="104">
        <v>-20635643.105465338</v>
      </c>
      <c r="H52" s="104">
        <v>-26653682.713499889</v>
      </c>
      <c r="I52" s="104">
        <v>-28755855.697202206</v>
      </c>
    </row>
    <row r="53" spans="2:9">
      <c r="B53" s="102">
        <v>46</v>
      </c>
      <c r="C53" s="104">
        <v>-19775048.360570922</v>
      </c>
      <c r="D53" s="104">
        <v>-22761061.546036169</v>
      </c>
      <c r="E53" s="104">
        <v>-20689619.754719719</v>
      </c>
      <c r="F53" s="104">
        <v>-18514662.053008795</v>
      </c>
      <c r="G53" s="104">
        <v>-23341226.65132302</v>
      </c>
      <c r="H53" s="104">
        <v>-10807627.174173698</v>
      </c>
      <c r="I53" s="104">
        <v>-13641922.707475662</v>
      </c>
    </row>
    <row r="54" spans="2:9">
      <c r="B54" s="102">
        <v>47</v>
      </c>
      <c r="C54" s="104">
        <v>-2397544.0562583506</v>
      </c>
      <c r="D54" s="104">
        <v>-10546525.469278008</v>
      </c>
      <c r="E54" s="104">
        <v>-14685043.468672484</v>
      </c>
      <c r="F54" s="104">
        <v>-16620500.399665043</v>
      </c>
      <c r="G54" s="104">
        <v>-18102779.937454402</v>
      </c>
      <c r="H54" s="104">
        <v>-28732681.461990133</v>
      </c>
      <c r="I54" s="104">
        <v>-33699537.191717267</v>
      </c>
    </row>
    <row r="55" spans="2:9">
      <c r="B55" s="102">
        <v>48</v>
      </c>
      <c r="C55" s="104">
        <v>-7959889.59660469</v>
      </c>
      <c r="D55" s="104">
        <v>-10084979.159029052</v>
      </c>
      <c r="E55" s="104">
        <v>-10064195.208307803</v>
      </c>
      <c r="F55" s="104">
        <v>-7075845.231470108</v>
      </c>
      <c r="G55" s="104">
        <v>-17637280.328580067</v>
      </c>
      <c r="H55" s="104">
        <v>-24761771.491653398</v>
      </c>
      <c r="I55" s="104">
        <v>-17314970.588806301</v>
      </c>
    </row>
    <row r="56" spans="2:9">
      <c r="B56" s="102">
        <v>49</v>
      </c>
      <c r="C56" s="104">
        <v>-2684886.0078379065</v>
      </c>
      <c r="D56" s="104">
        <v>-7863995.9319856167</v>
      </c>
      <c r="E56" s="104">
        <v>-17487057.181301951</v>
      </c>
      <c r="F56" s="104">
        <v>-18714254.237421125</v>
      </c>
      <c r="G56" s="104">
        <v>-6094502.3851178139</v>
      </c>
      <c r="H56" s="104">
        <v>-20274664.871343911</v>
      </c>
      <c r="I56" s="104">
        <v>-19531146.947669923</v>
      </c>
    </row>
    <row r="57" spans="2:9">
      <c r="B57" s="102">
        <v>50</v>
      </c>
      <c r="C57" s="104">
        <v>-11353487.321725711</v>
      </c>
      <c r="D57" s="104">
        <v>-10117740.584541067</v>
      </c>
      <c r="E57" s="104">
        <v>-12399543.459047124</v>
      </c>
      <c r="F57" s="104">
        <v>-19889508.05522196</v>
      </c>
      <c r="G57" s="104">
        <v>-18533075.715804011</v>
      </c>
      <c r="H57" s="104">
        <v>-23666383.393534869</v>
      </c>
      <c r="I57" s="104">
        <v>-31313007.623591229</v>
      </c>
    </row>
    <row r="58" spans="2:9">
      <c r="B58" s="102">
        <v>51</v>
      </c>
      <c r="C58" s="104">
        <v>-7850811.0472737253</v>
      </c>
      <c r="D58" s="104">
        <v>-4588882.1245179474</v>
      </c>
      <c r="E58" s="104">
        <v>-5107267.3094703406</v>
      </c>
      <c r="F58" s="104">
        <v>-9805711.3281390518</v>
      </c>
      <c r="G58" s="104">
        <v>-10641767.515969604</v>
      </c>
      <c r="H58" s="104">
        <v>-25253111.879354954</v>
      </c>
      <c r="I58" s="104">
        <v>-29981547.976481438</v>
      </c>
    </row>
    <row r="59" spans="2:9">
      <c r="B59" s="102">
        <v>52</v>
      </c>
      <c r="C59" s="104">
        <v>-11618450.140454471</v>
      </c>
      <c r="D59" s="104">
        <v>-16084155.620947152</v>
      </c>
      <c r="E59" s="104">
        <v>-6658813.923643291</v>
      </c>
      <c r="F59" s="104">
        <v>-14975622.944574863</v>
      </c>
      <c r="G59" s="104">
        <v>-22926417.053085029</v>
      </c>
      <c r="H59" s="104">
        <v>-28377558.951899022</v>
      </c>
      <c r="I59" s="104">
        <v>-31466554.142683804</v>
      </c>
    </row>
    <row r="60" spans="2:9">
      <c r="B60" s="102">
        <v>53</v>
      </c>
      <c r="C60" s="104">
        <v>-13772316.846277192</v>
      </c>
      <c r="D60" s="104">
        <v>-9245672.4730526805</v>
      </c>
      <c r="E60" s="104">
        <v>-9102593.3080071062</v>
      </c>
      <c r="F60" s="104">
        <v>-13180108.98179023</v>
      </c>
      <c r="G60" s="104">
        <v>-11325260.927582934</v>
      </c>
      <c r="H60" s="104">
        <v>-19581951.708709717</v>
      </c>
      <c r="I60" s="104">
        <v>-21696537.321191669</v>
      </c>
    </row>
    <row r="61" spans="2:9">
      <c r="B61" s="102">
        <v>54</v>
      </c>
      <c r="C61" s="104">
        <v>-12464159.136340871</v>
      </c>
      <c r="D61" s="104">
        <v>-15814531.31056653</v>
      </c>
      <c r="E61" s="104">
        <v>-11769678.639478311</v>
      </c>
      <c r="F61" s="104">
        <v>-22176501.529637232</v>
      </c>
      <c r="G61" s="104">
        <v>-9246378.6786467582</v>
      </c>
      <c r="H61" s="104">
        <v>-22349794.858924001</v>
      </c>
      <c r="I61" s="104">
        <v>-31305961.806527004</v>
      </c>
    </row>
    <row r="62" spans="2:9">
      <c r="B62" s="102">
        <v>55</v>
      </c>
      <c r="C62" s="104">
        <v>-10518872.825271055</v>
      </c>
      <c r="D62" s="104">
        <v>-6123814.4836872965</v>
      </c>
      <c r="E62" s="104">
        <v>-13815243.503477603</v>
      </c>
      <c r="F62" s="104">
        <v>-11733413.282100186</v>
      </c>
      <c r="G62" s="104">
        <v>-4530138.4492250234</v>
      </c>
      <c r="H62" s="104">
        <v>-20839213.520932674</v>
      </c>
      <c r="I62" s="104">
        <v>-15752515.11519438</v>
      </c>
    </row>
    <row r="63" spans="2:9">
      <c r="B63" s="102">
        <v>56</v>
      </c>
      <c r="C63" s="104">
        <v>-14629026.490774646</v>
      </c>
      <c r="D63" s="104">
        <v>-12387105.05453077</v>
      </c>
      <c r="E63" s="104">
        <v>-19598964.134333536</v>
      </c>
      <c r="F63" s="104">
        <v>-17053043.177289039</v>
      </c>
      <c r="G63" s="104">
        <v>-16502234.09284243</v>
      </c>
      <c r="H63" s="104">
        <v>-16578076.304495886</v>
      </c>
      <c r="I63" s="104">
        <v>-21726598.215673625</v>
      </c>
    </row>
    <row r="64" spans="2:9">
      <c r="B64" s="102">
        <v>57</v>
      </c>
      <c r="C64" s="104">
        <v>-15384653.23577866</v>
      </c>
      <c r="D64" s="104">
        <v>-12673084.433761269</v>
      </c>
      <c r="E64" s="104">
        <v>-15600818.712586492</v>
      </c>
      <c r="F64" s="104">
        <v>-17641886.385041609</v>
      </c>
      <c r="G64" s="104">
        <v>-18938454.794880599</v>
      </c>
      <c r="H64" s="104">
        <v>-26065856.574278668</v>
      </c>
      <c r="I64" s="104">
        <v>-19001878.064112708</v>
      </c>
    </row>
    <row r="65" spans="2:9">
      <c r="B65" s="102">
        <v>58</v>
      </c>
      <c r="C65" s="104">
        <v>-7042244.9127912968</v>
      </c>
      <c r="D65" s="104">
        <v>-11199677.20381771</v>
      </c>
      <c r="E65" s="104">
        <v>-14982034.820964888</v>
      </c>
      <c r="F65" s="104">
        <v>-15349560.120186105</v>
      </c>
      <c r="G65" s="104">
        <v>-16917859.997893721</v>
      </c>
      <c r="H65" s="104">
        <v>-15115131.686902136</v>
      </c>
      <c r="I65" s="104">
        <v>-25091694.168287113</v>
      </c>
    </row>
    <row r="66" spans="2:9">
      <c r="B66" s="102">
        <v>59</v>
      </c>
      <c r="C66" s="104">
        <v>-14393049.205746308</v>
      </c>
      <c r="D66" s="104">
        <v>-11610742.191826165</v>
      </c>
      <c r="E66" s="104">
        <v>-11261171.477031127</v>
      </c>
      <c r="F66" s="104">
        <v>-16481027.957566708</v>
      </c>
      <c r="G66" s="104">
        <v>-12889263.482212156</v>
      </c>
      <c r="H66" s="104">
        <v>-21002208.151985854</v>
      </c>
      <c r="I66" s="104">
        <v>-18538993.139164388</v>
      </c>
    </row>
    <row r="67" spans="2:9">
      <c r="B67" s="102">
        <v>60</v>
      </c>
      <c r="C67" s="104">
        <v>-6071369.0801144391</v>
      </c>
      <c r="D67" s="104">
        <v>-10211680.954817653</v>
      </c>
      <c r="E67" s="104">
        <v>-7064241.3258948326</v>
      </c>
      <c r="F67" s="104">
        <v>-11228122.022954002</v>
      </c>
      <c r="G67" s="104">
        <v>-16929687.348340645</v>
      </c>
      <c r="H67" s="104">
        <v>-11017839.394614071</v>
      </c>
      <c r="I67" s="104">
        <v>-28012850.506662294</v>
      </c>
    </row>
    <row r="68" spans="2:9">
      <c r="B68" s="102">
        <v>61</v>
      </c>
      <c r="C68" s="104">
        <v>-4803475.3733239025</v>
      </c>
      <c r="D68" s="104">
        <v>-12014775.602459416</v>
      </c>
      <c r="E68" s="104">
        <v>-15880584.700649261</v>
      </c>
      <c r="F68" s="104">
        <v>-14708817.4445595</v>
      </c>
      <c r="G68" s="104">
        <v>-8363128.3788612634</v>
      </c>
      <c r="H68" s="104">
        <v>-31283044.312578931</v>
      </c>
      <c r="I68" s="104">
        <v>-21824053.512045503</v>
      </c>
    </row>
    <row r="69" spans="2:9">
      <c r="B69" s="102">
        <v>62</v>
      </c>
      <c r="C69" s="104">
        <v>-7557097.990176186</v>
      </c>
      <c r="D69" s="104">
        <v>-11708005.083852679</v>
      </c>
      <c r="E69" s="104">
        <v>-14496836.204149693</v>
      </c>
      <c r="F69" s="104">
        <v>-19833488.310662776</v>
      </c>
      <c r="G69" s="104">
        <v>-13633730.169413269</v>
      </c>
      <c r="H69" s="104">
        <v>-21245864.003147379</v>
      </c>
      <c r="I69" s="104">
        <v>-26691182.268847913</v>
      </c>
    </row>
    <row r="70" spans="2:9">
      <c r="B70" s="102">
        <v>63</v>
      </c>
      <c r="C70" s="104">
        <v>-7962724.1831223965</v>
      </c>
      <c r="D70" s="104">
        <v>-21514930.032701284</v>
      </c>
      <c r="E70" s="104">
        <v>-9002319.7701709867</v>
      </c>
      <c r="F70" s="104">
        <v>-11873569.602413699</v>
      </c>
      <c r="G70" s="104">
        <v>-24371167.030991733</v>
      </c>
      <c r="H70" s="104">
        <v>-28675236.775195092</v>
      </c>
      <c r="I70" s="104">
        <v>-26134674.884265393</v>
      </c>
    </row>
    <row r="71" spans="2:9">
      <c r="B71" s="102">
        <v>64</v>
      </c>
      <c r="C71" s="104">
        <v>-8026302.9799268246</v>
      </c>
      <c r="D71" s="104">
        <v>-17406685.888768986</v>
      </c>
      <c r="E71" s="104">
        <v>-20058568.78927435</v>
      </c>
      <c r="F71" s="104">
        <v>-13774672.07386817</v>
      </c>
      <c r="G71" s="104">
        <v>-21466606.128350854</v>
      </c>
      <c r="H71" s="104">
        <v>-21189249.068139777</v>
      </c>
      <c r="I71" s="104">
        <v>-18035421.808603659</v>
      </c>
    </row>
    <row r="72" spans="2:9">
      <c r="B72" s="102">
        <v>65</v>
      </c>
      <c r="C72" s="104">
        <v>-9520277.1167943031</v>
      </c>
      <c r="D72" s="104">
        <v>-7759325.5625983924</v>
      </c>
      <c r="E72" s="104">
        <v>-28274707.620508105</v>
      </c>
      <c r="F72" s="104">
        <v>-24234893.305065349</v>
      </c>
      <c r="G72" s="104">
        <v>-21357757.734477028</v>
      </c>
      <c r="H72" s="104">
        <v>-25786678.13942644</v>
      </c>
      <c r="I72" s="104">
        <v>-26017886.001511157</v>
      </c>
    </row>
    <row r="73" spans="2:9">
      <c r="B73" s="102">
        <v>66</v>
      </c>
      <c r="C73" s="104">
        <v>-6037140.5169342756</v>
      </c>
      <c r="D73" s="104">
        <v>-8934761.9036067724</v>
      </c>
      <c r="E73" s="104">
        <v>-8319241.0323785096</v>
      </c>
      <c r="F73" s="104">
        <v>-3759169.2333191782</v>
      </c>
      <c r="G73" s="104">
        <v>-17398054.659988821</v>
      </c>
      <c r="H73" s="104">
        <v>-16576337.900220528</v>
      </c>
      <c r="I73" s="104">
        <v>-21950806.382040784</v>
      </c>
    </row>
    <row r="74" spans="2:9">
      <c r="B74" s="102">
        <v>67</v>
      </c>
      <c r="C74" s="104">
        <v>-11695455.976322964</v>
      </c>
      <c r="D74" s="104">
        <v>-4368259.2580713332</v>
      </c>
      <c r="E74" s="104">
        <v>-18143726.858979568</v>
      </c>
      <c r="F74" s="104">
        <v>-14229863.592105985</v>
      </c>
      <c r="G74" s="104">
        <v>-11186770.124746889</v>
      </c>
      <c r="H74" s="104">
        <v>-17506330.086408928</v>
      </c>
      <c r="I74" s="104">
        <v>-16676311.140498623</v>
      </c>
    </row>
    <row r="75" spans="2:9">
      <c r="B75" s="102">
        <v>68</v>
      </c>
      <c r="C75" s="104">
        <v>-11037575.330786943</v>
      </c>
      <c r="D75" s="104">
        <v>2927217.3686744422</v>
      </c>
      <c r="E75" s="104">
        <v>-11347599.281826109</v>
      </c>
      <c r="F75" s="104">
        <v>-13069595.450333342</v>
      </c>
      <c r="G75" s="104">
        <v>-14007816.192787096</v>
      </c>
      <c r="H75" s="104">
        <v>-17879496.91850239</v>
      </c>
      <c r="I75" s="104">
        <v>-24542384.818389177</v>
      </c>
    </row>
    <row r="76" spans="2:9">
      <c r="B76" s="102">
        <v>69</v>
      </c>
      <c r="C76" s="104">
        <v>-8936140.7477753758</v>
      </c>
      <c r="D76" s="104">
        <v>-15852261.877783328</v>
      </c>
      <c r="E76" s="104">
        <v>-11231367.111109644</v>
      </c>
      <c r="F76" s="104">
        <v>-26880411.536074921</v>
      </c>
      <c r="G76" s="104">
        <v>-20368543.247075766</v>
      </c>
      <c r="H76" s="104">
        <v>-16744189.645085514</v>
      </c>
      <c r="I76" s="104">
        <v>-29013094.675511897</v>
      </c>
    </row>
    <row r="77" spans="2:9">
      <c r="B77" s="102">
        <v>70</v>
      </c>
      <c r="C77" s="104">
        <v>-8304930.9740146995</v>
      </c>
      <c r="D77" s="104">
        <v>-10880900.228891522</v>
      </c>
      <c r="E77" s="104">
        <v>-10085724.374708235</v>
      </c>
      <c r="F77" s="104">
        <v>-14792775.80764626</v>
      </c>
      <c r="G77" s="104">
        <v>-11849152.967726558</v>
      </c>
      <c r="H77" s="104">
        <v>-21119611.034516126</v>
      </c>
      <c r="I77" s="104">
        <v>-23605325.242158577</v>
      </c>
    </row>
    <row r="78" spans="2:9">
      <c r="B78" s="102">
        <v>71</v>
      </c>
      <c r="C78" s="104">
        <v>-5355568.8306747228</v>
      </c>
      <c r="D78" s="104">
        <v>-11881668.371470958</v>
      </c>
      <c r="E78" s="104">
        <v>-3182224.9402413815</v>
      </c>
      <c r="F78" s="104">
        <v>-11188562.078577593</v>
      </c>
      <c r="G78" s="104">
        <v>-15719513.983979315</v>
      </c>
      <c r="H78" s="104">
        <v>-25775224.929673627</v>
      </c>
      <c r="I78" s="104">
        <v>-17117878.400032058</v>
      </c>
    </row>
    <row r="79" spans="2:9">
      <c r="B79" s="102">
        <v>72</v>
      </c>
      <c r="C79" s="104">
        <v>-9300671.1529455781</v>
      </c>
      <c r="D79" s="104">
        <v>-8133330.7497577518</v>
      </c>
      <c r="E79" s="104">
        <v>-11776450.241364777</v>
      </c>
      <c r="F79" s="104">
        <v>-14859918.298506573</v>
      </c>
      <c r="G79" s="104">
        <v>-17108372.514930636</v>
      </c>
      <c r="H79" s="104">
        <v>-16709450.746106476</v>
      </c>
      <c r="I79" s="104">
        <v>-29451744.289195865</v>
      </c>
    </row>
    <row r="80" spans="2:9">
      <c r="B80" s="102">
        <v>73</v>
      </c>
      <c r="C80" s="104">
        <v>-15245087.896761671</v>
      </c>
      <c r="D80" s="104">
        <v>-17515799.907476693</v>
      </c>
      <c r="E80" s="104">
        <v>-2633294.6763930768</v>
      </c>
      <c r="F80" s="104">
        <v>-13369755.081156388</v>
      </c>
      <c r="G80" s="104">
        <v>-15554414.891559675</v>
      </c>
      <c r="H80" s="104">
        <v>-12077438.639662981</v>
      </c>
      <c r="I80" s="104">
        <v>-20023918.231396183</v>
      </c>
    </row>
    <row r="81" spans="2:9">
      <c r="B81" s="102">
        <v>74</v>
      </c>
      <c r="C81" s="104">
        <v>-11025350.359831497</v>
      </c>
      <c r="D81" s="104">
        <v>-18613155.251839027</v>
      </c>
      <c r="E81" s="104">
        <v>-12037402.015544966</v>
      </c>
      <c r="F81" s="104">
        <v>-18465957.684335589</v>
      </c>
      <c r="G81" s="104">
        <v>-17824414.410713807</v>
      </c>
      <c r="H81" s="104">
        <v>-20990688.019338027</v>
      </c>
      <c r="I81" s="104">
        <v>-21737486.144451141</v>
      </c>
    </row>
    <row r="82" spans="2:9">
      <c r="B82" s="102">
        <v>75</v>
      </c>
      <c r="C82" s="104">
        <v>-19265371.869071692</v>
      </c>
      <c r="D82" s="104">
        <v>-12225803.106957287</v>
      </c>
      <c r="E82" s="104">
        <v>-17471852.134166121</v>
      </c>
      <c r="F82" s="104">
        <v>-12660780.83028543</v>
      </c>
      <c r="G82" s="104">
        <v>-23926310.089392886</v>
      </c>
      <c r="H82" s="104">
        <v>-20828723.407812461</v>
      </c>
      <c r="I82" s="104">
        <v>-7223518.9141565412</v>
      </c>
    </row>
    <row r="83" spans="2:9">
      <c r="B83" s="102">
        <v>76</v>
      </c>
      <c r="C83" s="104">
        <v>-12132233.595720604</v>
      </c>
      <c r="D83" s="104">
        <v>-4513749.3274584562</v>
      </c>
      <c r="E83" s="104">
        <v>-13411407.460416809</v>
      </c>
      <c r="F83" s="104">
        <v>-18703684.432981804</v>
      </c>
      <c r="G83" s="104">
        <v>-16904243.859114587</v>
      </c>
      <c r="H83" s="104">
        <v>-16997103.099814132</v>
      </c>
      <c r="I83" s="104">
        <v>-27598987.471140087</v>
      </c>
    </row>
    <row r="84" spans="2:9">
      <c r="B84" s="102">
        <v>77</v>
      </c>
      <c r="C84" s="104">
        <v>-8832569.2372882515</v>
      </c>
      <c r="D84" s="104">
        <v>-15590586.586541012</v>
      </c>
      <c r="E84" s="104">
        <v>-3770337.7223086953</v>
      </c>
      <c r="F84" s="104">
        <v>-13821354.319279298</v>
      </c>
      <c r="G84" s="104">
        <v>-22755215.842904359</v>
      </c>
      <c r="H84" s="104">
        <v>-24552878.178390548</v>
      </c>
      <c r="I84" s="104">
        <v>-22340748.787381247</v>
      </c>
    </row>
    <row r="85" spans="2:9">
      <c r="B85" s="102">
        <v>78</v>
      </c>
      <c r="C85" s="104">
        <v>-6299717.4674713612</v>
      </c>
      <c r="D85" s="104">
        <v>-8933817.630728215</v>
      </c>
      <c r="E85" s="104">
        <v>-13773439.547895879</v>
      </c>
      <c r="F85" s="104">
        <v>-11505061.504403576</v>
      </c>
      <c r="G85" s="104">
        <v>-13934343.474298388</v>
      </c>
      <c r="H85" s="104">
        <v>-20672333.583692819</v>
      </c>
      <c r="I85" s="104">
        <v>-16582098.088516265</v>
      </c>
    </row>
    <row r="86" spans="2:9">
      <c r="B86" s="102">
        <v>79</v>
      </c>
      <c r="C86" s="104">
        <v>-12452570.079008967</v>
      </c>
      <c r="D86" s="104">
        <v>-7040215.9531608671</v>
      </c>
      <c r="E86" s="104">
        <v>-18190941.194965988</v>
      </c>
      <c r="F86" s="104">
        <v>-15179167.791830689</v>
      </c>
      <c r="G86" s="104">
        <v>-13501377.115106672</v>
      </c>
      <c r="H86" s="104">
        <v>-24600782.317767248</v>
      </c>
      <c r="I86" s="104">
        <v>-25626705.689247176</v>
      </c>
    </row>
    <row r="87" spans="2:9">
      <c r="B87" s="102">
        <v>80</v>
      </c>
      <c r="C87" s="104">
        <v>-8960364.1411918402</v>
      </c>
      <c r="D87" s="104">
        <v>-12280775.388126522</v>
      </c>
      <c r="E87" s="104">
        <v>-21009092.140518874</v>
      </c>
      <c r="F87" s="104">
        <v>-15902516.972429603</v>
      </c>
      <c r="G87" s="104">
        <v>-16445370.597053126</v>
      </c>
      <c r="H87" s="104">
        <v>-19919703.430713654</v>
      </c>
      <c r="I87" s="104">
        <v>-20156807.636581853</v>
      </c>
    </row>
    <row r="88" spans="2:9">
      <c r="B88" s="102">
        <v>81</v>
      </c>
      <c r="C88" s="104">
        <v>-11446399.649332672</v>
      </c>
      <c r="D88" s="104">
        <v>-9140139.1763079464</v>
      </c>
      <c r="E88" s="104">
        <v>-11829086.715991035</v>
      </c>
      <c r="F88" s="104">
        <v>-20395000.60677135</v>
      </c>
      <c r="G88" s="104">
        <v>-16438894.930151522</v>
      </c>
      <c r="H88" s="104">
        <v>-21308721.473336875</v>
      </c>
      <c r="I88" s="104">
        <v>-24233560.121200249</v>
      </c>
    </row>
    <row r="89" spans="2:9">
      <c r="B89" s="102">
        <v>82</v>
      </c>
      <c r="C89" s="104">
        <v>-6410803.1450708359</v>
      </c>
      <c r="D89" s="104">
        <v>-9880617.0872766525</v>
      </c>
      <c r="E89" s="104">
        <v>-19244750.45877628</v>
      </c>
      <c r="F89" s="104">
        <v>-14947239.020330161</v>
      </c>
      <c r="G89" s="104">
        <v>-11503397.16343829</v>
      </c>
      <c r="H89" s="104">
        <v>-26292722.599540204</v>
      </c>
      <c r="I89" s="104">
        <v>-18603316.338799864</v>
      </c>
    </row>
    <row r="90" spans="2:9">
      <c r="B90" s="102">
        <v>83</v>
      </c>
      <c r="C90" s="104">
        <v>-7532031.0259962827</v>
      </c>
      <c r="D90" s="104">
        <v>-9169016.1142473519</v>
      </c>
      <c r="E90" s="104">
        <v>-8363160.541019246</v>
      </c>
      <c r="F90" s="104">
        <v>-12106098.753120631</v>
      </c>
      <c r="G90" s="104">
        <v>-22050753.706355006</v>
      </c>
      <c r="H90" s="104">
        <v>-10766884.264977366</v>
      </c>
      <c r="I90" s="104">
        <v>-20600352.115967274</v>
      </c>
    </row>
    <row r="91" spans="2:9">
      <c r="B91" s="102">
        <v>84</v>
      </c>
      <c r="C91" s="104">
        <v>-2958908.6501610279</v>
      </c>
      <c r="D91" s="104">
        <v>-10436272.759696633</v>
      </c>
      <c r="E91" s="104">
        <v>-12878926.225094512</v>
      </c>
      <c r="F91" s="104">
        <v>-20303154.720534414</v>
      </c>
      <c r="G91" s="104">
        <v>-23677596.379221097</v>
      </c>
      <c r="H91" s="104">
        <v>-8255390.6899116486</v>
      </c>
      <c r="I91" s="104">
        <v>-20478223.556585073</v>
      </c>
    </row>
    <row r="92" spans="2:9">
      <c r="B92" s="102">
        <v>85</v>
      </c>
      <c r="C92" s="104">
        <v>-11947772.13980709</v>
      </c>
      <c r="D92" s="104">
        <v>-10347557.429437339</v>
      </c>
      <c r="E92" s="104">
        <v>-7625462.0496227592</v>
      </c>
      <c r="F92" s="104">
        <v>-16613646.71244134</v>
      </c>
      <c r="G92" s="104">
        <v>-14253871.383768037</v>
      </c>
      <c r="H92" s="104">
        <v>-22703213.717130288</v>
      </c>
      <c r="I92" s="104">
        <v>-26714666.337543398</v>
      </c>
    </row>
    <row r="93" spans="2:9">
      <c r="B93" s="102">
        <v>86</v>
      </c>
      <c r="C93" s="104">
        <v>-11406946.95379357</v>
      </c>
      <c r="D93" s="104">
        <v>-14799843.762253985</v>
      </c>
      <c r="E93" s="104">
        <v>-14717236.029280111</v>
      </c>
      <c r="F93" s="104">
        <v>-13469728.250142753</v>
      </c>
      <c r="G93" s="104">
        <v>-20617845.885308251</v>
      </c>
      <c r="H93" s="104">
        <v>-18412832.093746603</v>
      </c>
      <c r="I93" s="104">
        <v>-23753612.886842459</v>
      </c>
    </row>
    <row r="94" spans="2:9">
      <c r="B94" s="102">
        <v>87</v>
      </c>
      <c r="C94" s="104">
        <v>-16313722.386814982</v>
      </c>
      <c r="D94" s="104">
        <v>-12961778.2274068</v>
      </c>
      <c r="E94" s="104">
        <v>-13133322.241054758</v>
      </c>
      <c r="F94" s="104">
        <v>-16970546.369393155</v>
      </c>
      <c r="G94" s="104">
        <v>-15787828.192789301</v>
      </c>
      <c r="H94" s="104">
        <v>-27172573.027874678</v>
      </c>
      <c r="I94" s="104">
        <v>-16220444.347873479</v>
      </c>
    </row>
    <row r="95" spans="2:9">
      <c r="B95" s="102">
        <v>88</v>
      </c>
      <c r="C95" s="104">
        <v>-6184700.6696074903</v>
      </c>
      <c r="D95" s="104">
        <v>-9609293.4423853904</v>
      </c>
      <c r="E95" s="104">
        <v>-15635470.71606493</v>
      </c>
      <c r="F95" s="104">
        <v>-19907097.760592908</v>
      </c>
      <c r="G95" s="104">
        <v>-15697948.313209608</v>
      </c>
      <c r="H95" s="104">
        <v>-20092771.425186306</v>
      </c>
      <c r="I95" s="104">
        <v>-24903002.119608417</v>
      </c>
    </row>
    <row r="96" spans="2:9">
      <c r="B96" s="102">
        <v>89</v>
      </c>
      <c r="C96" s="104">
        <v>-9430162.3238572776</v>
      </c>
      <c r="D96" s="104">
        <v>-4784327.8711767048</v>
      </c>
      <c r="E96" s="104">
        <v>-14536010.147499248</v>
      </c>
      <c r="F96" s="104">
        <v>-452654.86500647664</v>
      </c>
      <c r="G96" s="104">
        <v>-13439572.95067732</v>
      </c>
      <c r="H96" s="104">
        <v>-22826896.951675773</v>
      </c>
      <c r="I96" s="104">
        <v>-24601922.239920676</v>
      </c>
    </row>
    <row r="97" spans="2:9">
      <c r="B97" s="102">
        <v>90</v>
      </c>
      <c r="C97" s="104">
        <v>-3642751.0392871499</v>
      </c>
      <c r="D97" s="104">
        <v>-16847914.23788029</v>
      </c>
      <c r="E97" s="104">
        <v>-6194682.7882121503</v>
      </c>
      <c r="F97" s="104">
        <v>-14634305.296519622</v>
      </c>
      <c r="G97" s="104">
        <v>-24332813.685417309</v>
      </c>
      <c r="H97" s="104">
        <v>-24176877.982118309</v>
      </c>
      <c r="I97" s="104">
        <v>-25257561.871949688</v>
      </c>
    </row>
    <row r="98" spans="2:9">
      <c r="B98" s="102">
        <v>91</v>
      </c>
      <c r="C98" s="104">
        <v>-8404957.5354420841</v>
      </c>
      <c r="D98" s="104">
        <v>-6129304.1187171489</v>
      </c>
      <c r="E98" s="104">
        <v>-15113233.222460523</v>
      </c>
      <c r="F98" s="104">
        <v>-23239533.815111816</v>
      </c>
      <c r="G98" s="104">
        <v>-15474609.873872489</v>
      </c>
      <c r="H98" s="104">
        <v>-21432113.618710443</v>
      </c>
      <c r="I98" s="104">
        <v>-19743413.544575587</v>
      </c>
    </row>
    <row r="99" spans="2:9">
      <c r="B99" s="102">
        <v>92</v>
      </c>
      <c r="C99" s="104">
        <v>-8006877.2375527322</v>
      </c>
      <c r="D99" s="104">
        <v>-12574215.934360325</v>
      </c>
      <c r="E99" s="104">
        <v>-10760173.072820485</v>
      </c>
      <c r="F99" s="104">
        <v>-12408461.829758137</v>
      </c>
      <c r="G99" s="104">
        <v>-8387847.7783163488</v>
      </c>
      <c r="H99" s="104">
        <v>-28324097.056023508</v>
      </c>
      <c r="I99" s="104">
        <v>-23571556.032347396</v>
      </c>
    </row>
    <row r="100" spans="2:9">
      <c r="B100" s="102">
        <v>93</v>
      </c>
      <c r="C100" s="104">
        <v>-934245.0793980509</v>
      </c>
      <c r="D100" s="104">
        <v>-11970877.179108262</v>
      </c>
      <c r="E100" s="104">
        <v>-3909253.4171389043</v>
      </c>
      <c r="F100" s="104">
        <v>-12625342.860751808</v>
      </c>
      <c r="G100" s="104">
        <v>-16714841.105438098</v>
      </c>
      <c r="H100" s="104">
        <v>-20535559.675784916</v>
      </c>
      <c r="I100" s="104">
        <v>-20963422.558685273</v>
      </c>
    </row>
    <row r="101" spans="2:9">
      <c r="B101" s="102">
        <v>94</v>
      </c>
      <c r="C101" s="104">
        <v>-11673326.222538471</v>
      </c>
      <c r="D101" s="104">
        <v>-12623163.402260825</v>
      </c>
      <c r="E101" s="104">
        <v>-13858109.614944041</v>
      </c>
      <c r="F101" s="104">
        <v>-22800942.295898885</v>
      </c>
      <c r="G101" s="104">
        <v>-18189764.672590256</v>
      </c>
      <c r="H101" s="104">
        <v>-18615625.59342508</v>
      </c>
      <c r="I101" s="104">
        <v>-31821080.268628404</v>
      </c>
    </row>
    <row r="102" spans="2:9">
      <c r="B102" s="102">
        <v>95</v>
      </c>
      <c r="C102" s="104">
        <v>-7871192.9210548252</v>
      </c>
      <c r="D102" s="104">
        <v>-11425543.612034857</v>
      </c>
      <c r="E102" s="104">
        <v>-19853109.081643909</v>
      </c>
      <c r="F102" s="104">
        <v>-6726256.2522958517</v>
      </c>
      <c r="G102" s="104">
        <v>-10168474.319818571</v>
      </c>
      <c r="H102" s="104">
        <v>-15698351.765234709</v>
      </c>
      <c r="I102" s="104">
        <v>-31394079.62615113</v>
      </c>
    </row>
    <row r="103" spans="2:9">
      <c r="B103" s="102">
        <v>96</v>
      </c>
      <c r="C103" s="104">
        <v>-6774444.9548272192</v>
      </c>
      <c r="D103" s="104">
        <v>-11821344.398330137</v>
      </c>
      <c r="E103" s="104">
        <v>-13176012.088045731</v>
      </c>
      <c r="F103" s="104">
        <v>-14651297.536806583</v>
      </c>
      <c r="G103" s="104">
        <v>-23850820.592299432</v>
      </c>
      <c r="H103" s="104">
        <v>-20550692.254184559</v>
      </c>
      <c r="I103" s="104">
        <v>-18067011.329697013</v>
      </c>
    </row>
    <row r="104" spans="2:9">
      <c r="B104" s="102">
        <v>97</v>
      </c>
      <c r="C104" s="104">
        <v>-12396255.273475185</v>
      </c>
      <c r="D104" s="104">
        <v>-16186359.939882576</v>
      </c>
      <c r="E104" s="104">
        <v>-23604201.127045646</v>
      </c>
      <c r="F104" s="104">
        <v>-14655915.808326095</v>
      </c>
      <c r="G104" s="104">
        <v>-16500087.865395963</v>
      </c>
      <c r="H104" s="104">
        <v>-17929974.2689863</v>
      </c>
      <c r="I104" s="104">
        <v>-24389260.599162862</v>
      </c>
    </row>
    <row r="105" spans="2:9">
      <c r="B105" s="102">
        <v>98</v>
      </c>
      <c r="C105" s="104">
        <v>-15770436.241538376</v>
      </c>
      <c r="D105" s="104">
        <v>-12684023.747174084</v>
      </c>
      <c r="E105" s="104">
        <v>-22064883.48035714</v>
      </c>
      <c r="F105" s="104">
        <v>-23192419.159264401</v>
      </c>
      <c r="G105" s="104">
        <v>-15671544.579227313</v>
      </c>
      <c r="H105" s="104">
        <v>-16357480.662194252</v>
      </c>
      <c r="I105" s="104">
        <v>-21241465.295688361</v>
      </c>
    </row>
    <row r="106" spans="2:9">
      <c r="B106" s="102">
        <v>99</v>
      </c>
      <c r="C106" s="104">
        <v>-6272423.9327661395</v>
      </c>
      <c r="D106" s="104">
        <v>-16643447.883025423</v>
      </c>
      <c r="E106" s="104">
        <v>-8701190.5436304212</v>
      </c>
      <c r="F106" s="104">
        <v>-11674924.794218883</v>
      </c>
      <c r="G106" s="104">
        <v>-20986681.048586875</v>
      </c>
      <c r="H106" s="104">
        <v>-10350353.813703224</v>
      </c>
      <c r="I106" s="104">
        <v>-11756200.576279253</v>
      </c>
    </row>
    <row r="107" spans="2:9">
      <c r="B107" s="102">
        <v>100</v>
      </c>
      <c r="C107" s="104">
        <v>-11617363.975437418</v>
      </c>
      <c r="D107" s="104">
        <v>-26761940.184651613</v>
      </c>
      <c r="E107" s="104">
        <v>-15794847.54026936</v>
      </c>
      <c r="F107" s="104">
        <v>-18358022.368154839</v>
      </c>
      <c r="G107" s="104">
        <v>-12167713.549026772</v>
      </c>
      <c r="H107" s="104">
        <v>-24693493.745554462</v>
      </c>
      <c r="I107" s="104">
        <v>-28601965.094160259</v>
      </c>
    </row>
    <row r="108" spans="2:9">
      <c r="B108" s="102">
        <v>101</v>
      </c>
      <c r="C108" s="104">
        <v>-16681319.001868844</v>
      </c>
      <c r="D108" s="104">
        <v>-12098395.593304798</v>
      </c>
      <c r="E108" s="104">
        <v>-13242478.227252364</v>
      </c>
      <c r="F108" s="104">
        <v>-23962213.505150348</v>
      </c>
      <c r="G108" s="104">
        <v>-16002851.883996516</v>
      </c>
      <c r="H108" s="104">
        <v>-15197548.684982032</v>
      </c>
      <c r="I108" s="104">
        <v>-25897425.974905759</v>
      </c>
    </row>
    <row r="109" spans="2:9">
      <c r="B109" s="102">
        <v>102</v>
      </c>
      <c r="C109" s="104">
        <v>-6936383.8786409497</v>
      </c>
      <c r="D109" s="104">
        <v>-14491887.583378062</v>
      </c>
      <c r="E109" s="104">
        <v>-19958732.54551436</v>
      </c>
      <c r="F109" s="104">
        <v>-17391810.232613519</v>
      </c>
      <c r="G109" s="104">
        <v>-21363620.230870157</v>
      </c>
      <c r="H109" s="104">
        <v>-12225882.001296774</v>
      </c>
      <c r="I109" s="104">
        <v>-25073756.159968421</v>
      </c>
    </row>
    <row r="110" spans="2:9">
      <c r="B110" s="102">
        <v>103</v>
      </c>
      <c r="C110" s="104">
        <v>-6276587.9170001596</v>
      </c>
      <c r="D110" s="104">
        <v>-17712844.731367886</v>
      </c>
      <c r="E110" s="104">
        <v>-12985702.687496677</v>
      </c>
      <c r="F110" s="104">
        <v>-20945788.469153911</v>
      </c>
      <c r="G110" s="104">
        <v>-15830717.364548892</v>
      </c>
      <c r="H110" s="104">
        <v>-14437257.342074156</v>
      </c>
      <c r="I110" s="104">
        <v>-21535328.025128588</v>
      </c>
    </row>
    <row r="111" spans="2:9">
      <c r="B111" s="102">
        <v>104</v>
      </c>
      <c r="C111" s="104">
        <v>-9761076.7169363797</v>
      </c>
      <c r="D111" s="104">
        <v>-1351767.5331644267</v>
      </c>
      <c r="E111" s="104">
        <v>-2319853.0843614787</v>
      </c>
      <c r="F111" s="104">
        <v>-15096584.107333571</v>
      </c>
      <c r="G111" s="104">
        <v>-17655545.661834553</v>
      </c>
      <c r="H111" s="104">
        <v>-15866225.655091807</v>
      </c>
      <c r="I111" s="104">
        <v>-15492622.494853601</v>
      </c>
    </row>
    <row r="112" spans="2:9">
      <c r="B112" s="102">
        <v>105</v>
      </c>
      <c r="C112" s="104">
        <v>-14166438.030462608</v>
      </c>
      <c r="D112" s="104">
        <v>-9956529.8093790412</v>
      </c>
      <c r="E112" s="104">
        <v>-10744976.88056691</v>
      </c>
      <c r="F112" s="104">
        <v>-14937046.33352308</v>
      </c>
      <c r="G112" s="104">
        <v>-18568801.706396207</v>
      </c>
      <c r="H112" s="104">
        <v>-19208677.801499292</v>
      </c>
      <c r="I112" s="104">
        <v>-22091417.014698938</v>
      </c>
    </row>
    <row r="113" spans="2:9">
      <c r="B113" s="102">
        <v>106</v>
      </c>
      <c r="C113" s="104">
        <v>-14089414.820620984</v>
      </c>
      <c r="D113" s="104">
        <v>-17844616.006472632</v>
      </c>
      <c r="E113" s="104">
        <v>-14551194.725310713</v>
      </c>
      <c r="F113" s="104">
        <v>-714884.54744014144</v>
      </c>
      <c r="G113" s="104">
        <v>-16206772.893321246</v>
      </c>
      <c r="H113" s="104">
        <v>-21104748.170441374</v>
      </c>
      <c r="I113" s="104">
        <v>-26606691.610236213</v>
      </c>
    </row>
    <row r="114" spans="2:9">
      <c r="B114" s="102">
        <v>107</v>
      </c>
      <c r="C114" s="104">
        <v>-7724026.8537661433</v>
      </c>
      <c r="D114" s="104">
        <v>-11926463.675674736</v>
      </c>
      <c r="E114" s="104">
        <v>-7423226.6473452747</v>
      </c>
      <c r="F114" s="104">
        <v>-10106548.45402202</v>
      </c>
      <c r="G114" s="104">
        <v>-11914086.153796777</v>
      </c>
      <c r="H114" s="104">
        <v>-22744533.905409381</v>
      </c>
      <c r="I114" s="104">
        <v>-18465125.324898988</v>
      </c>
    </row>
    <row r="115" spans="2:9">
      <c r="B115" s="102">
        <v>108</v>
      </c>
      <c r="C115" s="104">
        <v>-1763121.3858934939</v>
      </c>
      <c r="D115" s="104">
        <v>-3676580.5252059251</v>
      </c>
      <c r="E115" s="104">
        <v>-21127921.313690916</v>
      </c>
      <c r="F115" s="104">
        <v>-16175029.743899256</v>
      </c>
      <c r="G115" s="104">
        <v>-14978415.728804067</v>
      </c>
      <c r="H115" s="104">
        <v>-13925692.326646283</v>
      </c>
      <c r="I115" s="104">
        <v>-26366731.930163413</v>
      </c>
    </row>
    <row r="116" spans="2:9">
      <c r="B116" s="102">
        <v>109</v>
      </c>
      <c r="C116" s="104">
        <v>-6254917.9023226351</v>
      </c>
      <c r="D116" s="104">
        <v>-20652462.401742086</v>
      </c>
      <c r="E116" s="104">
        <v>-8569127.0977590829</v>
      </c>
      <c r="F116" s="104">
        <v>-11430586.421893924</v>
      </c>
      <c r="G116" s="104">
        <v>-18017194.66514872</v>
      </c>
      <c r="H116" s="104">
        <v>-24250258.673572153</v>
      </c>
      <c r="I116" s="104">
        <v>-24612073.288659424</v>
      </c>
    </row>
    <row r="117" spans="2:9">
      <c r="B117" s="102">
        <v>110</v>
      </c>
      <c r="C117" s="104">
        <v>-1357588.0727598518</v>
      </c>
      <c r="D117" s="104">
        <v>-10774558.300904319</v>
      </c>
      <c r="E117" s="104">
        <v>-9398939.0166389495</v>
      </c>
      <c r="F117" s="104">
        <v>-13285060.409987167</v>
      </c>
      <c r="G117" s="104">
        <v>-12610432.749496892</v>
      </c>
      <c r="H117" s="104">
        <v>-17738358.321002379</v>
      </c>
      <c r="I117" s="104">
        <v>-22975370.067593008</v>
      </c>
    </row>
    <row r="118" spans="2:9">
      <c r="B118" s="102">
        <v>111</v>
      </c>
      <c r="C118" s="104">
        <v>-2785934.6398734003</v>
      </c>
      <c r="D118" s="104">
        <v>-9389417.0629215688</v>
      </c>
      <c r="E118" s="104">
        <v>-17794199.139541745</v>
      </c>
      <c r="F118" s="104">
        <v>-20406564.410912186</v>
      </c>
      <c r="G118" s="104">
        <v>-16963160.739074558</v>
      </c>
      <c r="H118" s="104">
        <v>-23338967.175535187</v>
      </c>
      <c r="I118" s="104">
        <v>-13281488.868926242</v>
      </c>
    </row>
    <row r="119" spans="2:9">
      <c r="B119" s="102">
        <v>112</v>
      </c>
      <c r="C119" s="104">
        <v>-12302325.943376854</v>
      </c>
      <c r="D119" s="104">
        <v>-14615030.007754788</v>
      </c>
      <c r="E119" s="104">
        <v>-11639672.21582067</v>
      </c>
      <c r="F119" s="104">
        <v>-8436690.4641321003</v>
      </c>
      <c r="G119" s="104">
        <v>-12518463.167636231</v>
      </c>
      <c r="H119" s="104">
        <v>-22195553.772489756</v>
      </c>
      <c r="I119" s="104">
        <v>-22068449.941232115</v>
      </c>
    </row>
    <row r="120" spans="2:9">
      <c r="B120" s="102">
        <v>113</v>
      </c>
      <c r="C120" s="104">
        <v>-10431342.203837842</v>
      </c>
      <c r="D120" s="104">
        <v>-14530260.665641636</v>
      </c>
      <c r="E120" s="104">
        <v>-13107689.049409375</v>
      </c>
      <c r="F120" s="104">
        <v>-16639297.129884601</v>
      </c>
      <c r="G120" s="104">
        <v>-21820447.122813851</v>
      </c>
      <c r="H120" s="104">
        <v>-20998942.10754697</v>
      </c>
      <c r="I120" s="104">
        <v>-22373913.684341833</v>
      </c>
    </row>
    <row r="121" spans="2:9">
      <c r="B121" s="102">
        <v>114</v>
      </c>
      <c r="C121" s="104">
        <v>-10465842.045682594</v>
      </c>
      <c r="D121" s="104">
        <v>-10879396.737591505</v>
      </c>
      <c r="E121" s="104">
        <v>-6519951.0797640979</v>
      </c>
      <c r="F121" s="104">
        <v>-14023833.024323329</v>
      </c>
      <c r="G121" s="104">
        <v>-8230054.338120997</v>
      </c>
      <c r="H121" s="104">
        <v>-25488192.313046217</v>
      </c>
      <c r="I121" s="104">
        <v>-23076800.60521841</v>
      </c>
    </row>
    <row r="122" spans="2:9">
      <c r="B122" s="102">
        <v>115</v>
      </c>
      <c r="C122" s="104">
        <v>-15707366.655708566</v>
      </c>
      <c r="D122" s="104">
        <v>-7437291.5371398479</v>
      </c>
      <c r="E122" s="104">
        <v>-8576214.0991832614</v>
      </c>
      <c r="F122" s="104">
        <v>-21255289.58802022</v>
      </c>
      <c r="G122" s="104">
        <v>-19348759.71251902</v>
      </c>
      <c r="H122" s="104">
        <v>-13241137.033242762</v>
      </c>
      <c r="I122" s="104">
        <v>-20725027.070576772</v>
      </c>
    </row>
    <row r="123" spans="2:9">
      <c r="B123" s="102">
        <v>116</v>
      </c>
      <c r="C123" s="104">
        <v>-10699471.520879924</v>
      </c>
      <c r="D123" s="104">
        <v>-13617115.140721202</v>
      </c>
      <c r="E123" s="104">
        <v>-22565112.441008896</v>
      </c>
      <c r="F123" s="104">
        <v>-25603725.101897314</v>
      </c>
      <c r="G123" s="104">
        <v>-12656819.651034936</v>
      </c>
      <c r="H123" s="104">
        <v>-18640088.354706198</v>
      </c>
      <c r="I123" s="104">
        <v>-23390641.691488966</v>
      </c>
    </row>
    <row r="124" spans="2:9">
      <c r="B124" s="102">
        <v>117</v>
      </c>
      <c r="C124" s="104">
        <v>-8794346.963135168</v>
      </c>
      <c r="D124" s="104">
        <v>-12702298.024328366</v>
      </c>
      <c r="E124" s="104">
        <v>-13312510.917625889</v>
      </c>
      <c r="F124" s="104">
        <v>-13904067.039313838</v>
      </c>
      <c r="G124" s="104">
        <v>-19678592.283188179</v>
      </c>
      <c r="H124" s="104">
        <v>-20966333.653830722</v>
      </c>
      <c r="I124" s="104">
        <v>-23288476.303799257</v>
      </c>
    </row>
    <row r="125" spans="2:9">
      <c r="B125" s="102">
        <v>118</v>
      </c>
      <c r="C125" s="104">
        <v>-11029817.805765644</v>
      </c>
      <c r="D125" s="104">
        <v>-8193130.554527998</v>
      </c>
      <c r="E125" s="104">
        <v>-15615159.346154526</v>
      </c>
      <c r="F125" s="104">
        <v>-15262250.999288306</v>
      </c>
      <c r="G125" s="104">
        <v>-23609598.520770192</v>
      </c>
      <c r="H125" s="104">
        <v>-23015072.153001025</v>
      </c>
      <c r="I125" s="104">
        <v>-23236357.113404408</v>
      </c>
    </row>
    <row r="126" spans="2:9">
      <c r="B126" s="102">
        <v>119</v>
      </c>
      <c r="C126" s="104">
        <v>-11089028.197080702</v>
      </c>
      <c r="D126" s="104">
        <v>-18046301.143111378</v>
      </c>
      <c r="E126" s="104">
        <v>-20814490.650364414</v>
      </c>
      <c r="F126" s="104">
        <v>-13566624.811574832</v>
      </c>
      <c r="G126" s="104">
        <v>-18880247.687428415</v>
      </c>
      <c r="H126" s="104">
        <v>-14097177.928473666</v>
      </c>
      <c r="I126" s="104">
        <v>-26966211.867501423</v>
      </c>
    </row>
    <row r="127" spans="2:9">
      <c r="B127" s="102">
        <v>120</v>
      </c>
      <c r="C127" s="104">
        <v>-2433890.9169017971</v>
      </c>
      <c r="D127" s="104">
        <v>-13119628.333952516</v>
      </c>
      <c r="E127" s="104">
        <v>-6377736.6814857125</v>
      </c>
      <c r="F127" s="104">
        <v>-15818991.418698326</v>
      </c>
      <c r="G127" s="104">
        <v>-18445527.948850885</v>
      </c>
      <c r="H127" s="104">
        <v>-19166979.252787501</v>
      </c>
      <c r="I127" s="104">
        <v>-17163413.332900599</v>
      </c>
    </row>
    <row r="128" spans="2:9">
      <c r="B128" s="102">
        <v>121</v>
      </c>
      <c r="C128" s="104">
        <v>-8060948.7128388286</v>
      </c>
      <c r="D128" s="104">
        <v>-22416561.035030439</v>
      </c>
      <c r="E128" s="104">
        <v>-5322713.8407068998</v>
      </c>
      <c r="F128" s="104">
        <v>-22047844.042963132</v>
      </c>
      <c r="G128" s="104">
        <v>-23132980.128771007</v>
      </c>
      <c r="H128" s="104">
        <v>-19556659.851428911</v>
      </c>
      <c r="I128" s="104">
        <v>-25101661.172640771</v>
      </c>
    </row>
    <row r="129" spans="2:9">
      <c r="B129" s="102">
        <v>122</v>
      </c>
      <c r="C129" s="104">
        <v>-9051959.0432230532</v>
      </c>
      <c r="D129" s="104">
        <v>-4361407.0194270015</v>
      </c>
      <c r="E129" s="104">
        <v>-18198460.458871961</v>
      </c>
      <c r="F129" s="104">
        <v>-23294329.223243028</v>
      </c>
      <c r="G129" s="104">
        <v>-17743105.70404838</v>
      </c>
      <c r="H129" s="104">
        <v>-17203493.089319676</v>
      </c>
      <c r="I129" s="104">
        <v>-16793884.549121544</v>
      </c>
    </row>
    <row r="130" spans="2:9">
      <c r="B130" s="102">
        <v>123</v>
      </c>
      <c r="C130" s="104">
        <v>-12448424.719408348</v>
      </c>
      <c r="D130" s="104">
        <v>-10153823.648268849</v>
      </c>
      <c r="E130" s="104">
        <v>-14788171.80563055</v>
      </c>
      <c r="F130" s="104">
        <v>-14368643.201175451</v>
      </c>
      <c r="G130" s="104">
        <v>-16474285.245664641</v>
      </c>
      <c r="H130" s="104">
        <v>-23689050.996343806</v>
      </c>
      <c r="I130" s="104">
        <v>-23229666.171422631</v>
      </c>
    </row>
    <row r="131" spans="2:9">
      <c r="B131" s="102">
        <v>124</v>
      </c>
      <c r="C131" s="104">
        <v>-8600800.6899933219</v>
      </c>
      <c r="D131" s="104">
        <v>-9713776.9368152469</v>
      </c>
      <c r="E131" s="104">
        <v>-13720241.153237909</v>
      </c>
      <c r="F131" s="104">
        <v>-10128462.108555466</v>
      </c>
      <c r="G131" s="104">
        <v>-11917910.478209347</v>
      </c>
      <c r="H131" s="104">
        <v>-26183676.762034297</v>
      </c>
      <c r="I131" s="104">
        <v>-16781556.63346909</v>
      </c>
    </row>
    <row r="132" spans="2:9">
      <c r="B132" s="102">
        <v>125</v>
      </c>
      <c r="C132" s="104">
        <v>-7958753.7974375188</v>
      </c>
      <c r="D132" s="104">
        <v>-11803543.835185885</v>
      </c>
      <c r="E132" s="104">
        <v>-12896420.860549912</v>
      </c>
      <c r="F132" s="104">
        <v>-9268722.301670447</v>
      </c>
      <c r="G132" s="104">
        <v>-19433060.444862306</v>
      </c>
      <c r="H132" s="104">
        <v>-14960633.919295728</v>
      </c>
      <c r="I132" s="104">
        <v>-23247527.417893127</v>
      </c>
    </row>
    <row r="133" spans="2:9">
      <c r="B133" s="102">
        <v>126</v>
      </c>
      <c r="C133" s="104">
        <v>-9960656.5707855225</v>
      </c>
      <c r="D133" s="104">
        <v>-20813559.247664183</v>
      </c>
      <c r="E133" s="104">
        <v>-15621379.863910139</v>
      </c>
      <c r="F133" s="104">
        <v>-14232801.597263336</v>
      </c>
      <c r="G133" s="104">
        <v>-23122339.161380976</v>
      </c>
      <c r="H133" s="104">
        <v>-16129450.548886329</v>
      </c>
      <c r="I133" s="104">
        <v>-16252110.002982527</v>
      </c>
    </row>
    <row r="134" spans="2:9">
      <c r="B134" s="102">
        <v>127</v>
      </c>
      <c r="C134" s="104">
        <v>-4612435.382025063</v>
      </c>
      <c r="D134" s="104">
        <v>-10703977.037523434</v>
      </c>
      <c r="E134" s="104">
        <v>-10731562.892805219</v>
      </c>
      <c r="F134" s="104">
        <v>-11962915.558570787</v>
      </c>
      <c r="G134" s="104">
        <v>-21739794.66011703</v>
      </c>
      <c r="H134" s="104">
        <v>-22943761.283731088</v>
      </c>
      <c r="I134" s="104">
        <v>-22960641.431215078</v>
      </c>
    </row>
    <row r="135" spans="2:9">
      <c r="B135" s="102">
        <v>128</v>
      </c>
      <c r="C135" s="104">
        <v>-9252367.3223900944</v>
      </c>
      <c r="D135" s="104">
        <v>-9809009.7813155651</v>
      </c>
      <c r="E135" s="104">
        <v>-11499597.893398941</v>
      </c>
      <c r="F135" s="104">
        <v>-16033407.500291049</v>
      </c>
      <c r="G135" s="104">
        <v>-15803287.776485175</v>
      </c>
      <c r="H135" s="104">
        <v>-27127393.802606896</v>
      </c>
      <c r="I135" s="104">
        <v>-20976476.386286438</v>
      </c>
    </row>
    <row r="136" spans="2:9">
      <c r="B136" s="102">
        <v>129</v>
      </c>
      <c r="C136" s="104">
        <v>-2604657.3406029642</v>
      </c>
      <c r="D136" s="104">
        <v>-1155399.8536495864</v>
      </c>
      <c r="E136" s="104">
        <v>-12219534.920174167</v>
      </c>
      <c r="F136" s="104">
        <v>-9618771.5535664707</v>
      </c>
      <c r="G136" s="104">
        <v>-16563274.206766769</v>
      </c>
      <c r="H136" s="104">
        <v>-19548177.638292775</v>
      </c>
      <c r="I136" s="104">
        <v>-25603000.705523133</v>
      </c>
    </row>
    <row r="137" spans="2:9">
      <c r="B137" s="102">
        <v>130</v>
      </c>
      <c r="C137" s="104">
        <v>-3467902.8646809012</v>
      </c>
      <c r="D137" s="104">
        <v>-10896343.98079893</v>
      </c>
      <c r="E137" s="104">
        <v>-10455677.476409003</v>
      </c>
      <c r="F137" s="104">
        <v>-13312844.288279355</v>
      </c>
      <c r="G137" s="104">
        <v>-15015666.688643813</v>
      </c>
      <c r="H137" s="104">
        <v>-11046873.505413979</v>
      </c>
      <c r="I137" s="104">
        <v>-18707068.491686434</v>
      </c>
    </row>
    <row r="138" spans="2:9">
      <c r="B138" s="102">
        <v>131</v>
      </c>
      <c r="C138" s="104">
        <v>-11278410.579265371</v>
      </c>
      <c r="D138" s="104">
        <v>-13918598.109163135</v>
      </c>
      <c r="E138" s="104">
        <v>-13354832.577739313</v>
      </c>
      <c r="F138" s="104">
        <v>-22161380.877754599</v>
      </c>
      <c r="G138" s="104">
        <v>-12842288.350890845</v>
      </c>
      <c r="H138" s="104">
        <v>-19581742.362107292</v>
      </c>
      <c r="I138" s="104">
        <v>-26430396.514235228</v>
      </c>
    </row>
    <row r="139" spans="2:9">
      <c r="B139" s="102">
        <v>132</v>
      </c>
      <c r="C139" s="104">
        <v>-4315140.5596909076</v>
      </c>
      <c r="D139" s="104">
        <v>-8209876.0590323508</v>
      </c>
      <c r="E139" s="104">
        <v>-1135123.6557437181</v>
      </c>
      <c r="F139" s="104">
        <v>-28726133.244481847</v>
      </c>
      <c r="G139" s="104">
        <v>-17148159.385150716</v>
      </c>
      <c r="H139" s="104">
        <v>-9902292.8855773807</v>
      </c>
      <c r="I139" s="104">
        <v>-18656284.218148679</v>
      </c>
    </row>
    <row r="140" spans="2:9">
      <c r="B140" s="102">
        <v>133</v>
      </c>
      <c r="C140" s="104">
        <v>-6887768.199583739</v>
      </c>
      <c r="D140" s="104">
        <v>-12973421.464856148</v>
      </c>
      <c r="E140" s="104">
        <v>-19496498.56454061</v>
      </c>
      <c r="F140" s="104">
        <v>-9506843.7867465913</v>
      </c>
      <c r="G140" s="104">
        <v>-22137729.148086712</v>
      </c>
      <c r="H140" s="104">
        <v>-15260197.567717731</v>
      </c>
      <c r="I140" s="104">
        <v>-2976997.9565379173</v>
      </c>
    </row>
    <row r="141" spans="2:9">
      <c r="B141" s="102">
        <v>134</v>
      </c>
      <c r="C141" s="104">
        <v>-12996099.421062186</v>
      </c>
      <c r="D141" s="104">
        <v>-7829014.7448687851</v>
      </c>
      <c r="E141" s="104">
        <v>-16649202.035903707</v>
      </c>
      <c r="F141" s="104">
        <v>-14385206.662849247</v>
      </c>
      <c r="G141" s="104">
        <v>-23392778.240404144</v>
      </c>
      <c r="H141" s="104">
        <v>-23244788.036393076</v>
      </c>
      <c r="I141" s="104">
        <v>-16568882.391713113</v>
      </c>
    </row>
    <row r="142" spans="2:9">
      <c r="B142" s="102">
        <v>135</v>
      </c>
      <c r="C142" s="104">
        <v>-13392588.520121545</v>
      </c>
      <c r="D142" s="104">
        <v>-21466648.424207136</v>
      </c>
      <c r="E142" s="104">
        <v>-14454844.352158204</v>
      </c>
      <c r="F142" s="104">
        <v>-19875162.506977826</v>
      </c>
      <c r="G142" s="104">
        <v>-18319113.162969038</v>
      </c>
      <c r="H142" s="104">
        <v>-19576037.368175507</v>
      </c>
      <c r="I142" s="104">
        <v>-19959867.236600056</v>
      </c>
    </row>
    <row r="143" spans="2:9">
      <c r="B143" s="102">
        <v>136</v>
      </c>
      <c r="C143" s="104">
        <v>-6779045.8165618479</v>
      </c>
      <c r="D143" s="104">
        <v>-13880679.482910842</v>
      </c>
      <c r="E143" s="104">
        <v>-17580109.872032315</v>
      </c>
      <c r="F143" s="104">
        <v>-15974983.661380097</v>
      </c>
      <c r="G143" s="104">
        <v>-26482171.43710728</v>
      </c>
      <c r="H143" s="104">
        <v>-15041479.954751462</v>
      </c>
      <c r="I143" s="104">
        <v>-7636737.9376311153</v>
      </c>
    </row>
    <row r="144" spans="2:9">
      <c r="B144" s="102">
        <v>137</v>
      </c>
      <c r="C144" s="104">
        <v>-5686855.5150253773</v>
      </c>
      <c r="D144" s="104">
        <v>-17716253.975093052</v>
      </c>
      <c r="E144" s="104">
        <v>-10158716.741742209</v>
      </c>
      <c r="F144" s="104">
        <v>-13165137.339963242</v>
      </c>
      <c r="G144" s="104">
        <v>-20221993.327950209</v>
      </c>
      <c r="H144" s="104">
        <v>-16768872.617168233</v>
      </c>
      <c r="I144" s="104">
        <v>-27627805.109645486</v>
      </c>
    </row>
    <row r="145" spans="2:9">
      <c r="B145" s="102">
        <v>138</v>
      </c>
      <c r="C145" s="104">
        <v>-8203826.4535106719</v>
      </c>
      <c r="D145" s="104">
        <v>-12317005.382219434</v>
      </c>
      <c r="E145" s="104">
        <v>-10269876.948384479</v>
      </c>
      <c r="F145" s="104">
        <v>-22598017.172480226</v>
      </c>
      <c r="G145" s="104">
        <v>-16870604.361182183</v>
      </c>
      <c r="H145" s="104">
        <v>-21887664.110529184</v>
      </c>
      <c r="I145" s="104">
        <v>-18848255.235344842</v>
      </c>
    </row>
    <row r="146" spans="2:9">
      <c r="B146" s="102">
        <v>139</v>
      </c>
      <c r="C146" s="104">
        <v>-4462964.2791681737</v>
      </c>
      <c r="D146" s="104">
        <v>-17047794.692795485</v>
      </c>
      <c r="E146" s="104">
        <v>-8334641.4519900233</v>
      </c>
      <c r="F146" s="104">
        <v>-16849738.254629984</v>
      </c>
      <c r="G146" s="104">
        <v>-17389027.644363269</v>
      </c>
      <c r="H146" s="104">
        <v>-24220575.118065417</v>
      </c>
      <c r="I146" s="104">
        <v>-19532243.568370044</v>
      </c>
    </row>
    <row r="147" spans="2:9">
      <c r="B147" s="102">
        <v>140</v>
      </c>
      <c r="C147" s="104">
        <v>-12258497.089657247</v>
      </c>
      <c r="D147" s="104">
        <v>-13646959.195697099</v>
      </c>
      <c r="E147" s="104">
        <v>-15505022.966519728</v>
      </c>
      <c r="F147" s="104">
        <v>-17427292.735966668</v>
      </c>
      <c r="G147" s="104">
        <v>-17311087.478163078</v>
      </c>
      <c r="H147" s="104">
        <v>-21367938.908994302</v>
      </c>
      <c r="I147" s="104">
        <v>-28727810.190576211</v>
      </c>
    </row>
    <row r="148" spans="2:9">
      <c r="B148" s="102">
        <v>141</v>
      </c>
      <c r="C148" s="104">
        <v>-9270778.0665003508</v>
      </c>
      <c r="D148" s="104">
        <v>-13603753.55161427</v>
      </c>
      <c r="E148" s="104">
        <v>-18800117.954250827</v>
      </c>
      <c r="F148" s="104">
        <v>-7623431.3468346149</v>
      </c>
      <c r="G148" s="104">
        <v>-25178800.987100214</v>
      </c>
      <c r="H148" s="104">
        <v>-23328533.935332015</v>
      </c>
      <c r="I148" s="104">
        <v>-25928601.452693194</v>
      </c>
    </row>
    <row r="149" spans="2:9">
      <c r="B149" s="102">
        <v>142</v>
      </c>
      <c r="C149" s="104">
        <v>-3995748.9694055617</v>
      </c>
      <c r="D149" s="104">
        <v>-7086383.4760083258</v>
      </c>
      <c r="E149" s="104">
        <v>-10983756.107891008</v>
      </c>
      <c r="F149" s="104">
        <v>-20825981.397948563</v>
      </c>
      <c r="G149" s="104">
        <v>-16382801.374792904</v>
      </c>
      <c r="H149" s="104">
        <v>-18912894.40778552</v>
      </c>
      <c r="I149" s="104">
        <v>-20472487.603870124</v>
      </c>
    </row>
    <row r="150" spans="2:9">
      <c r="B150" s="102">
        <v>143</v>
      </c>
      <c r="C150" s="104">
        <v>-6561170.2090976983</v>
      </c>
      <c r="D150" s="104">
        <v>-5847253.42632851</v>
      </c>
      <c r="E150" s="104">
        <v>-4719747.3108981103</v>
      </c>
      <c r="F150" s="104">
        <v>-13099020.903131634</v>
      </c>
      <c r="G150" s="104">
        <v>-19431104.074138939</v>
      </c>
      <c r="H150" s="104">
        <v>-19328566.965119407</v>
      </c>
      <c r="I150" s="104">
        <v>-17581943.940633163</v>
      </c>
    </row>
    <row r="151" spans="2:9">
      <c r="B151" s="102">
        <v>144</v>
      </c>
      <c r="C151" s="104">
        <v>-12667321.95629628</v>
      </c>
      <c r="D151" s="104">
        <v>-4336483.6142862141</v>
      </c>
      <c r="E151" s="104">
        <v>-21398274.517696902</v>
      </c>
      <c r="F151" s="104">
        <v>-12530767.257257625</v>
      </c>
      <c r="G151" s="104">
        <v>-16781344.069798261</v>
      </c>
      <c r="H151" s="104">
        <v>-18002710.139652625</v>
      </c>
      <c r="I151" s="104">
        <v>-26904726.454477578</v>
      </c>
    </row>
    <row r="152" spans="2:9">
      <c r="B152" s="102">
        <v>145</v>
      </c>
      <c r="C152" s="104">
        <v>-9285290.0209284276</v>
      </c>
      <c r="D152" s="104">
        <v>-11379445.175484896</v>
      </c>
      <c r="E152" s="104">
        <v>-11322248.720605478</v>
      </c>
      <c r="F152" s="104">
        <v>-4157263.6877426505</v>
      </c>
      <c r="G152" s="104">
        <v>-16269761.182653293</v>
      </c>
      <c r="H152" s="104">
        <v>-13762451.046893418</v>
      </c>
      <c r="I152" s="104">
        <v>-24922334.393228546</v>
      </c>
    </row>
    <row r="153" spans="2:9">
      <c r="B153" s="102">
        <v>146</v>
      </c>
      <c r="C153" s="104">
        <v>-7714691.8980363011</v>
      </c>
      <c r="D153" s="104">
        <v>-11814279.645446762</v>
      </c>
      <c r="E153" s="104">
        <v>-10750816.857006922</v>
      </c>
      <c r="F153" s="104">
        <v>-16432224.956071794</v>
      </c>
      <c r="G153" s="104">
        <v>-26364062.114250973</v>
      </c>
      <c r="H153" s="104">
        <v>-23392281.819993511</v>
      </c>
      <c r="I153" s="104">
        <v>-15840284.076190561</v>
      </c>
    </row>
    <row r="154" spans="2:9">
      <c r="B154" s="102">
        <v>147</v>
      </c>
      <c r="C154" s="104">
        <v>-557722.6469334662</v>
      </c>
      <c r="D154" s="104">
        <v>-6425780.5785844475</v>
      </c>
      <c r="E154" s="104">
        <v>-6457785.9070702046</v>
      </c>
      <c r="F154" s="104">
        <v>-6077403.6851655692</v>
      </c>
      <c r="G154" s="104">
        <v>-12772480.47586301</v>
      </c>
      <c r="H154" s="104">
        <v>-17656484.711470187</v>
      </c>
      <c r="I154" s="104">
        <v>-22604054.556643248</v>
      </c>
    </row>
    <row r="155" spans="2:9">
      <c r="B155" s="102">
        <v>148</v>
      </c>
      <c r="C155" s="104">
        <v>-8871146.9076882601</v>
      </c>
      <c r="D155" s="104">
        <v>-16961812.259031504</v>
      </c>
      <c r="E155" s="104">
        <v>-21892639.264490739</v>
      </c>
      <c r="F155" s="104">
        <v>-15520391.32854104</v>
      </c>
      <c r="G155" s="104">
        <v>-20427237.058566794</v>
      </c>
      <c r="H155" s="104">
        <v>-26612775.052798703</v>
      </c>
      <c r="I155" s="104">
        <v>-22454926.538803637</v>
      </c>
    </row>
    <row r="156" spans="2:9">
      <c r="B156" s="102">
        <v>149</v>
      </c>
      <c r="C156" s="104">
        <v>-18016837.103536785</v>
      </c>
      <c r="D156" s="104">
        <v>-12524095.06403777</v>
      </c>
      <c r="E156" s="104">
        <v>-8831652.9335625023</v>
      </c>
      <c r="F156" s="104">
        <v>-13957804.112287402</v>
      </c>
      <c r="G156" s="104">
        <v>-19933054.532365233</v>
      </c>
      <c r="H156" s="104">
        <v>-26201847.599151149</v>
      </c>
      <c r="I156" s="104">
        <v>-20474527.392703921</v>
      </c>
    </row>
    <row r="157" spans="2:9">
      <c r="B157" s="102">
        <v>150</v>
      </c>
      <c r="C157" s="104">
        <v>-1410131.5921072066</v>
      </c>
      <c r="D157" s="104">
        <v>-10329032.908152521</v>
      </c>
      <c r="E157" s="104">
        <v>-7323903.4558361173</v>
      </c>
      <c r="F157" s="104">
        <v>-14331374.115075245</v>
      </c>
      <c r="G157" s="104">
        <v>-23482318.661450401</v>
      </c>
      <c r="H157" s="104">
        <v>-19197581.964460686</v>
      </c>
      <c r="I157" s="104">
        <v>-26919402.549736306</v>
      </c>
    </row>
    <row r="158" spans="2:9">
      <c r="B158" s="102">
        <v>151</v>
      </c>
      <c r="C158" s="104">
        <v>-13972993.386234105</v>
      </c>
      <c r="D158" s="104">
        <v>-9669978.5696090758</v>
      </c>
      <c r="E158" s="104">
        <v>-11710013.928084671</v>
      </c>
      <c r="F158" s="104">
        <v>-15875530.052227095</v>
      </c>
      <c r="G158" s="104">
        <v>-16743327.712963864</v>
      </c>
      <c r="H158" s="104">
        <v>-20339235.397490725</v>
      </c>
      <c r="I158" s="104">
        <v>-27013285.214709312</v>
      </c>
    </row>
    <row r="159" spans="2:9">
      <c r="B159" s="102">
        <v>152</v>
      </c>
      <c r="C159" s="104">
        <v>-10083757.627539933</v>
      </c>
      <c r="D159" s="104">
        <v>-12517930.08410117</v>
      </c>
      <c r="E159" s="104">
        <v>-12034095.820572019</v>
      </c>
      <c r="F159" s="104">
        <v>-8292966.2558816373</v>
      </c>
      <c r="G159" s="104">
        <v>-24790308.254908398</v>
      </c>
      <c r="H159" s="104">
        <v>-19185564.719971493</v>
      </c>
      <c r="I159" s="104">
        <v>-23614434.749328285</v>
      </c>
    </row>
    <row r="160" spans="2:9">
      <c r="B160" s="102">
        <v>153</v>
      </c>
      <c r="C160" s="104">
        <v>-1163101.1035128385</v>
      </c>
      <c r="D160" s="104">
        <v>-15767785.42352961</v>
      </c>
      <c r="E160" s="104">
        <v>-10216472.320063308</v>
      </c>
      <c r="F160" s="104">
        <v>-13606230.114713296</v>
      </c>
      <c r="G160" s="104">
        <v>-17170640.376742467</v>
      </c>
      <c r="H160" s="104">
        <v>-22904234.552871183</v>
      </c>
      <c r="I160" s="104">
        <v>-25493922.730223209</v>
      </c>
    </row>
    <row r="161" spans="2:9">
      <c r="B161" s="102">
        <v>154</v>
      </c>
      <c r="C161" s="104">
        <v>-22123967.900136679</v>
      </c>
      <c r="D161" s="104">
        <v>-9348239.7062300742</v>
      </c>
      <c r="E161" s="104">
        <v>-5376993.628515169</v>
      </c>
      <c r="F161" s="104">
        <v>-13580518.544343144</v>
      </c>
      <c r="G161" s="104">
        <v>-25760420.066537708</v>
      </c>
      <c r="H161" s="104">
        <v>-12669569.25270848</v>
      </c>
      <c r="I161" s="104">
        <v>-27498972.936409891</v>
      </c>
    </row>
    <row r="162" spans="2:9">
      <c r="B162" s="102">
        <v>155</v>
      </c>
      <c r="C162" s="104">
        <v>-11067426.692923829</v>
      </c>
      <c r="D162" s="104">
        <v>-7554435.5525208563</v>
      </c>
      <c r="E162" s="104">
        <v>-11276295.274421021</v>
      </c>
      <c r="F162" s="104">
        <v>-18618330.175331086</v>
      </c>
      <c r="G162" s="104">
        <v>-10763650.435223326</v>
      </c>
      <c r="H162" s="104">
        <v>-21002117.928582951</v>
      </c>
      <c r="I162" s="104">
        <v>-23817006.921600118</v>
      </c>
    </row>
    <row r="163" spans="2:9">
      <c r="B163" s="102">
        <v>156</v>
      </c>
      <c r="C163" s="104">
        <v>-6483200.6663994789</v>
      </c>
      <c r="D163" s="104">
        <v>-16826035.362071052</v>
      </c>
      <c r="E163" s="104">
        <v>-23613150.128276795</v>
      </c>
      <c r="F163" s="104">
        <v>-27462024.259719804</v>
      </c>
      <c r="G163" s="104">
        <v>-23248512.567263067</v>
      </c>
      <c r="H163" s="104">
        <v>-18602704.637401387</v>
      </c>
      <c r="I163" s="104">
        <v>-18641768.124815062</v>
      </c>
    </row>
    <row r="164" spans="2:9">
      <c r="B164" s="102">
        <v>157</v>
      </c>
      <c r="C164" s="104">
        <v>-12033391.90957655</v>
      </c>
      <c r="D164" s="104">
        <v>-8913158.8554723114</v>
      </c>
      <c r="E164" s="104">
        <v>-15152333.779519856</v>
      </c>
      <c r="F164" s="104">
        <v>-25164476.26375246</v>
      </c>
      <c r="G164" s="104">
        <v>-17585897.055792958</v>
      </c>
      <c r="H164" s="104">
        <v>-23278443.847010478</v>
      </c>
      <c r="I164" s="104">
        <v>-18758818.074261457</v>
      </c>
    </row>
    <row r="165" spans="2:9">
      <c r="B165" s="102">
        <v>158</v>
      </c>
      <c r="C165" s="104">
        <v>-14556716.88180618</v>
      </c>
      <c r="D165" s="104">
        <v>-11854796.067847684</v>
      </c>
      <c r="E165" s="104">
        <v>-5290139.4646814018</v>
      </c>
      <c r="F165" s="104">
        <v>-16085054.670625404</v>
      </c>
      <c r="G165" s="104">
        <v>-29111298.248312905</v>
      </c>
      <c r="H165" s="104">
        <v>-25394231.223127857</v>
      </c>
      <c r="I165" s="104">
        <v>-24281987.627563506</v>
      </c>
    </row>
    <row r="166" spans="2:9">
      <c r="B166" s="102">
        <v>159</v>
      </c>
      <c r="C166" s="104">
        <v>-5762098.4469245225</v>
      </c>
      <c r="D166" s="104">
        <v>-14794282.108824685</v>
      </c>
      <c r="E166" s="104">
        <v>-9372500.8112130612</v>
      </c>
      <c r="F166" s="104">
        <v>-13662586.199360624</v>
      </c>
      <c r="G166" s="104">
        <v>-28495667.589466467</v>
      </c>
      <c r="H166" s="104">
        <v>-18734156.444782525</v>
      </c>
      <c r="I166" s="104">
        <v>-26324938.076429501</v>
      </c>
    </row>
    <row r="167" spans="2:9">
      <c r="B167" s="102">
        <v>160</v>
      </c>
      <c r="C167" s="104">
        <v>-8429044.394313857</v>
      </c>
      <c r="D167" s="104">
        <v>-16508846.951369032</v>
      </c>
      <c r="E167" s="104">
        <v>-9710267.8195817918</v>
      </c>
      <c r="F167" s="104">
        <v>-17495032.049689069</v>
      </c>
      <c r="G167" s="104">
        <v>-15477698.129810125</v>
      </c>
      <c r="H167" s="104">
        <v>-9582045.0698441565</v>
      </c>
      <c r="I167" s="104">
        <v>-22895497.797685206</v>
      </c>
    </row>
    <row r="168" spans="2:9">
      <c r="B168" s="102">
        <v>161</v>
      </c>
      <c r="C168" s="104">
        <v>-6294308.219629854</v>
      </c>
      <c r="D168" s="104">
        <v>-14746306.912782073</v>
      </c>
      <c r="E168" s="104">
        <v>-10289701.252513051</v>
      </c>
      <c r="F168" s="104">
        <v>-13717345.530315846</v>
      </c>
      <c r="G168" s="104">
        <v>-19812839.845986202</v>
      </c>
      <c r="H168" s="104">
        <v>-14888875.670276135</v>
      </c>
      <c r="I168" s="104">
        <v>-24660578.188991681</v>
      </c>
    </row>
    <row r="169" spans="2:9">
      <c r="B169" s="102">
        <v>162</v>
      </c>
      <c r="C169" s="104">
        <v>-9772212.2696478069</v>
      </c>
      <c r="D169" s="104">
        <v>-6523846.5971571207</v>
      </c>
      <c r="E169" s="104">
        <v>-7862442.0328041166</v>
      </c>
      <c r="F169" s="104">
        <v>-19012478.671614751</v>
      </c>
      <c r="G169" s="104">
        <v>-25488808.285937861</v>
      </c>
      <c r="H169" s="104">
        <v>-18433359.050415084</v>
      </c>
      <c r="I169" s="104">
        <v>-12456320.566112742</v>
      </c>
    </row>
    <row r="170" spans="2:9">
      <c r="B170" s="102">
        <v>163</v>
      </c>
      <c r="C170" s="104">
        <v>-2457709.5795425177</v>
      </c>
      <c r="D170" s="104">
        <v>-21911469.705658138</v>
      </c>
      <c r="E170" s="104">
        <v>-3541604.3093957603</v>
      </c>
      <c r="F170" s="104">
        <v>-12982976.50791958</v>
      </c>
      <c r="G170" s="104">
        <v>-10241461.143141925</v>
      </c>
      <c r="H170" s="104">
        <v>-18001092.573372141</v>
      </c>
      <c r="I170" s="104">
        <v>-26919717.44207719</v>
      </c>
    </row>
    <row r="171" spans="2:9">
      <c r="B171" s="102">
        <v>164</v>
      </c>
      <c r="C171" s="104">
        <v>-10823741.744433403</v>
      </c>
      <c r="D171" s="104">
        <v>-11624294.827386245</v>
      </c>
      <c r="E171" s="104">
        <v>-9702992.1523581445</v>
      </c>
      <c r="F171" s="104">
        <v>-18437558.74882786</v>
      </c>
      <c r="G171" s="104">
        <v>-14890911.01869531</v>
      </c>
      <c r="H171" s="104">
        <v>-18932157.928877711</v>
      </c>
      <c r="I171" s="104">
        <v>-23235409.636509731</v>
      </c>
    </row>
    <row r="172" spans="2:9">
      <c r="B172" s="102">
        <v>165</v>
      </c>
      <c r="C172" s="104">
        <v>-12248570.216513604</v>
      </c>
      <c r="D172" s="104">
        <v>-3593946.5522353649</v>
      </c>
      <c r="E172" s="104">
        <v>-20679415.561591119</v>
      </c>
      <c r="F172" s="104">
        <v>-26315360.306510568</v>
      </c>
      <c r="G172" s="104">
        <v>-17161938.252931312</v>
      </c>
      <c r="H172" s="104">
        <v>-20924950.052836955</v>
      </c>
      <c r="I172" s="104">
        <v>-17808816.563609898</v>
      </c>
    </row>
    <row r="173" spans="2:9">
      <c r="B173" s="102">
        <v>166</v>
      </c>
      <c r="C173" s="104">
        <v>-12876559.479331374</v>
      </c>
      <c r="D173" s="104">
        <v>-11601583.193825737</v>
      </c>
      <c r="E173" s="104">
        <v>-12817837.02185142</v>
      </c>
      <c r="F173" s="104">
        <v>-6098720.6635787636</v>
      </c>
      <c r="G173" s="104">
        <v>-20633804.331057101</v>
      </c>
      <c r="H173" s="104">
        <v>-26533544.230138928</v>
      </c>
      <c r="I173" s="104">
        <v>-20415756.476788476</v>
      </c>
    </row>
    <row r="174" spans="2:9">
      <c r="B174" s="102">
        <v>167</v>
      </c>
      <c r="C174" s="104">
        <v>-13558818.004871339</v>
      </c>
      <c r="D174" s="104">
        <v>-7840890.8335524648</v>
      </c>
      <c r="E174" s="104">
        <v>-15304299.872271508</v>
      </c>
      <c r="F174" s="104">
        <v>-21394937.937133744</v>
      </c>
      <c r="G174" s="104">
        <v>-28975853.544460937</v>
      </c>
      <c r="H174" s="104">
        <v>-18308145.069094881</v>
      </c>
      <c r="I174" s="104">
        <v>-20255750.503951013</v>
      </c>
    </row>
    <row r="175" spans="2:9">
      <c r="B175" s="102">
        <v>168</v>
      </c>
      <c r="C175" s="104">
        <v>-9782878.3797127306</v>
      </c>
      <c r="D175" s="104">
        <v>-17221216.664120659</v>
      </c>
      <c r="E175" s="104">
        <v>-14216747.124185696</v>
      </c>
      <c r="F175" s="104">
        <v>-17802988.053912818</v>
      </c>
      <c r="G175" s="104">
        <v>-13454799.218754575</v>
      </c>
      <c r="H175" s="104">
        <v>-21043722.359963328</v>
      </c>
      <c r="I175" s="104">
        <v>-24331526.298439562</v>
      </c>
    </row>
    <row r="176" spans="2:9">
      <c r="B176" s="102">
        <v>169</v>
      </c>
      <c r="C176" s="104">
        <v>-11799999.626954198</v>
      </c>
      <c r="D176" s="104">
        <v>-4964872.2474698424</v>
      </c>
      <c r="E176" s="104">
        <v>-13650348.565677077</v>
      </c>
      <c r="F176" s="104">
        <v>-6520329.1845526248</v>
      </c>
      <c r="G176" s="104">
        <v>-21648763.412077993</v>
      </c>
      <c r="H176" s="104">
        <v>-16662288.339725956</v>
      </c>
      <c r="I176" s="104">
        <v>-17862634.169185743</v>
      </c>
    </row>
    <row r="177" spans="2:9">
      <c r="B177" s="102">
        <v>170</v>
      </c>
      <c r="C177" s="104">
        <v>-15587819.62847513</v>
      </c>
      <c r="D177" s="104">
        <v>-5419744.3560974896</v>
      </c>
      <c r="E177" s="104">
        <v>-18814764.449898422</v>
      </c>
      <c r="F177" s="104">
        <v>-14023169.483576342</v>
      </c>
      <c r="G177" s="104">
        <v>-19583276.009252995</v>
      </c>
      <c r="H177" s="104">
        <v>-18447416.317696631</v>
      </c>
      <c r="I177" s="104">
        <v>-21910331.021626964</v>
      </c>
    </row>
    <row r="178" spans="2:9">
      <c r="B178" s="102">
        <v>171</v>
      </c>
      <c r="C178" s="104">
        <v>-5785364.3043409139</v>
      </c>
      <c r="D178" s="104">
        <v>-10948610.441867486</v>
      </c>
      <c r="E178" s="104">
        <v>-16722750.287276134</v>
      </c>
      <c r="F178" s="104">
        <v>-15692465.772853568</v>
      </c>
      <c r="G178" s="104">
        <v>-20544956.901986003</v>
      </c>
      <c r="H178" s="104">
        <v>-16421037.678956226</v>
      </c>
      <c r="I178" s="104">
        <v>-16512941.162966996</v>
      </c>
    </row>
    <row r="179" spans="2:9">
      <c r="B179" s="102">
        <v>172</v>
      </c>
      <c r="C179" s="104">
        <v>-12960707.924478278</v>
      </c>
      <c r="D179" s="104">
        <v>-7551321.3732178211</v>
      </c>
      <c r="E179" s="104">
        <v>-16144410.471390337</v>
      </c>
      <c r="F179" s="104">
        <v>-25193862.990423903</v>
      </c>
      <c r="G179" s="104">
        <v>-20874427.711864978</v>
      </c>
      <c r="H179" s="104">
        <v>-17192415.741171136</v>
      </c>
      <c r="I179" s="104">
        <v>-28515629.637852252</v>
      </c>
    </row>
    <row r="180" spans="2:9">
      <c r="B180" s="102">
        <v>173</v>
      </c>
      <c r="C180" s="104">
        <v>-7146033.5123285353</v>
      </c>
      <c r="D180" s="104">
        <v>-11881830.903973728</v>
      </c>
      <c r="E180" s="104">
        <v>-10022923.133418366</v>
      </c>
      <c r="F180" s="104">
        <v>-21651103.02439405</v>
      </c>
      <c r="G180" s="104">
        <v>-12417225.172665596</v>
      </c>
      <c r="H180" s="104">
        <v>-21497469.022256479</v>
      </c>
      <c r="I180" s="104">
        <v>-21328337.831290618</v>
      </c>
    </row>
    <row r="181" spans="2:9">
      <c r="B181" s="102">
        <v>174</v>
      </c>
      <c r="C181" s="104">
        <v>-558054.22738800943</v>
      </c>
      <c r="D181" s="104">
        <v>-14686106.68394357</v>
      </c>
      <c r="E181" s="104">
        <v>-12594730.977679029</v>
      </c>
      <c r="F181" s="104">
        <v>-15840055.465294719</v>
      </c>
      <c r="G181" s="104">
        <v>-16192135.735392138</v>
      </c>
      <c r="H181" s="104">
        <v>-20167865.330387652</v>
      </c>
      <c r="I181" s="104">
        <v>-21415155.525662705</v>
      </c>
    </row>
    <row r="182" spans="2:9">
      <c r="B182" s="102">
        <v>175</v>
      </c>
      <c r="C182" s="104">
        <v>-7540496.0723948926</v>
      </c>
      <c r="D182" s="104">
        <v>-13111106.213934138</v>
      </c>
      <c r="E182" s="104">
        <v>-17948645.179995194</v>
      </c>
      <c r="F182" s="104">
        <v>-17635283.984114423</v>
      </c>
      <c r="G182" s="104">
        <v>-16369093.827500731</v>
      </c>
      <c r="H182" s="104">
        <v>-22951221.380619869</v>
      </c>
      <c r="I182" s="104">
        <v>-26625046.421956539</v>
      </c>
    </row>
    <row r="183" spans="2:9">
      <c r="B183" s="102">
        <v>176</v>
      </c>
      <c r="C183" s="104">
        <v>-15059428.403572485</v>
      </c>
      <c r="D183" s="104">
        <v>-20228053.297520861</v>
      </c>
      <c r="E183" s="104">
        <v>-13244730.542905927</v>
      </c>
      <c r="F183" s="104">
        <v>-10057439.064623713</v>
      </c>
      <c r="G183" s="104">
        <v>-19523118.305272877</v>
      </c>
      <c r="H183" s="104">
        <v>-9733662.7151763886</v>
      </c>
      <c r="I183" s="104">
        <v>-29207870.144137353</v>
      </c>
    </row>
    <row r="184" spans="2:9">
      <c r="B184" s="102">
        <v>177</v>
      </c>
      <c r="C184" s="104">
        <v>-7327236.989474833</v>
      </c>
      <c r="D184" s="104">
        <v>-6752832.2593366951</v>
      </c>
      <c r="E184" s="104">
        <v>-25228265.246063441</v>
      </c>
      <c r="F184" s="104">
        <v>-20133204.38687098</v>
      </c>
      <c r="G184" s="104">
        <v>-10959806.274641722</v>
      </c>
      <c r="H184" s="104">
        <v>-15988433.036164179</v>
      </c>
      <c r="I184" s="104">
        <v>-25130730.987267226</v>
      </c>
    </row>
    <row r="185" spans="2:9">
      <c r="B185" s="102">
        <v>178</v>
      </c>
      <c r="C185" s="104">
        <v>-14537662.73039715</v>
      </c>
      <c r="D185" s="104">
        <v>-8753357.335352093</v>
      </c>
      <c r="E185" s="104">
        <v>-19220562.003381804</v>
      </c>
      <c r="F185" s="104">
        <v>-12031605.375449672</v>
      </c>
      <c r="G185" s="104">
        <v>-13753863.542169377</v>
      </c>
      <c r="H185" s="104">
        <v>-19824400.885902718</v>
      </c>
      <c r="I185" s="104">
        <v>-24303427.318323627</v>
      </c>
    </row>
    <row r="186" spans="2:9">
      <c r="B186" s="102">
        <v>179</v>
      </c>
      <c r="C186" s="104">
        <v>-3869200.0313968211</v>
      </c>
      <c r="D186" s="104">
        <v>-11107086.869185969</v>
      </c>
      <c r="E186" s="104">
        <v>-2523147.1320175976</v>
      </c>
      <c r="F186" s="104">
        <v>-16641957.331325561</v>
      </c>
      <c r="G186" s="104">
        <v>-21767293.727219373</v>
      </c>
      <c r="H186" s="104">
        <v>-10640171.851532981</v>
      </c>
      <c r="I186" s="104">
        <v>-21689861.784687623</v>
      </c>
    </row>
    <row r="187" spans="2:9">
      <c r="B187" s="102">
        <v>180</v>
      </c>
      <c r="C187" s="104">
        <v>-5303785.9259610921</v>
      </c>
      <c r="D187" s="104">
        <v>-8299498.7205902487</v>
      </c>
      <c r="E187" s="104">
        <v>-16838671.798203513</v>
      </c>
      <c r="F187" s="104">
        <v>-17672014.543230221</v>
      </c>
      <c r="G187" s="104">
        <v>-21886925.451159388</v>
      </c>
      <c r="H187" s="104">
        <v>-20825729.305446178</v>
      </c>
      <c r="I187" s="104">
        <v>-20327099.166944817</v>
      </c>
    </row>
    <row r="188" spans="2:9">
      <c r="B188" s="102">
        <v>181</v>
      </c>
      <c r="C188" s="104">
        <v>-1625749.7993572056</v>
      </c>
      <c r="D188" s="104">
        <v>-10646448.417151272</v>
      </c>
      <c r="E188" s="104">
        <v>-12412151.348670065</v>
      </c>
      <c r="F188" s="104">
        <v>-6814532.5261798352</v>
      </c>
      <c r="G188" s="104">
        <v>-13481931.443536699</v>
      </c>
      <c r="H188" s="104">
        <v>-22854683.830500975</v>
      </c>
      <c r="I188" s="104">
        <v>-27280933.752734274</v>
      </c>
    </row>
    <row r="189" spans="2:9">
      <c r="B189" s="102">
        <v>182</v>
      </c>
      <c r="C189" s="104">
        <v>-19257207.145586029</v>
      </c>
      <c r="D189" s="104">
        <v>-4400531.8760051727</v>
      </c>
      <c r="E189" s="104">
        <v>-13093732.482306167</v>
      </c>
      <c r="F189" s="104">
        <v>-14438838.882273704</v>
      </c>
      <c r="G189" s="104">
        <v>-18065055.782176852</v>
      </c>
      <c r="H189" s="104">
        <v>-19873578.361007765</v>
      </c>
      <c r="I189" s="104">
        <v>-29392649.99961789</v>
      </c>
    </row>
    <row r="190" spans="2:9">
      <c r="B190" s="102">
        <v>183</v>
      </c>
      <c r="C190" s="104">
        <v>-12678955.290031567</v>
      </c>
      <c r="D190" s="104">
        <v>-6921482.2723550051</v>
      </c>
      <c r="E190" s="104">
        <v>-15953168.301230937</v>
      </c>
      <c r="F190" s="104">
        <v>-16237494.117326275</v>
      </c>
      <c r="G190" s="104">
        <v>-18417746.855773002</v>
      </c>
      <c r="H190" s="104">
        <v>-13439108.233252719</v>
      </c>
      <c r="I190" s="104">
        <v>-22130790.067330331</v>
      </c>
    </row>
    <row r="191" spans="2:9">
      <c r="B191" s="102">
        <v>184</v>
      </c>
      <c r="C191" s="104">
        <v>-15513914.002717778</v>
      </c>
      <c r="D191" s="104">
        <v>-9060849.8492672592</v>
      </c>
      <c r="E191" s="104">
        <v>-11421918.088009894</v>
      </c>
      <c r="F191" s="104">
        <v>-13245598.229776129</v>
      </c>
      <c r="G191" s="104">
        <v>-19872696.337178633</v>
      </c>
      <c r="H191" s="104">
        <v>-15145608.278464377</v>
      </c>
      <c r="I191" s="104">
        <v>-18428669.593519166</v>
      </c>
    </row>
    <row r="192" spans="2:9">
      <c r="B192" s="102">
        <v>185</v>
      </c>
      <c r="C192" s="104">
        <v>-7677703.990647614</v>
      </c>
      <c r="D192" s="104">
        <v>-18092935.218734875</v>
      </c>
      <c r="E192" s="104">
        <v>-5292976.9948425293</v>
      </c>
      <c r="F192" s="104">
        <v>-4970043.717099309</v>
      </c>
      <c r="G192" s="104">
        <v>-18075103.908898383</v>
      </c>
      <c r="H192" s="104">
        <v>-26922565.545072213</v>
      </c>
      <c r="I192" s="104">
        <v>-33367883.594443828</v>
      </c>
    </row>
    <row r="193" spans="2:9">
      <c r="B193" s="102">
        <v>186</v>
      </c>
      <c r="C193" s="104">
        <v>-12986616.684817731</v>
      </c>
      <c r="D193" s="104">
        <v>-14331109.595432207</v>
      </c>
      <c r="E193" s="104">
        <v>-21599956.468053654</v>
      </c>
      <c r="F193" s="104">
        <v>-19235670.141397297</v>
      </c>
      <c r="G193" s="104">
        <v>-23690402.99196513</v>
      </c>
      <c r="H193" s="104">
        <v>-27210291.255736545</v>
      </c>
      <c r="I193" s="104">
        <v>-19251842.055005595</v>
      </c>
    </row>
    <row r="194" spans="2:9">
      <c r="B194" s="102">
        <v>187</v>
      </c>
      <c r="C194" s="104">
        <v>-11623355.861079589</v>
      </c>
      <c r="D194" s="104">
        <v>-3951057.6279798895</v>
      </c>
      <c r="E194" s="104">
        <v>-15916095.61341548</v>
      </c>
      <c r="F194" s="104">
        <v>-17045647.065627053</v>
      </c>
      <c r="G194" s="104">
        <v>-21723457.01143612</v>
      </c>
      <c r="H194" s="104">
        <v>-21382125.215870097</v>
      </c>
      <c r="I194" s="104">
        <v>-13744292.639755204</v>
      </c>
    </row>
    <row r="195" spans="2:9">
      <c r="B195" s="102">
        <v>188</v>
      </c>
      <c r="C195" s="104">
        <v>-1696856.7269480526</v>
      </c>
      <c r="D195" s="104">
        <v>-5524059.497360453</v>
      </c>
      <c r="E195" s="104">
        <v>-16641182.569336951</v>
      </c>
      <c r="F195" s="104">
        <v>-24879740.333093226</v>
      </c>
      <c r="G195" s="104">
        <v>-12315798.649558395</v>
      </c>
      <c r="H195" s="104">
        <v>-28572495.284782618</v>
      </c>
      <c r="I195" s="104">
        <v>-17467582.874713302</v>
      </c>
    </row>
    <row r="196" spans="2:9">
      <c r="B196" s="102">
        <v>189</v>
      </c>
      <c r="C196" s="104">
        <v>-9807248.942059502</v>
      </c>
      <c r="D196" s="104">
        <v>-11387179.876456216</v>
      </c>
      <c r="E196" s="104">
        <v>-12487839.896016955</v>
      </c>
      <c r="F196" s="104">
        <v>-12817614.693862483</v>
      </c>
      <c r="G196" s="104">
        <v>-12490082.905671626</v>
      </c>
      <c r="H196" s="104">
        <v>-13063624.825379759</v>
      </c>
      <c r="I196" s="104">
        <v>-17191187.998712242</v>
      </c>
    </row>
    <row r="197" spans="2:9">
      <c r="B197" s="102">
        <v>190</v>
      </c>
      <c r="C197" s="104">
        <v>-14681051.679093495</v>
      </c>
      <c r="D197" s="104">
        <v>-785452.82467196882</v>
      </c>
      <c r="E197" s="104">
        <v>-11254763.228835851</v>
      </c>
      <c r="F197" s="104">
        <v>-15895781.545232698</v>
      </c>
      <c r="G197" s="104">
        <v>-17556412.228154212</v>
      </c>
      <c r="H197" s="104">
        <v>-19251798.986442491</v>
      </c>
      <c r="I197" s="104">
        <v>-23471846.88389568</v>
      </c>
    </row>
    <row r="198" spans="2:9">
      <c r="B198" s="102">
        <v>191</v>
      </c>
      <c r="C198" s="104">
        <v>-10303725.924820453</v>
      </c>
      <c r="D198" s="104">
        <v>-12291814.244826332</v>
      </c>
      <c r="E198" s="104">
        <v>-12300768.09767355</v>
      </c>
      <c r="F198" s="104">
        <v>-19345774.687617704</v>
      </c>
      <c r="G198" s="104">
        <v>-18596980.02857399</v>
      </c>
      <c r="H198" s="104">
        <v>-20331716.437038168</v>
      </c>
      <c r="I198" s="104">
        <v>-18163653.45780012</v>
      </c>
    </row>
    <row r="199" spans="2:9">
      <c r="B199" s="102">
        <v>192</v>
      </c>
      <c r="C199" s="104">
        <v>-7835578.8146108538</v>
      </c>
      <c r="D199" s="104">
        <v>-13685518.741423815</v>
      </c>
      <c r="E199" s="104">
        <v>-11996172.302114263</v>
      </c>
      <c r="F199" s="104">
        <v>-15188417.909689546</v>
      </c>
      <c r="G199" s="104">
        <v>-25200880.126132712</v>
      </c>
      <c r="H199" s="104">
        <v>-18211790.153721809</v>
      </c>
      <c r="I199" s="104">
        <v>-24368087.850524589</v>
      </c>
    </row>
    <row r="200" spans="2:9">
      <c r="B200" s="102">
        <v>193</v>
      </c>
      <c r="C200" s="104">
        <v>-19183597.503057465</v>
      </c>
      <c r="D200" s="104">
        <v>-14597641.115278468</v>
      </c>
      <c r="E200" s="104">
        <v>-15485633.715827957</v>
      </c>
      <c r="F200" s="104">
        <v>-15947822.58894904</v>
      </c>
      <c r="G200" s="104">
        <v>-19675831.605668813</v>
      </c>
      <c r="H200" s="104">
        <v>-10338646.546278864</v>
      </c>
      <c r="I200" s="104">
        <v>-21909273.299127847</v>
      </c>
    </row>
    <row r="201" spans="2:9">
      <c r="B201" s="102">
        <v>194</v>
      </c>
      <c r="C201" s="104">
        <v>-9563187.4617598057</v>
      </c>
      <c r="D201" s="104">
        <v>-16968059.326112062</v>
      </c>
      <c r="E201" s="104">
        <v>-15675537.21164687</v>
      </c>
      <c r="F201" s="104">
        <v>-16571014.398720354</v>
      </c>
      <c r="G201" s="104">
        <v>-14846660.450503379</v>
      </c>
      <c r="H201" s="104">
        <v>-24897131.844699591</v>
      </c>
      <c r="I201" s="104">
        <v>-21729375.368661359</v>
      </c>
    </row>
    <row r="202" spans="2:9">
      <c r="B202" s="102">
        <v>195</v>
      </c>
      <c r="C202" s="104">
        <v>-13451236.608083248</v>
      </c>
      <c r="D202" s="104">
        <v>-6469704.1327549219</v>
      </c>
      <c r="E202" s="104">
        <v>-14078583.341278091</v>
      </c>
      <c r="F202" s="104">
        <v>-17239563.313674957</v>
      </c>
      <c r="G202" s="104">
        <v>-14520890.821566835</v>
      </c>
      <c r="H202" s="104">
        <v>-19368475.49154675</v>
      </c>
      <c r="I202" s="104">
        <v>-22169800.002113819</v>
      </c>
    </row>
    <row r="203" spans="2:9">
      <c r="B203" s="102">
        <v>196</v>
      </c>
      <c r="C203" s="104">
        <v>-8807263.3183539063</v>
      </c>
      <c r="D203" s="104">
        <v>-19705477.572619259</v>
      </c>
      <c r="E203" s="104">
        <v>-18310159.372384921</v>
      </c>
      <c r="F203" s="104">
        <v>-6896859.4256501049</v>
      </c>
      <c r="G203" s="104">
        <v>-28644030.198915362</v>
      </c>
      <c r="H203" s="104">
        <v>-22822384.700861946</v>
      </c>
      <c r="I203" s="104">
        <v>-28587221.930757016</v>
      </c>
    </row>
    <row r="204" spans="2:9">
      <c r="B204" s="102">
        <v>197</v>
      </c>
      <c r="C204" s="104">
        <v>-13476391.190634385</v>
      </c>
      <c r="D204" s="104">
        <v>-11114469.682165638</v>
      </c>
      <c r="E204" s="104">
        <v>-15428113.46336019</v>
      </c>
      <c r="F204" s="104">
        <v>-14836212.222344548</v>
      </c>
      <c r="G204" s="104">
        <v>-19262643.84193112</v>
      </c>
      <c r="H204" s="104">
        <v>-27513463.536663532</v>
      </c>
      <c r="I204" s="104">
        <v>-22262866.321027607</v>
      </c>
    </row>
    <row r="205" spans="2:9">
      <c r="B205" s="102">
        <v>198</v>
      </c>
      <c r="C205" s="104">
        <v>-7443872.4307296872</v>
      </c>
      <c r="D205" s="104">
        <v>-16426998.364259943</v>
      </c>
      <c r="E205" s="104">
        <v>-12533098.519595534</v>
      </c>
      <c r="F205" s="104">
        <v>-10954516.137894496</v>
      </c>
      <c r="G205" s="104">
        <v>-13662299.401053846</v>
      </c>
      <c r="H205" s="104">
        <v>-18812960.281608447</v>
      </c>
      <c r="I205" s="104">
        <v>-33109059.294553265</v>
      </c>
    </row>
    <row r="206" spans="2:9">
      <c r="B206" s="102">
        <v>199</v>
      </c>
      <c r="C206" s="104">
        <v>-8151492.1938999295</v>
      </c>
      <c r="D206" s="104">
        <v>-4363239.2765797824</v>
      </c>
      <c r="E206" s="104">
        <v>-8918802.8818749785</v>
      </c>
      <c r="F206" s="104">
        <v>-10458864.525779322</v>
      </c>
      <c r="G206" s="104">
        <v>-16349545.300421923</v>
      </c>
      <c r="H206" s="104">
        <v>-24320983.914565369</v>
      </c>
      <c r="I206" s="104">
        <v>-22285702.480473891</v>
      </c>
    </row>
    <row r="207" spans="2:9">
      <c r="B207" s="102">
        <v>200</v>
      </c>
      <c r="C207" s="104">
        <v>-5254688.1685178727</v>
      </c>
      <c r="D207" s="104">
        <v>-18375789.414006308</v>
      </c>
      <c r="E207" s="104">
        <v>-17639563.32783626</v>
      </c>
      <c r="F207" s="104">
        <v>-19244320.313786477</v>
      </c>
      <c r="G207" s="104">
        <v>-18201385.004216507</v>
      </c>
      <c r="H207" s="104">
        <v>-17231403.870753556</v>
      </c>
      <c r="I207" s="104">
        <v>-28360294.636896312</v>
      </c>
    </row>
  </sheetData>
  <mergeCells count="1">
    <mergeCell ref="C5:I5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usz2">
    <tabColor rgb="FF6AA84F"/>
    <outlinePr summaryBelow="0" summaryRight="0"/>
  </sheetPr>
  <dimension ref="A3:AG517"/>
  <sheetViews>
    <sheetView topLeftCell="L1" zoomScale="92" zoomScaleNormal="25" workbookViewId="0">
      <selection activeCell="U25" sqref="U25"/>
    </sheetView>
  </sheetViews>
  <sheetFormatPr defaultColWidth="12.6640625" defaultRowHeight="15.75" customHeight="1"/>
  <cols>
    <col min="1" max="1" width="12.6640625" style="74"/>
    <col min="2" max="2" width="37" style="74" bestFit="1" customWidth="1"/>
    <col min="3" max="3" width="21.6640625" style="74" customWidth="1"/>
    <col min="4" max="6" width="12.6640625" style="74"/>
    <col min="7" max="7" width="17.109375" style="74" customWidth="1"/>
    <col min="8" max="13" width="12.6640625" style="74"/>
    <col min="14" max="14" width="16" style="74" bestFit="1" customWidth="1"/>
    <col min="15" max="15" width="12.6640625" style="74" customWidth="1"/>
    <col min="16" max="17" width="12.6640625" style="74"/>
    <col min="18" max="22" width="17.109375" style="74" customWidth="1"/>
    <col min="23" max="23" width="21.33203125" style="74" bestFit="1" customWidth="1"/>
    <col min="24" max="33" width="17.109375" style="74" customWidth="1"/>
    <col min="34" max="16384" width="12.6640625" style="74"/>
  </cols>
  <sheetData>
    <row r="3" spans="1:33" ht="15.75" customHeight="1">
      <c r="B3" s="75"/>
      <c r="C3" s="75"/>
      <c r="D3" s="75"/>
      <c r="E3" s="75"/>
      <c r="F3" s="75"/>
      <c r="G3" s="75"/>
      <c r="H3" s="75"/>
      <c r="I3" s="75"/>
      <c r="J3" s="75"/>
      <c r="K3" s="75"/>
      <c r="L3" s="75"/>
      <c r="M3" s="75"/>
      <c r="N3" s="75"/>
    </row>
    <row r="4" spans="1:33" ht="15.75" customHeight="1">
      <c r="B4" s="209" t="s">
        <v>12</v>
      </c>
      <c r="C4" s="209"/>
      <c r="D4" s="209"/>
      <c r="E4" s="209"/>
      <c r="F4" s="209"/>
      <c r="G4" s="76"/>
      <c r="H4" s="209" t="s">
        <v>120</v>
      </c>
      <c r="I4" s="209"/>
      <c r="J4" s="209"/>
      <c r="K4" s="209"/>
      <c r="L4" s="209"/>
      <c r="M4" s="76"/>
      <c r="N4" s="77" t="s">
        <v>136</v>
      </c>
      <c r="O4" s="77" t="s">
        <v>13</v>
      </c>
      <c r="R4" s="74" t="s">
        <v>10</v>
      </c>
    </row>
    <row r="5" spans="1:33" ht="15.75" customHeight="1">
      <c r="B5" s="78"/>
      <c r="C5" s="78" t="s">
        <v>14</v>
      </c>
      <c r="D5" s="78" t="s">
        <v>15</v>
      </c>
      <c r="E5" s="78" t="s">
        <v>16</v>
      </c>
      <c r="F5" s="78" t="s">
        <v>17</v>
      </c>
      <c r="G5" s="76"/>
      <c r="H5" s="79"/>
      <c r="I5" s="79" t="s">
        <v>14</v>
      </c>
      <c r="J5" s="79" t="s">
        <v>15</v>
      </c>
      <c r="K5" s="79" t="s">
        <v>16</v>
      </c>
      <c r="L5" s="79" t="s">
        <v>17</v>
      </c>
      <c r="M5" s="76"/>
      <c r="N5" s="90">
        <v>1</v>
      </c>
      <c r="O5" s="77" t="s">
        <v>18</v>
      </c>
    </row>
    <row r="6" spans="1:33" ht="15.75" customHeight="1">
      <c r="B6" s="78" t="s">
        <v>19</v>
      </c>
      <c r="C6" s="80">
        <f>7500000/2</f>
        <v>3750000</v>
      </c>
      <c r="D6" s="78">
        <f>40000/2</f>
        <v>20000</v>
      </c>
      <c r="E6" s="78">
        <f>210000/2</f>
        <v>105000</v>
      </c>
      <c r="F6" s="78">
        <f>35000/2</f>
        <v>17500</v>
      </c>
      <c r="G6" s="76"/>
      <c r="H6" s="79" t="s">
        <v>19</v>
      </c>
      <c r="I6" s="79">
        <f>2</f>
        <v>2</v>
      </c>
      <c r="J6" s="79">
        <f>7</f>
        <v>7</v>
      </c>
      <c r="K6" s="79">
        <f>60</f>
        <v>60</v>
      </c>
      <c r="L6" s="79">
        <f>199</f>
        <v>199</v>
      </c>
      <c r="M6" s="76"/>
      <c r="N6" s="119"/>
      <c r="O6" s="119"/>
      <c r="T6" s="74" t="s">
        <v>10</v>
      </c>
    </row>
    <row r="7" spans="1:33" ht="15.75" customHeight="1">
      <c r="B7" s="78" t="s">
        <v>20</v>
      </c>
      <c r="C7" s="78">
        <f>400000/2</f>
        <v>200000</v>
      </c>
      <c r="D7" s="78">
        <f>2000/2</f>
        <v>1000</v>
      </c>
      <c r="E7" s="78">
        <f>10000/2</f>
        <v>5000</v>
      </c>
      <c r="F7" s="78">
        <f>2500/2</f>
        <v>1250</v>
      </c>
      <c r="G7" s="76"/>
      <c r="H7" s="79" t="s">
        <v>20</v>
      </c>
      <c r="I7" s="79">
        <f>2.5</f>
        <v>2.5</v>
      </c>
      <c r="J7" s="79">
        <f>8</f>
        <v>8</v>
      </c>
      <c r="K7" s="79">
        <f>65</f>
        <v>65</v>
      </c>
      <c r="L7" s="79">
        <f>219</f>
        <v>219</v>
      </c>
      <c r="M7" s="76"/>
      <c r="N7" s="76" t="s">
        <v>10</v>
      </c>
      <c r="O7" s="76"/>
      <c r="T7" s="74" t="s">
        <v>10</v>
      </c>
    </row>
    <row r="8" spans="1:33" ht="15.75" customHeight="1">
      <c r="A8" s="75"/>
      <c r="B8" s="78" t="s">
        <v>21</v>
      </c>
      <c r="C8" s="78">
        <f>9200000/2</f>
        <v>4600000</v>
      </c>
      <c r="D8" s="78">
        <f>75000/2</f>
        <v>37500</v>
      </c>
      <c r="E8" s="78">
        <f>280000/2</f>
        <v>140000</v>
      </c>
      <c r="F8" s="78" t="s">
        <v>22</v>
      </c>
      <c r="G8" s="76"/>
      <c r="H8" s="79" t="s">
        <v>21</v>
      </c>
      <c r="I8" s="79">
        <f>4</f>
        <v>4</v>
      </c>
      <c r="J8" s="79">
        <f>14</f>
        <v>14</v>
      </c>
      <c r="K8" s="79">
        <f>115</f>
        <v>115</v>
      </c>
      <c r="L8" s="79" t="s">
        <v>22</v>
      </c>
      <c r="M8" s="76"/>
      <c r="N8" s="76" t="s">
        <v>134</v>
      </c>
      <c r="O8" s="76">
        <f ca="1">Podsumowanie!J9</f>
        <v>6887229.3562903702</v>
      </c>
    </row>
    <row r="9" spans="1:33" ht="15.75" customHeight="1">
      <c r="A9" s="75"/>
      <c r="B9" s="78" t="s">
        <v>23</v>
      </c>
      <c r="C9" s="78">
        <f>600000/2</f>
        <v>300000</v>
      </c>
      <c r="D9" s="78">
        <f>5000/2</f>
        <v>2500</v>
      </c>
      <c r="E9" s="78">
        <f>25000/2</f>
        <v>12500</v>
      </c>
      <c r="F9" s="78" t="s">
        <v>22</v>
      </c>
      <c r="G9" s="76"/>
      <c r="H9" s="79" t="s">
        <v>23</v>
      </c>
      <c r="I9" s="79">
        <f>5</f>
        <v>5</v>
      </c>
      <c r="J9" s="79">
        <f>16</f>
        <v>16</v>
      </c>
      <c r="K9" s="79">
        <f>125</f>
        <v>125</v>
      </c>
      <c r="L9" s="79" t="s">
        <v>22</v>
      </c>
      <c r="M9" s="76"/>
      <c r="N9" s="76" t="s">
        <v>10</v>
      </c>
      <c r="O9" s="76"/>
    </row>
    <row r="10" spans="1:33" ht="15.75" customHeight="1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  <c r="L10" s="75"/>
      <c r="M10" s="75"/>
      <c r="N10" s="75" t="s">
        <v>10</v>
      </c>
      <c r="O10" s="75"/>
      <c r="P10" s="159"/>
      <c r="Q10" s="159"/>
      <c r="R10" s="159"/>
      <c r="S10" s="159"/>
      <c r="T10" s="159" t="s">
        <v>10</v>
      </c>
      <c r="U10" s="159" t="s">
        <v>10</v>
      </c>
      <c r="V10" s="159"/>
      <c r="W10" s="159"/>
      <c r="X10" s="159"/>
      <c r="Y10" s="159"/>
      <c r="Z10" s="159"/>
      <c r="AA10" s="159"/>
      <c r="AB10" s="159"/>
      <c r="AC10" s="159"/>
      <c r="AD10" s="159"/>
      <c r="AE10" s="159"/>
      <c r="AF10" s="159"/>
      <c r="AG10" s="159"/>
    </row>
    <row r="11" spans="1:33" ht="15.75" customHeight="1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  <c r="L11" s="75"/>
      <c r="M11" s="75"/>
      <c r="N11" s="75" t="s">
        <v>10</v>
      </c>
      <c r="O11" s="75"/>
      <c r="P11" s="159"/>
      <c r="Q11" s="159"/>
      <c r="R11" s="159" t="s">
        <v>11</v>
      </c>
      <c r="S11" s="159"/>
      <c r="T11" s="159" t="s">
        <v>10</v>
      </c>
      <c r="U11" s="159"/>
      <c r="V11" s="159"/>
      <c r="W11" s="159"/>
      <c r="X11" s="159"/>
      <c r="Y11" s="159"/>
      <c r="Z11" s="159"/>
      <c r="AA11" s="159"/>
      <c r="AB11" s="159"/>
      <c r="AC11" s="159"/>
      <c r="AD11" s="159"/>
      <c r="AE11" s="159"/>
      <c r="AF11" s="159"/>
      <c r="AG11" s="159"/>
    </row>
    <row r="12" spans="1:33" ht="15.75" customHeight="1">
      <c r="A12" s="75"/>
      <c r="B12" s="209" t="s">
        <v>24</v>
      </c>
      <c r="C12" s="209"/>
      <c r="D12" s="209"/>
      <c r="E12" s="209"/>
      <c r="F12" s="209"/>
      <c r="G12" s="75"/>
      <c r="H12" s="210" t="s">
        <v>25</v>
      </c>
      <c r="I12" s="210"/>
      <c r="J12" s="210"/>
      <c r="K12" s="210"/>
      <c r="L12" s="210"/>
      <c r="M12" s="75"/>
      <c r="N12" s="75" t="s">
        <v>10</v>
      </c>
      <c r="O12" s="75"/>
      <c r="P12" s="159"/>
      <c r="Q12" s="159"/>
      <c r="R12" s="159" t="s">
        <v>10</v>
      </c>
      <c r="S12" s="159"/>
      <c r="T12" s="159" t="s">
        <v>10</v>
      </c>
      <c r="U12" s="159"/>
      <c r="V12" s="159"/>
      <c r="W12" s="159"/>
      <c r="X12" s="159"/>
      <c r="Y12" s="159"/>
      <c r="Z12" s="159"/>
      <c r="AA12" s="159"/>
      <c r="AB12" s="159"/>
      <c r="AC12" s="159"/>
      <c r="AD12" s="159"/>
      <c r="AE12" s="159"/>
      <c r="AF12" s="159"/>
      <c r="AG12" s="159"/>
    </row>
    <row r="13" spans="1:33" ht="15.75" customHeight="1">
      <c r="A13" s="75"/>
      <c r="B13" s="81"/>
      <c r="C13" s="81" t="s">
        <v>14</v>
      </c>
      <c r="D13" s="81" t="s">
        <v>15</v>
      </c>
      <c r="E13" s="81" t="s">
        <v>16</v>
      </c>
      <c r="F13" s="81" t="s">
        <v>17</v>
      </c>
      <c r="G13" s="75"/>
      <c r="H13" s="82"/>
      <c r="I13" s="82" t="s">
        <v>14</v>
      </c>
      <c r="J13" s="82" t="s">
        <v>15</v>
      </c>
      <c r="K13" s="82" t="s">
        <v>16</v>
      </c>
      <c r="L13" s="82" t="s">
        <v>17</v>
      </c>
      <c r="M13" s="75"/>
      <c r="N13" s="75" t="s">
        <v>10</v>
      </c>
      <c r="O13" s="75"/>
      <c r="P13" s="159"/>
      <c r="Q13" s="159" t="s">
        <v>121</v>
      </c>
      <c r="R13" s="159">
        <f>AVERAGE(R18:R517)</f>
        <v>-35658613.868472777</v>
      </c>
      <c r="S13" s="159">
        <f t="shared" ref="S13:AG13" si="0">AVERAGE(S18:S517)</f>
        <v>-24694856.426188163</v>
      </c>
      <c r="T13" s="159">
        <f t="shared" si="0"/>
        <v>-15905484.589254485</v>
      </c>
      <c r="U13" s="159">
        <f t="shared" si="0"/>
        <v>-7700183.4695915282</v>
      </c>
      <c r="V13" s="159">
        <f t="shared" si="0"/>
        <v>-1309649.8757751498</v>
      </c>
      <c r="W13" s="159">
        <f t="shared" si="0"/>
        <v>3825469.2940571718</v>
      </c>
      <c r="X13" s="159">
        <f t="shared" si="0"/>
        <v>8445911.5559396669</v>
      </c>
      <c r="Y13" s="159">
        <f t="shared" si="0"/>
        <v>10500499.053262053</v>
      </c>
      <c r="Z13" s="159">
        <f t="shared" si="0"/>
        <v>11462199.420553491</v>
      </c>
      <c r="AA13" s="159">
        <f t="shared" si="0"/>
        <v>11401452.010671396</v>
      </c>
      <c r="AB13" s="159">
        <f t="shared" si="0"/>
        <v>9620863.7273409907</v>
      </c>
      <c r="AC13" s="159">
        <f t="shared" si="0"/>
        <v>6320371.2032147227</v>
      </c>
      <c r="AD13" s="159">
        <f t="shared" si="0"/>
        <v>2674858.2857318865</v>
      </c>
      <c r="AE13" s="159">
        <f t="shared" si="0"/>
        <v>-3641371.5390988505</v>
      </c>
      <c r="AF13" s="159">
        <f t="shared" si="0"/>
        <v>-10437492.533456374</v>
      </c>
      <c r="AG13" s="159">
        <f t="shared" si="0"/>
        <v>-18124595.725310583</v>
      </c>
    </row>
    <row r="14" spans="1:33" ht="15.75" customHeight="1">
      <c r="A14" s="75"/>
      <c r="B14" s="81" t="s">
        <v>19</v>
      </c>
      <c r="C14" s="81">
        <f ca="1">NORMINV(RAND(),C6,C6*0.0333)</f>
        <v>3880373.1450186474</v>
      </c>
      <c r="D14" s="81">
        <f ca="1">NORMINV(RAND(),D6,D6*0.0333)</f>
        <v>20842.918763312136</v>
      </c>
      <c r="E14" s="81">
        <f t="shared" ref="E14:F14" ca="1" si="1">NORMINV(RAND(),E6,E6*0.0333)</f>
        <v>106720.80653976959</v>
      </c>
      <c r="F14" s="81">
        <f t="shared" ca="1" si="1"/>
        <v>17268.164942923944</v>
      </c>
      <c r="G14" s="75"/>
      <c r="H14" s="82" t="s">
        <v>19</v>
      </c>
      <c r="I14" s="83">
        <f t="shared" ref="I14:L15" si="2">I6*$N$5</f>
        <v>2</v>
      </c>
      <c r="J14" s="83">
        <f t="shared" si="2"/>
        <v>7</v>
      </c>
      <c r="K14" s="83">
        <f t="shared" si="2"/>
        <v>60</v>
      </c>
      <c r="L14" s="83">
        <f t="shared" si="2"/>
        <v>199</v>
      </c>
      <c r="M14" s="75"/>
      <c r="N14" s="75" t="s">
        <v>10</v>
      </c>
      <c r="O14" s="75"/>
      <c r="P14" s="159"/>
      <c r="Q14" s="159"/>
      <c r="R14" s="159" t="s">
        <v>10</v>
      </c>
      <c r="S14" s="159"/>
      <c r="T14" s="159"/>
      <c r="U14" s="159"/>
      <c r="V14" s="159"/>
      <c r="W14" s="159"/>
      <c r="X14" s="159"/>
      <c r="Y14" s="159"/>
      <c r="Z14" s="159"/>
      <c r="AA14" s="159"/>
      <c r="AB14" s="159"/>
      <c r="AC14" s="159"/>
      <c r="AD14" s="159"/>
      <c r="AE14" s="159"/>
      <c r="AF14" s="159"/>
      <c r="AG14" s="159"/>
    </row>
    <row r="15" spans="1:33" ht="15.75" customHeight="1">
      <c r="A15" s="75"/>
      <c r="B15" s="81" t="s">
        <v>20</v>
      </c>
      <c r="C15" s="81">
        <f t="shared" ref="C15:F15" ca="1" si="3">NORMINV(RAND(),C7,C7*0.0333)</f>
        <v>189199.11557553351</v>
      </c>
      <c r="D15" s="81">
        <f t="shared" ca="1" si="3"/>
        <v>1006.8773441530365</v>
      </c>
      <c r="E15" s="81">
        <f t="shared" ca="1" si="3"/>
        <v>5369.7070808549606</v>
      </c>
      <c r="F15" s="81">
        <f t="shared" ca="1" si="3"/>
        <v>1272.0913619543308</v>
      </c>
      <c r="G15" s="75" t="s">
        <v>10</v>
      </c>
      <c r="H15" s="82" t="s">
        <v>20</v>
      </c>
      <c r="I15" s="83">
        <f t="shared" si="2"/>
        <v>2.5</v>
      </c>
      <c r="J15" s="83">
        <f t="shared" si="2"/>
        <v>8</v>
      </c>
      <c r="K15" s="83">
        <f t="shared" si="2"/>
        <v>65</v>
      </c>
      <c r="L15" s="83">
        <f t="shared" si="2"/>
        <v>219</v>
      </c>
      <c r="M15" s="75"/>
      <c r="N15" s="75" t="s">
        <v>10</v>
      </c>
      <c r="O15" s="75" t="s">
        <v>168</v>
      </c>
      <c r="P15" s="159"/>
      <c r="Q15" s="159"/>
      <c r="R15" s="159" t="s">
        <v>10</v>
      </c>
      <c r="S15" s="159"/>
      <c r="T15" s="159"/>
      <c r="U15" s="159"/>
      <c r="V15" s="159"/>
      <c r="W15" s="159"/>
      <c r="X15" s="159"/>
      <c r="Y15" s="159"/>
      <c r="Z15" s="159"/>
      <c r="AA15" s="159"/>
      <c r="AB15" s="159"/>
      <c r="AC15" s="159"/>
      <c r="AD15" s="159"/>
      <c r="AE15" s="159"/>
      <c r="AF15" s="159"/>
      <c r="AG15" s="159"/>
    </row>
    <row r="16" spans="1:33" ht="15.75" customHeight="1">
      <c r="A16" s="75"/>
      <c r="B16" s="81" t="s">
        <v>21</v>
      </c>
      <c r="C16" s="81">
        <f t="shared" ref="C16:E16" ca="1" si="4">NORMINV(RAND(),C8,C8*0.0333)</f>
        <v>4408192.6408094289</v>
      </c>
      <c r="D16" s="81">
        <f t="shared" ca="1" si="4"/>
        <v>36421.244913303526</v>
      </c>
      <c r="E16" s="81">
        <f t="shared" ca="1" si="4"/>
        <v>134086.19523723912</v>
      </c>
      <c r="F16" s="81" t="s">
        <v>22</v>
      </c>
      <c r="G16" s="75" t="s">
        <v>10</v>
      </c>
      <c r="H16" s="82" t="s">
        <v>21</v>
      </c>
      <c r="I16" s="83">
        <f t="shared" ref="I16:K17" si="5">I8*$N$5</f>
        <v>4</v>
      </c>
      <c r="J16" s="83">
        <f t="shared" si="5"/>
        <v>14</v>
      </c>
      <c r="K16" s="83">
        <f t="shared" si="5"/>
        <v>115</v>
      </c>
      <c r="L16" s="82" t="s">
        <v>22</v>
      </c>
      <c r="M16" s="75"/>
      <c r="N16" s="75" t="s">
        <v>10</v>
      </c>
      <c r="O16" s="75"/>
      <c r="P16" s="159"/>
      <c r="Q16" s="159"/>
      <c r="R16" s="159"/>
      <c r="S16" s="159"/>
      <c r="T16" s="159"/>
      <c r="U16" s="159"/>
      <c r="V16" s="159"/>
      <c r="W16" s="159" t="s">
        <v>137</v>
      </c>
      <c r="X16" s="159"/>
      <c r="Y16" s="159"/>
      <c r="Z16" s="159"/>
      <c r="AA16" s="159"/>
      <c r="AB16" s="159"/>
      <c r="AC16" s="159"/>
      <c r="AD16" s="159"/>
      <c r="AE16" s="159"/>
      <c r="AF16" s="159"/>
      <c r="AG16" s="159"/>
    </row>
    <row r="17" spans="1:33" ht="15.75" customHeight="1">
      <c r="A17" s="75"/>
      <c r="B17" s="81" t="s">
        <v>23</v>
      </c>
      <c r="C17" s="81">
        <f t="shared" ref="C17:E17" ca="1" si="6">NORMINV(RAND(),C9,C9*0.0333)</f>
        <v>307849.30585710297</v>
      </c>
      <c r="D17" s="81">
        <f t="shared" ca="1" si="6"/>
        <v>2678.4178275445961</v>
      </c>
      <c r="E17" s="81">
        <f t="shared" ca="1" si="6"/>
        <v>13467.893589783802</v>
      </c>
      <c r="F17" s="81" t="s">
        <v>22</v>
      </c>
      <c r="G17" s="75"/>
      <c r="H17" s="82" t="s">
        <v>23</v>
      </c>
      <c r="I17" s="83">
        <f t="shared" si="5"/>
        <v>5</v>
      </c>
      <c r="J17" s="83">
        <f t="shared" si="5"/>
        <v>16</v>
      </c>
      <c r="K17" s="83">
        <f t="shared" si="5"/>
        <v>125</v>
      </c>
      <c r="L17" s="82" t="s">
        <v>22</v>
      </c>
      <c r="P17" s="159"/>
      <c r="Q17" s="159">
        <f ca="1">O8</f>
        <v>6887229.3562903702</v>
      </c>
      <c r="R17" s="120">
        <v>0.5</v>
      </c>
      <c r="S17" s="120">
        <v>0.6</v>
      </c>
      <c r="T17" s="120">
        <v>0.7</v>
      </c>
      <c r="U17" s="120">
        <v>0.8</v>
      </c>
      <c r="V17" s="120">
        <v>0.9</v>
      </c>
      <c r="W17" s="121">
        <v>1</v>
      </c>
      <c r="X17" s="120">
        <v>1.1000000000000001</v>
      </c>
      <c r="Y17" s="120">
        <v>1.2</v>
      </c>
      <c r="Z17" s="120">
        <v>1.3</v>
      </c>
      <c r="AA17" s="120">
        <v>1.4</v>
      </c>
      <c r="AB17" s="120">
        <v>1.5</v>
      </c>
      <c r="AC17" s="120">
        <v>1.6</v>
      </c>
      <c r="AD17" s="120">
        <v>1.7</v>
      </c>
      <c r="AE17" s="120">
        <v>1.8</v>
      </c>
      <c r="AF17" s="120">
        <v>1.9</v>
      </c>
      <c r="AG17" s="120">
        <v>2</v>
      </c>
    </row>
    <row r="18" spans="1:33" ht="15.75" customHeight="1">
      <c r="A18" s="75"/>
      <c r="B18" s="75"/>
      <c r="C18" s="75"/>
      <c r="D18" s="75" t="s">
        <v>10</v>
      </c>
      <c r="E18" s="75" t="s">
        <v>10</v>
      </c>
      <c r="F18" s="75"/>
      <c r="G18" s="75" t="s">
        <v>10</v>
      </c>
      <c r="H18" s="75"/>
      <c r="I18" s="75"/>
      <c r="J18" s="75"/>
      <c r="K18" s="75"/>
      <c r="L18" s="75"/>
      <c r="P18" s="159" t="s">
        <v>10</v>
      </c>
      <c r="Q18" s="159">
        <v>1</v>
      </c>
      <c r="R18" s="160">
        <f t="dataTable" ref="R18:AG517" dt2D="1" dtr="1" r1="N5" r2="P23" ca="1"/>
        <v>-34233968.308715448</v>
      </c>
      <c r="S18" s="160">
        <v>-23537135.102757886</v>
      </c>
      <c r="T18" s="160">
        <v>-8944628.2988472879</v>
      </c>
      <c r="U18" s="160">
        <v>-16173061.267336458</v>
      </c>
      <c r="V18" s="160">
        <v>9381917.9481813461</v>
      </c>
      <c r="W18" s="161">
        <v>2915212.0732032359</v>
      </c>
      <c r="X18" s="160">
        <v>17509082.181701437</v>
      </c>
      <c r="Y18" s="160">
        <v>15545546.0347296</v>
      </c>
      <c r="Z18" s="160">
        <v>11777854.825730488</v>
      </c>
      <c r="AA18" s="160">
        <v>10022934.273083553</v>
      </c>
      <c r="AB18" s="160">
        <v>12330672.56210351</v>
      </c>
      <c r="AC18" s="160">
        <v>11832159.195878774</v>
      </c>
      <c r="AD18" s="160">
        <v>8547122.7788945138</v>
      </c>
      <c r="AE18" s="160">
        <v>-1005452.7197903693</v>
      </c>
      <c r="AF18" s="160">
        <v>-7206900.2023552358</v>
      </c>
      <c r="AG18" s="160">
        <v>-16004095.989850909</v>
      </c>
    </row>
    <row r="19" spans="1:33" ht="15.75" customHeight="1">
      <c r="A19" s="75"/>
      <c r="B19" s="75"/>
      <c r="C19" s="75"/>
      <c r="D19" s="75" t="s">
        <v>10</v>
      </c>
      <c r="E19" s="75" t="s">
        <v>10</v>
      </c>
      <c r="F19" s="75" t="s">
        <v>11</v>
      </c>
      <c r="G19" s="75" t="s">
        <v>10</v>
      </c>
      <c r="H19" s="76"/>
      <c r="I19" s="75"/>
      <c r="J19" s="75"/>
      <c r="K19" s="75"/>
      <c r="L19" s="75"/>
      <c r="M19" s="75"/>
      <c r="N19" s="75"/>
      <c r="O19" s="75"/>
      <c r="P19" s="159" t="s">
        <v>10</v>
      </c>
      <c r="Q19" s="159">
        <v>2</v>
      </c>
      <c r="R19" s="160">
        <v>-24837917.59087114</v>
      </c>
      <c r="S19" s="160">
        <v>-24842499.446528643</v>
      </c>
      <c r="T19" s="160">
        <v>-6722911.2112001032</v>
      </c>
      <c r="U19" s="160">
        <v>-5732389.6775562316</v>
      </c>
      <c r="V19" s="160">
        <v>-4632055.4171445966</v>
      </c>
      <c r="W19" s="161">
        <v>-4550191.8750537932</v>
      </c>
      <c r="X19" s="160">
        <v>-798152.02167992294</v>
      </c>
      <c r="Y19" s="160">
        <v>5726838.6598041207</v>
      </c>
      <c r="Z19" s="160">
        <v>17345877.96177648</v>
      </c>
      <c r="AA19" s="160">
        <v>9999152.2604396939</v>
      </c>
      <c r="AB19" s="160">
        <v>8117605.4322588146</v>
      </c>
      <c r="AC19" s="160">
        <v>4413376.6451867223</v>
      </c>
      <c r="AD19" s="160">
        <v>4940901.1929777265</v>
      </c>
      <c r="AE19" s="160">
        <v>-1736556.6999033391</v>
      </c>
      <c r="AF19" s="160">
        <v>-15826733.286596417</v>
      </c>
      <c r="AG19" s="160">
        <v>-17324015.289679632</v>
      </c>
    </row>
    <row r="20" spans="1:33" ht="15.75" customHeight="1">
      <c r="B20" s="208" t="s">
        <v>26</v>
      </c>
      <c r="C20" s="208"/>
      <c r="D20" s="208"/>
      <c r="E20" s="208"/>
      <c r="F20" s="208"/>
      <c r="G20" s="75" t="s">
        <v>10</v>
      </c>
      <c r="H20" s="75"/>
      <c r="I20" s="75"/>
      <c r="J20" s="75"/>
      <c r="K20" s="75"/>
      <c r="L20" s="75"/>
      <c r="M20" s="75"/>
      <c r="N20" s="75"/>
      <c r="O20" s="75"/>
      <c r="P20" s="159"/>
      <c r="Q20" s="159">
        <v>3</v>
      </c>
      <c r="R20" s="160">
        <v>-38785128.808719262</v>
      </c>
      <c r="S20" s="160">
        <v>-26394075.95541729</v>
      </c>
      <c r="T20" s="160">
        <v>-7779360.1961958259</v>
      </c>
      <c r="U20" s="160">
        <v>-13831314.040636852</v>
      </c>
      <c r="V20" s="160">
        <v>-2269065.1639113426</v>
      </c>
      <c r="W20" s="161">
        <v>5658907.1884658635</v>
      </c>
      <c r="X20" s="160">
        <v>9853301.2974681407</v>
      </c>
      <c r="Y20" s="160">
        <v>7862739.567736432</v>
      </c>
      <c r="Z20" s="160">
        <v>3145818.6275532693</v>
      </c>
      <c r="AA20" s="160">
        <v>18181300.745148972</v>
      </c>
      <c r="AB20" s="160">
        <v>1114335.0155899227</v>
      </c>
      <c r="AC20" s="160">
        <v>11106912.547866032</v>
      </c>
      <c r="AD20" s="160">
        <v>4403943.1359004229</v>
      </c>
      <c r="AE20" s="160">
        <v>-784253.79097571969</v>
      </c>
      <c r="AF20" s="160">
        <v>-11782050.52067101</v>
      </c>
      <c r="AG20" s="160">
        <v>-13730149.559556916</v>
      </c>
    </row>
    <row r="21" spans="1:33" ht="15.75" customHeight="1">
      <c r="B21" s="84"/>
      <c r="C21" s="84" t="s">
        <v>14</v>
      </c>
      <c r="D21" s="84" t="s">
        <v>15</v>
      </c>
      <c r="E21" s="84" t="s">
        <v>16</v>
      </c>
      <c r="F21" s="84" t="s">
        <v>17</v>
      </c>
      <c r="G21" s="75" t="s">
        <v>10</v>
      </c>
      <c r="H21" s="75" t="s">
        <v>10</v>
      </c>
      <c r="I21" s="75" t="s">
        <v>10</v>
      </c>
      <c r="J21" s="75" t="s">
        <v>10</v>
      </c>
      <c r="K21" s="75"/>
      <c r="L21" s="75"/>
      <c r="M21" s="75"/>
      <c r="N21" s="75"/>
      <c r="O21" s="75"/>
      <c r="P21" s="159"/>
      <c r="Q21" s="159">
        <v>4</v>
      </c>
      <c r="R21" s="160">
        <v>-35735284.023404077</v>
      </c>
      <c r="S21" s="160">
        <v>-21987647.319362476</v>
      </c>
      <c r="T21" s="160">
        <v>-16506018.594094396</v>
      </c>
      <c r="U21" s="160">
        <v>-6642233.3990976214</v>
      </c>
      <c r="V21" s="160">
        <v>-9340986.1350985467</v>
      </c>
      <c r="W21" s="161">
        <v>2249494.3409599066</v>
      </c>
      <c r="X21" s="160">
        <v>8891997.2773588896</v>
      </c>
      <c r="Y21" s="160">
        <v>18430164.126735121</v>
      </c>
      <c r="Z21" s="160">
        <v>9919604.5608720183</v>
      </c>
      <c r="AA21" s="160">
        <v>7662701.6685259193</v>
      </c>
      <c r="AB21" s="160">
        <v>13568851.604935005</v>
      </c>
      <c r="AC21" s="160">
        <v>11480840.268597856</v>
      </c>
      <c r="AD21" s="160">
        <v>1850024.1563661546</v>
      </c>
      <c r="AE21" s="160">
        <v>-1504798.7704128474</v>
      </c>
      <c r="AF21" s="160">
        <v>-11666966.422158793</v>
      </c>
      <c r="AG21" s="160">
        <v>-21097339.535778448</v>
      </c>
    </row>
    <row r="22" spans="1:33" ht="15.75" customHeight="1">
      <c r="B22" s="84" t="s">
        <v>19</v>
      </c>
      <c r="C22" s="85">
        <f ca="1">ROUND(NORMINV(RAND(), C6, C6*0.1) * (1 + (-0.5) * (I14 - I6) / I6), 0)</f>
        <v>3927299</v>
      </c>
      <c r="D22" s="85">
        <f t="shared" ref="D22" ca="1" si="7">ROUND(NORMINV(RAND(), D6, D6*0.1) * (1 + (-0.5) * (J14 - J6) / J6), 0)</f>
        <v>22718</v>
      </c>
      <c r="E22" s="85">
        <f t="shared" ref="E22:E25" ca="1" si="8">ROUND(NORMINV(RAND(), E6, E6*0.1) * (1 + (-0.7) * (K14 - K6) / K6), 0)</f>
        <v>115014</v>
      </c>
      <c r="F22" s="85">
        <f t="shared" ref="F22:F23" ca="1" si="9">IF((ROUND(NORMINV(RAND(), F6, F6*0.1) * (1 + (-0.7) * (L14 - L6) / L6), 0))&lt;0,0,ROUND(NORMINV(RAND(), F6, F6*0.1) * (1 + (-0.7) * (L14 - L6) / L6),0))</f>
        <v>19095</v>
      </c>
      <c r="G22" s="76" t="s">
        <v>10</v>
      </c>
      <c r="H22" s="76"/>
      <c r="I22" s="76" t="s">
        <v>10</v>
      </c>
      <c r="J22" s="76"/>
      <c r="K22" s="76"/>
      <c r="L22" s="76"/>
      <c r="M22" s="76"/>
      <c r="N22" s="76"/>
      <c r="O22" s="76"/>
      <c r="P22" s="159"/>
      <c r="Q22" s="159">
        <v>5</v>
      </c>
      <c r="R22" s="160">
        <v>-37587145.594300002</v>
      </c>
      <c r="S22" s="160">
        <v>-25583764.526343346</v>
      </c>
      <c r="T22" s="160">
        <v>-19990263.775381789</v>
      </c>
      <c r="U22" s="160">
        <v>-9978745.4950125217</v>
      </c>
      <c r="V22" s="160">
        <v>-725863.25294466317</v>
      </c>
      <c r="W22" s="161">
        <v>6907983.0706625283</v>
      </c>
      <c r="X22" s="160">
        <v>6469558.9584171921</v>
      </c>
      <c r="Y22" s="160">
        <v>13312224.523058057</v>
      </c>
      <c r="Z22" s="160">
        <v>1362056.0119291246</v>
      </c>
      <c r="AA22" s="160">
        <v>6462968.4021942616</v>
      </c>
      <c r="AB22" s="160">
        <v>4194320.9350481033</v>
      </c>
      <c r="AC22" s="160">
        <v>2332851.5362974554</v>
      </c>
      <c r="AD22" s="160">
        <v>5743237.5193677992</v>
      </c>
      <c r="AE22" s="160">
        <v>-1801441.5305208713</v>
      </c>
      <c r="AF22" s="160">
        <v>-7322607.8931323588</v>
      </c>
      <c r="AG22" s="160">
        <v>-18011430.519399434</v>
      </c>
    </row>
    <row r="23" spans="1:33" ht="15.75" customHeight="1">
      <c r="B23" s="84" t="s">
        <v>20</v>
      </c>
      <c r="C23" s="85">
        <f t="shared" ref="C23:D23" ca="1" si="10">ROUND(NORMINV(RAND(), C7, C7*0.1) * (1 + (-0.5) * (I15 - I7) / I7), 0)</f>
        <v>226328</v>
      </c>
      <c r="D23" s="85">
        <f t="shared" ca="1" si="10"/>
        <v>820</v>
      </c>
      <c r="E23" s="85">
        <f t="shared" ca="1" si="8"/>
        <v>5146</v>
      </c>
      <c r="F23" s="85">
        <f t="shared" ca="1" si="9"/>
        <v>1277</v>
      </c>
      <c r="G23" s="76" t="s">
        <v>10</v>
      </c>
      <c r="H23" s="76" t="s">
        <v>10</v>
      </c>
      <c r="I23" s="76" t="s">
        <v>10</v>
      </c>
      <c r="J23" s="76" t="s">
        <v>10</v>
      </c>
      <c r="K23" s="76"/>
      <c r="L23" s="76"/>
      <c r="M23" s="76"/>
      <c r="N23" s="76"/>
      <c r="O23" s="76"/>
      <c r="P23" s="159" t="s">
        <v>10</v>
      </c>
      <c r="Q23" s="159">
        <v>6</v>
      </c>
      <c r="R23" s="160">
        <v>-40792572.480362564</v>
      </c>
      <c r="S23" s="160">
        <v>-22826224.238180071</v>
      </c>
      <c r="T23" s="160">
        <v>-10760980.540157557</v>
      </c>
      <c r="U23" s="160">
        <v>-490880.1222948581</v>
      </c>
      <c r="V23" s="160">
        <v>4747427.9207783043</v>
      </c>
      <c r="W23" s="161">
        <v>537763.09013032913</v>
      </c>
      <c r="X23" s="160">
        <v>13635129.119341969</v>
      </c>
      <c r="Y23" s="160">
        <v>10332116.876552403</v>
      </c>
      <c r="Z23" s="160">
        <v>9352589.7802695483</v>
      </c>
      <c r="AA23" s="160">
        <v>-1229869.4633338898</v>
      </c>
      <c r="AB23" s="160">
        <v>19618444.145007819</v>
      </c>
      <c r="AC23" s="160">
        <v>9533273.5601509959</v>
      </c>
      <c r="AD23" s="160">
        <v>6193964.2803454399</v>
      </c>
      <c r="AE23" s="160">
        <v>-10344447.318457291</v>
      </c>
      <c r="AF23" s="160">
        <v>-4518389.3571660072</v>
      </c>
      <c r="AG23" s="160">
        <v>-20679650.056993484</v>
      </c>
    </row>
    <row r="24" spans="1:33" ht="15.75" customHeight="1">
      <c r="B24" s="84" t="s">
        <v>21</v>
      </c>
      <c r="C24" s="85">
        <f t="shared" ref="C24:D24" ca="1" si="11">ROUND(NORMINV(RAND(), C8, C8*0.1) * (1 + (-0.5) * (I16 - I8) / I8), 0)</f>
        <v>4223721</v>
      </c>
      <c r="D24" s="85">
        <f t="shared" ca="1" si="11"/>
        <v>37721</v>
      </c>
      <c r="E24" s="85">
        <f t="shared" ca="1" si="8"/>
        <v>137619</v>
      </c>
      <c r="F24" s="84" t="s">
        <v>22</v>
      </c>
      <c r="G24" s="76" t="s">
        <v>10</v>
      </c>
      <c r="H24" s="76" t="s">
        <v>10</v>
      </c>
      <c r="I24" s="76" t="s">
        <v>10</v>
      </c>
      <c r="J24" s="76" t="s">
        <v>10</v>
      </c>
      <c r="K24" s="76"/>
      <c r="L24" s="76"/>
      <c r="M24" s="76"/>
      <c r="N24" s="76"/>
      <c r="O24" s="76"/>
      <c r="P24" s="159"/>
      <c r="Q24" s="159">
        <v>7</v>
      </c>
      <c r="R24" s="160">
        <v>-37180380.954278782</v>
      </c>
      <c r="S24" s="160">
        <v>-22546017.742380917</v>
      </c>
      <c r="T24" s="160">
        <v>-17160947.142196551</v>
      </c>
      <c r="U24" s="160">
        <v>-5115987.2469877005</v>
      </c>
      <c r="V24" s="160">
        <v>3822834.6426350325</v>
      </c>
      <c r="W24" s="161">
        <v>6142504.5284316689</v>
      </c>
      <c r="X24" s="160">
        <v>19010416.697419062</v>
      </c>
      <c r="Y24" s="160">
        <v>9336479.0389987081</v>
      </c>
      <c r="Z24" s="160">
        <v>4666666.6857867539</v>
      </c>
      <c r="AA24" s="160">
        <v>7233627.1579108834</v>
      </c>
      <c r="AB24" s="160">
        <v>7204808.8917022794</v>
      </c>
      <c r="AC24" s="160">
        <v>3790423.9306254536</v>
      </c>
      <c r="AD24" s="160">
        <v>9991905.9967526942</v>
      </c>
      <c r="AE24" s="160">
        <v>-3246676.9733318686</v>
      </c>
      <c r="AF24" s="160">
        <v>-14641083.845406339</v>
      </c>
      <c r="AG24" s="160">
        <v>-14367302.178400144</v>
      </c>
    </row>
    <row r="25" spans="1:33" ht="15.75" customHeight="1">
      <c r="B25" s="84" t="s">
        <v>23</v>
      </c>
      <c r="C25" s="85">
        <f t="shared" ref="C25:D25" ca="1" si="12">ROUND(NORMINV(RAND(), C9, C9*0.1) * (1 + (-0.5) * (I17 - I9) / I9), 0)</f>
        <v>278929</v>
      </c>
      <c r="D25" s="85">
        <f t="shared" ca="1" si="12"/>
        <v>2349</v>
      </c>
      <c r="E25" s="85">
        <f t="shared" ca="1" si="8"/>
        <v>13675</v>
      </c>
      <c r="F25" s="84" t="s">
        <v>22</v>
      </c>
      <c r="G25" s="86"/>
      <c r="H25" s="76" t="s">
        <v>10</v>
      </c>
      <c r="I25" s="76" t="s">
        <v>10</v>
      </c>
      <c r="K25" s="76" t="s">
        <v>10</v>
      </c>
      <c r="L25" s="76"/>
      <c r="M25" s="76"/>
      <c r="O25" s="76"/>
      <c r="P25" s="159"/>
      <c r="Q25" s="159">
        <v>8</v>
      </c>
      <c r="R25" s="160">
        <v>-30280538.812861875</v>
      </c>
      <c r="S25" s="160">
        <v>-25419080.127088174</v>
      </c>
      <c r="T25" s="160">
        <v>-13718577.886463732</v>
      </c>
      <c r="U25" s="160">
        <v>-2028956.1458805054</v>
      </c>
      <c r="V25" s="160">
        <v>-6945945.44568564</v>
      </c>
      <c r="W25" s="161">
        <v>-285979.75631424785</v>
      </c>
      <c r="X25" s="160">
        <v>6836428.7108012885</v>
      </c>
      <c r="Y25" s="160">
        <v>10065674.812658757</v>
      </c>
      <c r="Z25" s="160">
        <v>5059440.762258485</v>
      </c>
      <c r="AA25" s="160">
        <v>7603865.0186579376</v>
      </c>
      <c r="AB25" s="160">
        <v>20023939.903536186</v>
      </c>
      <c r="AC25" s="160">
        <v>6500898.891409561</v>
      </c>
      <c r="AD25" s="160">
        <v>4327304.0241713524</v>
      </c>
      <c r="AE25" s="160">
        <v>-3247464.6509612352</v>
      </c>
      <c r="AF25" s="160">
        <v>-5628476.3644383252</v>
      </c>
      <c r="AG25" s="160">
        <v>-24111663.139982477</v>
      </c>
    </row>
    <row r="26" spans="1:33" ht="15.75" customHeight="1">
      <c r="B26" s="76"/>
      <c r="C26" s="76"/>
      <c r="D26" s="76"/>
      <c r="E26" s="76"/>
      <c r="F26" s="76"/>
      <c r="G26" s="76" t="s">
        <v>10</v>
      </c>
      <c r="H26" s="76" t="s">
        <v>10</v>
      </c>
      <c r="I26" s="76" t="s">
        <v>10</v>
      </c>
      <c r="J26" s="76" t="s">
        <v>10</v>
      </c>
      <c r="K26" s="76" t="s">
        <v>10</v>
      </c>
      <c r="L26" s="122" t="s">
        <v>138</v>
      </c>
      <c r="O26" s="76"/>
      <c r="P26" s="159"/>
      <c r="Q26" s="159">
        <v>9</v>
      </c>
      <c r="R26" s="160">
        <v>-39915300.081168547</v>
      </c>
      <c r="S26" s="160">
        <v>-25118222.150099963</v>
      </c>
      <c r="T26" s="160">
        <v>-11616180.007442072</v>
      </c>
      <c r="U26" s="160">
        <v>-8734575.3939919472</v>
      </c>
      <c r="V26" s="160">
        <v>-1448111.8217806369</v>
      </c>
      <c r="W26" s="161">
        <v>13998178.336958781</v>
      </c>
      <c r="X26" s="160">
        <v>13220628.502004251</v>
      </c>
      <c r="Y26" s="160">
        <v>3955372.3843094409</v>
      </c>
      <c r="Z26" s="160">
        <v>14511510.381072536</v>
      </c>
      <c r="AA26" s="160">
        <v>13492649.644180104</v>
      </c>
      <c r="AB26" s="160">
        <v>2804045.5136280358</v>
      </c>
      <c r="AC26" s="160">
        <v>3088462.8850430995</v>
      </c>
      <c r="AD26" s="160">
        <v>5958596.6485669017</v>
      </c>
      <c r="AE26" s="160">
        <v>-516710.35002723336</v>
      </c>
      <c r="AF26" s="160">
        <v>-3537871.7801176161</v>
      </c>
      <c r="AG26" s="160">
        <v>-14493855.844717264</v>
      </c>
    </row>
    <row r="27" spans="1:33" ht="22.95" customHeight="1">
      <c r="B27" s="87"/>
      <c r="C27" s="87"/>
      <c r="D27" s="76"/>
      <c r="E27" s="76"/>
      <c r="F27" s="76"/>
      <c r="G27" s="76" t="s">
        <v>10</v>
      </c>
      <c r="H27" s="76" t="s">
        <v>11</v>
      </c>
      <c r="I27" s="76" t="s">
        <v>10</v>
      </c>
      <c r="J27" s="76"/>
      <c r="K27" s="76" t="s">
        <v>10</v>
      </c>
      <c r="L27" s="76"/>
      <c r="M27" s="76"/>
      <c r="N27" s="76"/>
      <c r="O27" s="76"/>
      <c r="P27" s="159"/>
      <c r="Q27" s="159">
        <v>10</v>
      </c>
      <c r="R27" s="160">
        <v>-32492639.838947654</v>
      </c>
      <c r="S27" s="160">
        <v>-29399105.210778832</v>
      </c>
      <c r="T27" s="160">
        <v>-11330078.009748146</v>
      </c>
      <c r="U27" s="160">
        <v>-1778895.4525205791</v>
      </c>
      <c r="V27" s="160">
        <v>-5803399.3949493766</v>
      </c>
      <c r="W27" s="161">
        <v>13938289.069211245</v>
      </c>
      <c r="X27" s="160">
        <v>14091761.095551878</v>
      </c>
      <c r="Y27" s="160">
        <v>13623771.204293266</v>
      </c>
      <c r="Z27" s="160">
        <v>-767412.02083204687</v>
      </c>
      <c r="AA27" s="160">
        <v>5179506.0105953813</v>
      </c>
      <c r="AB27" s="160">
        <v>5508962.3454725295</v>
      </c>
      <c r="AC27" s="160">
        <v>9285816.9833474755</v>
      </c>
      <c r="AD27" s="160">
        <v>907888.30464106798</v>
      </c>
      <c r="AE27" s="160">
        <v>-6841350.1233916581</v>
      </c>
      <c r="AF27" s="160">
        <v>-9377451.6409227401</v>
      </c>
      <c r="AG27" s="160">
        <v>-11451863.030145228</v>
      </c>
    </row>
    <row r="28" spans="1:33" ht="22.2" customHeight="1">
      <c r="B28" s="88"/>
      <c r="C28" s="88"/>
      <c r="G28" s="74" t="s">
        <v>10</v>
      </c>
      <c r="P28" s="159"/>
      <c r="Q28" s="159">
        <v>11</v>
      </c>
      <c r="R28" s="160">
        <v>-32031880.128301144</v>
      </c>
      <c r="S28" s="160">
        <v>-26145648.008658528</v>
      </c>
      <c r="T28" s="160">
        <v>-10653938.863452718</v>
      </c>
      <c r="U28" s="160">
        <v>-13583948.559778973</v>
      </c>
      <c r="V28" s="160">
        <v>-2503270.0322251022</v>
      </c>
      <c r="W28" s="161">
        <v>6077383.9381365478</v>
      </c>
      <c r="X28" s="160">
        <v>12458453.557629555</v>
      </c>
      <c r="Y28" s="160">
        <v>14640536.020368367</v>
      </c>
      <c r="Z28" s="160">
        <v>927242.45106074214</v>
      </c>
      <c r="AA28" s="160">
        <v>17976164.161029235</v>
      </c>
      <c r="AB28" s="160">
        <v>-2291797.7342221588</v>
      </c>
      <c r="AC28" s="160">
        <v>8070765.2505577058</v>
      </c>
      <c r="AD28" s="160">
        <v>9861642.724833414</v>
      </c>
      <c r="AE28" s="160">
        <v>-9001463.136064291</v>
      </c>
      <c r="AF28" s="160">
        <v>-20891864.617486671</v>
      </c>
      <c r="AG28" s="160">
        <v>-21143321.063467264</v>
      </c>
    </row>
    <row r="29" spans="1:33" ht="15.75" customHeight="1">
      <c r="G29" s="74" t="s">
        <v>10</v>
      </c>
      <c r="N29" s="74" t="s">
        <v>10</v>
      </c>
      <c r="P29" s="159"/>
      <c r="Q29" s="159">
        <v>12</v>
      </c>
      <c r="R29" s="160">
        <v>-38271231.585406572</v>
      </c>
      <c r="S29" s="160">
        <v>-27683534.33781901</v>
      </c>
      <c r="T29" s="160">
        <v>-15400380.725241587</v>
      </c>
      <c r="U29" s="160">
        <v>-10971967.638198093</v>
      </c>
      <c r="V29" s="160">
        <v>-7679922.6329920888</v>
      </c>
      <c r="W29" s="161">
        <v>7018075.3153508604</v>
      </c>
      <c r="X29" s="160">
        <v>6679715.8428883404</v>
      </c>
      <c r="Y29" s="160">
        <v>3842176.5785925984</v>
      </c>
      <c r="Z29" s="160">
        <v>11047365.749009028</v>
      </c>
      <c r="AA29" s="160">
        <v>11244806.245333001</v>
      </c>
      <c r="AB29" s="160">
        <v>17979997.738665849</v>
      </c>
      <c r="AC29" s="160">
        <v>3359849.5579272658</v>
      </c>
      <c r="AD29" s="160">
        <v>5238377.4708630443</v>
      </c>
      <c r="AE29" s="160">
        <v>3498086.3580149561</v>
      </c>
      <c r="AF29" s="160">
        <v>-10317656.338345841</v>
      </c>
      <c r="AG29" s="160">
        <v>-10969410.316110134</v>
      </c>
    </row>
    <row r="30" spans="1:33" ht="22.95" customHeight="1">
      <c r="B30" s="73" t="s">
        <v>119</v>
      </c>
      <c r="C30" s="73">
        <f ca="1">SUM(C22:F25)</f>
        <v>9011711</v>
      </c>
      <c r="D30" s="74" t="s">
        <v>10</v>
      </c>
      <c r="G30" s="74" t="s">
        <v>10</v>
      </c>
      <c r="P30" s="159"/>
      <c r="Q30" s="159">
        <v>13</v>
      </c>
      <c r="R30" s="160">
        <v>-29984186.69714506</v>
      </c>
      <c r="S30" s="160">
        <v>-22684530.056821644</v>
      </c>
      <c r="T30" s="160">
        <v>-11163516.924213946</v>
      </c>
      <c r="U30" s="160">
        <v>-7261519.9512319118</v>
      </c>
      <c r="V30" s="160">
        <v>-376002.55389004946</v>
      </c>
      <c r="W30" s="161">
        <v>2744588.1818632931</v>
      </c>
      <c r="X30" s="160">
        <v>10615886.904723123</v>
      </c>
      <c r="Y30" s="160">
        <v>53934.028140932322</v>
      </c>
      <c r="Z30" s="160">
        <v>12857719.349640131</v>
      </c>
      <c r="AA30" s="160">
        <v>14362534.741546288</v>
      </c>
      <c r="AB30" s="160">
        <v>8011311.1981559694</v>
      </c>
      <c r="AC30" s="160">
        <v>7770163.4873488545</v>
      </c>
      <c r="AD30" s="160">
        <v>-4669635.639273122</v>
      </c>
      <c r="AE30" s="160">
        <v>-300546.51410730183</v>
      </c>
      <c r="AF30" s="160">
        <v>-10537011.97457698</v>
      </c>
      <c r="AG30" s="160">
        <v>-13443951.658953667</v>
      </c>
    </row>
    <row r="31" spans="1:33" ht="22.95" customHeight="1">
      <c r="B31" s="89" t="s">
        <v>27</v>
      </c>
      <c r="C31" s="89">
        <f ca="1">SUMPRODUCT(C22:F25,I14:L17)</f>
        <v>56291669</v>
      </c>
      <c r="G31" s="74" t="s">
        <v>10</v>
      </c>
      <c r="P31" s="159"/>
      <c r="Q31" s="159">
        <v>14</v>
      </c>
      <c r="R31" s="160">
        <v>-32245157.495668292</v>
      </c>
      <c r="S31" s="160">
        <v>-28784308.946511179</v>
      </c>
      <c r="T31" s="160">
        <v>-8903526.1613572091</v>
      </c>
      <c r="U31" s="160">
        <v>-7760114.4874330014</v>
      </c>
      <c r="V31" s="160">
        <v>-11364789.912474945</v>
      </c>
      <c r="W31" s="161">
        <v>2316793.6812089682</v>
      </c>
      <c r="X31" s="160">
        <v>7745176.1979482621</v>
      </c>
      <c r="Y31" s="160">
        <v>20893319.655576289</v>
      </c>
      <c r="Z31" s="160">
        <v>7626731.2921696156</v>
      </c>
      <c r="AA31" s="160">
        <v>18704357.179028928</v>
      </c>
      <c r="AB31" s="160">
        <v>11898446.90954569</v>
      </c>
      <c r="AC31" s="160">
        <v>9124375.8775172532</v>
      </c>
      <c r="AD31" s="160">
        <v>6009094.7681811899</v>
      </c>
      <c r="AE31" s="160">
        <v>-14261175.2244436</v>
      </c>
      <c r="AF31" s="160">
        <v>-4231706.4075285494</v>
      </c>
      <c r="AG31" s="160">
        <v>-18511527.819136098</v>
      </c>
    </row>
    <row r="32" spans="1:33" ht="15.75" customHeight="1">
      <c r="C32" s="74" t="s">
        <v>10</v>
      </c>
      <c r="G32" s="74" t="s">
        <v>10</v>
      </c>
      <c r="P32" s="159"/>
      <c r="Q32" s="159">
        <v>15</v>
      </c>
      <c r="R32" s="160">
        <v>-36119616.236588687</v>
      </c>
      <c r="S32" s="160">
        <v>-19425050.552039668</v>
      </c>
      <c r="T32" s="160">
        <v>-15044504.648852721</v>
      </c>
      <c r="U32" s="160">
        <v>-11157943.67059119</v>
      </c>
      <c r="V32" s="160">
        <v>-7219684.4958999455</v>
      </c>
      <c r="W32" s="161">
        <v>-5376994.2113045305</v>
      </c>
      <c r="X32" s="160">
        <v>5725653.9761698693</v>
      </c>
      <c r="Y32" s="160">
        <v>3803297.4783067405</v>
      </c>
      <c r="Z32" s="160">
        <v>795275.65897580981</v>
      </c>
      <c r="AA32" s="160">
        <v>7731213.7963333726</v>
      </c>
      <c r="AB32" s="160">
        <v>16504696.873939201</v>
      </c>
      <c r="AC32" s="160">
        <v>10981694.51800026</v>
      </c>
      <c r="AD32" s="160">
        <v>2407798.8594407141</v>
      </c>
      <c r="AE32" s="160">
        <v>3453414.6393986344</v>
      </c>
      <c r="AF32" s="160">
        <v>-11183605.362212062</v>
      </c>
      <c r="AG32" s="160">
        <v>-11813797.44468829</v>
      </c>
    </row>
    <row r="33" spans="4:33" ht="15.75" customHeight="1">
      <c r="G33" s="74" t="s">
        <v>10</v>
      </c>
      <c r="P33" s="159"/>
      <c r="Q33" s="159">
        <v>16</v>
      </c>
      <c r="R33" s="160">
        <v>-34073227.164878294</v>
      </c>
      <c r="S33" s="160">
        <v>-23707190.084436387</v>
      </c>
      <c r="T33" s="160">
        <v>-13840786.298119813</v>
      </c>
      <c r="U33" s="160">
        <v>-11810282.525797114</v>
      </c>
      <c r="V33" s="160">
        <v>-8596556.6658721566</v>
      </c>
      <c r="W33" s="161">
        <v>6142441.0512676537</v>
      </c>
      <c r="X33" s="160">
        <v>3430036.5457662195</v>
      </c>
      <c r="Y33" s="160">
        <v>9256170.2700157017</v>
      </c>
      <c r="Z33" s="160">
        <v>12123733.256904319</v>
      </c>
      <c r="AA33" s="160">
        <v>9406421.8320735246</v>
      </c>
      <c r="AB33" s="160">
        <v>7954713.7805234492</v>
      </c>
      <c r="AC33" s="160">
        <v>13145841.188502759</v>
      </c>
      <c r="AD33" s="160">
        <v>-857480.40101607144</v>
      </c>
      <c r="AE33" s="160">
        <v>-9590360.9746899754</v>
      </c>
      <c r="AF33" s="160">
        <v>-22770090.204053715</v>
      </c>
      <c r="AG33" s="160">
        <v>-17868587.176708728</v>
      </c>
    </row>
    <row r="34" spans="4:33" ht="15.75" customHeight="1">
      <c r="G34" s="74" t="s">
        <v>10</v>
      </c>
      <c r="P34" s="159"/>
      <c r="Q34" s="159">
        <v>17</v>
      </c>
      <c r="R34" s="160">
        <v>-36424169.636792272</v>
      </c>
      <c r="S34" s="160">
        <v>-31802058.448271558</v>
      </c>
      <c r="T34" s="160">
        <v>-19993954.782071963</v>
      </c>
      <c r="U34" s="160">
        <v>-4670825.6330518126</v>
      </c>
      <c r="V34" s="160">
        <v>-1710400.3932887763</v>
      </c>
      <c r="W34" s="161">
        <v>3406409.0437336564</v>
      </c>
      <c r="X34" s="160">
        <v>11367767.822468266</v>
      </c>
      <c r="Y34" s="160">
        <v>14444562.438602224</v>
      </c>
      <c r="Z34" s="160">
        <v>10819815.981181651</v>
      </c>
      <c r="AA34" s="160">
        <v>5202058.9621135443</v>
      </c>
      <c r="AB34" s="160">
        <v>6840091.3068198562</v>
      </c>
      <c r="AC34" s="160">
        <v>12152030.263037041</v>
      </c>
      <c r="AD34" s="160">
        <v>2135363.5888373405</v>
      </c>
      <c r="AE34" s="160">
        <v>-18378324.492568389</v>
      </c>
      <c r="AF34" s="160">
        <v>-7848702.4361287802</v>
      </c>
      <c r="AG34" s="160">
        <v>-15726919.459011629</v>
      </c>
    </row>
    <row r="35" spans="4:33" ht="15.75" customHeight="1">
      <c r="D35" s="74" t="s">
        <v>10</v>
      </c>
      <c r="G35" s="74" t="s">
        <v>10</v>
      </c>
      <c r="P35" s="159"/>
      <c r="Q35" s="159">
        <v>18</v>
      </c>
      <c r="R35" s="160">
        <v>-33002828.727707177</v>
      </c>
      <c r="S35" s="160">
        <v>-20467679.772779971</v>
      </c>
      <c r="T35" s="160">
        <v>-7688731.0185945332</v>
      </c>
      <c r="U35" s="160">
        <v>-12989775.824223623</v>
      </c>
      <c r="V35" s="160">
        <v>4348749.9316983819</v>
      </c>
      <c r="W35" s="161">
        <v>17131979.116131693</v>
      </c>
      <c r="X35" s="160">
        <v>10294781.178097248</v>
      </c>
      <c r="Y35" s="160">
        <v>7738058.3731535077</v>
      </c>
      <c r="Z35" s="160">
        <v>11216000.531919271</v>
      </c>
      <c r="AA35" s="160">
        <v>1473870.3041356355</v>
      </c>
      <c r="AB35" s="160">
        <v>5008119.0113401115</v>
      </c>
      <c r="AC35" s="160">
        <v>12064352.953596011</v>
      </c>
      <c r="AD35" s="160">
        <v>5916089.1686689556</v>
      </c>
      <c r="AE35" s="160">
        <v>-18079496.748016343</v>
      </c>
      <c r="AF35" s="160">
        <v>-15780920.819869339</v>
      </c>
      <c r="AG35" s="160">
        <v>-17759896.381890863</v>
      </c>
    </row>
    <row r="36" spans="4:33" ht="15.75" customHeight="1">
      <c r="D36" s="74" t="s">
        <v>10</v>
      </c>
      <c r="G36" s="74" t="s">
        <v>10</v>
      </c>
      <c r="P36" s="159"/>
      <c r="Q36" s="159">
        <v>19</v>
      </c>
      <c r="R36" s="160">
        <v>-33129534.543437719</v>
      </c>
      <c r="S36" s="160">
        <v>-26166510.924774662</v>
      </c>
      <c r="T36" s="160">
        <v>-15750949.856709868</v>
      </c>
      <c r="U36" s="160">
        <v>-12159426.324159577</v>
      </c>
      <c r="V36" s="160">
        <v>-6941941.8682425171</v>
      </c>
      <c r="W36" s="161">
        <v>-2977490.9937355369</v>
      </c>
      <c r="X36" s="160">
        <v>10501222.377527177</v>
      </c>
      <c r="Y36" s="160">
        <v>2084110.3943318725</v>
      </c>
      <c r="Z36" s="160">
        <v>4470698.6264709383</v>
      </c>
      <c r="AA36" s="160">
        <v>3025643.228317067</v>
      </c>
      <c r="AB36" s="160">
        <v>15410080.385979652</v>
      </c>
      <c r="AC36" s="160">
        <v>17899232.475979343</v>
      </c>
      <c r="AD36" s="160">
        <v>1194904.4058342874</v>
      </c>
      <c r="AE36" s="160">
        <v>7205118.8275438249</v>
      </c>
      <c r="AF36" s="160">
        <v>-12475440.490542889</v>
      </c>
      <c r="AG36" s="160">
        <v>-18892086.80076094</v>
      </c>
    </row>
    <row r="37" spans="4:33" ht="15.75" customHeight="1">
      <c r="G37" s="74" t="s">
        <v>10</v>
      </c>
      <c r="P37" s="159"/>
      <c r="Q37" s="159">
        <v>20</v>
      </c>
      <c r="R37" s="160">
        <v>-26091449.394931734</v>
      </c>
      <c r="S37" s="160">
        <v>-31098508.885071322</v>
      </c>
      <c r="T37" s="160">
        <v>-31432200.093134999</v>
      </c>
      <c r="U37" s="160">
        <v>-16836192.87613371</v>
      </c>
      <c r="V37" s="160">
        <v>-4720391.729294613</v>
      </c>
      <c r="W37" s="161">
        <v>8694452.5163544118</v>
      </c>
      <c r="X37" s="160">
        <v>13891139.219790414</v>
      </c>
      <c r="Y37" s="160">
        <v>5889737.9221163243</v>
      </c>
      <c r="Z37" s="160">
        <v>173816.81510058045</v>
      </c>
      <c r="AA37" s="160">
        <v>4008276.5986477286</v>
      </c>
      <c r="AB37" s="160">
        <v>6894951.1757860333</v>
      </c>
      <c r="AC37" s="160">
        <v>8912848.2479277998</v>
      </c>
      <c r="AD37" s="160">
        <v>115087.70460167527</v>
      </c>
      <c r="AE37" s="160">
        <v>-7752218.9022686034</v>
      </c>
      <c r="AF37" s="160">
        <v>-5516206.8225577325</v>
      </c>
      <c r="AG37" s="160">
        <v>-16639479.184614718</v>
      </c>
    </row>
    <row r="38" spans="4:33" ht="15.75" customHeight="1">
      <c r="G38" s="74" t="s">
        <v>10</v>
      </c>
      <c r="P38" s="159"/>
      <c r="Q38" s="159">
        <v>21</v>
      </c>
      <c r="R38" s="160">
        <v>-34013324.104321823</v>
      </c>
      <c r="S38" s="160">
        <v>-27658466.176049888</v>
      </c>
      <c r="T38" s="160">
        <v>-14906269.509148374</v>
      </c>
      <c r="U38" s="160">
        <v>-5535042.8779163361</v>
      </c>
      <c r="V38" s="160">
        <v>328222.68346150219</v>
      </c>
      <c r="W38" s="161">
        <v>-286235.75542062521</v>
      </c>
      <c r="X38" s="160">
        <v>-389168.97592152655</v>
      </c>
      <c r="Y38" s="160">
        <v>13101647.738122851</v>
      </c>
      <c r="Z38" s="160">
        <v>14077524.463573352</v>
      </c>
      <c r="AA38" s="160">
        <v>-773539.84025022388</v>
      </c>
      <c r="AB38" s="160">
        <v>17156289.143976212</v>
      </c>
      <c r="AC38" s="160">
        <v>8134713.2383826077</v>
      </c>
      <c r="AD38" s="160">
        <v>-609699.35383099318</v>
      </c>
      <c r="AE38" s="160">
        <v>1041911.7310580164</v>
      </c>
      <c r="AF38" s="160">
        <v>-7194329.9442134053</v>
      </c>
      <c r="AG38" s="160">
        <v>-20592191.609484553</v>
      </c>
    </row>
    <row r="39" spans="4:33" ht="15.75" customHeight="1">
      <c r="P39" s="159"/>
      <c r="Q39" s="159">
        <v>22</v>
      </c>
      <c r="R39" s="160">
        <v>-32877028.903639585</v>
      </c>
      <c r="S39" s="160">
        <v>-25360145.943516344</v>
      </c>
      <c r="T39" s="160">
        <v>-19745938.585211352</v>
      </c>
      <c r="U39" s="160">
        <v>-937876.03179614246</v>
      </c>
      <c r="V39" s="160">
        <v>1493074.2576374114</v>
      </c>
      <c r="W39" s="161">
        <v>731837.58605253696</v>
      </c>
      <c r="X39" s="160">
        <v>11975562.782712683</v>
      </c>
      <c r="Y39" s="160">
        <v>4148381.8627701551</v>
      </c>
      <c r="Z39" s="160">
        <v>16146670.024196416</v>
      </c>
      <c r="AA39" s="160">
        <v>18247803.307924137</v>
      </c>
      <c r="AB39" s="160">
        <v>-1781168.9663380533</v>
      </c>
      <c r="AC39" s="160">
        <v>4829754.6033888459</v>
      </c>
      <c r="AD39" s="160">
        <v>1465905.6707906574</v>
      </c>
      <c r="AE39" s="160">
        <v>-1547534.5448319316</v>
      </c>
      <c r="AF39" s="160">
        <v>-10142141.880978569</v>
      </c>
      <c r="AG39" s="160">
        <v>-22585026.658227399</v>
      </c>
    </row>
    <row r="40" spans="4:33" ht="15.75" customHeight="1">
      <c r="P40" s="159"/>
      <c r="Q40" s="159">
        <v>23</v>
      </c>
      <c r="R40" s="160">
        <v>-33103582.020237833</v>
      </c>
      <c r="S40" s="160">
        <v>-20983147.099732056</v>
      </c>
      <c r="T40" s="160">
        <v>-21431306.345993727</v>
      </c>
      <c r="U40" s="160">
        <v>-12349076.586324349</v>
      </c>
      <c r="V40" s="160">
        <v>-3210901.1379933804</v>
      </c>
      <c r="W40" s="161">
        <v>6876470.3557423949</v>
      </c>
      <c r="X40" s="160">
        <v>10322684.822434723</v>
      </c>
      <c r="Y40" s="160">
        <v>7556146.0490982234</v>
      </c>
      <c r="Z40" s="160">
        <v>11059973.009974748</v>
      </c>
      <c r="AA40" s="160">
        <v>22255890.788692445</v>
      </c>
      <c r="AB40" s="160">
        <v>6004780.2091269195</v>
      </c>
      <c r="AC40" s="160">
        <v>5669129.4596170634</v>
      </c>
      <c r="AD40" s="160">
        <v>2279096.3240387142</v>
      </c>
      <c r="AE40" s="160">
        <v>-4535873.5547043532</v>
      </c>
      <c r="AF40" s="160">
        <v>-8600264.5480207652</v>
      </c>
      <c r="AG40" s="160">
        <v>-18555626.151314631</v>
      </c>
    </row>
    <row r="41" spans="4:33" ht="15.75" customHeight="1">
      <c r="P41" s="159"/>
      <c r="Q41" s="159">
        <v>24</v>
      </c>
      <c r="R41" s="160">
        <v>-36141909.675634414</v>
      </c>
      <c r="S41" s="160">
        <v>-26009660.8691663</v>
      </c>
      <c r="T41" s="160">
        <v>-13004581.656582639</v>
      </c>
      <c r="U41" s="160">
        <v>-12165900.345803156</v>
      </c>
      <c r="V41" s="160">
        <v>-10915088.997064158</v>
      </c>
      <c r="W41" s="161">
        <v>-7879315.9563393444</v>
      </c>
      <c r="X41" s="160">
        <v>16667313.335042</v>
      </c>
      <c r="Y41" s="160">
        <v>8869437.6705480814</v>
      </c>
      <c r="Z41" s="160">
        <v>12794242.334689975</v>
      </c>
      <c r="AA41" s="160">
        <v>1704256.8872490078</v>
      </c>
      <c r="AB41" s="160">
        <v>10788037.045666471</v>
      </c>
      <c r="AC41" s="160">
        <v>14954286.72848244</v>
      </c>
      <c r="AD41" s="160">
        <v>283091.85131385922</v>
      </c>
      <c r="AE41" s="160">
        <v>1011096.2034258693</v>
      </c>
      <c r="AF41" s="160">
        <v>-10338496.179858431</v>
      </c>
      <c r="AG41" s="160">
        <v>-17031964.468222588</v>
      </c>
    </row>
    <row r="42" spans="4:33" ht="15.75" customHeight="1">
      <c r="P42" s="159"/>
      <c r="Q42" s="159">
        <v>25</v>
      </c>
      <c r="R42" s="160">
        <v>-31541127.264809117</v>
      </c>
      <c r="S42" s="160">
        <v>-29677957.114212871</v>
      </c>
      <c r="T42" s="160">
        <v>-11876607.093454018</v>
      </c>
      <c r="U42" s="160">
        <v>-10520899.688741997</v>
      </c>
      <c r="V42" s="160">
        <v>-1790125.3226319104</v>
      </c>
      <c r="W42" s="161">
        <v>-8256821.5873395503</v>
      </c>
      <c r="X42" s="160">
        <v>8145860.0954470485</v>
      </c>
      <c r="Y42" s="160">
        <v>13083961.848798752</v>
      </c>
      <c r="Z42" s="160">
        <v>5622648.6529733688</v>
      </c>
      <c r="AA42" s="160">
        <v>13260129.897357821</v>
      </c>
      <c r="AB42" s="160">
        <v>14351400.995282441</v>
      </c>
      <c r="AC42" s="160">
        <v>9623340.8429206759</v>
      </c>
      <c r="AD42" s="160">
        <v>5772133.915020436</v>
      </c>
      <c r="AE42" s="160">
        <v>9461322.008471638</v>
      </c>
      <c r="AF42" s="160">
        <v>-17888759.028960362</v>
      </c>
      <c r="AG42" s="160">
        <v>-18444641.771583676</v>
      </c>
    </row>
    <row r="43" spans="4:33" ht="15.75" customHeight="1">
      <c r="P43" s="159"/>
      <c r="Q43" s="159">
        <v>26</v>
      </c>
      <c r="R43" s="160">
        <v>-35842150.857830584</v>
      </c>
      <c r="S43" s="160">
        <v>-33200147.993979573</v>
      </c>
      <c r="T43" s="160">
        <v>-19348959.409963667</v>
      </c>
      <c r="U43" s="160">
        <v>927292.65029641986</v>
      </c>
      <c r="V43" s="160">
        <v>-9042024.0350360274</v>
      </c>
      <c r="W43" s="161">
        <v>6505332.3135687113</v>
      </c>
      <c r="X43" s="160">
        <v>3941398.9104197919</v>
      </c>
      <c r="Y43" s="160">
        <v>11778137.94102408</v>
      </c>
      <c r="Z43" s="160">
        <v>21422213.505982146</v>
      </c>
      <c r="AA43" s="160">
        <v>-699335.12470775843</v>
      </c>
      <c r="AB43" s="160">
        <v>-604388.07102504373</v>
      </c>
      <c r="AC43" s="160">
        <v>2260622.217187956</v>
      </c>
      <c r="AD43" s="160">
        <v>466237.59979559481</v>
      </c>
      <c r="AE43" s="160">
        <v>2796230.6554664671</v>
      </c>
      <c r="AF43" s="160">
        <v>-12759618.919063225</v>
      </c>
      <c r="AG43" s="160">
        <v>-12892566.457612112</v>
      </c>
    </row>
    <row r="44" spans="4:33" ht="15.75" customHeight="1">
      <c r="P44" s="159"/>
      <c r="Q44" s="159">
        <v>27</v>
      </c>
      <c r="R44" s="160">
        <v>-36478594.05061844</v>
      </c>
      <c r="S44" s="160">
        <v>-25917238.177436993</v>
      </c>
      <c r="T44" s="160">
        <v>-11914066.824250326</v>
      </c>
      <c r="U44" s="160">
        <v>-15802636.940938368</v>
      </c>
      <c r="V44" s="160">
        <v>-2566420.0162607878</v>
      </c>
      <c r="W44" s="161">
        <v>3842496.6720804423</v>
      </c>
      <c r="X44" s="160">
        <v>11311120.205945298</v>
      </c>
      <c r="Y44" s="160">
        <v>13680686.842277512</v>
      </c>
      <c r="Z44" s="160">
        <v>10961555.284768149</v>
      </c>
      <c r="AA44" s="160">
        <v>11193771.741439223</v>
      </c>
      <c r="AB44" s="160">
        <v>15426641.788362384</v>
      </c>
      <c r="AC44" s="160">
        <v>9389797.1721033454</v>
      </c>
      <c r="AD44" s="160">
        <v>-6762282.6705532819</v>
      </c>
      <c r="AE44" s="160">
        <v>-84893.080341160297</v>
      </c>
      <c r="AF44" s="160">
        <v>-21206318.009181187</v>
      </c>
      <c r="AG44" s="160">
        <v>-16367265.885036364</v>
      </c>
    </row>
    <row r="45" spans="4:33" ht="15.75" customHeight="1">
      <c r="P45" s="159"/>
      <c r="Q45" s="159">
        <v>28</v>
      </c>
      <c r="R45" s="160">
        <v>-39969587.302120328</v>
      </c>
      <c r="S45" s="160">
        <v>-31569790.467753381</v>
      </c>
      <c r="T45" s="160">
        <v>-8855218.4957423955</v>
      </c>
      <c r="U45" s="160">
        <v>-10603795.496833429</v>
      </c>
      <c r="V45" s="160">
        <v>1687305.4220497161</v>
      </c>
      <c r="W45" s="161">
        <v>5332730.7276209891</v>
      </c>
      <c r="X45" s="160">
        <v>18913057.093504369</v>
      </c>
      <c r="Y45" s="160">
        <v>12722973.067139134</v>
      </c>
      <c r="Z45" s="160">
        <v>13751576.657312587</v>
      </c>
      <c r="AA45" s="160">
        <v>19296945.044161379</v>
      </c>
      <c r="AB45" s="160">
        <v>12322292.700249508</v>
      </c>
      <c r="AC45" s="160">
        <v>3474630.1876739115</v>
      </c>
      <c r="AD45" s="160">
        <v>1817377.0267224312</v>
      </c>
      <c r="AE45" s="160">
        <v>1903299.459202379</v>
      </c>
      <c r="AF45" s="160">
        <v>-15561497.744193971</v>
      </c>
      <c r="AG45" s="160">
        <v>-14656229.127765968</v>
      </c>
    </row>
    <row r="46" spans="4:33" ht="15.75" customHeight="1">
      <c r="P46" s="159"/>
      <c r="Q46" s="159">
        <v>29</v>
      </c>
      <c r="R46" s="160">
        <v>-31466762.69384025</v>
      </c>
      <c r="S46" s="160">
        <v>-21342699.217917323</v>
      </c>
      <c r="T46" s="160">
        <v>-21020118.799839228</v>
      </c>
      <c r="U46" s="160">
        <v>-5197620.4552586675</v>
      </c>
      <c r="V46" s="160">
        <v>-13598783.779980496</v>
      </c>
      <c r="W46" s="161">
        <v>1148096.3393623531</v>
      </c>
      <c r="X46" s="160">
        <v>12727745.954873264</v>
      </c>
      <c r="Y46" s="160">
        <v>12931159.685783282</v>
      </c>
      <c r="Z46" s="160">
        <v>14588151.923618376</v>
      </c>
      <c r="AA46" s="160">
        <v>18593561.857505426</v>
      </c>
      <c r="AB46" s="160">
        <v>-2731318.6902425438</v>
      </c>
      <c r="AC46" s="160">
        <v>9816907.3948434293</v>
      </c>
      <c r="AD46" s="160">
        <v>-2930990.6193789691</v>
      </c>
      <c r="AE46" s="160">
        <v>2474082.429160133</v>
      </c>
      <c r="AF46" s="160">
        <v>-2173670.1339207739</v>
      </c>
      <c r="AG46" s="160">
        <v>-24152141.86534895</v>
      </c>
    </row>
    <row r="47" spans="4:33" ht="15.75" customHeight="1">
      <c r="P47" s="159"/>
      <c r="Q47" s="159">
        <v>30</v>
      </c>
      <c r="R47" s="160">
        <v>-40763337.758997768</v>
      </c>
      <c r="S47" s="160">
        <v>-20853095.294139653</v>
      </c>
      <c r="T47" s="160">
        <v>-11417277.385954738</v>
      </c>
      <c r="U47" s="160">
        <v>-2237269.7865730077</v>
      </c>
      <c r="V47" s="160">
        <v>1754740.3446984887</v>
      </c>
      <c r="W47" s="161">
        <v>-260761.21805220842</v>
      </c>
      <c r="X47" s="160">
        <v>10516623.511848748</v>
      </c>
      <c r="Y47" s="160">
        <v>15029890.093440071</v>
      </c>
      <c r="Z47" s="160">
        <v>6820583.968308717</v>
      </c>
      <c r="AA47" s="160">
        <v>6002448.0154819489</v>
      </c>
      <c r="AB47" s="160">
        <v>16303865.701356024</v>
      </c>
      <c r="AC47" s="160">
        <v>7990720.4458076507</v>
      </c>
      <c r="AD47" s="160">
        <v>-277299.05106852949</v>
      </c>
      <c r="AE47" s="160">
        <v>7261831.5948092192</v>
      </c>
      <c r="AF47" s="160">
        <v>-8353177.0562454462</v>
      </c>
      <c r="AG47" s="160">
        <v>-13235122.954148933</v>
      </c>
    </row>
    <row r="48" spans="4:33" ht="15.75" customHeight="1">
      <c r="P48" s="159"/>
      <c r="Q48" s="159">
        <v>31</v>
      </c>
      <c r="R48" s="160">
        <v>-36349182.911758423</v>
      </c>
      <c r="S48" s="160">
        <v>-18144278.362451941</v>
      </c>
      <c r="T48" s="160">
        <v>-18812150.907558665</v>
      </c>
      <c r="U48" s="160">
        <v>-6902047.6471361369</v>
      </c>
      <c r="V48" s="160">
        <v>7235249.0412124544</v>
      </c>
      <c r="W48" s="161">
        <v>3079724.5439994633</v>
      </c>
      <c r="X48" s="160">
        <v>14655697.181833088</v>
      </c>
      <c r="Y48" s="160">
        <v>19011861.380394906</v>
      </c>
      <c r="Z48" s="160">
        <v>4130223.3112770021</v>
      </c>
      <c r="AA48" s="160">
        <v>16248529.000305429</v>
      </c>
      <c r="AB48" s="160">
        <v>14100938.097806841</v>
      </c>
      <c r="AC48" s="160">
        <v>12302828.838913545</v>
      </c>
      <c r="AD48" s="160">
        <v>6292992.5640122741</v>
      </c>
      <c r="AE48" s="160">
        <v>2640512.4969753027</v>
      </c>
      <c r="AF48" s="160">
        <v>-1657011.8226696402</v>
      </c>
      <c r="AG48" s="160">
        <v>-18627770.996218815</v>
      </c>
    </row>
    <row r="49" spans="16:33" ht="15.75" customHeight="1">
      <c r="P49" s="159"/>
      <c r="Q49" s="159">
        <v>32</v>
      </c>
      <c r="R49" s="160">
        <v>-24905116.834724069</v>
      </c>
      <c r="S49" s="160">
        <v>-28078862.390971541</v>
      </c>
      <c r="T49" s="160">
        <v>-14846301.01613237</v>
      </c>
      <c r="U49" s="160">
        <v>-6063766.3002473563</v>
      </c>
      <c r="V49" s="160">
        <v>-9041642.8651161045</v>
      </c>
      <c r="W49" s="161">
        <v>14992699.245540202</v>
      </c>
      <c r="X49" s="160">
        <v>10577906.290190369</v>
      </c>
      <c r="Y49" s="160">
        <v>3986519.4319601804</v>
      </c>
      <c r="Z49" s="160">
        <v>6935452.7483474612</v>
      </c>
      <c r="AA49" s="160">
        <v>11134261.897894263</v>
      </c>
      <c r="AB49" s="160">
        <v>16245914.303094327</v>
      </c>
      <c r="AC49" s="160">
        <v>2629479.1519577056</v>
      </c>
      <c r="AD49" s="160">
        <v>5767839.5319525599</v>
      </c>
      <c r="AE49" s="160">
        <v>5814450.9333846122</v>
      </c>
      <c r="AF49" s="160">
        <v>-6722258.1598481536</v>
      </c>
      <c r="AG49" s="160">
        <v>-22776155.398705512</v>
      </c>
    </row>
    <row r="50" spans="16:33" ht="15.75" customHeight="1">
      <c r="P50" s="159"/>
      <c r="Q50" s="159">
        <v>33</v>
      </c>
      <c r="R50" s="160">
        <v>-37424320.126688257</v>
      </c>
      <c r="S50" s="160">
        <v>-31617823.547541261</v>
      </c>
      <c r="T50" s="160">
        <v>-20460121.478337944</v>
      </c>
      <c r="U50" s="160">
        <v>-11260532.905319616</v>
      </c>
      <c r="V50" s="160">
        <v>1894511.2146569937</v>
      </c>
      <c r="W50" s="161">
        <v>-2971928.560409233</v>
      </c>
      <c r="X50" s="160">
        <v>8895958.9147148579</v>
      </c>
      <c r="Y50" s="160">
        <v>17297482.043685183</v>
      </c>
      <c r="Z50" s="160">
        <v>16123094.096884206</v>
      </c>
      <c r="AA50" s="160">
        <v>15074505.524252832</v>
      </c>
      <c r="AB50" s="160">
        <v>6753631.3638742715</v>
      </c>
      <c r="AC50" s="160">
        <v>9151318.0239629447</v>
      </c>
      <c r="AD50" s="160">
        <v>1398502.706988126</v>
      </c>
      <c r="AE50" s="160">
        <v>-3513999.8067061752</v>
      </c>
      <c r="AF50" s="160">
        <v>-1746984.5394976288</v>
      </c>
      <c r="AG50" s="160">
        <v>-17115543.320300281</v>
      </c>
    </row>
    <row r="51" spans="16:33" ht="15.75" customHeight="1">
      <c r="P51" s="159"/>
      <c r="Q51" s="159">
        <v>34</v>
      </c>
      <c r="R51" s="160">
        <v>-36289952.905711517</v>
      </c>
      <c r="S51" s="160">
        <v>-25165273.291180789</v>
      </c>
      <c r="T51" s="160">
        <v>-13262121.565678194</v>
      </c>
      <c r="U51" s="160">
        <v>-5244721.7881581634</v>
      </c>
      <c r="V51" s="160">
        <v>-9116953.7952564508</v>
      </c>
      <c r="W51" s="161">
        <v>5927077.3316797912</v>
      </c>
      <c r="X51" s="160">
        <v>9183281.6877258867</v>
      </c>
      <c r="Y51" s="160">
        <v>-6569956.3182366639</v>
      </c>
      <c r="Z51" s="160">
        <v>16960584.539533302</v>
      </c>
      <c r="AA51" s="160">
        <v>5593795.432191968</v>
      </c>
      <c r="AB51" s="160">
        <v>2386619.9137188792</v>
      </c>
      <c r="AC51" s="160">
        <v>5118938.8157667369</v>
      </c>
      <c r="AD51" s="160">
        <v>3460876.0588666201</v>
      </c>
      <c r="AE51" s="160">
        <v>1301635.5196587592</v>
      </c>
      <c r="AF51" s="160">
        <v>1927254.8117116392</v>
      </c>
      <c r="AG51" s="160">
        <v>-13333685.951727256</v>
      </c>
    </row>
    <row r="52" spans="16:33" ht="15.75" customHeight="1">
      <c r="P52" s="159"/>
      <c r="Q52" s="159">
        <v>35</v>
      </c>
      <c r="R52" s="160">
        <v>-37311454.366860121</v>
      </c>
      <c r="S52" s="160">
        <v>-28911784.465871766</v>
      </c>
      <c r="T52" s="160">
        <v>-13709192.980695397</v>
      </c>
      <c r="U52" s="160">
        <v>-9020335.7756030411</v>
      </c>
      <c r="V52" s="160">
        <v>1528897.9951002747</v>
      </c>
      <c r="W52" s="161">
        <v>1295648.3417680562</v>
      </c>
      <c r="X52" s="160">
        <v>14531069.208732739</v>
      </c>
      <c r="Y52" s="160">
        <v>10266616.076454759</v>
      </c>
      <c r="Z52" s="160">
        <v>5162107.2399952859</v>
      </c>
      <c r="AA52" s="160">
        <v>22110289.076853126</v>
      </c>
      <c r="AB52" s="160">
        <v>10076941.259306416</v>
      </c>
      <c r="AC52" s="160">
        <v>1508047.1913999766</v>
      </c>
      <c r="AD52" s="160">
        <v>15216489.571977541</v>
      </c>
      <c r="AE52" s="160">
        <v>-1789630.9863697141</v>
      </c>
      <c r="AF52" s="160">
        <v>-12008883.807769492</v>
      </c>
      <c r="AG52" s="160">
        <v>-25465612.430223718</v>
      </c>
    </row>
    <row r="53" spans="16:33" ht="15.75" customHeight="1">
      <c r="P53" s="159"/>
      <c r="Q53" s="159">
        <v>36</v>
      </c>
      <c r="R53" s="160">
        <v>-29717138.93636331</v>
      </c>
      <c r="S53" s="160">
        <v>-25504846.809397116</v>
      </c>
      <c r="T53" s="160">
        <v>-13835782.682882011</v>
      </c>
      <c r="U53" s="160">
        <v>-7606571.2680805624</v>
      </c>
      <c r="V53" s="160">
        <v>-2581087.5540110916</v>
      </c>
      <c r="W53" s="161">
        <v>2322332.8625720292</v>
      </c>
      <c r="X53" s="160">
        <v>10196814.409257993</v>
      </c>
      <c r="Y53" s="160">
        <v>14475222.652228609</v>
      </c>
      <c r="Z53" s="160">
        <v>9283518.4867323637</v>
      </c>
      <c r="AA53" s="160">
        <v>-5642400.516866073</v>
      </c>
      <c r="AB53" s="160">
        <v>4427367.9564412087</v>
      </c>
      <c r="AC53" s="160">
        <v>8281763.3330663145</v>
      </c>
      <c r="AD53" s="160">
        <v>8661118.5396122783</v>
      </c>
      <c r="AE53" s="160">
        <v>-7006536.1782134026</v>
      </c>
      <c r="AF53" s="160">
        <v>-7515499.6976163089</v>
      </c>
      <c r="AG53" s="160">
        <v>-22595272.913029358</v>
      </c>
    </row>
    <row r="54" spans="16:33" ht="15.75" customHeight="1">
      <c r="P54" s="159"/>
      <c r="Q54" s="159">
        <v>37</v>
      </c>
      <c r="R54" s="160">
        <v>-34341485.727464333</v>
      </c>
      <c r="S54" s="160">
        <v>-22015769.289643273</v>
      </c>
      <c r="T54" s="160">
        <v>-15392308.750202134</v>
      </c>
      <c r="U54" s="160">
        <v>-7492038.0581506938</v>
      </c>
      <c r="V54" s="160">
        <v>6813780.7416386604</v>
      </c>
      <c r="W54" s="161">
        <v>3782158.3114760965</v>
      </c>
      <c r="X54" s="160">
        <v>16773406.337463126</v>
      </c>
      <c r="Y54" s="160">
        <v>6944151.3524512798</v>
      </c>
      <c r="Z54" s="160">
        <v>13742962.30384405</v>
      </c>
      <c r="AA54" s="160">
        <v>14536669.854437009</v>
      </c>
      <c r="AB54" s="160">
        <v>12681730.979080468</v>
      </c>
      <c r="AC54" s="160">
        <v>4536037.025735423</v>
      </c>
      <c r="AD54" s="160">
        <v>3739747.3712000996</v>
      </c>
      <c r="AE54" s="160">
        <v>-937268.14875619113</v>
      </c>
      <c r="AF54" s="160">
        <v>-16851987.5311573</v>
      </c>
      <c r="AG54" s="160">
        <v>-17641937.006637543</v>
      </c>
    </row>
    <row r="55" spans="16:33" ht="15.75" customHeight="1">
      <c r="P55" s="159"/>
      <c r="Q55" s="159">
        <v>38</v>
      </c>
      <c r="R55" s="160">
        <v>-31398742.409932882</v>
      </c>
      <c r="S55" s="160">
        <v>-24057647.754267931</v>
      </c>
      <c r="T55" s="160">
        <v>-19690186.015037596</v>
      </c>
      <c r="U55" s="160">
        <v>-1575977.3819243908</v>
      </c>
      <c r="V55" s="160">
        <v>-1109182.5965058208</v>
      </c>
      <c r="W55" s="161">
        <v>-5479591.7757638991</v>
      </c>
      <c r="X55" s="160">
        <v>16554004.146371111</v>
      </c>
      <c r="Y55" s="160">
        <v>19106161.724876046</v>
      </c>
      <c r="Z55" s="160">
        <v>9097614.4437943101</v>
      </c>
      <c r="AA55" s="160">
        <v>10643114.492637783</v>
      </c>
      <c r="AB55" s="160">
        <v>7811881.4107719362</v>
      </c>
      <c r="AC55" s="160">
        <v>3726152.0110082775</v>
      </c>
      <c r="AD55" s="160">
        <v>3091244.7740816474</v>
      </c>
      <c r="AE55" s="160">
        <v>-5735116.674758032</v>
      </c>
      <c r="AF55" s="160">
        <v>-8873485.8777025342</v>
      </c>
      <c r="AG55" s="160">
        <v>-16266938.714988202</v>
      </c>
    </row>
    <row r="56" spans="16:33" ht="15.75" customHeight="1">
      <c r="P56" s="159"/>
      <c r="Q56" s="159">
        <v>39</v>
      </c>
      <c r="R56" s="160">
        <v>-30358011.542529076</v>
      </c>
      <c r="S56" s="160">
        <v>-21999348.013574883</v>
      </c>
      <c r="T56" s="160">
        <v>-11658102.897449911</v>
      </c>
      <c r="U56" s="160">
        <v>-11066803.669365138</v>
      </c>
      <c r="V56" s="160">
        <v>-8551079.4336722195</v>
      </c>
      <c r="W56" s="161">
        <v>-1870680.2472708821</v>
      </c>
      <c r="X56" s="160">
        <v>2522121.5799102187</v>
      </c>
      <c r="Y56" s="160">
        <v>14144638.274167195</v>
      </c>
      <c r="Z56" s="160">
        <v>19139936.808088586</v>
      </c>
      <c r="AA56" s="160">
        <v>20809044.369669616</v>
      </c>
      <c r="AB56" s="160">
        <v>17970508.055905193</v>
      </c>
      <c r="AC56" s="160">
        <v>-4035014.0018758029</v>
      </c>
      <c r="AD56" s="160">
        <v>-3121820.3987127244</v>
      </c>
      <c r="AE56" s="160">
        <v>-12450487.047473192</v>
      </c>
      <c r="AF56" s="160">
        <v>-6363529.729228884</v>
      </c>
      <c r="AG56" s="160">
        <v>-12294363.423311919</v>
      </c>
    </row>
    <row r="57" spans="16:33" ht="15.75" customHeight="1">
      <c r="P57" s="159"/>
      <c r="Q57" s="159">
        <v>40</v>
      </c>
      <c r="R57" s="160">
        <v>-34520250.686384618</v>
      </c>
      <c r="S57" s="160">
        <v>-27199318.412437409</v>
      </c>
      <c r="T57" s="160">
        <v>-7622323.0331214368</v>
      </c>
      <c r="U57" s="160">
        <v>-3130583.3484940082</v>
      </c>
      <c r="V57" s="160">
        <v>2725508.8041425496</v>
      </c>
      <c r="W57" s="161">
        <v>11535568.913808733</v>
      </c>
      <c r="X57" s="160">
        <v>14513235.133778408</v>
      </c>
      <c r="Y57" s="160">
        <v>10333624.243815795</v>
      </c>
      <c r="Z57" s="160">
        <v>1135398.3966443837</v>
      </c>
      <c r="AA57" s="160">
        <v>18194302.597719863</v>
      </c>
      <c r="AB57" s="160">
        <v>5965859.2832708508</v>
      </c>
      <c r="AC57" s="160">
        <v>5351886.0933773965</v>
      </c>
      <c r="AD57" s="160">
        <v>-3860593.5009913445</v>
      </c>
      <c r="AE57" s="160">
        <v>-5258204.0969756842</v>
      </c>
      <c r="AF57" s="160">
        <v>-10482908.252266869</v>
      </c>
      <c r="AG57" s="160">
        <v>-16817538.019135475</v>
      </c>
    </row>
    <row r="58" spans="16:33" ht="15.75" customHeight="1">
      <c r="P58" s="159"/>
      <c r="Q58" s="159">
        <v>41</v>
      </c>
      <c r="R58" s="160">
        <v>-31059734.994877622</v>
      </c>
      <c r="S58" s="160">
        <v>-20580064.979693487</v>
      </c>
      <c r="T58" s="160">
        <v>-21527593.309237584</v>
      </c>
      <c r="U58" s="160">
        <v>-8751091.837070331</v>
      </c>
      <c r="V58" s="160">
        <v>6012336.4947738796</v>
      </c>
      <c r="W58" s="161">
        <v>713806.94993919134</v>
      </c>
      <c r="X58" s="160">
        <v>-7414789.9380161762</v>
      </c>
      <c r="Y58" s="160">
        <v>5812848.5197705328</v>
      </c>
      <c r="Z58" s="160">
        <v>2033771.9857649505</v>
      </c>
      <c r="AA58" s="160">
        <v>11511331.821124986</v>
      </c>
      <c r="AB58" s="160">
        <v>14351048.430600643</v>
      </c>
      <c r="AC58" s="160">
        <v>8278256.7048300505</v>
      </c>
      <c r="AD58" s="160">
        <v>1437151.0837774277</v>
      </c>
      <c r="AE58" s="160">
        <v>-3113454.0393956304</v>
      </c>
      <c r="AF58" s="160">
        <v>-4282308.3133556098</v>
      </c>
      <c r="AG58" s="160">
        <v>-11722706.90794979</v>
      </c>
    </row>
    <row r="59" spans="16:33" ht="15.75" customHeight="1">
      <c r="P59" s="159"/>
      <c r="Q59" s="159">
        <v>42</v>
      </c>
      <c r="R59" s="160">
        <v>-34490215.342196554</v>
      </c>
      <c r="S59" s="160">
        <v>-19640125.385973513</v>
      </c>
      <c r="T59" s="160">
        <v>-16135827.81985718</v>
      </c>
      <c r="U59" s="160">
        <v>-14529689.621136367</v>
      </c>
      <c r="V59" s="160">
        <v>2850065.6903705895</v>
      </c>
      <c r="W59" s="161">
        <v>1704727.0997579694</v>
      </c>
      <c r="X59" s="160">
        <v>15804527.566471204</v>
      </c>
      <c r="Y59" s="160">
        <v>7394674.6551959366</v>
      </c>
      <c r="Z59" s="160">
        <v>10100669.428903028</v>
      </c>
      <c r="AA59" s="160">
        <v>14919710.453395709</v>
      </c>
      <c r="AB59" s="160">
        <v>9858784.958763659</v>
      </c>
      <c r="AC59" s="160">
        <v>10506084.588587224</v>
      </c>
      <c r="AD59" s="160">
        <v>-3698261.2318413854</v>
      </c>
      <c r="AE59" s="160">
        <v>-12512237.119444579</v>
      </c>
      <c r="AF59" s="160">
        <v>-3621266.3618624657</v>
      </c>
      <c r="AG59" s="160">
        <v>-26479130.900651067</v>
      </c>
    </row>
    <row r="60" spans="16:33" ht="15.75" customHeight="1">
      <c r="P60" s="159"/>
      <c r="Q60" s="159">
        <v>43</v>
      </c>
      <c r="R60" s="160">
        <v>-34668919.180779234</v>
      </c>
      <c r="S60" s="160">
        <v>-33734945.272348002</v>
      </c>
      <c r="T60" s="160">
        <v>-11617576.658355802</v>
      </c>
      <c r="U60" s="160">
        <v>-12832717.677476808</v>
      </c>
      <c r="V60" s="160">
        <v>10389949.684995458</v>
      </c>
      <c r="W60" s="161">
        <v>8274572.882229045</v>
      </c>
      <c r="X60" s="160">
        <v>10645496.95050317</v>
      </c>
      <c r="Y60" s="160">
        <v>21374316.880276501</v>
      </c>
      <c r="Z60" s="160">
        <v>23251140.915109634</v>
      </c>
      <c r="AA60" s="160">
        <v>11483136.943569109</v>
      </c>
      <c r="AB60" s="160">
        <v>12650802.022098109</v>
      </c>
      <c r="AC60" s="160">
        <v>10323436.950999051</v>
      </c>
      <c r="AD60" s="160">
        <v>-3065897.2627974749</v>
      </c>
      <c r="AE60" s="160">
        <v>6497847.1347175837</v>
      </c>
      <c r="AF60" s="160">
        <v>-7883917.6647558212</v>
      </c>
      <c r="AG60" s="160">
        <v>-24360670.697691336</v>
      </c>
    </row>
    <row r="61" spans="16:33" ht="15.75" customHeight="1">
      <c r="P61" s="159"/>
      <c r="Q61" s="159">
        <v>44</v>
      </c>
      <c r="R61" s="160">
        <v>-36685332.692233235</v>
      </c>
      <c r="S61" s="160">
        <v>-30018854.680867255</v>
      </c>
      <c r="T61" s="160">
        <v>-12939784.232154995</v>
      </c>
      <c r="U61" s="160">
        <v>-3827236.7668823451</v>
      </c>
      <c r="V61" s="160">
        <v>-3974341.0747508705</v>
      </c>
      <c r="W61" s="161">
        <v>5304857.9910253137</v>
      </c>
      <c r="X61" s="160">
        <v>6470190.4129299819</v>
      </c>
      <c r="Y61" s="160">
        <v>15124139.948599413</v>
      </c>
      <c r="Z61" s="160">
        <v>5855565.3407344818</v>
      </c>
      <c r="AA61" s="160">
        <v>11945233.880480349</v>
      </c>
      <c r="AB61" s="160">
        <v>4633291.4762628973</v>
      </c>
      <c r="AC61" s="160">
        <v>6991556.3974816352</v>
      </c>
      <c r="AD61" s="160">
        <v>-1373261.687104255</v>
      </c>
      <c r="AE61" s="160">
        <v>-10976705.023206636</v>
      </c>
      <c r="AF61" s="160">
        <v>-9528028.9564026892</v>
      </c>
      <c r="AG61" s="160">
        <v>-18170116.729592636</v>
      </c>
    </row>
    <row r="62" spans="16:33" ht="15.75" customHeight="1">
      <c r="P62" s="159"/>
      <c r="Q62" s="159">
        <v>45</v>
      </c>
      <c r="R62" s="160">
        <v>-29753267.281681284</v>
      </c>
      <c r="S62" s="160">
        <v>-21044797.309003979</v>
      </c>
      <c r="T62" s="160">
        <v>-15169313.585323751</v>
      </c>
      <c r="U62" s="160">
        <v>-8367518.2337682545</v>
      </c>
      <c r="V62" s="160">
        <v>354275.08586095273</v>
      </c>
      <c r="W62" s="161">
        <v>3364678.6590722501</v>
      </c>
      <c r="X62" s="160">
        <v>1803190.2188293636</v>
      </c>
      <c r="Y62" s="160">
        <v>10525307.117326468</v>
      </c>
      <c r="Z62" s="160">
        <v>13392355.342091665</v>
      </c>
      <c r="AA62" s="160">
        <v>-3245494.2404949665</v>
      </c>
      <c r="AB62" s="160">
        <v>8788017.2195870131</v>
      </c>
      <c r="AC62" s="160">
        <v>7434694.4006288201</v>
      </c>
      <c r="AD62" s="160">
        <v>6340281.1396658421</v>
      </c>
      <c r="AE62" s="160">
        <v>-853653.98270794749</v>
      </c>
      <c r="AF62" s="160">
        <v>-18218813.545325801</v>
      </c>
      <c r="AG62" s="160">
        <v>-19738492.695724234</v>
      </c>
    </row>
    <row r="63" spans="16:33" ht="15.75" customHeight="1">
      <c r="P63" s="159"/>
      <c r="Q63" s="159">
        <v>46</v>
      </c>
      <c r="R63" s="160">
        <v>-45900555.869996458</v>
      </c>
      <c r="S63" s="160">
        <v>-20833293.859283939</v>
      </c>
      <c r="T63" s="160">
        <v>-25540257.66429235</v>
      </c>
      <c r="U63" s="160">
        <v>-1474968.0704627484</v>
      </c>
      <c r="V63" s="160">
        <v>9917326.5931210667</v>
      </c>
      <c r="W63" s="161">
        <v>510582.21116600931</v>
      </c>
      <c r="X63" s="160">
        <v>5309432.3616510183</v>
      </c>
      <c r="Y63" s="160">
        <v>16149210.658338204</v>
      </c>
      <c r="Z63" s="160">
        <v>2772396.6793765277</v>
      </c>
      <c r="AA63" s="160">
        <v>16180493.172191605</v>
      </c>
      <c r="AB63" s="160">
        <v>12603192.77067855</v>
      </c>
      <c r="AC63" s="160">
        <v>11596705.046927646</v>
      </c>
      <c r="AD63" s="160">
        <v>2353472.0033311397</v>
      </c>
      <c r="AE63" s="160">
        <v>-540820.36069874465</v>
      </c>
      <c r="AF63" s="160">
        <v>1575309.262425378</v>
      </c>
      <c r="AG63" s="160">
        <v>-15844647.402288184</v>
      </c>
    </row>
    <row r="64" spans="16:33" ht="15.75" customHeight="1">
      <c r="P64" s="159"/>
      <c r="Q64" s="159">
        <v>47</v>
      </c>
      <c r="R64" s="160">
        <v>-43382044.733603895</v>
      </c>
      <c r="S64" s="160">
        <v>-25887561.661893621</v>
      </c>
      <c r="T64" s="160">
        <v>-20304024.354863822</v>
      </c>
      <c r="U64" s="160">
        <v>-12075587.851686999</v>
      </c>
      <c r="V64" s="160">
        <v>4422774.2651443928</v>
      </c>
      <c r="W64" s="161">
        <v>598236.74044567347</v>
      </c>
      <c r="X64" s="160">
        <v>5492712.9483736455</v>
      </c>
      <c r="Y64" s="160">
        <v>11884628.793376803</v>
      </c>
      <c r="Z64" s="160">
        <v>5037495.7060503513</v>
      </c>
      <c r="AA64" s="160">
        <v>2081768.7259210199</v>
      </c>
      <c r="AB64" s="160">
        <v>8017559.1269346923</v>
      </c>
      <c r="AC64" s="160">
        <v>2664171.243716836</v>
      </c>
      <c r="AD64" s="160">
        <v>7924351.8077438027</v>
      </c>
      <c r="AE64" s="160">
        <v>427110.80843402445</v>
      </c>
      <c r="AF64" s="160">
        <v>-15455743.007619783</v>
      </c>
      <c r="AG64" s="160">
        <v>-19338140.92477949</v>
      </c>
    </row>
    <row r="65" spans="16:33" ht="15.75" customHeight="1">
      <c r="P65" s="159"/>
      <c r="Q65" s="159">
        <v>48</v>
      </c>
      <c r="R65" s="160">
        <v>-36046953.414062291</v>
      </c>
      <c r="S65" s="160">
        <v>-21598626.761530444</v>
      </c>
      <c r="T65" s="160">
        <v>-18676586.539870888</v>
      </c>
      <c r="U65" s="160">
        <v>-8524548.5427525789</v>
      </c>
      <c r="V65" s="160">
        <v>16207699.920051813</v>
      </c>
      <c r="W65" s="161">
        <v>10018626.486378133</v>
      </c>
      <c r="X65" s="160">
        <v>9318832.2918807119</v>
      </c>
      <c r="Y65" s="160">
        <v>14287498.494911566</v>
      </c>
      <c r="Z65" s="160">
        <v>-7092617.7669749856</v>
      </c>
      <c r="AA65" s="160">
        <v>6376462.5510039032</v>
      </c>
      <c r="AB65" s="160">
        <v>9420893.7561731935</v>
      </c>
      <c r="AC65" s="160">
        <v>6302840.0987888277</v>
      </c>
      <c r="AD65" s="160">
        <v>-247804.46166859567</v>
      </c>
      <c r="AE65" s="160">
        <v>-2383667.8790376484</v>
      </c>
      <c r="AF65" s="160">
        <v>-5917249.7354547977</v>
      </c>
      <c r="AG65" s="160">
        <v>-19488916.610197484</v>
      </c>
    </row>
    <row r="66" spans="16:33" ht="15.75" customHeight="1">
      <c r="P66" s="159"/>
      <c r="Q66" s="159">
        <v>49</v>
      </c>
      <c r="R66" s="160">
        <v>-36062990.023006529</v>
      </c>
      <c r="S66" s="160">
        <v>-14356398.676453903</v>
      </c>
      <c r="T66" s="160">
        <v>-17585731.604211777</v>
      </c>
      <c r="U66" s="160">
        <v>-17489850.946325451</v>
      </c>
      <c r="V66" s="160">
        <v>-2377972.5449078828</v>
      </c>
      <c r="W66" s="161">
        <v>-8439914.485243842</v>
      </c>
      <c r="X66" s="160">
        <v>8177739.9280080348</v>
      </c>
      <c r="Y66" s="160">
        <v>14975453.85928072</v>
      </c>
      <c r="Z66" s="160">
        <v>8299374.6241779923</v>
      </c>
      <c r="AA66" s="160">
        <v>12039806.352157578</v>
      </c>
      <c r="AB66" s="160">
        <v>5716554.154250741</v>
      </c>
      <c r="AC66" s="160">
        <v>12563902.10461238</v>
      </c>
      <c r="AD66" s="160">
        <v>-5889355.0038328618</v>
      </c>
      <c r="AE66" s="160">
        <v>-9455951.5558775067</v>
      </c>
      <c r="AF66" s="160">
        <v>-2521679.6786369234</v>
      </c>
      <c r="AG66" s="160">
        <v>-22706910.402121618</v>
      </c>
    </row>
    <row r="67" spans="16:33" ht="15.75" customHeight="1">
      <c r="P67" s="159"/>
      <c r="Q67" s="159">
        <v>50</v>
      </c>
      <c r="R67" s="160">
        <v>-34737714.530814484</v>
      </c>
      <c r="S67" s="160">
        <v>-28762955.379670352</v>
      </c>
      <c r="T67" s="160">
        <v>-16922634.943252102</v>
      </c>
      <c r="U67" s="160">
        <v>-9783966.7333944142</v>
      </c>
      <c r="V67" s="160">
        <v>-1644922.9090437889</v>
      </c>
      <c r="W67" s="161">
        <v>169100.59826892614</v>
      </c>
      <c r="X67" s="160">
        <v>462797.27212049067</v>
      </c>
      <c r="Y67" s="160">
        <v>9677584.7866327167</v>
      </c>
      <c r="Z67" s="160">
        <v>16790689.16700089</v>
      </c>
      <c r="AA67" s="160">
        <v>14560152.767040685</v>
      </c>
      <c r="AB67" s="160">
        <v>10440919.889744133</v>
      </c>
      <c r="AC67" s="160">
        <v>4927895.7357293963</v>
      </c>
      <c r="AD67" s="160">
        <v>12036614.007883996</v>
      </c>
      <c r="AE67" s="160">
        <v>-2929326.9743040353</v>
      </c>
      <c r="AF67" s="160">
        <v>-12218924.170796394</v>
      </c>
      <c r="AG67" s="160">
        <v>-12815846.139403135</v>
      </c>
    </row>
    <row r="68" spans="16:33" ht="15.75" customHeight="1">
      <c r="P68" s="159"/>
      <c r="Q68" s="159">
        <v>51</v>
      </c>
      <c r="R68" s="160">
        <v>-37762261.273216754</v>
      </c>
      <c r="S68" s="160">
        <v>-25588854.406271294</v>
      </c>
      <c r="T68" s="160">
        <v>-6838252.3892425299</v>
      </c>
      <c r="U68" s="160">
        <v>-1633407.357214883</v>
      </c>
      <c r="V68" s="160">
        <v>-635379.29945595562</v>
      </c>
      <c r="W68" s="161">
        <v>-723515.5807364881</v>
      </c>
      <c r="X68" s="160">
        <v>-2684649.0573819876</v>
      </c>
      <c r="Y68" s="160">
        <v>16262420.524659887</v>
      </c>
      <c r="Z68" s="160">
        <v>8873663.8437121958</v>
      </c>
      <c r="AA68" s="160">
        <v>16505488.882038057</v>
      </c>
      <c r="AB68" s="160">
        <v>4503200.5505904257</v>
      </c>
      <c r="AC68" s="160">
        <v>9520764.4089954346</v>
      </c>
      <c r="AD68" s="160">
        <v>6953026.3131071329</v>
      </c>
      <c r="AE68" s="160">
        <v>-7032227.2949831635</v>
      </c>
      <c r="AF68" s="160">
        <v>-6551490.6449475139</v>
      </c>
      <c r="AG68" s="160">
        <v>-12644143.476535738</v>
      </c>
    </row>
    <row r="69" spans="16:33" ht="15.75" customHeight="1">
      <c r="P69" s="159"/>
      <c r="Q69" s="159">
        <v>52</v>
      </c>
      <c r="R69" s="160">
        <v>-39137993.746771127</v>
      </c>
      <c r="S69" s="160">
        <v>-19359664.569853485</v>
      </c>
      <c r="T69" s="160">
        <v>-26496500.301000133</v>
      </c>
      <c r="U69" s="160">
        <v>-10995614.344190359</v>
      </c>
      <c r="V69" s="160">
        <v>2209027.2691414356</v>
      </c>
      <c r="W69" s="161">
        <v>5451118.0314420462</v>
      </c>
      <c r="X69" s="160">
        <v>20295409.065234452</v>
      </c>
      <c r="Y69" s="160">
        <v>8755131.4670907855</v>
      </c>
      <c r="Z69" s="160">
        <v>18075897.459278941</v>
      </c>
      <c r="AA69" s="160">
        <v>15138919.908814982</v>
      </c>
      <c r="AB69" s="160">
        <v>13961091.925172016</v>
      </c>
      <c r="AC69" s="160">
        <v>10084320.734169424</v>
      </c>
      <c r="AD69" s="160">
        <v>1960107.2010044008</v>
      </c>
      <c r="AE69" s="160">
        <v>6156453.0631266981</v>
      </c>
      <c r="AF69" s="160">
        <v>-2876129.92629686</v>
      </c>
      <c r="AG69" s="160">
        <v>-17536240.980367616</v>
      </c>
    </row>
    <row r="70" spans="16:33" ht="15.75" customHeight="1">
      <c r="P70" s="159"/>
      <c r="Q70" s="159">
        <v>53</v>
      </c>
      <c r="R70" s="160">
        <v>-25023748.28540951</v>
      </c>
      <c r="S70" s="160">
        <v>-25355337.180673271</v>
      </c>
      <c r="T70" s="160">
        <v>-12303301.553846315</v>
      </c>
      <c r="U70" s="160">
        <v>-12630281.809743807</v>
      </c>
      <c r="V70" s="160">
        <v>3104791.4426766932</v>
      </c>
      <c r="W70" s="161">
        <v>-59336.646718293428</v>
      </c>
      <c r="X70" s="160">
        <v>3935629.6385936737</v>
      </c>
      <c r="Y70" s="160">
        <v>6968254.9561056048</v>
      </c>
      <c r="Z70" s="160">
        <v>10883036.351653665</v>
      </c>
      <c r="AA70" s="160">
        <v>6617545.0073444694</v>
      </c>
      <c r="AB70" s="160">
        <v>12986067.180267215</v>
      </c>
      <c r="AC70" s="160">
        <v>2768991.005056873</v>
      </c>
      <c r="AD70" s="160">
        <v>7744781.1330408901</v>
      </c>
      <c r="AE70" s="160">
        <v>-3686387.82181032</v>
      </c>
      <c r="AF70" s="160">
        <v>-14327079.033248797</v>
      </c>
      <c r="AG70" s="160">
        <v>-17416592.662391409</v>
      </c>
    </row>
    <row r="71" spans="16:33" ht="15.75" customHeight="1">
      <c r="P71" s="159"/>
      <c r="Q71" s="159">
        <v>54</v>
      </c>
      <c r="R71" s="160">
        <v>-38319185.304761082</v>
      </c>
      <c r="S71" s="160">
        <v>-27172553.386296272</v>
      </c>
      <c r="T71" s="160">
        <v>-17047507.460829839</v>
      </c>
      <c r="U71" s="160">
        <v>-10913754.423614845</v>
      </c>
      <c r="V71" s="160">
        <v>-377161.59044863284</v>
      </c>
      <c r="W71" s="161">
        <v>-1432281.4117485285</v>
      </c>
      <c r="X71" s="160">
        <v>12016300.211836055</v>
      </c>
      <c r="Y71" s="160">
        <v>16168486.459042773</v>
      </c>
      <c r="Z71" s="160">
        <v>11058229.717969581</v>
      </c>
      <c r="AA71" s="160">
        <v>20876996.429035306</v>
      </c>
      <c r="AB71" s="160">
        <v>2856386.9479276538</v>
      </c>
      <c r="AC71" s="160">
        <v>6035218.3216798455</v>
      </c>
      <c r="AD71" s="160">
        <v>-8008501.8016228378</v>
      </c>
      <c r="AE71" s="160">
        <v>-9962712.2817706466</v>
      </c>
      <c r="AF71" s="160">
        <v>-12692113.108673438</v>
      </c>
      <c r="AG71" s="160">
        <v>-15443542.3934315</v>
      </c>
    </row>
    <row r="72" spans="16:33" ht="15.75" customHeight="1">
      <c r="P72" s="159"/>
      <c r="Q72" s="159">
        <v>55</v>
      </c>
      <c r="R72" s="160">
        <v>-38023963.295983732</v>
      </c>
      <c r="S72" s="160">
        <v>-26770232.805318311</v>
      </c>
      <c r="T72" s="160">
        <v>-22826694.639348686</v>
      </c>
      <c r="U72" s="160">
        <v>-12961107.244389445</v>
      </c>
      <c r="V72" s="160">
        <v>-531462.04021592438</v>
      </c>
      <c r="W72" s="161">
        <v>13366603.407814056</v>
      </c>
      <c r="X72" s="160">
        <v>7365715.509335041</v>
      </c>
      <c r="Y72" s="160">
        <v>5971550.117469281</v>
      </c>
      <c r="Z72" s="160">
        <v>10048606.096939266</v>
      </c>
      <c r="AA72" s="160">
        <v>12323654.508748323</v>
      </c>
      <c r="AB72" s="160">
        <v>9579723.6422129273</v>
      </c>
      <c r="AC72" s="160">
        <v>10233660.068821058</v>
      </c>
      <c r="AD72" s="160">
        <v>-3853282.4466136545</v>
      </c>
      <c r="AE72" s="160">
        <v>1492022.8409578502</v>
      </c>
      <c r="AF72" s="160">
        <v>-15480511.580285117</v>
      </c>
      <c r="AG72" s="160">
        <v>-16702081.403254598</v>
      </c>
    </row>
    <row r="73" spans="16:33" ht="15.75" customHeight="1">
      <c r="P73" s="159"/>
      <c r="Q73" s="159">
        <v>56</v>
      </c>
      <c r="R73" s="160">
        <v>-36309379.742227718</v>
      </c>
      <c r="S73" s="160">
        <v>-29313383.756346956</v>
      </c>
      <c r="T73" s="160">
        <v>-12775184.067221716</v>
      </c>
      <c r="U73" s="160">
        <v>-11051509.169580668</v>
      </c>
      <c r="V73" s="160">
        <v>5791606.5857544094</v>
      </c>
      <c r="W73" s="161">
        <v>6674353.0784876645</v>
      </c>
      <c r="X73" s="160">
        <v>15667859.062458694</v>
      </c>
      <c r="Y73" s="160">
        <v>9748087.1173779815</v>
      </c>
      <c r="Z73" s="160">
        <v>6660656.3621076345</v>
      </c>
      <c r="AA73" s="160">
        <v>18101499.37513648</v>
      </c>
      <c r="AB73" s="160">
        <v>-1718430.8573227376</v>
      </c>
      <c r="AC73" s="160">
        <v>17304207.224852845</v>
      </c>
      <c r="AD73" s="160">
        <v>158612.56932458282</v>
      </c>
      <c r="AE73" s="160">
        <v>-4601357.2699661404</v>
      </c>
      <c r="AF73" s="160">
        <v>-12359075.993086681</v>
      </c>
      <c r="AG73" s="160">
        <v>-16521453.486131594</v>
      </c>
    </row>
    <row r="74" spans="16:33" ht="15.75" customHeight="1">
      <c r="P74" s="159"/>
      <c r="Q74" s="159">
        <v>57</v>
      </c>
      <c r="R74" s="160">
        <v>-37747393.835937768</v>
      </c>
      <c r="S74" s="160">
        <v>-28433854.806909502</v>
      </c>
      <c r="T74" s="160">
        <v>-23199097.020838454</v>
      </c>
      <c r="U74" s="160">
        <v>-5343777.0338934362</v>
      </c>
      <c r="V74" s="160">
        <v>18710564.053185239</v>
      </c>
      <c r="W74" s="161">
        <v>3626583.6801756024</v>
      </c>
      <c r="X74" s="160">
        <v>14468479.202235296</v>
      </c>
      <c r="Y74" s="160">
        <v>-4163240.9093024731</v>
      </c>
      <c r="Z74" s="160">
        <v>11742168.408925727</v>
      </c>
      <c r="AA74" s="160">
        <v>10153016.462357074</v>
      </c>
      <c r="AB74" s="160">
        <v>10042524.936055928</v>
      </c>
      <c r="AC74" s="160">
        <v>6493639.552896142</v>
      </c>
      <c r="AD74" s="160">
        <v>5467462.1008931249</v>
      </c>
      <c r="AE74" s="160">
        <v>-9643451.1844010651</v>
      </c>
      <c r="AF74" s="160">
        <v>-8206604.5762207955</v>
      </c>
      <c r="AG74" s="160">
        <v>-13525512.179024592</v>
      </c>
    </row>
    <row r="75" spans="16:33" ht="15.75" customHeight="1">
      <c r="P75" s="159"/>
      <c r="Q75" s="159">
        <v>58</v>
      </c>
      <c r="R75" s="160">
        <v>-30136091.301618844</v>
      </c>
      <c r="S75" s="160">
        <v>-20299422.98192656</v>
      </c>
      <c r="T75" s="160">
        <v>-11245685.242411003</v>
      </c>
      <c r="U75" s="160">
        <v>1039403.6669101864</v>
      </c>
      <c r="V75" s="160">
        <v>6514319.5208428651</v>
      </c>
      <c r="W75" s="161">
        <v>5267832.0734453499</v>
      </c>
      <c r="X75" s="160">
        <v>19329850.211286545</v>
      </c>
      <c r="Y75" s="160">
        <v>8065584.1830646694</v>
      </c>
      <c r="Z75" s="160">
        <v>17483024.218160734</v>
      </c>
      <c r="AA75" s="160">
        <v>20763483.523171887</v>
      </c>
      <c r="AB75" s="160">
        <v>7490133.4474440962</v>
      </c>
      <c r="AC75" s="160">
        <v>11729165.340116888</v>
      </c>
      <c r="AD75" s="160">
        <v>1703876.6559516191</v>
      </c>
      <c r="AE75" s="160">
        <v>779549.65222740173</v>
      </c>
      <c r="AF75" s="160">
        <v>-5503795.1329004019</v>
      </c>
      <c r="AG75" s="160">
        <v>-23534775.802538097</v>
      </c>
    </row>
    <row r="76" spans="16:33" ht="15.75" customHeight="1">
      <c r="P76" s="159"/>
      <c r="Q76" s="159">
        <v>59</v>
      </c>
      <c r="R76" s="160">
        <v>-43718775.490112931</v>
      </c>
      <c r="S76" s="160">
        <v>-21871760.440455064</v>
      </c>
      <c r="T76" s="160">
        <v>-22505484.958768919</v>
      </c>
      <c r="U76" s="160">
        <v>-5938308.1396578997</v>
      </c>
      <c r="V76" s="160">
        <v>-5435717.1337665915</v>
      </c>
      <c r="W76" s="161">
        <v>17433890.994060308</v>
      </c>
      <c r="X76" s="160">
        <v>8546452.2507293522</v>
      </c>
      <c r="Y76" s="160">
        <v>26016200.477776423</v>
      </c>
      <c r="Z76" s="160">
        <v>12639902.005219921</v>
      </c>
      <c r="AA76" s="160">
        <v>14760842.148934454</v>
      </c>
      <c r="AB76" s="160">
        <v>6032728.7002691627</v>
      </c>
      <c r="AC76" s="160">
        <v>8444067.1516347229</v>
      </c>
      <c r="AD76" s="160">
        <v>3411627.1955964863</v>
      </c>
      <c r="AE76" s="160">
        <v>5462401.3134315014</v>
      </c>
      <c r="AF76" s="160">
        <v>-7777205.6374816149</v>
      </c>
      <c r="AG76" s="160">
        <v>-16738080.062369421</v>
      </c>
    </row>
    <row r="77" spans="16:33" ht="15.75" customHeight="1">
      <c r="P77" s="159"/>
      <c r="Q77" s="159">
        <v>60</v>
      </c>
      <c r="R77" s="160">
        <v>-34741159.94368948</v>
      </c>
      <c r="S77" s="160">
        <v>-28158337.475225583</v>
      </c>
      <c r="T77" s="160">
        <v>-6379663.3382693976</v>
      </c>
      <c r="U77" s="160">
        <v>4603460.0825501382</v>
      </c>
      <c r="V77" s="160">
        <v>320005.78760999441</v>
      </c>
      <c r="W77" s="161">
        <v>938854.91433990002</v>
      </c>
      <c r="X77" s="160">
        <v>12704189.349233672</v>
      </c>
      <c r="Y77" s="160">
        <v>5083288.0607997179</v>
      </c>
      <c r="Z77" s="160">
        <v>17862378.228812084</v>
      </c>
      <c r="AA77" s="160">
        <v>10292799.8480023</v>
      </c>
      <c r="AB77" s="160">
        <v>14889640.03588663</v>
      </c>
      <c r="AC77" s="160">
        <v>10196716.618321553</v>
      </c>
      <c r="AD77" s="160">
        <v>6631762.2651069313</v>
      </c>
      <c r="AE77" s="160">
        <v>820605.49586425722</v>
      </c>
      <c r="AF77" s="160">
        <v>-10549456.999696374</v>
      </c>
      <c r="AG77" s="160">
        <v>-25366071.175356418</v>
      </c>
    </row>
    <row r="78" spans="16:33" ht="15.75" customHeight="1">
      <c r="P78" s="159"/>
      <c r="Q78" s="159">
        <v>61</v>
      </c>
      <c r="R78" s="160">
        <v>-31258613.598796234</v>
      </c>
      <c r="S78" s="160">
        <v>-26978094.98227185</v>
      </c>
      <c r="T78" s="160">
        <v>-16261441.397263378</v>
      </c>
      <c r="U78" s="160">
        <v>-3739572.830842793</v>
      </c>
      <c r="V78" s="160">
        <v>-3081325.1324599683</v>
      </c>
      <c r="W78" s="161">
        <v>-3896579.8178395331</v>
      </c>
      <c r="X78" s="160">
        <v>10190547.292357564</v>
      </c>
      <c r="Y78" s="160">
        <v>6433600.7578931898</v>
      </c>
      <c r="Z78" s="160">
        <v>14428357.717816591</v>
      </c>
      <c r="AA78" s="160">
        <v>14337669.063982829</v>
      </c>
      <c r="AB78" s="160">
        <v>2218988.4410475641</v>
      </c>
      <c r="AC78" s="160">
        <v>14696094.096605778</v>
      </c>
      <c r="AD78" s="160">
        <v>8461258.7952804714</v>
      </c>
      <c r="AE78" s="160">
        <v>-2603168.899514243</v>
      </c>
      <c r="AF78" s="160">
        <v>-19330345.146856651</v>
      </c>
      <c r="AG78" s="160">
        <v>-17356990.407736406</v>
      </c>
    </row>
    <row r="79" spans="16:33" ht="15.75" customHeight="1">
      <c r="P79" s="159"/>
      <c r="Q79" s="159">
        <v>62</v>
      </c>
      <c r="R79" s="160">
        <v>-31518980.929672107</v>
      </c>
      <c r="S79" s="160">
        <v>-21527176.122467473</v>
      </c>
      <c r="T79" s="160">
        <v>-18524730.14283511</v>
      </c>
      <c r="U79" s="160">
        <v>-17207215.889946863</v>
      </c>
      <c r="V79" s="160">
        <v>-2944000.978773132</v>
      </c>
      <c r="W79" s="161">
        <v>-4622254.9360857904</v>
      </c>
      <c r="X79" s="160">
        <v>5508716.1650393754</v>
      </c>
      <c r="Y79" s="160">
        <v>277604.99598304927</v>
      </c>
      <c r="Z79" s="160">
        <v>523673.41536317766</v>
      </c>
      <c r="AA79" s="160">
        <v>5890770.3139735609</v>
      </c>
      <c r="AB79" s="160">
        <v>12673035.058278531</v>
      </c>
      <c r="AC79" s="160">
        <v>12181681.250696704</v>
      </c>
      <c r="AD79" s="160">
        <v>8433524.6495992243</v>
      </c>
      <c r="AE79" s="160">
        <v>2700112.5225107521</v>
      </c>
      <c r="AF79" s="160">
        <v>-12183674.725366876</v>
      </c>
      <c r="AG79" s="160">
        <v>-17022547.240356326</v>
      </c>
    </row>
    <row r="80" spans="16:33" ht="15.75" customHeight="1">
      <c r="P80" s="159"/>
      <c r="Q80" s="159">
        <v>63</v>
      </c>
      <c r="R80" s="160">
        <v>-33719663.54349187</v>
      </c>
      <c r="S80" s="160">
        <v>-28493124.057945758</v>
      </c>
      <c r="T80" s="160">
        <v>-13475102.452047139</v>
      </c>
      <c r="U80" s="160">
        <v>-6099376.9555075765</v>
      </c>
      <c r="V80" s="160">
        <v>-718480.55852277577</v>
      </c>
      <c r="W80" s="161">
        <v>2779471.4402573705</v>
      </c>
      <c r="X80" s="160">
        <v>12916810.079433993</v>
      </c>
      <c r="Y80" s="160">
        <v>16296458.871067286</v>
      </c>
      <c r="Z80" s="160">
        <v>10275030.808117449</v>
      </c>
      <c r="AA80" s="160">
        <v>10953200.01512371</v>
      </c>
      <c r="AB80" s="160">
        <v>-348019.94079592824</v>
      </c>
      <c r="AC80" s="160">
        <v>6784946.6848564893</v>
      </c>
      <c r="AD80" s="160">
        <v>6345404.626041159</v>
      </c>
      <c r="AE80" s="160">
        <v>-7163428.462119475</v>
      </c>
      <c r="AF80" s="160">
        <v>1562159.5533995181</v>
      </c>
      <c r="AG80" s="160">
        <v>-16275780.595707387</v>
      </c>
    </row>
    <row r="81" spans="16:33" ht="15.75" customHeight="1">
      <c r="P81" s="159"/>
      <c r="Q81" s="159">
        <v>64</v>
      </c>
      <c r="R81" s="160">
        <v>-42213820.10526067</v>
      </c>
      <c r="S81" s="160">
        <v>-21880793.149336636</v>
      </c>
      <c r="T81" s="160">
        <v>-16441766.397729516</v>
      </c>
      <c r="U81" s="160">
        <v>-17410673.360339835</v>
      </c>
      <c r="V81" s="160">
        <v>-7894016.7685889304</v>
      </c>
      <c r="W81" s="161">
        <v>5320325.4366563112</v>
      </c>
      <c r="X81" s="160">
        <v>8630568.7798378617</v>
      </c>
      <c r="Y81" s="160">
        <v>9624197.4980100393</v>
      </c>
      <c r="Z81" s="160">
        <v>3505377.6405629814</v>
      </c>
      <c r="AA81" s="160">
        <v>18550068.561600953</v>
      </c>
      <c r="AB81" s="160">
        <v>-2242750.6307378113</v>
      </c>
      <c r="AC81" s="160">
        <v>-1121517.7541197687</v>
      </c>
      <c r="AD81" s="160">
        <v>-2305421.4865681082</v>
      </c>
      <c r="AE81" s="160">
        <v>-1074822.6471874416</v>
      </c>
      <c r="AF81" s="160">
        <v>-13434202.747607961</v>
      </c>
      <c r="AG81" s="160">
        <v>-24935636.73838824</v>
      </c>
    </row>
    <row r="82" spans="16:33" ht="15.75" customHeight="1">
      <c r="P82" s="159"/>
      <c r="Q82" s="159">
        <v>65</v>
      </c>
      <c r="R82" s="160">
        <v>-38485750.010820135</v>
      </c>
      <c r="S82" s="160">
        <v>-29779022.123694345</v>
      </c>
      <c r="T82" s="160">
        <v>-21204488.902175456</v>
      </c>
      <c r="U82" s="160">
        <v>-6151818.4648074061</v>
      </c>
      <c r="V82" s="160">
        <v>-2708633.0893188268</v>
      </c>
      <c r="W82" s="161">
        <v>17800965.629649848</v>
      </c>
      <c r="X82" s="160">
        <v>13296543.190915421</v>
      </c>
      <c r="Y82" s="160">
        <v>11235039.9239721</v>
      </c>
      <c r="Z82" s="160">
        <v>-181034.39132286608</v>
      </c>
      <c r="AA82" s="160">
        <v>5201829.8432999402</v>
      </c>
      <c r="AB82" s="160">
        <v>3787692.2730219215</v>
      </c>
      <c r="AC82" s="160">
        <v>5362032.6177132279</v>
      </c>
      <c r="AD82" s="160">
        <v>6980284.3159389794</v>
      </c>
      <c r="AE82" s="160">
        <v>-291334.56850793958</v>
      </c>
      <c r="AF82" s="160">
        <v>-17174843.535626575</v>
      </c>
      <c r="AG82" s="160">
        <v>-18592535.351185098</v>
      </c>
    </row>
    <row r="83" spans="16:33" ht="15.75" customHeight="1">
      <c r="P83" s="159"/>
      <c r="Q83" s="159">
        <v>66</v>
      </c>
      <c r="R83" s="160">
        <v>-33947708.651424497</v>
      </c>
      <c r="S83" s="160">
        <v>-27218810.630493537</v>
      </c>
      <c r="T83" s="160">
        <v>-24620960.888935715</v>
      </c>
      <c r="U83" s="160">
        <v>-7979784.3640462458</v>
      </c>
      <c r="V83" s="160">
        <v>-3150729.2725134641</v>
      </c>
      <c r="W83" s="161">
        <v>-8387506.2398165762</v>
      </c>
      <c r="X83" s="160">
        <v>11420239.109902903</v>
      </c>
      <c r="Y83" s="160">
        <v>14254593.734470993</v>
      </c>
      <c r="Z83" s="160">
        <v>6429959.0489581078</v>
      </c>
      <c r="AA83" s="160">
        <v>21215712.887042686</v>
      </c>
      <c r="AB83" s="160">
        <v>12542517.288314492</v>
      </c>
      <c r="AC83" s="160">
        <v>9155524.2053404599</v>
      </c>
      <c r="AD83" s="160">
        <v>2281218.7632202804</v>
      </c>
      <c r="AE83" s="160">
        <v>-6701857.1169321239</v>
      </c>
      <c r="AF83" s="160">
        <v>-6074902.0037952811</v>
      </c>
      <c r="AG83" s="160">
        <v>-13242348.852538466</v>
      </c>
    </row>
    <row r="84" spans="16:33" ht="15.75" customHeight="1">
      <c r="P84" s="159"/>
      <c r="Q84" s="159">
        <v>67</v>
      </c>
      <c r="R84" s="160">
        <v>-34029315.256115749</v>
      </c>
      <c r="S84" s="160">
        <v>-29006123.56013687</v>
      </c>
      <c r="T84" s="160">
        <v>-19899524.969957978</v>
      </c>
      <c r="U84" s="160">
        <v>-14778297.135479659</v>
      </c>
      <c r="V84" s="160">
        <v>4892441.6192402989</v>
      </c>
      <c r="W84" s="161">
        <v>6778503.6098276079</v>
      </c>
      <c r="X84" s="160">
        <v>2912629.7450510859</v>
      </c>
      <c r="Y84" s="160">
        <v>14197538.817021579</v>
      </c>
      <c r="Z84" s="160">
        <v>5900741.7674677819</v>
      </c>
      <c r="AA84" s="160">
        <v>12556719.44318524</v>
      </c>
      <c r="AB84" s="160">
        <v>8631295.2857379913</v>
      </c>
      <c r="AC84" s="160">
        <v>-1894393.5573400706</v>
      </c>
      <c r="AD84" s="160">
        <v>-1010308.1334177405</v>
      </c>
      <c r="AE84" s="160">
        <v>-6780033.7282464355</v>
      </c>
      <c r="AF84" s="160">
        <v>-12708495.643220186</v>
      </c>
      <c r="AG84" s="160">
        <v>-22982210.692331076</v>
      </c>
    </row>
    <row r="85" spans="16:33" ht="15.75" customHeight="1">
      <c r="P85" s="159"/>
      <c r="Q85" s="159">
        <v>68</v>
      </c>
      <c r="R85" s="160">
        <v>-38009956.923851848</v>
      </c>
      <c r="S85" s="160">
        <v>-23739979.509868622</v>
      </c>
      <c r="T85" s="160">
        <v>-13884522.954570681</v>
      </c>
      <c r="U85" s="160">
        <v>-6986323.3473833352</v>
      </c>
      <c r="V85" s="160">
        <v>-510147.79409138858</v>
      </c>
      <c r="W85" s="161">
        <v>3502933.4672551602</v>
      </c>
      <c r="X85" s="160">
        <v>1920540.9510344416</v>
      </c>
      <c r="Y85" s="160">
        <v>120176.42486453056</v>
      </c>
      <c r="Z85" s="160">
        <v>9070533.5427544713</v>
      </c>
      <c r="AA85" s="160">
        <v>8844850.2298158109</v>
      </c>
      <c r="AB85" s="160">
        <v>7774313.6655723453</v>
      </c>
      <c r="AC85" s="160">
        <v>5990309.9732347727</v>
      </c>
      <c r="AD85" s="160">
        <v>2825564.3746832162</v>
      </c>
      <c r="AE85" s="160">
        <v>4564597.978503257</v>
      </c>
      <c r="AF85" s="160">
        <v>-4338899.6062576175</v>
      </c>
      <c r="AG85" s="160">
        <v>-18325436.671701178</v>
      </c>
    </row>
    <row r="86" spans="16:33" ht="15.75" customHeight="1">
      <c r="P86" s="159"/>
      <c r="Q86" s="159">
        <v>69</v>
      </c>
      <c r="R86" s="160">
        <v>-38091291.566870928</v>
      </c>
      <c r="S86" s="160">
        <v>-21692259.002722099</v>
      </c>
      <c r="T86" s="160">
        <v>-11384834.157128483</v>
      </c>
      <c r="U86" s="160">
        <v>-2438170.8877098709</v>
      </c>
      <c r="V86" s="160">
        <v>3050939.7845937908</v>
      </c>
      <c r="W86" s="161">
        <v>18058268.246104866</v>
      </c>
      <c r="X86" s="160">
        <v>14101065.380213901</v>
      </c>
      <c r="Y86" s="160">
        <v>18258839.975969329</v>
      </c>
      <c r="Z86" s="160">
        <v>7177549.7898771912</v>
      </c>
      <c r="AA86" s="160">
        <v>15651352.751363829</v>
      </c>
      <c r="AB86" s="160">
        <v>5240683.0808391273</v>
      </c>
      <c r="AC86" s="160">
        <v>7108413.4972806722</v>
      </c>
      <c r="AD86" s="160">
        <v>-1862671.5389147252</v>
      </c>
      <c r="AE86" s="160">
        <v>-1821899.1082477719</v>
      </c>
      <c r="AF86" s="160">
        <v>-6725882.8901554942</v>
      </c>
      <c r="AG86" s="160">
        <v>-13541267.571862727</v>
      </c>
    </row>
    <row r="87" spans="16:33" ht="15.75" customHeight="1">
      <c r="P87" s="159"/>
      <c r="Q87" s="159">
        <v>70</v>
      </c>
      <c r="R87" s="160">
        <v>-31754393.797065526</v>
      </c>
      <c r="S87" s="160">
        <v>-20461771.820368811</v>
      </c>
      <c r="T87" s="160">
        <v>-13052373.365764424</v>
      </c>
      <c r="U87" s="160">
        <v>-4884508.7107911557</v>
      </c>
      <c r="V87" s="160">
        <v>3066607.1691124439</v>
      </c>
      <c r="W87" s="161">
        <v>4623289.9311392605</v>
      </c>
      <c r="X87" s="160">
        <v>-5084407.5639111698</v>
      </c>
      <c r="Y87" s="160">
        <v>7414303.8822999746</v>
      </c>
      <c r="Z87" s="160">
        <v>4012711.6317564994</v>
      </c>
      <c r="AA87" s="160">
        <v>11650517.896603495</v>
      </c>
      <c r="AB87" s="160">
        <v>17363203.585006058</v>
      </c>
      <c r="AC87" s="160">
        <v>13086644.694665924</v>
      </c>
      <c r="AD87" s="160">
        <v>5819161.9518818408</v>
      </c>
      <c r="AE87" s="160">
        <v>-8256504.4693896919</v>
      </c>
      <c r="AF87" s="160">
        <v>-7227151.8494200706</v>
      </c>
      <c r="AG87" s="160">
        <v>-23488029.80550313</v>
      </c>
    </row>
    <row r="88" spans="16:33" ht="15.75" customHeight="1">
      <c r="P88" s="159"/>
      <c r="Q88" s="159">
        <v>71</v>
      </c>
      <c r="R88" s="160">
        <v>-32200373.529540017</v>
      </c>
      <c r="S88" s="160">
        <v>-27111989.043892026</v>
      </c>
      <c r="T88" s="160">
        <v>-15283464.014141247</v>
      </c>
      <c r="U88" s="160">
        <v>-6838061.9794226885</v>
      </c>
      <c r="V88" s="160">
        <v>-611254.62853434682</v>
      </c>
      <c r="W88" s="161">
        <v>1270915.2794170231</v>
      </c>
      <c r="X88" s="160">
        <v>17686859.03555426</v>
      </c>
      <c r="Y88" s="160">
        <v>14302682.744454041</v>
      </c>
      <c r="Z88" s="160">
        <v>11003081.939987853</v>
      </c>
      <c r="AA88" s="160">
        <v>-796388.46506994963</v>
      </c>
      <c r="AB88" s="160">
        <v>3550649.1518153548</v>
      </c>
      <c r="AC88" s="160">
        <v>-2089738.7269379795</v>
      </c>
      <c r="AD88" s="160">
        <v>7539682.4446069598</v>
      </c>
      <c r="AE88" s="160">
        <v>6126742.3414241672</v>
      </c>
      <c r="AF88" s="160">
        <v>-10991563.117666498</v>
      </c>
      <c r="AG88" s="160">
        <v>-14611324.433183551</v>
      </c>
    </row>
    <row r="89" spans="16:33" ht="15.75" customHeight="1">
      <c r="P89" s="159"/>
      <c r="Q89" s="159">
        <v>72</v>
      </c>
      <c r="R89" s="160">
        <v>-39594594.950341344</v>
      </c>
      <c r="S89" s="160">
        <v>-26597511.26334314</v>
      </c>
      <c r="T89" s="160">
        <v>-17878637.418367833</v>
      </c>
      <c r="U89" s="160">
        <v>-2154742.5271832943</v>
      </c>
      <c r="V89" s="160">
        <v>-6671160.9365499616</v>
      </c>
      <c r="W89" s="161">
        <v>2778168.8910281509</v>
      </c>
      <c r="X89" s="160">
        <v>601815.69174669683</v>
      </c>
      <c r="Y89" s="160">
        <v>23928464.90649505</v>
      </c>
      <c r="Z89" s="160">
        <v>20496680.299486816</v>
      </c>
      <c r="AA89" s="160">
        <v>16379522.408258155</v>
      </c>
      <c r="AB89" s="160">
        <v>5158268.6055141091</v>
      </c>
      <c r="AC89" s="160">
        <v>6895861.1572675407</v>
      </c>
      <c r="AD89" s="160">
        <v>2830422.0055271089</v>
      </c>
      <c r="AE89" s="160">
        <v>-2822769.0502206981</v>
      </c>
      <c r="AF89" s="160">
        <v>-12855451.425820529</v>
      </c>
      <c r="AG89" s="160">
        <v>-21277789.168302953</v>
      </c>
    </row>
    <row r="90" spans="16:33" ht="15.75" customHeight="1">
      <c r="P90" s="159"/>
      <c r="Q90" s="159">
        <v>73</v>
      </c>
      <c r="R90" s="160">
        <v>-37274065.217954338</v>
      </c>
      <c r="S90" s="160">
        <v>-25432173.273046091</v>
      </c>
      <c r="T90" s="160">
        <v>-11556245.005368769</v>
      </c>
      <c r="U90" s="160">
        <v>-17661349.714659274</v>
      </c>
      <c r="V90" s="160">
        <v>6807489.973175019</v>
      </c>
      <c r="W90" s="161">
        <v>3383428.5673271716</v>
      </c>
      <c r="X90" s="160">
        <v>4695542.4732300043</v>
      </c>
      <c r="Y90" s="160">
        <v>4728255.0266745538</v>
      </c>
      <c r="Z90" s="160">
        <v>7952898.012627691</v>
      </c>
      <c r="AA90" s="160">
        <v>25159043.793991014</v>
      </c>
      <c r="AB90" s="160">
        <v>17364194.9341712</v>
      </c>
      <c r="AC90" s="160">
        <v>7918950.0876810849</v>
      </c>
      <c r="AD90" s="160">
        <v>-1980987.2934631258</v>
      </c>
      <c r="AE90" s="160">
        <v>-9376866.8186427355</v>
      </c>
      <c r="AF90" s="160">
        <v>-17055863.813449636</v>
      </c>
      <c r="AG90" s="160">
        <v>-21486283.300021738</v>
      </c>
    </row>
    <row r="91" spans="16:33" ht="15.75" customHeight="1">
      <c r="P91" s="159"/>
      <c r="Q91" s="159">
        <v>74</v>
      </c>
      <c r="R91" s="160">
        <v>-37393491.810662508</v>
      </c>
      <c r="S91" s="160">
        <v>-25847119.499148935</v>
      </c>
      <c r="T91" s="160">
        <v>-10896829.737225875</v>
      </c>
      <c r="U91" s="160">
        <v>-19359515.027024239</v>
      </c>
      <c r="V91" s="160">
        <v>2483525.3488330692</v>
      </c>
      <c r="W91" s="161">
        <v>2550644.6986900866</v>
      </c>
      <c r="X91" s="160">
        <v>14219316.967602476</v>
      </c>
      <c r="Y91" s="160">
        <v>16280681.210304171</v>
      </c>
      <c r="Z91" s="160">
        <v>4177650.4032895416</v>
      </c>
      <c r="AA91" s="160">
        <v>8807643.291135028</v>
      </c>
      <c r="AB91" s="160">
        <v>9831815.5372442603</v>
      </c>
      <c r="AC91" s="160">
        <v>15560723.032941759</v>
      </c>
      <c r="AD91" s="160">
        <v>14677972.893242836</v>
      </c>
      <c r="AE91" s="160">
        <v>1111251.2702388763</v>
      </c>
      <c r="AF91" s="160">
        <v>-21248891.023486555</v>
      </c>
      <c r="AG91" s="160">
        <v>-20962247.24483484</v>
      </c>
    </row>
    <row r="92" spans="16:33" ht="15.75" customHeight="1">
      <c r="P92" s="159"/>
      <c r="Q92" s="159">
        <v>75</v>
      </c>
      <c r="R92" s="160">
        <v>-33013902.952212498</v>
      </c>
      <c r="S92" s="160">
        <v>-37608225.669913813</v>
      </c>
      <c r="T92" s="160">
        <v>-16317347.030236185</v>
      </c>
      <c r="U92" s="160">
        <v>175327.74235741794</v>
      </c>
      <c r="V92" s="160">
        <v>-8698181.9367774874</v>
      </c>
      <c r="W92" s="161">
        <v>11242063.298285499</v>
      </c>
      <c r="X92" s="160">
        <v>19555437.021683306</v>
      </c>
      <c r="Y92" s="160">
        <v>11011796.18964082</v>
      </c>
      <c r="Z92" s="160">
        <v>18255665.857519269</v>
      </c>
      <c r="AA92" s="160">
        <v>10699948.597532615</v>
      </c>
      <c r="AB92" s="160">
        <v>6740531.889095068</v>
      </c>
      <c r="AC92" s="160">
        <v>14190854.067161351</v>
      </c>
      <c r="AD92" s="160">
        <v>4040472.0457507521</v>
      </c>
      <c r="AE92" s="160">
        <v>3804099.6552962512</v>
      </c>
      <c r="AF92" s="160">
        <v>-7901521.7960030288</v>
      </c>
      <c r="AG92" s="160">
        <v>-19229540.370632559</v>
      </c>
    </row>
    <row r="93" spans="16:33" ht="15.75" customHeight="1">
      <c r="P93" s="159"/>
      <c r="Q93" s="159">
        <v>76</v>
      </c>
      <c r="R93" s="160">
        <v>-35904563.780362561</v>
      </c>
      <c r="S93" s="160">
        <v>-25534709.654835001</v>
      </c>
      <c r="T93" s="160">
        <v>-7709898.1768518835</v>
      </c>
      <c r="U93" s="160">
        <v>-8962471.037118122</v>
      </c>
      <c r="V93" s="160">
        <v>-2573094.8325508982</v>
      </c>
      <c r="W93" s="161">
        <v>8843265.3035236001</v>
      </c>
      <c r="X93" s="160">
        <v>1518566.6460243613</v>
      </c>
      <c r="Y93" s="160">
        <v>11815450.322519585</v>
      </c>
      <c r="Z93" s="160">
        <v>15926927.689232245</v>
      </c>
      <c r="AA93" s="160">
        <v>6414459.7445451617</v>
      </c>
      <c r="AB93" s="160">
        <v>9041742.9445343763</v>
      </c>
      <c r="AC93" s="160">
        <v>8497813.3815033436</v>
      </c>
      <c r="AD93" s="160">
        <v>7606642.7326842546</v>
      </c>
      <c r="AE93" s="160">
        <v>-7310566.488599509</v>
      </c>
      <c r="AF93" s="160">
        <v>-16728450.47622548</v>
      </c>
      <c r="AG93" s="160">
        <v>-18571948.972471684</v>
      </c>
    </row>
    <row r="94" spans="16:33" ht="15.75" customHeight="1">
      <c r="P94" s="159"/>
      <c r="Q94" s="159">
        <v>77</v>
      </c>
      <c r="R94" s="160">
        <v>-42385283.954130352</v>
      </c>
      <c r="S94" s="160">
        <v>-28614108.335059941</v>
      </c>
      <c r="T94" s="160">
        <v>-18731948.480446413</v>
      </c>
      <c r="U94" s="160">
        <v>-6846646.6389065534</v>
      </c>
      <c r="V94" s="160">
        <v>-822959.30677272379</v>
      </c>
      <c r="W94" s="161">
        <v>8951847.6470610797</v>
      </c>
      <c r="X94" s="160">
        <v>11234282.724754184</v>
      </c>
      <c r="Y94" s="160">
        <v>6737351.8855428249</v>
      </c>
      <c r="Z94" s="160">
        <v>18323959.008901328</v>
      </c>
      <c r="AA94" s="160">
        <v>18891710.467684671</v>
      </c>
      <c r="AB94" s="160">
        <v>15992499.100090027</v>
      </c>
      <c r="AC94" s="160">
        <v>-2695525.3684629798</v>
      </c>
      <c r="AD94" s="160">
        <v>7006459.3810684383</v>
      </c>
      <c r="AE94" s="160">
        <v>-7172211.344511956</v>
      </c>
      <c r="AF94" s="160">
        <v>-12391366.803752363</v>
      </c>
      <c r="AG94" s="160">
        <v>-4322653.3822046816</v>
      </c>
    </row>
    <row r="95" spans="16:33" ht="15.75" customHeight="1">
      <c r="P95" s="159"/>
      <c r="Q95" s="159">
        <v>78</v>
      </c>
      <c r="R95" s="160">
        <v>-32226135.635161638</v>
      </c>
      <c r="S95" s="160">
        <v>-32378697.759682998</v>
      </c>
      <c r="T95" s="160">
        <v>-15302704.296628267</v>
      </c>
      <c r="U95" s="160">
        <v>-3121945.098912999</v>
      </c>
      <c r="V95" s="160">
        <v>5360739.6876717061</v>
      </c>
      <c r="W95" s="161">
        <v>9669684.8871319294</v>
      </c>
      <c r="X95" s="160">
        <v>2453391.5003920645</v>
      </c>
      <c r="Y95" s="160">
        <v>22491313.639234573</v>
      </c>
      <c r="Z95" s="160">
        <v>15021961.739695206</v>
      </c>
      <c r="AA95" s="160">
        <v>16459593.484851107</v>
      </c>
      <c r="AB95" s="160">
        <v>12590264.757350564</v>
      </c>
      <c r="AC95" s="160">
        <v>8982051.1139750332</v>
      </c>
      <c r="AD95" s="160">
        <v>1555852.8545757234</v>
      </c>
      <c r="AE95" s="160">
        <v>-4283453.6514059603</v>
      </c>
      <c r="AF95" s="160">
        <v>-5451946.5425810516</v>
      </c>
      <c r="AG95" s="160">
        <v>-5544739.0736490488</v>
      </c>
    </row>
    <row r="96" spans="16:33" ht="15.75" customHeight="1">
      <c r="P96" s="159"/>
      <c r="Q96" s="159">
        <v>79</v>
      </c>
      <c r="R96" s="160">
        <v>-31361207.778086707</v>
      </c>
      <c r="S96" s="160">
        <v>-17347247.487032995</v>
      </c>
      <c r="T96" s="160">
        <v>-18802247.142096117</v>
      </c>
      <c r="U96" s="160">
        <v>-9713077.5531527102</v>
      </c>
      <c r="V96" s="160">
        <v>2365845.8465441316</v>
      </c>
      <c r="W96" s="161">
        <v>215678.89244572818</v>
      </c>
      <c r="X96" s="160">
        <v>11414158.643742695</v>
      </c>
      <c r="Y96" s="160">
        <v>16877863.529722795</v>
      </c>
      <c r="Z96" s="160">
        <v>11144540.646557301</v>
      </c>
      <c r="AA96" s="160">
        <v>16775085.20473592</v>
      </c>
      <c r="AB96" s="160">
        <v>12208086.321753681</v>
      </c>
      <c r="AC96" s="160">
        <v>5193857.8966813982</v>
      </c>
      <c r="AD96" s="160">
        <v>473247.67030833662</v>
      </c>
      <c r="AE96" s="160">
        <v>-6282514.0051203519</v>
      </c>
      <c r="AF96" s="160">
        <v>-12790651.994064033</v>
      </c>
      <c r="AG96" s="160">
        <v>-16683430.28147006</v>
      </c>
    </row>
    <row r="97" spans="16:33" ht="15.75" customHeight="1">
      <c r="P97" s="159"/>
      <c r="Q97" s="159">
        <v>80</v>
      </c>
      <c r="R97" s="160">
        <v>-36450667.906422645</v>
      </c>
      <c r="S97" s="160">
        <v>-14603097.275224358</v>
      </c>
      <c r="T97" s="160">
        <v>-2655927.6505551189</v>
      </c>
      <c r="U97" s="160">
        <v>-10472022.016292825</v>
      </c>
      <c r="V97" s="160">
        <v>6211318.9529999495</v>
      </c>
      <c r="W97" s="161">
        <v>6486642.9606089294</v>
      </c>
      <c r="X97" s="160">
        <v>7005772.1946318597</v>
      </c>
      <c r="Y97" s="160">
        <v>8628125.2386375666</v>
      </c>
      <c r="Z97" s="160">
        <v>12732141.270792723</v>
      </c>
      <c r="AA97" s="160">
        <v>8782134.2290253937</v>
      </c>
      <c r="AB97" s="160">
        <v>2992215.3378602415</v>
      </c>
      <c r="AC97" s="160">
        <v>15208403.722523049</v>
      </c>
      <c r="AD97" s="160">
        <v>2020056.584635511</v>
      </c>
      <c r="AE97" s="160">
        <v>-9197865.9936086535</v>
      </c>
      <c r="AF97" s="160">
        <v>-14196089.257984281</v>
      </c>
      <c r="AG97" s="160">
        <v>-17361368.710027412</v>
      </c>
    </row>
    <row r="98" spans="16:33" ht="15.75" customHeight="1">
      <c r="P98" s="159"/>
      <c r="Q98" s="159">
        <v>81</v>
      </c>
      <c r="R98" s="160">
        <v>-41000187.041646317</v>
      </c>
      <c r="S98" s="160">
        <v>-32223292.107927456</v>
      </c>
      <c r="T98" s="160">
        <v>-19197914.942805022</v>
      </c>
      <c r="U98" s="160">
        <v>-9609669.588411957</v>
      </c>
      <c r="V98" s="160">
        <v>-2356973.3023301214</v>
      </c>
      <c r="W98" s="161">
        <v>11994943.208229512</v>
      </c>
      <c r="X98" s="160">
        <v>14613468.798620686</v>
      </c>
      <c r="Y98" s="160">
        <v>4637552.8674537539</v>
      </c>
      <c r="Z98" s="160">
        <v>25976157.134394407</v>
      </c>
      <c r="AA98" s="160">
        <v>15182216.412888065</v>
      </c>
      <c r="AB98" s="160">
        <v>15882967.82176502</v>
      </c>
      <c r="AC98" s="160">
        <v>7380785.923053816</v>
      </c>
      <c r="AD98" s="160">
        <v>9586273.0360475183</v>
      </c>
      <c r="AE98" s="160">
        <v>-2345854.2779619098</v>
      </c>
      <c r="AF98" s="160">
        <v>-7478440.8937250227</v>
      </c>
      <c r="AG98" s="160">
        <v>-14990062.003475964</v>
      </c>
    </row>
    <row r="99" spans="16:33" ht="15.75" customHeight="1">
      <c r="P99" s="159"/>
      <c r="Q99" s="159">
        <v>82</v>
      </c>
      <c r="R99" s="160">
        <v>-38470136.356183857</v>
      </c>
      <c r="S99" s="160">
        <v>-23509123.335232034</v>
      </c>
      <c r="T99" s="160">
        <v>-13593016.115719691</v>
      </c>
      <c r="U99" s="160">
        <v>-13968263.790560603</v>
      </c>
      <c r="V99" s="160">
        <v>-2715748.5074586719</v>
      </c>
      <c r="W99" s="161">
        <v>975411.11438564956</v>
      </c>
      <c r="X99" s="160">
        <v>5098081.9785412848</v>
      </c>
      <c r="Y99" s="160">
        <v>-4393413.8233761638</v>
      </c>
      <c r="Z99" s="160">
        <v>7237628.1246093959</v>
      </c>
      <c r="AA99" s="160">
        <v>16725073.361623734</v>
      </c>
      <c r="AB99" s="160">
        <v>2142928.7148953974</v>
      </c>
      <c r="AC99" s="160">
        <v>5489110.3661352843</v>
      </c>
      <c r="AD99" s="160">
        <v>-5089834.2657659203</v>
      </c>
      <c r="AE99" s="160">
        <v>-3209208.6245685816</v>
      </c>
      <c r="AF99" s="160">
        <v>-10811712.099804848</v>
      </c>
      <c r="AG99" s="160">
        <v>-13324302.951126724</v>
      </c>
    </row>
    <row r="100" spans="16:33" ht="15.75" customHeight="1">
      <c r="P100" s="159"/>
      <c r="Q100" s="159">
        <v>83</v>
      </c>
      <c r="R100" s="160">
        <v>-34101476.091741607</v>
      </c>
      <c r="S100" s="160">
        <v>-19138132.467017367</v>
      </c>
      <c r="T100" s="160">
        <v>-23010425.147647277</v>
      </c>
      <c r="U100" s="160">
        <v>-7780251.8255191743</v>
      </c>
      <c r="V100" s="160">
        <v>-1849747.3449843079</v>
      </c>
      <c r="W100" s="161">
        <v>-86334.166774153709</v>
      </c>
      <c r="X100" s="160">
        <v>5706139.7198956162</v>
      </c>
      <c r="Y100" s="160">
        <v>12091592.275251567</v>
      </c>
      <c r="Z100" s="160">
        <v>9579307.3127380311</v>
      </c>
      <c r="AA100" s="160">
        <v>14522018.180410892</v>
      </c>
      <c r="AB100" s="160">
        <v>14582094.606258363</v>
      </c>
      <c r="AC100" s="160">
        <v>7531090.7515693456</v>
      </c>
      <c r="AD100" s="160">
        <v>-725981.54787386954</v>
      </c>
      <c r="AE100" s="160">
        <v>733019.98375238478</v>
      </c>
      <c r="AF100" s="160">
        <v>-4055626.7231357843</v>
      </c>
      <c r="AG100" s="160">
        <v>-13535129.916401476</v>
      </c>
    </row>
    <row r="101" spans="16:33" ht="15.75" customHeight="1">
      <c r="P101" s="159"/>
      <c r="Q101" s="159">
        <v>84</v>
      </c>
      <c r="R101" s="160">
        <v>-36058245.51426205</v>
      </c>
      <c r="S101" s="160">
        <v>-22140456.805522889</v>
      </c>
      <c r="T101" s="160">
        <v>-21627779.351433158</v>
      </c>
      <c r="U101" s="160">
        <v>-12010293.947695866</v>
      </c>
      <c r="V101" s="160">
        <v>-15567397.095468819</v>
      </c>
      <c r="W101" s="161">
        <v>4102079.3746624291</v>
      </c>
      <c r="X101" s="160">
        <v>394777.04474104941</v>
      </c>
      <c r="Y101" s="160">
        <v>6034241.4999271035</v>
      </c>
      <c r="Z101" s="160">
        <v>11269873.203914508</v>
      </c>
      <c r="AA101" s="160">
        <v>12446858.496444747</v>
      </c>
      <c r="AB101" s="160">
        <v>17415530.034135073</v>
      </c>
      <c r="AC101" s="160">
        <v>3934536.0156491697</v>
      </c>
      <c r="AD101" s="160">
        <v>1935381.3919246048</v>
      </c>
      <c r="AE101" s="160">
        <v>-10664298.905053735</v>
      </c>
      <c r="AF101" s="160">
        <v>-14828010.899128243</v>
      </c>
      <c r="AG101" s="160">
        <v>-19882629.35428977</v>
      </c>
    </row>
    <row r="102" spans="16:33" ht="15.75" customHeight="1">
      <c r="P102" s="159"/>
      <c r="Q102" s="159">
        <v>85</v>
      </c>
      <c r="R102" s="160">
        <v>-32492166.129802883</v>
      </c>
      <c r="S102" s="160">
        <v>-23474996.18009682</v>
      </c>
      <c r="T102" s="160">
        <v>-17535222.724410787</v>
      </c>
      <c r="U102" s="160">
        <v>-1260097.9745530635</v>
      </c>
      <c r="V102" s="160">
        <v>-4426334.1609729826</v>
      </c>
      <c r="W102" s="161">
        <v>7014867.163777262</v>
      </c>
      <c r="X102" s="160">
        <v>17053061.450835451</v>
      </c>
      <c r="Y102" s="160">
        <v>16115388.157520205</v>
      </c>
      <c r="Z102" s="160">
        <v>11122976.374352753</v>
      </c>
      <c r="AA102" s="160">
        <v>4632149.5122972876</v>
      </c>
      <c r="AB102" s="160">
        <v>2801373.2870751917</v>
      </c>
      <c r="AC102" s="160">
        <v>7966908.828084752</v>
      </c>
      <c r="AD102" s="160">
        <v>1707813.7298873961</v>
      </c>
      <c r="AE102" s="160">
        <v>118386.52426442504</v>
      </c>
      <c r="AF102" s="160">
        <v>-10091738.97932516</v>
      </c>
      <c r="AG102" s="160">
        <v>-14240618.970091403</v>
      </c>
    </row>
    <row r="103" spans="16:33" ht="15.75" customHeight="1">
      <c r="P103" s="159"/>
      <c r="Q103" s="159">
        <v>86</v>
      </c>
      <c r="R103" s="160">
        <v>-40852249.54375422</v>
      </c>
      <c r="S103" s="160">
        <v>-31247168.202523381</v>
      </c>
      <c r="T103" s="160">
        <v>-13793962.455699757</v>
      </c>
      <c r="U103" s="160">
        <v>-15896163.600220844</v>
      </c>
      <c r="V103" s="160">
        <v>-4407140.7772417068</v>
      </c>
      <c r="W103" s="161">
        <v>1738930.6684488654</v>
      </c>
      <c r="X103" s="160">
        <v>3227326.5522381812</v>
      </c>
      <c r="Y103" s="160">
        <v>10523272.711675853</v>
      </c>
      <c r="Z103" s="160">
        <v>8939780.2838792652</v>
      </c>
      <c r="AA103" s="160">
        <v>18439480.99984403</v>
      </c>
      <c r="AB103" s="160">
        <v>16443564.651811495</v>
      </c>
      <c r="AC103" s="160">
        <v>8539020.0627016425</v>
      </c>
      <c r="AD103" s="160">
        <v>5249775.5893667042</v>
      </c>
      <c r="AE103" s="160">
        <v>-1313616.0840307772</v>
      </c>
      <c r="AF103" s="160">
        <v>-11497981.07219328</v>
      </c>
      <c r="AG103" s="160">
        <v>-15611946.954585597</v>
      </c>
    </row>
    <row r="104" spans="16:33" ht="15.75" customHeight="1">
      <c r="P104" s="159"/>
      <c r="Q104" s="159">
        <v>87</v>
      </c>
      <c r="R104" s="160">
        <v>-33497241.87130779</v>
      </c>
      <c r="S104" s="160">
        <v>-23176776.129295439</v>
      </c>
      <c r="T104" s="160">
        <v>-18485176.59430857</v>
      </c>
      <c r="U104" s="160">
        <v>-18712026.285182372</v>
      </c>
      <c r="V104" s="160">
        <v>-4170545.3144480735</v>
      </c>
      <c r="W104" s="161">
        <v>-1462150.4701143205</v>
      </c>
      <c r="X104" s="160">
        <v>2349826.2193098068</v>
      </c>
      <c r="Y104" s="160">
        <v>2172508.0681362301</v>
      </c>
      <c r="Z104" s="160">
        <v>9849812.9761001021</v>
      </c>
      <c r="AA104" s="160">
        <v>10446995.8512813</v>
      </c>
      <c r="AB104" s="160">
        <v>4801567.7948223054</v>
      </c>
      <c r="AC104" s="160">
        <v>8721693.4924961627</v>
      </c>
      <c r="AD104" s="160">
        <v>9130056.9567910135</v>
      </c>
      <c r="AE104" s="160">
        <v>-5765400.4035205096</v>
      </c>
      <c r="AF104" s="160">
        <v>-16897575.202738717</v>
      </c>
      <c r="AG104" s="160">
        <v>-23941395.56809245</v>
      </c>
    </row>
    <row r="105" spans="16:33" ht="15.75" customHeight="1">
      <c r="P105" s="159"/>
      <c r="Q105" s="159">
        <v>88</v>
      </c>
      <c r="R105" s="160">
        <v>-30368236.630600289</v>
      </c>
      <c r="S105" s="160">
        <v>-22457016.705128849</v>
      </c>
      <c r="T105" s="160">
        <v>-24287270.335045159</v>
      </c>
      <c r="U105" s="160">
        <v>-21622263.240531817</v>
      </c>
      <c r="V105" s="160">
        <v>2181144.1001963466</v>
      </c>
      <c r="W105" s="161">
        <v>2742336.1016776264</v>
      </c>
      <c r="X105" s="160">
        <v>3709613.5443332642</v>
      </c>
      <c r="Y105" s="160">
        <v>19774119.845648885</v>
      </c>
      <c r="Z105" s="160">
        <v>15981637.645377845</v>
      </c>
      <c r="AA105" s="160">
        <v>26336882.861366212</v>
      </c>
      <c r="AB105" s="160">
        <v>22302252.425868809</v>
      </c>
      <c r="AC105" s="160">
        <v>2003258.6238011718</v>
      </c>
      <c r="AD105" s="160">
        <v>3484466.3335867077</v>
      </c>
      <c r="AE105" s="160">
        <v>-1437553.0296583176</v>
      </c>
      <c r="AF105" s="160">
        <v>-9441708.2235853076</v>
      </c>
      <c r="AG105" s="160">
        <v>-11417313.397930577</v>
      </c>
    </row>
    <row r="106" spans="16:33" ht="15.75" customHeight="1">
      <c r="P106" s="159"/>
      <c r="Q106" s="159">
        <v>89</v>
      </c>
      <c r="R106" s="160">
        <v>-33534450.514938384</v>
      </c>
      <c r="S106" s="160">
        <v>-24994923.460123345</v>
      </c>
      <c r="T106" s="160">
        <v>-20117346.341878995</v>
      </c>
      <c r="U106" s="160">
        <v>-12327204.289767519</v>
      </c>
      <c r="V106" s="160">
        <v>-5104767.2845799923</v>
      </c>
      <c r="W106" s="161">
        <v>-398802.25323161483</v>
      </c>
      <c r="X106" s="160">
        <v>7884964.9260060489</v>
      </c>
      <c r="Y106" s="160">
        <v>7647982.7475554794</v>
      </c>
      <c r="Z106" s="160">
        <v>14482489.750490516</v>
      </c>
      <c r="AA106" s="160">
        <v>7504151.8091914803</v>
      </c>
      <c r="AB106" s="160">
        <v>10763957.385000393</v>
      </c>
      <c r="AC106" s="160">
        <v>7584290.2891282886</v>
      </c>
      <c r="AD106" s="160">
        <v>16079301.735509142</v>
      </c>
      <c r="AE106" s="160">
        <v>-5512650.9506749064</v>
      </c>
      <c r="AF106" s="160">
        <v>-7851890.9245745689</v>
      </c>
      <c r="AG106" s="160">
        <v>-16207624.315384477</v>
      </c>
    </row>
    <row r="107" spans="16:33" ht="15.75" customHeight="1">
      <c r="P107" s="159"/>
      <c r="Q107" s="159">
        <v>90</v>
      </c>
      <c r="R107" s="160">
        <v>-34716441.661653638</v>
      </c>
      <c r="S107" s="160">
        <v>-26151504.727194518</v>
      </c>
      <c r="T107" s="160">
        <v>-10581565.181276441</v>
      </c>
      <c r="U107" s="160">
        <v>-1101324.3682239503</v>
      </c>
      <c r="V107" s="160">
        <v>16166496.291302204</v>
      </c>
      <c r="W107" s="161">
        <v>9570829.7034907639</v>
      </c>
      <c r="X107" s="160">
        <v>14882801.101889253</v>
      </c>
      <c r="Y107" s="160">
        <v>10423477.410402074</v>
      </c>
      <c r="Z107" s="160">
        <v>655894.09740769863</v>
      </c>
      <c r="AA107" s="160">
        <v>13239577.748341456</v>
      </c>
      <c r="AB107" s="160">
        <v>16343956.500479609</v>
      </c>
      <c r="AC107" s="160">
        <v>1443956.120345518</v>
      </c>
      <c r="AD107" s="160">
        <v>9919075.4143603891</v>
      </c>
      <c r="AE107" s="160">
        <v>4667397.6481258273</v>
      </c>
      <c r="AF107" s="160">
        <v>-12382009.428645864</v>
      </c>
      <c r="AG107" s="160">
        <v>-21443253.846402347</v>
      </c>
    </row>
    <row r="108" spans="16:33" ht="15.75" customHeight="1">
      <c r="P108" s="159"/>
      <c r="Q108" s="159">
        <v>91</v>
      </c>
      <c r="R108" s="160">
        <v>-24229842.153200492</v>
      </c>
      <c r="S108" s="160">
        <v>-29676609.299678311</v>
      </c>
      <c r="T108" s="160">
        <v>-7753735.9624612033</v>
      </c>
      <c r="U108" s="160">
        <v>-10414114.456714123</v>
      </c>
      <c r="V108" s="160">
        <v>1147538.5748526603</v>
      </c>
      <c r="W108" s="161">
        <v>3919380.0052938908</v>
      </c>
      <c r="X108" s="160">
        <v>11865890.013327226</v>
      </c>
      <c r="Y108" s="160">
        <v>13636490.443191409</v>
      </c>
      <c r="Z108" s="160">
        <v>12680575.882107154</v>
      </c>
      <c r="AA108" s="160">
        <v>11117922.682387933</v>
      </c>
      <c r="AB108" s="160">
        <v>18463299.06223239</v>
      </c>
      <c r="AC108" s="160">
        <v>9758821.344548136</v>
      </c>
      <c r="AD108" s="160">
        <v>970686.21207478642</v>
      </c>
      <c r="AE108" s="160">
        <v>-12213680.446332261</v>
      </c>
      <c r="AF108" s="160">
        <v>-9086839.784315899</v>
      </c>
      <c r="AG108" s="160">
        <v>-16240199.806746349</v>
      </c>
    </row>
    <row r="109" spans="16:33" ht="15.75" customHeight="1">
      <c r="P109" s="159"/>
      <c r="Q109" s="159">
        <v>92</v>
      </c>
      <c r="R109" s="160">
        <v>-35366673.649105132</v>
      </c>
      <c r="S109" s="160">
        <v>-14800800.442663461</v>
      </c>
      <c r="T109" s="160">
        <v>-14303261.863013789</v>
      </c>
      <c r="U109" s="160">
        <v>-10471658.743892133</v>
      </c>
      <c r="V109" s="160">
        <v>-10229313.642425597</v>
      </c>
      <c r="W109" s="161">
        <v>-167066.84821656346</v>
      </c>
      <c r="X109" s="160">
        <v>18041496.231092498</v>
      </c>
      <c r="Y109" s="160">
        <v>11575588.838937148</v>
      </c>
      <c r="Z109" s="160">
        <v>19697263.347552672</v>
      </c>
      <c r="AA109" s="160">
        <v>-3392915.2600268424</v>
      </c>
      <c r="AB109" s="160">
        <v>2353890.0315935463</v>
      </c>
      <c r="AC109" s="160">
        <v>5271615.8475025296</v>
      </c>
      <c r="AD109" s="160">
        <v>-1452734.3695158362</v>
      </c>
      <c r="AE109" s="160">
        <v>-15442806.380308837</v>
      </c>
      <c r="AF109" s="160">
        <v>-7539025.2993146479</v>
      </c>
      <c r="AG109" s="160">
        <v>-23287516.393855646</v>
      </c>
    </row>
    <row r="110" spans="16:33" ht="15.75" customHeight="1">
      <c r="P110" s="159"/>
      <c r="Q110" s="159">
        <v>93</v>
      </c>
      <c r="R110" s="160">
        <v>-38004937.389640063</v>
      </c>
      <c r="S110" s="160">
        <v>-18476016.223910257</v>
      </c>
      <c r="T110" s="160">
        <v>-12372668.795334622</v>
      </c>
      <c r="U110" s="160">
        <v>-14591281.976840988</v>
      </c>
      <c r="V110" s="160">
        <v>-4826578.8314529657</v>
      </c>
      <c r="W110" s="161">
        <v>10301523.176498801</v>
      </c>
      <c r="X110" s="160">
        <v>2665148.8793338984</v>
      </c>
      <c r="Y110" s="160">
        <v>17261195.692893028</v>
      </c>
      <c r="Z110" s="160">
        <v>12244858.590304196</v>
      </c>
      <c r="AA110" s="160">
        <v>16658490.224181235</v>
      </c>
      <c r="AB110" s="160">
        <v>16661723.975086227</v>
      </c>
      <c r="AC110" s="160">
        <v>14006680.753762767</v>
      </c>
      <c r="AD110" s="160">
        <v>4729990.7764224559</v>
      </c>
      <c r="AE110" s="160">
        <v>-6719052.4797813743</v>
      </c>
      <c r="AF110" s="160">
        <v>-12587326.483639151</v>
      </c>
      <c r="AG110" s="160">
        <v>-25278029.909203321</v>
      </c>
    </row>
    <row r="111" spans="16:33" ht="15.75" customHeight="1">
      <c r="P111" s="159"/>
      <c r="Q111" s="159">
        <v>94</v>
      </c>
      <c r="R111" s="160">
        <v>-34610506.342787236</v>
      </c>
      <c r="S111" s="160">
        <v>-26505642.830575168</v>
      </c>
      <c r="T111" s="160">
        <v>-20482494.654410705</v>
      </c>
      <c r="U111" s="160">
        <v>-413105.42720468342</v>
      </c>
      <c r="V111" s="160">
        <v>-14200158.72579357</v>
      </c>
      <c r="W111" s="161">
        <v>-1289055.8835724294</v>
      </c>
      <c r="X111" s="160">
        <v>1906701.5368129015</v>
      </c>
      <c r="Y111" s="160">
        <v>18882242.871230423</v>
      </c>
      <c r="Z111" s="160">
        <v>17548647.617873505</v>
      </c>
      <c r="AA111" s="160">
        <v>18904571.528036833</v>
      </c>
      <c r="AB111" s="160">
        <v>3933988.8237721622</v>
      </c>
      <c r="AC111" s="160">
        <v>10014889.564560667</v>
      </c>
      <c r="AD111" s="160">
        <v>2280421.8048092276</v>
      </c>
      <c r="AE111" s="160">
        <v>-3230203.686655581</v>
      </c>
      <c r="AF111" s="160">
        <v>-18582968.475185305</v>
      </c>
      <c r="AG111" s="160">
        <v>-18586833.464951903</v>
      </c>
    </row>
    <row r="112" spans="16:33" ht="15.75" customHeight="1">
      <c r="P112" s="159"/>
      <c r="Q112" s="159">
        <v>95</v>
      </c>
      <c r="R112" s="160">
        <v>-33283526.0252278</v>
      </c>
      <c r="S112" s="160">
        <v>-29797035.550586194</v>
      </c>
      <c r="T112" s="160">
        <v>-10896976.990048155</v>
      </c>
      <c r="U112" s="160">
        <v>-13528051.14441435</v>
      </c>
      <c r="V112" s="160">
        <v>-143888.7474553436</v>
      </c>
      <c r="W112" s="161">
        <v>9247945.5489169508</v>
      </c>
      <c r="X112" s="160">
        <v>14530046.260174885</v>
      </c>
      <c r="Y112" s="160">
        <v>16633704.884611309</v>
      </c>
      <c r="Z112" s="160">
        <v>16861971.47981751</v>
      </c>
      <c r="AA112" s="160">
        <v>17828001.259625852</v>
      </c>
      <c r="AB112" s="160">
        <v>12059826.043655232</v>
      </c>
      <c r="AC112" s="160">
        <v>5686522.799116686</v>
      </c>
      <c r="AD112" s="160">
        <v>7711443.0484206527</v>
      </c>
      <c r="AE112" s="160">
        <v>3751919.3631178886</v>
      </c>
      <c r="AF112" s="160">
        <v>-4525903.0101385862</v>
      </c>
      <c r="AG112" s="160">
        <v>-25099786.512982845</v>
      </c>
    </row>
    <row r="113" spans="16:33" ht="15.75" customHeight="1">
      <c r="P113" s="159"/>
      <c r="Q113" s="159">
        <v>96</v>
      </c>
      <c r="R113" s="160">
        <v>-27932520.649006128</v>
      </c>
      <c r="S113" s="160">
        <v>-24495174.553611577</v>
      </c>
      <c r="T113" s="160">
        <v>-15827519.698178872</v>
      </c>
      <c r="U113" s="160">
        <v>-11387434.220943898</v>
      </c>
      <c r="V113" s="160">
        <v>3425619.7961354107</v>
      </c>
      <c r="W113" s="161">
        <v>3696701.665774554</v>
      </c>
      <c r="X113" s="160">
        <v>5755477.6178987771</v>
      </c>
      <c r="Y113" s="160">
        <v>7070580.3393183798</v>
      </c>
      <c r="Z113" s="160">
        <v>3522670.6153849214</v>
      </c>
      <c r="AA113" s="160">
        <v>1204718.2880052477</v>
      </c>
      <c r="AB113" s="160">
        <v>4567714.8007293642</v>
      </c>
      <c r="AC113" s="160">
        <v>8999415.4084622264</v>
      </c>
      <c r="AD113" s="160">
        <v>5955292.9632872939</v>
      </c>
      <c r="AE113" s="160">
        <v>10545216.671181172</v>
      </c>
      <c r="AF113" s="160">
        <v>-16220000.013644561</v>
      </c>
      <c r="AG113" s="160">
        <v>-16588067.97267288</v>
      </c>
    </row>
    <row r="114" spans="16:33" ht="15.75" customHeight="1">
      <c r="P114" s="159"/>
      <c r="Q114" s="159">
        <v>97</v>
      </c>
      <c r="R114" s="160">
        <v>-36722709.4786724</v>
      </c>
      <c r="S114" s="160">
        <v>-26675086.957213297</v>
      </c>
      <c r="T114" s="160">
        <v>-12552018.540717617</v>
      </c>
      <c r="U114" s="160">
        <v>-4354238.077062279</v>
      </c>
      <c r="V114" s="160">
        <v>-7057543.5294576734</v>
      </c>
      <c r="W114" s="161">
        <v>8048334.3384148777</v>
      </c>
      <c r="X114" s="160">
        <v>8747517.8367662281</v>
      </c>
      <c r="Y114" s="160">
        <v>13027924.137947649</v>
      </c>
      <c r="Z114" s="160">
        <v>16112071.358090401</v>
      </c>
      <c r="AA114" s="160">
        <v>1928398.6406824142</v>
      </c>
      <c r="AB114" s="160">
        <v>6914515.6739013344</v>
      </c>
      <c r="AC114" s="160">
        <v>3921512.0314579606</v>
      </c>
      <c r="AD114" s="160">
        <v>-12641421.795921832</v>
      </c>
      <c r="AE114" s="160">
        <v>-10891235.802347481</v>
      </c>
      <c r="AF114" s="160">
        <v>-12297460.869145647</v>
      </c>
      <c r="AG114" s="160">
        <v>-19170864.721437275</v>
      </c>
    </row>
    <row r="115" spans="16:33" ht="15.75" customHeight="1">
      <c r="P115" s="159"/>
      <c r="Q115" s="159">
        <v>98</v>
      </c>
      <c r="R115" s="160">
        <v>-35318285.784224048</v>
      </c>
      <c r="S115" s="160">
        <v>-25071548.592574835</v>
      </c>
      <c r="T115" s="160">
        <v>-13578006.033431545</v>
      </c>
      <c r="U115" s="160">
        <v>-8692293.8762595654</v>
      </c>
      <c r="V115" s="160">
        <v>1321228.5949365199</v>
      </c>
      <c r="W115" s="161">
        <v>-2088336.936590448</v>
      </c>
      <c r="X115" s="160">
        <v>2211766.1634760499</v>
      </c>
      <c r="Y115" s="160">
        <v>22509506.475905329</v>
      </c>
      <c r="Z115" s="160">
        <v>6372700.6591392308</v>
      </c>
      <c r="AA115" s="160">
        <v>6349101.4973810166</v>
      </c>
      <c r="AB115" s="160">
        <v>4117615.372794345</v>
      </c>
      <c r="AC115" s="160">
        <v>7499427.7535768449</v>
      </c>
      <c r="AD115" s="160">
        <v>2726929.0178806484</v>
      </c>
      <c r="AE115" s="160">
        <v>-2778889.0906056315</v>
      </c>
      <c r="AF115" s="160">
        <v>-8896819.8360580504</v>
      </c>
      <c r="AG115" s="160">
        <v>-21132818.602250531</v>
      </c>
    </row>
    <row r="116" spans="16:33" ht="15.75" customHeight="1">
      <c r="P116" s="159"/>
      <c r="Q116" s="159">
        <v>99</v>
      </c>
      <c r="R116" s="160">
        <v>-34070569.847178906</v>
      </c>
      <c r="S116" s="160">
        <v>-24790665.563022643</v>
      </c>
      <c r="T116" s="160">
        <v>-19194236.489699528</v>
      </c>
      <c r="U116" s="160">
        <v>-9252940.620657891</v>
      </c>
      <c r="V116" s="160">
        <v>-42808.913053318858</v>
      </c>
      <c r="W116" s="161">
        <v>-927318.70342461765</v>
      </c>
      <c r="X116" s="160">
        <v>9308956.7360081375</v>
      </c>
      <c r="Y116" s="160">
        <v>13621248.425614446</v>
      </c>
      <c r="Z116" s="160">
        <v>14598965.109402418</v>
      </c>
      <c r="AA116" s="160">
        <v>19061359.777508438</v>
      </c>
      <c r="AB116" s="160">
        <v>5906051.1148622632</v>
      </c>
      <c r="AC116" s="160">
        <v>12395525.505793065</v>
      </c>
      <c r="AD116" s="160">
        <v>-3995890.6614445448</v>
      </c>
      <c r="AE116" s="160">
        <v>-4907294.0564977974</v>
      </c>
      <c r="AF116" s="160">
        <v>-17969560.715210795</v>
      </c>
      <c r="AG116" s="160">
        <v>-10205732.264931768</v>
      </c>
    </row>
    <row r="117" spans="16:33" ht="15.75" customHeight="1">
      <c r="P117" s="159"/>
      <c r="Q117" s="159">
        <v>100</v>
      </c>
      <c r="R117" s="160">
        <v>-30848389.211629361</v>
      </c>
      <c r="S117" s="160">
        <v>-25461327.962791249</v>
      </c>
      <c r="T117" s="160">
        <v>-26243511.23843354</v>
      </c>
      <c r="U117" s="160">
        <v>-7484151.2860021591</v>
      </c>
      <c r="V117" s="160">
        <v>-7113163.1910895407</v>
      </c>
      <c r="W117" s="161">
        <v>11676028.261295795</v>
      </c>
      <c r="X117" s="160">
        <v>11556069.247518122</v>
      </c>
      <c r="Y117" s="160">
        <v>-1039834.7938296944</v>
      </c>
      <c r="Z117" s="160">
        <v>15395360.204079852</v>
      </c>
      <c r="AA117" s="160">
        <v>23273908.000440061</v>
      </c>
      <c r="AB117" s="160">
        <v>16022200.607418373</v>
      </c>
      <c r="AC117" s="160">
        <v>4551086.0958827585</v>
      </c>
      <c r="AD117" s="160">
        <v>3322049.1282762289</v>
      </c>
      <c r="AE117" s="160">
        <v>-9562298.558930248</v>
      </c>
      <c r="AF117" s="160">
        <v>-10325256.491647214</v>
      </c>
      <c r="AG117" s="160">
        <v>-20171620.125466362</v>
      </c>
    </row>
    <row r="118" spans="16:33" ht="15.75" customHeight="1">
      <c r="P118" s="159"/>
      <c r="Q118" s="159">
        <v>101</v>
      </c>
      <c r="R118" s="160">
        <v>-36039744.873395428</v>
      </c>
      <c r="S118" s="160">
        <v>-15632207.062205702</v>
      </c>
      <c r="T118" s="160">
        <v>-13168859.24149251</v>
      </c>
      <c r="U118" s="160">
        <v>-6161222.148449868</v>
      </c>
      <c r="V118" s="160">
        <v>2218143.8297874331</v>
      </c>
      <c r="W118" s="161">
        <v>18919619.974090844</v>
      </c>
      <c r="X118" s="160">
        <v>9283957.9502641708</v>
      </c>
      <c r="Y118" s="160">
        <v>16883699.802407324</v>
      </c>
      <c r="Z118" s="160">
        <v>24627717.930751413</v>
      </c>
      <c r="AA118" s="160">
        <v>13089740.620696619</v>
      </c>
      <c r="AB118" s="160">
        <v>17301634.661659628</v>
      </c>
      <c r="AC118" s="160">
        <v>5203313.0812500566</v>
      </c>
      <c r="AD118" s="160">
        <v>5086390.9679670334</v>
      </c>
      <c r="AE118" s="160">
        <v>-2353382.8459067494</v>
      </c>
      <c r="AF118" s="160">
        <v>-8823891.3192961514</v>
      </c>
      <c r="AG118" s="160">
        <v>-13468520.720055103</v>
      </c>
    </row>
    <row r="119" spans="16:33" ht="15.75" customHeight="1">
      <c r="P119" s="159"/>
      <c r="Q119" s="159">
        <v>102</v>
      </c>
      <c r="R119" s="160">
        <v>-35148759.249960989</v>
      </c>
      <c r="S119" s="160">
        <v>-26490338.063628688</v>
      </c>
      <c r="T119" s="160">
        <v>-14876419.38775754</v>
      </c>
      <c r="U119" s="160">
        <v>-3608209.0089147687</v>
      </c>
      <c r="V119" s="160">
        <v>502366.67609398067</v>
      </c>
      <c r="W119" s="161">
        <v>12764918.745273352</v>
      </c>
      <c r="X119" s="160">
        <v>9192432.8268740922</v>
      </c>
      <c r="Y119" s="160">
        <v>10437620.821725786</v>
      </c>
      <c r="Z119" s="160">
        <v>6874280.7922238111</v>
      </c>
      <c r="AA119" s="160">
        <v>15260492.353558704</v>
      </c>
      <c r="AB119" s="160">
        <v>13282968.186214328</v>
      </c>
      <c r="AC119" s="160">
        <v>15674354.522852391</v>
      </c>
      <c r="AD119" s="160">
        <v>645394.05455972254</v>
      </c>
      <c r="AE119" s="160">
        <v>-10330045.059042066</v>
      </c>
      <c r="AF119" s="160">
        <v>-5063444.7190169841</v>
      </c>
      <c r="AG119" s="160">
        <v>-11865775.388625756</v>
      </c>
    </row>
    <row r="120" spans="16:33" ht="15.75" customHeight="1">
      <c r="P120" s="159"/>
      <c r="Q120" s="159">
        <v>103</v>
      </c>
      <c r="R120" s="160">
        <v>-36119880.901468024</v>
      </c>
      <c r="S120" s="160">
        <v>-32050761.009000182</v>
      </c>
      <c r="T120" s="160">
        <v>-8214940.5200480819</v>
      </c>
      <c r="U120" s="160">
        <v>-11977090.111854345</v>
      </c>
      <c r="V120" s="160">
        <v>1595946.7064691186</v>
      </c>
      <c r="W120" s="161">
        <v>-3780075.7875849158</v>
      </c>
      <c r="X120" s="160">
        <v>22668004.647933722</v>
      </c>
      <c r="Y120" s="160">
        <v>17899663.313011065</v>
      </c>
      <c r="Z120" s="160">
        <v>12781251.254750758</v>
      </c>
      <c r="AA120" s="160">
        <v>18091400.618559733</v>
      </c>
      <c r="AB120" s="160">
        <v>12073968.804361954</v>
      </c>
      <c r="AC120" s="160">
        <v>4654876.7069748491</v>
      </c>
      <c r="AD120" s="160">
        <v>5137566.8639115989</v>
      </c>
      <c r="AE120" s="160">
        <v>-4636129.6170502156</v>
      </c>
      <c r="AF120" s="160">
        <v>-9847959.470574066</v>
      </c>
      <c r="AG120" s="160">
        <v>-15948175.094647527</v>
      </c>
    </row>
    <row r="121" spans="16:33" ht="15.75" customHeight="1">
      <c r="P121" s="159"/>
      <c r="Q121" s="159">
        <v>104</v>
      </c>
      <c r="R121" s="160">
        <v>-39080140.95292528</v>
      </c>
      <c r="S121" s="160">
        <v>-27530153.466662675</v>
      </c>
      <c r="T121" s="160">
        <v>-20926952.236195758</v>
      </c>
      <c r="U121" s="160">
        <v>-3757320.5394982547</v>
      </c>
      <c r="V121" s="160">
        <v>-2199722.940949738</v>
      </c>
      <c r="W121" s="161">
        <v>8658494.1464941353</v>
      </c>
      <c r="X121" s="160">
        <v>9484782.4734029919</v>
      </c>
      <c r="Y121" s="160">
        <v>5445784.9612189978</v>
      </c>
      <c r="Z121" s="160">
        <v>16252218.526398987</v>
      </c>
      <c r="AA121" s="160">
        <v>2519312.4069515467</v>
      </c>
      <c r="AB121" s="160">
        <v>-1530952.474978745</v>
      </c>
      <c r="AC121" s="160">
        <v>7000055.6164622605</v>
      </c>
      <c r="AD121" s="160">
        <v>2408410.6796898097</v>
      </c>
      <c r="AE121" s="160">
        <v>504630.4604396224</v>
      </c>
      <c r="AF121" s="160">
        <v>-5304370.3015431464</v>
      </c>
      <c r="AG121" s="160">
        <v>-24410195.582386315</v>
      </c>
    </row>
    <row r="122" spans="16:33" ht="15.75" customHeight="1">
      <c r="P122" s="159"/>
      <c r="Q122" s="159">
        <v>105</v>
      </c>
      <c r="R122" s="160">
        <v>-32390578.992545545</v>
      </c>
      <c r="S122" s="160">
        <v>-22574762.270702094</v>
      </c>
      <c r="T122" s="160">
        <v>-14423218.594737828</v>
      </c>
      <c r="U122" s="160">
        <v>-6584115.2275141031</v>
      </c>
      <c r="V122" s="160">
        <v>-4180486.3776464015</v>
      </c>
      <c r="W122" s="161">
        <v>-786162.32849165797</v>
      </c>
      <c r="X122" s="160">
        <v>11751709.702689216</v>
      </c>
      <c r="Y122" s="160">
        <v>6648727.6197640747</v>
      </c>
      <c r="Z122" s="160">
        <v>17752882.482779801</v>
      </c>
      <c r="AA122" s="160">
        <v>10426842.842096388</v>
      </c>
      <c r="AB122" s="160">
        <v>9764379.5331683308</v>
      </c>
      <c r="AC122" s="160">
        <v>-5728834.8704368323</v>
      </c>
      <c r="AD122" s="160">
        <v>-2709206.6661803275</v>
      </c>
      <c r="AE122" s="160">
        <v>-10129421.252815962</v>
      </c>
      <c r="AF122" s="160">
        <v>-9698236.2277043611</v>
      </c>
      <c r="AG122" s="160">
        <v>-17689953.892006487</v>
      </c>
    </row>
    <row r="123" spans="16:33" ht="15.75" customHeight="1">
      <c r="P123" s="159"/>
      <c r="Q123" s="159">
        <v>106</v>
      </c>
      <c r="R123" s="160">
        <v>-32281972.424860358</v>
      </c>
      <c r="S123" s="160">
        <v>-26036464.288832992</v>
      </c>
      <c r="T123" s="160">
        <v>-21080412.946923912</v>
      </c>
      <c r="U123" s="160">
        <v>-2596248.6999616623</v>
      </c>
      <c r="V123" s="160">
        <v>-473609.20766353607</v>
      </c>
      <c r="W123" s="161">
        <v>-242562.93126748502</v>
      </c>
      <c r="X123" s="160">
        <v>8979697.5544060171</v>
      </c>
      <c r="Y123" s="160">
        <v>12283397.800287068</v>
      </c>
      <c r="Z123" s="160">
        <v>4023493.7125923485</v>
      </c>
      <c r="AA123" s="160">
        <v>14630098.436673939</v>
      </c>
      <c r="AB123" s="160">
        <v>5976247.9996835887</v>
      </c>
      <c r="AC123" s="160">
        <v>-307764.85632143915</v>
      </c>
      <c r="AD123" s="160">
        <v>13375430.073833406</v>
      </c>
      <c r="AE123" s="160">
        <v>-3603207.3688994944</v>
      </c>
      <c r="AF123" s="160">
        <v>-5408467.3346449584</v>
      </c>
      <c r="AG123" s="160">
        <v>-19609151.577526629</v>
      </c>
    </row>
    <row r="124" spans="16:33" ht="15.75" customHeight="1">
      <c r="P124" s="159"/>
      <c r="Q124" s="159">
        <v>107</v>
      </c>
      <c r="R124" s="160">
        <v>-34140179.717439488</v>
      </c>
      <c r="S124" s="160">
        <v>-24740436.848981753</v>
      </c>
      <c r="T124" s="160">
        <v>-16547241.562329978</v>
      </c>
      <c r="U124" s="160">
        <v>-9673323.8203591108</v>
      </c>
      <c r="V124" s="160">
        <v>3306046.2214803398</v>
      </c>
      <c r="W124" s="161">
        <v>2447130.9654450417</v>
      </c>
      <c r="X124" s="160">
        <v>9057338.3164653331</v>
      </c>
      <c r="Y124" s="160">
        <v>5471894.3625300527</v>
      </c>
      <c r="Z124" s="160">
        <v>24288832.797515228</v>
      </c>
      <c r="AA124" s="160">
        <v>7620455.2386522293</v>
      </c>
      <c r="AB124" s="160">
        <v>10170732.06331867</v>
      </c>
      <c r="AC124" s="160">
        <v>13930636.885580435</v>
      </c>
      <c r="AD124" s="160">
        <v>7887459.5829783678</v>
      </c>
      <c r="AE124" s="160">
        <v>-7343465.1921767592</v>
      </c>
      <c r="AF124" s="160">
        <v>-14872021.448846221</v>
      </c>
      <c r="AG124" s="160">
        <v>-26990143.105376899</v>
      </c>
    </row>
    <row r="125" spans="16:33" ht="15.75" customHeight="1">
      <c r="P125" s="159"/>
      <c r="Q125" s="159">
        <v>108</v>
      </c>
      <c r="R125" s="160">
        <v>-41111593.936729506</v>
      </c>
      <c r="S125" s="160">
        <v>-25691289.610260919</v>
      </c>
      <c r="T125" s="160">
        <v>-1606206.9227825552</v>
      </c>
      <c r="U125" s="160">
        <v>9007442.8963034004</v>
      </c>
      <c r="V125" s="160">
        <v>5887502.3319470733</v>
      </c>
      <c r="W125" s="161">
        <v>-223998.65561798215</v>
      </c>
      <c r="X125" s="160">
        <v>14757276.311557114</v>
      </c>
      <c r="Y125" s="160">
        <v>11031174.993007556</v>
      </c>
      <c r="Z125" s="160">
        <v>15752042.916002557</v>
      </c>
      <c r="AA125" s="160">
        <v>4737230.7439376265</v>
      </c>
      <c r="AB125" s="160">
        <v>4466959.8840488344</v>
      </c>
      <c r="AC125" s="160">
        <v>592252.52713949978</v>
      </c>
      <c r="AD125" s="160">
        <v>-1601705.7903245986</v>
      </c>
      <c r="AE125" s="160">
        <v>-12972746.467524365</v>
      </c>
      <c r="AF125" s="160">
        <v>-10842064.127942234</v>
      </c>
      <c r="AG125" s="160">
        <v>-14273638.244733185</v>
      </c>
    </row>
    <row r="126" spans="16:33" ht="15.75" customHeight="1">
      <c r="P126" s="159"/>
      <c r="Q126" s="159">
        <v>109</v>
      </c>
      <c r="R126" s="160">
        <v>-36671014.001180679</v>
      </c>
      <c r="S126" s="160">
        <v>-29624515.207705081</v>
      </c>
      <c r="T126" s="160">
        <v>-14969096.701432556</v>
      </c>
      <c r="U126" s="160">
        <v>-5290895.9173507392</v>
      </c>
      <c r="V126" s="160">
        <v>5357356.6117698252</v>
      </c>
      <c r="W126" s="161">
        <v>-901627.95454832911</v>
      </c>
      <c r="X126" s="160">
        <v>4452530.9903326333</v>
      </c>
      <c r="Y126" s="160">
        <v>15290490.562658921</v>
      </c>
      <c r="Z126" s="160">
        <v>10012409.48675707</v>
      </c>
      <c r="AA126" s="160">
        <v>7523556.4880587459</v>
      </c>
      <c r="AB126" s="160">
        <v>2850037.8979756236</v>
      </c>
      <c r="AC126" s="160">
        <v>6171605.5123811066</v>
      </c>
      <c r="AD126" s="160">
        <v>8595527.9227648228</v>
      </c>
      <c r="AE126" s="160">
        <v>-3574416.288853839</v>
      </c>
      <c r="AF126" s="160">
        <v>-14322279.405030385</v>
      </c>
      <c r="AG126" s="160">
        <v>-16911351.137995213</v>
      </c>
    </row>
    <row r="127" spans="16:33" ht="15.75" customHeight="1">
      <c r="P127" s="159"/>
      <c r="Q127" s="159">
        <v>110</v>
      </c>
      <c r="R127" s="160">
        <v>-33001194.181698427</v>
      </c>
      <c r="S127" s="160">
        <v>-17863175.332891628</v>
      </c>
      <c r="T127" s="160">
        <v>-23383882.325749546</v>
      </c>
      <c r="U127" s="160">
        <v>-12700202.671456411</v>
      </c>
      <c r="V127" s="160">
        <v>-5065292.528489545</v>
      </c>
      <c r="W127" s="161">
        <v>-792196.34068870544</v>
      </c>
      <c r="X127" s="160">
        <v>15349995.152218342</v>
      </c>
      <c r="Y127" s="160">
        <v>-4396937.6667166203</v>
      </c>
      <c r="Z127" s="160">
        <v>7691156.9674670994</v>
      </c>
      <c r="AA127" s="160">
        <v>232500.57697202265</v>
      </c>
      <c r="AB127" s="160">
        <v>-7401952.0816618055</v>
      </c>
      <c r="AC127" s="160">
        <v>10216164.26824668</v>
      </c>
      <c r="AD127" s="160">
        <v>-486632.25959417224</v>
      </c>
      <c r="AE127" s="160">
        <v>-6584866.9814861119</v>
      </c>
      <c r="AF127" s="160">
        <v>-8054085.7013412118</v>
      </c>
      <c r="AG127" s="160">
        <v>-17091789.362135276</v>
      </c>
    </row>
    <row r="128" spans="16:33" ht="15.75" customHeight="1">
      <c r="P128" s="159"/>
      <c r="Q128" s="159">
        <v>111</v>
      </c>
      <c r="R128" s="160">
        <v>-38997542.85882169</v>
      </c>
      <c r="S128" s="160">
        <v>-22472549.36142844</v>
      </c>
      <c r="T128" s="160">
        <v>-12002993.848120585</v>
      </c>
      <c r="U128" s="160">
        <v>-2468383.3308906406</v>
      </c>
      <c r="V128" s="160">
        <v>-6054028.662326172</v>
      </c>
      <c r="W128" s="161">
        <v>7436906.4568150342</v>
      </c>
      <c r="X128" s="160">
        <v>9171383.7520420402</v>
      </c>
      <c r="Y128" s="160">
        <v>11140199.87198104</v>
      </c>
      <c r="Z128" s="160">
        <v>8123036.5580747426</v>
      </c>
      <c r="AA128" s="160">
        <v>17434279.632039532</v>
      </c>
      <c r="AB128" s="160">
        <v>4094454.8021223843</v>
      </c>
      <c r="AC128" s="160">
        <v>11269816.74261114</v>
      </c>
      <c r="AD128" s="160">
        <v>8749127.447690025</v>
      </c>
      <c r="AE128" s="160">
        <v>-1172143.6397911608</v>
      </c>
      <c r="AF128" s="160">
        <v>-17415076.052710176</v>
      </c>
      <c r="AG128" s="160">
        <v>-24430911.898547724</v>
      </c>
    </row>
    <row r="129" spans="16:33" ht="15.75" customHeight="1">
      <c r="P129" s="159"/>
      <c r="Q129" s="159">
        <v>112</v>
      </c>
      <c r="R129" s="160">
        <v>-39649184.674999058</v>
      </c>
      <c r="S129" s="160">
        <v>-23350412.873756602</v>
      </c>
      <c r="T129" s="160">
        <v>-12633602.283015206</v>
      </c>
      <c r="U129" s="160">
        <v>-899745.8783673048</v>
      </c>
      <c r="V129" s="160">
        <v>4206102.5132698715</v>
      </c>
      <c r="W129" s="161">
        <v>22738053.743220881</v>
      </c>
      <c r="X129" s="160">
        <v>9460389.4152110219</v>
      </c>
      <c r="Y129" s="160">
        <v>893659.63606210053</v>
      </c>
      <c r="Z129" s="160">
        <v>6313914.249434486</v>
      </c>
      <c r="AA129" s="160">
        <v>17800933.908428639</v>
      </c>
      <c r="AB129" s="160">
        <v>7831328.7744398713</v>
      </c>
      <c r="AC129" s="160">
        <v>6410024.8457480967</v>
      </c>
      <c r="AD129" s="160">
        <v>-3018074.4802282751</v>
      </c>
      <c r="AE129" s="160">
        <v>-3685561.7440112531</v>
      </c>
      <c r="AF129" s="160">
        <v>-16360529.39430055</v>
      </c>
      <c r="AG129" s="160">
        <v>-15708949.78780207</v>
      </c>
    </row>
    <row r="130" spans="16:33" ht="15.75" customHeight="1">
      <c r="P130" s="159"/>
      <c r="Q130" s="159">
        <v>113</v>
      </c>
      <c r="R130" s="160">
        <v>-46085165.454297662</v>
      </c>
      <c r="S130" s="160">
        <v>-20571338.165649638</v>
      </c>
      <c r="T130" s="160">
        <v>-25311298.230748147</v>
      </c>
      <c r="U130" s="160">
        <v>906890.47075088322</v>
      </c>
      <c r="V130" s="160">
        <v>-5127738.1587443799</v>
      </c>
      <c r="W130" s="161">
        <v>12720770.20886831</v>
      </c>
      <c r="X130" s="160">
        <v>10442213.943039149</v>
      </c>
      <c r="Y130" s="160">
        <v>8592019.0345074981</v>
      </c>
      <c r="Z130" s="160">
        <v>7202330.2729203701</v>
      </c>
      <c r="AA130" s="160">
        <v>5409723.7779642791</v>
      </c>
      <c r="AB130" s="160">
        <v>14772514.522641093</v>
      </c>
      <c r="AC130" s="160">
        <v>3136861.1312220544</v>
      </c>
      <c r="AD130" s="160">
        <v>446803.87356063724</v>
      </c>
      <c r="AE130" s="160">
        <v>-2699989.1865378767</v>
      </c>
      <c r="AF130" s="160">
        <v>-13054924.788348511</v>
      </c>
      <c r="AG130" s="160">
        <v>-21700581.901542857</v>
      </c>
    </row>
    <row r="131" spans="16:33" ht="15.75" customHeight="1">
      <c r="P131" s="159"/>
      <c r="Q131" s="159">
        <v>114</v>
      </c>
      <c r="R131" s="160">
        <v>-35888875.294026256</v>
      </c>
      <c r="S131" s="160">
        <v>-30309726.51524356</v>
      </c>
      <c r="T131" s="160">
        <v>-13597817.434917927</v>
      </c>
      <c r="U131" s="160">
        <v>-4825204.6738871485</v>
      </c>
      <c r="V131" s="160">
        <v>-4079968.5664328039</v>
      </c>
      <c r="W131" s="161">
        <v>-841589.93232882023</v>
      </c>
      <c r="X131" s="160">
        <v>10474271.896783844</v>
      </c>
      <c r="Y131" s="160">
        <v>-988459.71726042032</v>
      </c>
      <c r="Z131" s="160">
        <v>15990020.098844975</v>
      </c>
      <c r="AA131" s="160">
        <v>12310052.760448933</v>
      </c>
      <c r="AB131" s="160">
        <v>12310366.823995411</v>
      </c>
      <c r="AC131" s="160">
        <v>85582.915926709771</v>
      </c>
      <c r="AD131" s="160">
        <v>5453084.5610598922</v>
      </c>
      <c r="AE131" s="160">
        <v>5259741.7575050145</v>
      </c>
      <c r="AF131" s="160">
        <v>-12677142.278429821</v>
      </c>
      <c r="AG131" s="160">
        <v>-19454089.533496946</v>
      </c>
    </row>
    <row r="132" spans="16:33" ht="15.75" customHeight="1">
      <c r="P132" s="159"/>
      <c r="Q132" s="159">
        <v>115</v>
      </c>
      <c r="R132" s="160">
        <v>-36058243.464652613</v>
      </c>
      <c r="S132" s="160">
        <v>-31027907.430731207</v>
      </c>
      <c r="T132" s="160">
        <v>-7438027.332359001</v>
      </c>
      <c r="U132" s="160">
        <v>-3486082.858659178</v>
      </c>
      <c r="V132" s="160">
        <v>3029804.1350811422</v>
      </c>
      <c r="W132" s="161">
        <v>-6626038.5554319918</v>
      </c>
      <c r="X132" s="160">
        <v>5579939.7306989878</v>
      </c>
      <c r="Y132" s="160">
        <v>10489872.123008311</v>
      </c>
      <c r="Z132" s="160">
        <v>20286755.835316896</v>
      </c>
      <c r="AA132" s="160">
        <v>16296014.575277969</v>
      </c>
      <c r="AB132" s="160">
        <v>13522988.337069884</v>
      </c>
      <c r="AC132" s="160">
        <v>15443772.860741615</v>
      </c>
      <c r="AD132" s="160">
        <v>4151220.7510103136</v>
      </c>
      <c r="AE132" s="160">
        <v>-4135091.509458974</v>
      </c>
      <c r="AF132" s="160">
        <v>-13610335.145516232</v>
      </c>
      <c r="AG132" s="160">
        <v>-20678689.371856809</v>
      </c>
    </row>
    <row r="133" spans="16:33" ht="15.75" customHeight="1">
      <c r="P133" s="159"/>
      <c r="Q133" s="159">
        <v>116</v>
      </c>
      <c r="R133" s="160">
        <v>-30192262.965462387</v>
      </c>
      <c r="S133" s="160">
        <v>-19281499.496547699</v>
      </c>
      <c r="T133" s="160">
        <v>-19522665.047929347</v>
      </c>
      <c r="U133" s="160">
        <v>-7422207.0821624994</v>
      </c>
      <c r="V133" s="160">
        <v>-4606724.6582159549</v>
      </c>
      <c r="W133" s="161">
        <v>7938247.6978959739</v>
      </c>
      <c r="X133" s="160">
        <v>13212958.519957706</v>
      </c>
      <c r="Y133" s="160">
        <v>7244303.627085492</v>
      </c>
      <c r="Z133" s="160">
        <v>7623795.7413563728</v>
      </c>
      <c r="AA133" s="160">
        <v>12878463.011020526</v>
      </c>
      <c r="AB133" s="160">
        <v>13439445.278753996</v>
      </c>
      <c r="AC133" s="160">
        <v>11875540.5897488</v>
      </c>
      <c r="AD133" s="160">
        <v>1492666.9150351137</v>
      </c>
      <c r="AE133" s="160">
        <v>-523532.26735280454</v>
      </c>
      <c r="AF133" s="160">
        <v>478714.01209887862</v>
      </c>
      <c r="AG133" s="160">
        <v>-16538789.744253814</v>
      </c>
    </row>
    <row r="134" spans="16:33" ht="15.75" customHeight="1">
      <c r="P134" s="159"/>
      <c r="Q134" s="159">
        <v>117</v>
      </c>
      <c r="R134" s="160">
        <v>-40120318.244779304</v>
      </c>
      <c r="S134" s="160">
        <v>-26730891.022006497</v>
      </c>
      <c r="T134" s="160">
        <v>-12400232.474346831</v>
      </c>
      <c r="U134" s="160">
        <v>-11353090.641062453</v>
      </c>
      <c r="V134" s="160">
        <v>-1548247.5830665827</v>
      </c>
      <c r="W134" s="161">
        <v>6734672.8852444589</v>
      </c>
      <c r="X134" s="160">
        <v>9314921.2320192605</v>
      </c>
      <c r="Y134" s="160">
        <v>-4998102.0235115886</v>
      </c>
      <c r="Z134" s="160">
        <v>11961789.293633625</v>
      </c>
      <c r="AA134" s="160">
        <v>6961080.290807575</v>
      </c>
      <c r="AB134" s="160">
        <v>8229015.5662474185</v>
      </c>
      <c r="AC134" s="160">
        <v>3182342.065943256</v>
      </c>
      <c r="AD134" s="160">
        <v>14273446.796756715</v>
      </c>
      <c r="AE134" s="160">
        <v>4152872.076920867</v>
      </c>
      <c r="AF134" s="160">
        <v>-9137709.3217073679</v>
      </c>
      <c r="AG134" s="160">
        <v>-20313767.639531136</v>
      </c>
    </row>
    <row r="135" spans="16:33" ht="15.75" customHeight="1">
      <c r="P135" s="159"/>
      <c r="Q135" s="159">
        <v>118</v>
      </c>
      <c r="R135" s="160">
        <v>-44861983.467295244</v>
      </c>
      <c r="S135" s="160">
        <v>-20412187.587569281</v>
      </c>
      <c r="T135" s="160">
        <v>-29156933.764619589</v>
      </c>
      <c r="U135" s="160">
        <v>-4266167.7737248689</v>
      </c>
      <c r="V135" s="160">
        <v>-10513493.376260698</v>
      </c>
      <c r="W135" s="161">
        <v>-3149041.1750038266</v>
      </c>
      <c r="X135" s="160">
        <v>10440265.210530519</v>
      </c>
      <c r="Y135" s="160">
        <v>10701027.33938843</v>
      </c>
      <c r="Z135" s="160">
        <v>10333412.435407922</v>
      </c>
      <c r="AA135" s="160">
        <v>12971577.806115896</v>
      </c>
      <c r="AB135" s="160">
        <v>4308222.8481424153</v>
      </c>
      <c r="AC135" s="160">
        <v>4501427.3549346179</v>
      </c>
      <c r="AD135" s="160">
        <v>4283178.3036195189</v>
      </c>
      <c r="AE135" s="160">
        <v>-7371473.9964500368</v>
      </c>
      <c r="AF135" s="160">
        <v>-8120596.9962637424</v>
      </c>
      <c r="AG135" s="160">
        <v>-19041086.206814095</v>
      </c>
    </row>
    <row r="136" spans="16:33" ht="15.75" customHeight="1">
      <c r="P136" s="159"/>
      <c r="Q136" s="159">
        <v>119</v>
      </c>
      <c r="R136" s="160">
        <v>-37154949.238332763</v>
      </c>
      <c r="S136" s="160">
        <v>-21275448.661152929</v>
      </c>
      <c r="T136" s="160">
        <v>-13131575.091324523</v>
      </c>
      <c r="U136" s="160">
        <v>-5096532.7182950974</v>
      </c>
      <c r="V136" s="160">
        <v>-3890373.8769652843</v>
      </c>
      <c r="W136" s="161">
        <v>1919249.5795243233</v>
      </c>
      <c r="X136" s="160">
        <v>5675981.6572906971</v>
      </c>
      <c r="Y136" s="160">
        <v>20497682.870314956</v>
      </c>
      <c r="Z136" s="160">
        <v>1751858.259041667</v>
      </c>
      <c r="AA136" s="160">
        <v>8355105.1351160407</v>
      </c>
      <c r="AB136" s="160">
        <v>5946589.1567020267</v>
      </c>
      <c r="AC136" s="160">
        <v>8586099.5679875314</v>
      </c>
      <c r="AD136" s="160">
        <v>6976614.5911022723</v>
      </c>
      <c r="AE136" s="160">
        <v>-22204658.996611387</v>
      </c>
      <c r="AF136" s="160">
        <v>-7847751.5352424979</v>
      </c>
      <c r="AG136" s="160">
        <v>-9924054.0742200762</v>
      </c>
    </row>
    <row r="137" spans="16:33" ht="15.75" customHeight="1">
      <c r="P137" s="159"/>
      <c r="Q137" s="159">
        <v>120</v>
      </c>
      <c r="R137" s="160">
        <v>-33552546.41904816</v>
      </c>
      <c r="S137" s="160">
        <v>-23074592.402480379</v>
      </c>
      <c r="T137" s="160">
        <v>-18536720.42193526</v>
      </c>
      <c r="U137" s="160">
        <v>-12321441.443812713</v>
      </c>
      <c r="V137" s="160">
        <v>-3450272.0333422869</v>
      </c>
      <c r="W137" s="161">
        <v>6687631.8710079193</v>
      </c>
      <c r="X137" s="160">
        <v>17610807.602503181</v>
      </c>
      <c r="Y137" s="160">
        <v>12768458.842781484</v>
      </c>
      <c r="Z137" s="160">
        <v>19442129.823092237</v>
      </c>
      <c r="AA137" s="160">
        <v>16193182.443338946</v>
      </c>
      <c r="AB137" s="160">
        <v>9832128.182641089</v>
      </c>
      <c r="AC137" s="160">
        <v>9637291.4724361598</v>
      </c>
      <c r="AD137" s="160">
        <v>956101.20293346047</v>
      </c>
      <c r="AE137" s="160">
        <v>2258726.1958252937</v>
      </c>
      <c r="AF137" s="160">
        <v>-14924437.908330768</v>
      </c>
      <c r="AG137" s="160">
        <v>-23147962.469949692</v>
      </c>
    </row>
    <row r="138" spans="16:33" ht="15.75" customHeight="1">
      <c r="P138" s="159"/>
      <c r="Q138" s="159">
        <v>121</v>
      </c>
      <c r="R138" s="160">
        <v>-36715544.660880893</v>
      </c>
      <c r="S138" s="160">
        <v>-28644245.682024911</v>
      </c>
      <c r="T138" s="160">
        <v>-15590420.866985753</v>
      </c>
      <c r="U138" s="160">
        <v>-9339977.0234355927</v>
      </c>
      <c r="V138" s="160">
        <v>7715321.2201489061</v>
      </c>
      <c r="W138" s="161">
        <v>6634718.4832261503</v>
      </c>
      <c r="X138" s="160">
        <v>-2084811.938780725</v>
      </c>
      <c r="Y138" s="160">
        <v>11306489.18895407</v>
      </c>
      <c r="Z138" s="160">
        <v>12350794.408792868</v>
      </c>
      <c r="AA138" s="160">
        <v>15967064.442576841</v>
      </c>
      <c r="AB138" s="160">
        <v>-11870647.156450391</v>
      </c>
      <c r="AC138" s="160">
        <v>22388031.642420888</v>
      </c>
      <c r="AD138" s="160">
        <v>2835703.8603919446</v>
      </c>
      <c r="AE138" s="160">
        <v>-10909812.848909006</v>
      </c>
      <c r="AF138" s="160">
        <v>-11170631.31965211</v>
      </c>
      <c r="AG138" s="160">
        <v>-19683311.301938087</v>
      </c>
    </row>
    <row r="139" spans="16:33" ht="15.75" customHeight="1">
      <c r="P139" s="159"/>
      <c r="Q139" s="159">
        <v>122</v>
      </c>
      <c r="R139" s="160">
        <v>-39475151.675034881</v>
      </c>
      <c r="S139" s="160">
        <v>-27130501.823163196</v>
      </c>
      <c r="T139" s="160">
        <v>-20382007.921163619</v>
      </c>
      <c r="U139" s="160">
        <v>-112009.34922021627</v>
      </c>
      <c r="V139" s="160">
        <v>1507578.7865804285</v>
      </c>
      <c r="W139" s="161">
        <v>5577370.3736991584</v>
      </c>
      <c r="X139" s="160">
        <v>10928831.004414499</v>
      </c>
      <c r="Y139" s="160">
        <v>6590468.957443431</v>
      </c>
      <c r="Z139" s="160">
        <v>7145362.6874558181</v>
      </c>
      <c r="AA139" s="160">
        <v>15834988.155583814</v>
      </c>
      <c r="AB139" s="160">
        <v>9799640.5795994401</v>
      </c>
      <c r="AC139" s="160">
        <v>5822136.4035067558</v>
      </c>
      <c r="AD139" s="160">
        <v>5930207.03113316</v>
      </c>
      <c r="AE139" s="160">
        <v>-2511162.5792670995</v>
      </c>
      <c r="AF139" s="160">
        <v>-14114496.98812525</v>
      </c>
      <c r="AG139" s="160">
        <v>-15629047.56547524</v>
      </c>
    </row>
    <row r="140" spans="16:33" ht="15.75" customHeight="1">
      <c r="P140" s="159"/>
      <c r="Q140" s="159">
        <v>123</v>
      </c>
      <c r="R140" s="160">
        <v>-31396027.966793671</v>
      </c>
      <c r="S140" s="160">
        <v>-25278835.788697168</v>
      </c>
      <c r="T140" s="160">
        <v>-17774856.717484698</v>
      </c>
      <c r="U140" s="160">
        <v>-6093014.7882959843</v>
      </c>
      <c r="V140" s="160">
        <v>-4047498.3907415867</v>
      </c>
      <c r="W140" s="161">
        <v>9989417.8449014872</v>
      </c>
      <c r="X140" s="160">
        <v>12677801.98121886</v>
      </c>
      <c r="Y140" s="160">
        <v>12525552.257343903</v>
      </c>
      <c r="Z140" s="160">
        <v>9335886.5991027057</v>
      </c>
      <c r="AA140" s="160">
        <v>15505965.187264472</v>
      </c>
      <c r="AB140" s="160">
        <v>14925169.305626541</v>
      </c>
      <c r="AC140" s="160">
        <v>5116444.5962241143</v>
      </c>
      <c r="AD140" s="160">
        <v>-312944.96252693236</v>
      </c>
      <c r="AE140" s="160">
        <v>-930449.50257487595</v>
      </c>
      <c r="AF140" s="160">
        <v>-18256083.32468766</v>
      </c>
      <c r="AG140" s="160">
        <v>-12794839.55630815</v>
      </c>
    </row>
    <row r="141" spans="16:33" ht="15.75" customHeight="1">
      <c r="P141" s="159"/>
      <c r="Q141" s="159">
        <v>124</v>
      </c>
      <c r="R141" s="160">
        <v>-36625099.009906217</v>
      </c>
      <c r="S141" s="160">
        <v>-18473384.687663376</v>
      </c>
      <c r="T141" s="160">
        <v>-18758760.81453006</v>
      </c>
      <c r="U141" s="160">
        <v>-10003221.801756427</v>
      </c>
      <c r="V141" s="160">
        <v>-7043438.4275355935</v>
      </c>
      <c r="W141" s="161">
        <v>5811014.2010644376</v>
      </c>
      <c r="X141" s="160">
        <v>10990219.126182765</v>
      </c>
      <c r="Y141" s="160">
        <v>13972620.953731805</v>
      </c>
      <c r="Z141" s="160">
        <v>9649776.7664271593</v>
      </c>
      <c r="AA141" s="160">
        <v>9271387.1374986321</v>
      </c>
      <c r="AB141" s="160">
        <v>16503657.365086421</v>
      </c>
      <c r="AC141" s="160">
        <v>2406611.7975292504</v>
      </c>
      <c r="AD141" s="160">
        <v>-210779.93166565895</v>
      </c>
      <c r="AE141" s="160">
        <v>-2330560.066261515</v>
      </c>
      <c r="AF141" s="160">
        <v>-2362886.8827507794</v>
      </c>
      <c r="AG141" s="160">
        <v>-12902652.988965452</v>
      </c>
    </row>
    <row r="142" spans="16:33" ht="15.75" customHeight="1">
      <c r="P142" s="159"/>
      <c r="Q142" s="159">
        <v>125</v>
      </c>
      <c r="R142" s="160">
        <v>-35110987.24381502</v>
      </c>
      <c r="S142" s="160">
        <v>-21403419.408197477</v>
      </c>
      <c r="T142" s="160">
        <v>-7875316.7717604339</v>
      </c>
      <c r="U142" s="160">
        <v>-11280994.48685205</v>
      </c>
      <c r="V142" s="160">
        <v>4316277.0623515099</v>
      </c>
      <c r="W142" s="161">
        <v>-4657156.3576936871</v>
      </c>
      <c r="X142" s="160">
        <v>7520989.7450078428</v>
      </c>
      <c r="Y142" s="160">
        <v>3532453.8497368097</v>
      </c>
      <c r="Z142" s="160">
        <v>19046636.906602606</v>
      </c>
      <c r="AA142" s="160">
        <v>10302317.737803832</v>
      </c>
      <c r="AB142" s="160">
        <v>8866599.2783170193</v>
      </c>
      <c r="AC142" s="160">
        <v>8090492.8262996227</v>
      </c>
      <c r="AD142" s="160">
        <v>-2204196.687037617</v>
      </c>
      <c r="AE142" s="160">
        <v>-5022719.9103710055</v>
      </c>
      <c r="AF142" s="160">
        <v>-6469829.2012189329</v>
      </c>
      <c r="AG142" s="160">
        <v>-17826157.034774989</v>
      </c>
    </row>
    <row r="143" spans="16:33" ht="15.75" customHeight="1">
      <c r="P143" s="159"/>
      <c r="Q143" s="159">
        <v>126</v>
      </c>
      <c r="R143" s="160">
        <v>-42840932.78607893</v>
      </c>
      <c r="S143" s="160">
        <v>-26769749.175306708</v>
      </c>
      <c r="T143" s="160">
        <v>-19835741.363193363</v>
      </c>
      <c r="U143" s="160">
        <v>-3509900.7696741521</v>
      </c>
      <c r="V143" s="160">
        <v>-2364918.2861405462</v>
      </c>
      <c r="W143" s="161">
        <v>3915773.1960125268</v>
      </c>
      <c r="X143" s="160">
        <v>2320511.5116544962</v>
      </c>
      <c r="Y143" s="160">
        <v>7608554.5784031451</v>
      </c>
      <c r="Z143" s="160">
        <v>15215785.690502137</v>
      </c>
      <c r="AA143" s="160">
        <v>16526310.056592941</v>
      </c>
      <c r="AB143" s="160">
        <v>15873307.261976868</v>
      </c>
      <c r="AC143" s="160">
        <v>9938808.8523603976</v>
      </c>
      <c r="AD143" s="160">
        <v>6987456.3105584234</v>
      </c>
      <c r="AE143" s="160">
        <v>-4721173.7532825768</v>
      </c>
      <c r="AF143" s="160">
        <v>-8257475.8853104115</v>
      </c>
      <c r="AG143" s="160">
        <v>-23659204.413089231</v>
      </c>
    </row>
    <row r="144" spans="16:33" ht="15.75" customHeight="1">
      <c r="P144" s="159"/>
      <c r="Q144" s="159">
        <v>127</v>
      </c>
      <c r="R144" s="160">
        <v>-31326962.609678552</v>
      </c>
      <c r="S144" s="160">
        <v>-28373460.65643473</v>
      </c>
      <c r="T144" s="160">
        <v>-18055732.290771037</v>
      </c>
      <c r="U144" s="160">
        <v>-14325915.260490969</v>
      </c>
      <c r="V144" s="160">
        <v>11299818.689749748</v>
      </c>
      <c r="W144" s="161">
        <v>-7583389.2034769952</v>
      </c>
      <c r="X144" s="160">
        <v>6164902.0952887386</v>
      </c>
      <c r="Y144" s="160">
        <v>7529807.668050617</v>
      </c>
      <c r="Z144" s="160">
        <v>12570512.50889802</v>
      </c>
      <c r="AA144" s="160">
        <v>5245716.459644556</v>
      </c>
      <c r="AB144" s="160">
        <v>17652173.557820603</v>
      </c>
      <c r="AC144" s="160">
        <v>7236834.5318263769</v>
      </c>
      <c r="AD144" s="160">
        <v>7848699.411645785</v>
      </c>
      <c r="AE144" s="160">
        <v>-1133489.9148388654</v>
      </c>
      <c r="AF144" s="160">
        <v>-11423979.083434224</v>
      </c>
      <c r="AG144" s="160">
        <v>-14439718.878936052</v>
      </c>
    </row>
    <row r="145" spans="16:33" ht="15.75" customHeight="1">
      <c r="P145" s="159"/>
      <c r="Q145" s="159">
        <v>128</v>
      </c>
      <c r="R145" s="160">
        <v>-37110774.915206969</v>
      </c>
      <c r="S145" s="160">
        <v>-30938618.106275052</v>
      </c>
      <c r="T145" s="160">
        <v>-15891031.5850721</v>
      </c>
      <c r="U145" s="160">
        <v>-5112058.8594557345</v>
      </c>
      <c r="V145" s="160">
        <v>2147751.7421041876</v>
      </c>
      <c r="W145" s="161">
        <v>11059461.893020034</v>
      </c>
      <c r="X145" s="160">
        <v>-1586118.0063243508</v>
      </c>
      <c r="Y145" s="160">
        <v>13200713.30745928</v>
      </c>
      <c r="Z145" s="160">
        <v>14534700.165095702</v>
      </c>
      <c r="AA145" s="160">
        <v>8370125.2691547871</v>
      </c>
      <c r="AB145" s="160">
        <v>6017461.3796196878</v>
      </c>
      <c r="AC145" s="160">
        <v>2356601.4287958443</v>
      </c>
      <c r="AD145" s="160">
        <v>9672802.7619834542</v>
      </c>
      <c r="AE145" s="160">
        <v>-7924899.6644457579</v>
      </c>
      <c r="AF145" s="160">
        <v>-14641446.889037117</v>
      </c>
      <c r="AG145" s="160">
        <v>-26444482.182970405</v>
      </c>
    </row>
    <row r="146" spans="16:33" ht="15.75" customHeight="1">
      <c r="P146" s="159"/>
      <c r="Q146" s="159">
        <v>129</v>
      </c>
      <c r="R146" s="160">
        <v>-36103032.167449713</v>
      </c>
      <c r="S146" s="160">
        <v>-27702426.919127464</v>
      </c>
      <c r="T146" s="160">
        <v>-14038011.233348116</v>
      </c>
      <c r="U146" s="160">
        <v>-12073276.725078061</v>
      </c>
      <c r="V146" s="160">
        <v>-3549159.9696169347</v>
      </c>
      <c r="W146" s="161">
        <v>-2375818.3509086967</v>
      </c>
      <c r="X146" s="160">
        <v>940315.99612095952</v>
      </c>
      <c r="Y146" s="160">
        <v>6621630.9184580892</v>
      </c>
      <c r="Z146" s="160">
        <v>11265681.467727363</v>
      </c>
      <c r="AA146" s="160">
        <v>11125447.407535747</v>
      </c>
      <c r="AB146" s="160">
        <v>13871291.85082972</v>
      </c>
      <c r="AC146" s="160">
        <v>11462373.778783023</v>
      </c>
      <c r="AD146" s="160">
        <v>-6953076.69638367</v>
      </c>
      <c r="AE146" s="160">
        <v>-1552860.7364287674</v>
      </c>
      <c r="AF146" s="160">
        <v>-11867584.419553995</v>
      </c>
      <c r="AG146" s="160">
        <v>-15691174.289698049</v>
      </c>
    </row>
    <row r="147" spans="16:33" ht="15.75" customHeight="1">
      <c r="P147" s="159"/>
      <c r="Q147" s="159">
        <v>130</v>
      </c>
      <c r="R147" s="160">
        <v>-40059534.496981174</v>
      </c>
      <c r="S147" s="160">
        <v>-26024787.000095397</v>
      </c>
      <c r="T147" s="160">
        <v>-12850243.538550034</v>
      </c>
      <c r="U147" s="160">
        <v>-11759529.952140287</v>
      </c>
      <c r="V147" s="160">
        <v>-3383548.1080682576</v>
      </c>
      <c r="W147" s="161">
        <v>1492480.335478276</v>
      </c>
      <c r="X147" s="160">
        <v>1715695.888409555</v>
      </c>
      <c r="Y147" s="160">
        <v>17863554.682558924</v>
      </c>
      <c r="Z147" s="160">
        <v>3774007.4238509983</v>
      </c>
      <c r="AA147" s="160">
        <v>16621767.365027294</v>
      </c>
      <c r="AB147" s="160">
        <v>11406300.601961344</v>
      </c>
      <c r="AC147" s="160">
        <v>845063.87889006734</v>
      </c>
      <c r="AD147" s="160">
        <v>3137667.4843476117</v>
      </c>
      <c r="AE147" s="160">
        <v>-6373734.3519993126</v>
      </c>
      <c r="AF147" s="160">
        <v>-15206159.778759837</v>
      </c>
      <c r="AG147" s="160">
        <v>-15040553.984807372</v>
      </c>
    </row>
    <row r="148" spans="16:33" ht="15.75" customHeight="1">
      <c r="P148" s="159"/>
      <c r="Q148" s="159">
        <v>131</v>
      </c>
      <c r="R148" s="160">
        <v>-36019395.619928628</v>
      </c>
      <c r="S148" s="160">
        <v>-35364056.181398541</v>
      </c>
      <c r="T148" s="160">
        <v>-18416715.02678436</v>
      </c>
      <c r="U148" s="160">
        <v>-9906497.9156442434</v>
      </c>
      <c r="V148" s="160">
        <v>-2059056.6378938556</v>
      </c>
      <c r="W148" s="161">
        <v>-1915659.2933391631</v>
      </c>
      <c r="X148" s="160">
        <v>7878117.6417560875</v>
      </c>
      <c r="Y148" s="160">
        <v>5899315.1260901988</v>
      </c>
      <c r="Z148" s="160">
        <v>13444512.675569177</v>
      </c>
      <c r="AA148" s="160">
        <v>22476188.681050792</v>
      </c>
      <c r="AB148" s="160">
        <v>5731451.4191021919</v>
      </c>
      <c r="AC148" s="160">
        <v>12507975.865941495</v>
      </c>
      <c r="AD148" s="160">
        <v>-6208927.407840237</v>
      </c>
      <c r="AE148" s="160">
        <v>4914447.3405134082</v>
      </c>
      <c r="AF148" s="160">
        <v>-9778049.6855940223</v>
      </c>
      <c r="AG148" s="160">
        <v>-17020222.591144219</v>
      </c>
    </row>
    <row r="149" spans="16:33" ht="15.75" customHeight="1">
      <c r="P149" s="159"/>
      <c r="Q149" s="159">
        <v>132</v>
      </c>
      <c r="R149" s="160">
        <v>-42175719.302260876</v>
      </c>
      <c r="S149" s="160">
        <v>-26279259.770115018</v>
      </c>
      <c r="T149" s="160">
        <v>-15319048.772925749</v>
      </c>
      <c r="U149" s="160">
        <v>-13131215.683261067</v>
      </c>
      <c r="V149" s="160">
        <v>-2361360.9623026848</v>
      </c>
      <c r="W149" s="161">
        <v>-8325387.1791028231</v>
      </c>
      <c r="X149" s="160">
        <v>9595363.0584987849</v>
      </c>
      <c r="Y149" s="160">
        <v>2077937.1060211807</v>
      </c>
      <c r="Z149" s="160">
        <v>7930674.080704689</v>
      </c>
      <c r="AA149" s="160">
        <v>17811636.900758713</v>
      </c>
      <c r="AB149" s="160">
        <v>23143247.027134493</v>
      </c>
      <c r="AC149" s="160">
        <v>17040914.308004916</v>
      </c>
      <c r="AD149" s="160">
        <v>-3642569.9992778897</v>
      </c>
      <c r="AE149" s="160">
        <v>-19002253.027274013</v>
      </c>
      <c r="AF149" s="160">
        <v>-15751725.101199672</v>
      </c>
      <c r="AG149" s="160">
        <v>-16429908.530570716</v>
      </c>
    </row>
    <row r="150" spans="16:33" ht="15.75" customHeight="1">
      <c r="P150" s="159"/>
      <c r="Q150" s="159">
        <v>133</v>
      </c>
      <c r="R150" s="160">
        <v>-34295224.595374614</v>
      </c>
      <c r="S150" s="160">
        <v>-24516429.005906105</v>
      </c>
      <c r="T150" s="160">
        <v>-8750816.1634802073</v>
      </c>
      <c r="U150" s="160">
        <v>-8281130.0707144737</v>
      </c>
      <c r="V150" s="160">
        <v>1550146.2933494896</v>
      </c>
      <c r="W150" s="161">
        <v>-931667.15940406919</v>
      </c>
      <c r="X150" s="160">
        <v>8491630.0524546802</v>
      </c>
      <c r="Y150" s="160">
        <v>12052997.575845897</v>
      </c>
      <c r="Z150" s="160">
        <v>8993629.4567640424</v>
      </c>
      <c r="AA150" s="160">
        <v>10635356.494789362</v>
      </c>
      <c r="AB150" s="160">
        <v>9739222.5541233867</v>
      </c>
      <c r="AC150" s="160">
        <v>10849068.953284591</v>
      </c>
      <c r="AD150" s="160">
        <v>2580756.9739385992</v>
      </c>
      <c r="AE150" s="160">
        <v>4958596.9792624265</v>
      </c>
      <c r="AF150" s="160">
        <v>-10010122.172581017</v>
      </c>
      <c r="AG150" s="160">
        <v>-23423586.597210079</v>
      </c>
    </row>
    <row r="151" spans="16:33" ht="15.75" customHeight="1">
      <c r="P151" s="159"/>
      <c r="Q151" s="159">
        <v>134</v>
      </c>
      <c r="R151" s="160">
        <v>-33879962.822633848</v>
      </c>
      <c r="S151" s="160">
        <v>-29556770.084485769</v>
      </c>
      <c r="T151" s="160">
        <v>-24004164.558743805</v>
      </c>
      <c r="U151" s="160">
        <v>-9012138.746632725</v>
      </c>
      <c r="V151" s="160">
        <v>-7526390.1422841251</v>
      </c>
      <c r="W151" s="161">
        <v>11034135.94610171</v>
      </c>
      <c r="X151" s="160">
        <v>2224006.8754875213</v>
      </c>
      <c r="Y151" s="160">
        <v>6942812.8392210901</v>
      </c>
      <c r="Z151" s="160">
        <v>7627336.4093286544</v>
      </c>
      <c r="AA151" s="160">
        <v>9871009.8630798161</v>
      </c>
      <c r="AB151" s="160">
        <v>7236999.1284204125</v>
      </c>
      <c r="AC151" s="160">
        <v>7470209.9638077021</v>
      </c>
      <c r="AD151" s="160">
        <v>5769213.4380473942</v>
      </c>
      <c r="AE151" s="160">
        <v>-2093329.0421824902</v>
      </c>
      <c r="AF151" s="160">
        <v>-9421136.166860804</v>
      </c>
      <c r="AG151" s="160">
        <v>-22538594.726459801</v>
      </c>
    </row>
    <row r="152" spans="16:33" ht="15.75" customHeight="1">
      <c r="P152" s="159"/>
      <c r="Q152" s="159">
        <v>135</v>
      </c>
      <c r="R152" s="160">
        <v>-33110277.810549319</v>
      </c>
      <c r="S152" s="160">
        <v>-14995756.865974084</v>
      </c>
      <c r="T152" s="160">
        <v>-16440759.036633089</v>
      </c>
      <c r="U152" s="160">
        <v>-5463953.4118665755</v>
      </c>
      <c r="V152" s="160">
        <v>-5506164.0290156901</v>
      </c>
      <c r="W152" s="161">
        <v>-2273298.2086319625</v>
      </c>
      <c r="X152" s="160">
        <v>7541612.7562479526</v>
      </c>
      <c r="Y152" s="160">
        <v>10569202.607844114</v>
      </c>
      <c r="Z152" s="160">
        <v>14773501.970711842</v>
      </c>
      <c r="AA152" s="160">
        <v>22949371.397194818</v>
      </c>
      <c r="AB152" s="160">
        <v>10780926.286533415</v>
      </c>
      <c r="AC152" s="160">
        <v>2862866.6372258216</v>
      </c>
      <c r="AD152" s="160">
        <v>-9285.0654980093241</v>
      </c>
      <c r="AE152" s="160">
        <v>-8497379.873163417</v>
      </c>
      <c r="AF152" s="160">
        <v>-12028685.642868266</v>
      </c>
      <c r="AG152" s="160">
        <v>-15896533.729910791</v>
      </c>
    </row>
    <row r="153" spans="16:33" ht="15.75" customHeight="1">
      <c r="P153" s="159"/>
      <c r="Q153" s="159">
        <v>136</v>
      </c>
      <c r="R153" s="160">
        <v>-33596286.839048624</v>
      </c>
      <c r="S153" s="160">
        <v>-26450395.538869932</v>
      </c>
      <c r="T153" s="160">
        <v>-22500615.717683941</v>
      </c>
      <c r="U153" s="160">
        <v>-5225466.2139104754</v>
      </c>
      <c r="V153" s="160">
        <v>-2289134.0677207857</v>
      </c>
      <c r="W153" s="161">
        <v>6193089.3399837315</v>
      </c>
      <c r="X153" s="160">
        <v>16713147.22224164</v>
      </c>
      <c r="Y153" s="160">
        <v>20580089.212493047</v>
      </c>
      <c r="Z153" s="160">
        <v>632569.99069294333</v>
      </c>
      <c r="AA153" s="160">
        <v>9279115.4446092546</v>
      </c>
      <c r="AB153" s="160">
        <v>2269770.0541561246</v>
      </c>
      <c r="AC153" s="160">
        <v>11852772.213368163</v>
      </c>
      <c r="AD153" s="160">
        <v>9541694.4333183616</v>
      </c>
      <c r="AE153" s="160">
        <v>-12348232.22719264</v>
      </c>
      <c r="AF153" s="160">
        <v>-8302167.9710915238</v>
      </c>
      <c r="AG153" s="160">
        <v>-12800331.172531039</v>
      </c>
    </row>
    <row r="154" spans="16:33" ht="15.75" customHeight="1">
      <c r="P154" s="159"/>
      <c r="Q154" s="159">
        <v>137</v>
      </c>
      <c r="R154" s="160">
        <v>-33496040.804828197</v>
      </c>
      <c r="S154" s="160">
        <v>-30283395.457014918</v>
      </c>
      <c r="T154" s="160">
        <v>-17089060.487629667</v>
      </c>
      <c r="U154" s="160">
        <v>-706116.60740201175</v>
      </c>
      <c r="V154" s="160">
        <v>1059690.0769455433</v>
      </c>
      <c r="W154" s="161">
        <v>9498779.224333033</v>
      </c>
      <c r="X154" s="160">
        <v>20053582.320413008</v>
      </c>
      <c r="Y154" s="160">
        <v>18014801.201593593</v>
      </c>
      <c r="Z154" s="160">
        <v>17186878.412686095</v>
      </c>
      <c r="AA154" s="160">
        <v>15997283.235684842</v>
      </c>
      <c r="AB154" s="160">
        <v>21539430.130908996</v>
      </c>
      <c r="AC154" s="160">
        <v>-401004.12042194605</v>
      </c>
      <c r="AD154" s="160">
        <v>1751112.0327860266</v>
      </c>
      <c r="AE154" s="160">
        <v>-12189022.986374453</v>
      </c>
      <c r="AF154" s="160">
        <v>-14632030.607049555</v>
      </c>
      <c r="AG154" s="160">
        <v>-16962453.122801766</v>
      </c>
    </row>
    <row r="155" spans="16:33" ht="15.75" customHeight="1">
      <c r="P155" s="159"/>
      <c r="Q155" s="159">
        <v>138</v>
      </c>
      <c r="R155" s="160">
        <v>-35311935.606326416</v>
      </c>
      <c r="S155" s="160">
        <v>-24599999.952252835</v>
      </c>
      <c r="T155" s="160">
        <v>-20825379.059747502</v>
      </c>
      <c r="U155" s="160">
        <v>-5412867.1624894738</v>
      </c>
      <c r="V155" s="160">
        <v>2555114.0096845925</v>
      </c>
      <c r="W155" s="161">
        <v>1895760.2965378314</v>
      </c>
      <c r="X155" s="160">
        <v>10089255.817548022</v>
      </c>
      <c r="Y155" s="160">
        <v>4106827.9210577011</v>
      </c>
      <c r="Z155" s="160">
        <v>18932077.513660803</v>
      </c>
      <c r="AA155" s="160">
        <v>15027880.961123422</v>
      </c>
      <c r="AB155" s="160">
        <v>3356741.602469027</v>
      </c>
      <c r="AC155" s="160">
        <v>9096326.5137473792</v>
      </c>
      <c r="AD155" s="160">
        <v>5381066.3176923692</v>
      </c>
      <c r="AE155" s="160">
        <v>-11141765.027750179</v>
      </c>
      <c r="AF155" s="160">
        <v>-8352820.9760017693</v>
      </c>
      <c r="AG155" s="160">
        <v>-15990310.285115004</v>
      </c>
    </row>
    <row r="156" spans="16:33" ht="15.75" customHeight="1">
      <c r="P156" s="159"/>
      <c r="Q156" s="159">
        <v>139</v>
      </c>
      <c r="R156" s="160">
        <v>-33317982.407163501</v>
      </c>
      <c r="S156" s="160">
        <v>-19563782.635667056</v>
      </c>
      <c r="T156" s="160">
        <v>-16545924.399373844</v>
      </c>
      <c r="U156" s="160">
        <v>-5269362.0592244267</v>
      </c>
      <c r="V156" s="160">
        <v>1456508.5796028823</v>
      </c>
      <c r="W156" s="161">
        <v>14387371.726375133</v>
      </c>
      <c r="X156" s="160">
        <v>3938516.5778995305</v>
      </c>
      <c r="Y156" s="160">
        <v>12168058.063914582</v>
      </c>
      <c r="Z156" s="160">
        <v>20236568.078952357</v>
      </c>
      <c r="AA156" s="160">
        <v>2004411.6046560556</v>
      </c>
      <c r="AB156" s="160">
        <v>6864528.7706855536</v>
      </c>
      <c r="AC156" s="160">
        <v>4987301.6591112614</v>
      </c>
      <c r="AD156" s="160">
        <v>482127.99084416032</v>
      </c>
      <c r="AE156" s="160">
        <v>-850610.15086172521</v>
      </c>
      <c r="AF156" s="160">
        <v>-10937540.265558451</v>
      </c>
      <c r="AG156" s="160">
        <v>-21659736.394887894</v>
      </c>
    </row>
    <row r="157" spans="16:33" ht="15.75" customHeight="1">
      <c r="P157" s="159"/>
      <c r="Q157" s="159">
        <v>140</v>
      </c>
      <c r="R157" s="160">
        <v>-32342532.201438099</v>
      </c>
      <c r="S157" s="160">
        <v>-25224797.032252759</v>
      </c>
      <c r="T157" s="160">
        <v>-10684860.539233014</v>
      </c>
      <c r="U157" s="160">
        <v>-11351504.401601851</v>
      </c>
      <c r="V157" s="160">
        <v>-2005885.8780080974</v>
      </c>
      <c r="W157" s="161">
        <v>14297605.697286397</v>
      </c>
      <c r="X157" s="160">
        <v>5361819.1151322424</v>
      </c>
      <c r="Y157" s="160">
        <v>7500138.2609262615</v>
      </c>
      <c r="Z157" s="160">
        <v>1999280.7636661828</v>
      </c>
      <c r="AA157" s="160">
        <v>15579316.232339442</v>
      </c>
      <c r="AB157" s="160">
        <v>18171265.064637214</v>
      </c>
      <c r="AC157" s="160">
        <v>7452592.5777796954</v>
      </c>
      <c r="AD157" s="160">
        <v>2543313.3570700288</v>
      </c>
      <c r="AE157" s="160">
        <v>702113.58472277224</v>
      </c>
      <c r="AF157" s="160">
        <v>-8719879.6931473315</v>
      </c>
      <c r="AG157" s="160">
        <v>-28295466.839869961</v>
      </c>
    </row>
    <row r="158" spans="16:33" ht="15.75" customHeight="1">
      <c r="P158" s="159"/>
      <c r="Q158" s="159">
        <v>141</v>
      </c>
      <c r="R158" s="160">
        <v>-34478185.616560236</v>
      </c>
      <c r="S158" s="160">
        <v>-23246738.408958316</v>
      </c>
      <c r="T158" s="160">
        <v>-18286278.428450301</v>
      </c>
      <c r="U158" s="160">
        <v>-6893649.3133858293</v>
      </c>
      <c r="V158" s="160">
        <v>-7569738.4600031078</v>
      </c>
      <c r="W158" s="161">
        <v>8685542.8502897322</v>
      </c>
      <c r="X158" s="160">
        <v>1772393.9498375207</v>
      </c>
      <c r="Y158" s="160">
        <v>15161934.794383824</v>
      </c>
      <c r="Z158" s="160">
        <v>20921040.10954307</v>
      </c>
      <c r="AA158" s="160">
        <v>9473043.7226388603</v>
      </c>
      <c r="AB158" s="160">
        <v>16270547.203773081</v>
      </c>
      <c r="AC158" s="160">
        <v>7080641.9576553255</v>
      </c>
      <c r="AD158" s="160">
        <v>2786883.5670266002</v>
      </c>
      <c r="AE158" s="160">
        <v>-5808953.2584945858</v>
      </c>
      <c r="AF158" s="160">
        <v>-7908593.4213441312</v>
      </c>
      <c r="AG158" s="160">
        <v>-18329300.458371103</v>
      </c>
    </row>
    <row r="159" spans="16:33" ht="15.75" customHeight="1">
      <c r="P159" s="159"/>
      <c r="Q159" s="159">
        <v>142</v>
      </c>
      <c r="R159" s="160">
        <v>-32165741.029459924</v>
      </c>
      <c r="S159" s="160">
        <v>-21251811.943290904</v>
      </c>
      <c r="T159" s="160">
        <v>-22745399.235001653</v>
      </c>
      <c r="U159" s="160">
        <v>-16306330.049134687</v>
      </c>
      <c r="V159" s="160">
        <v>7679823.1468151212</v>
      </c>
      <c r="W159" s="161">
        <v>13566095.680461928</v>
      </c>
      <c r="X159" s="160">
        <v>4807595.7293527424</v>
      </c>
      <c r="Y159" s="160">
        <v>11062646.28356947</v>
      </c>
      <c r="Z159" s="160">
        <v>11961203.60293214</v>
      </c>
      <c r="AA159" s="160">
        <v>11579203.848257452</v>
      </c>
      <c r="AB159" s="160">
        <v>11796513.814758644</v>
      </c>
      <c r="AC159" s="160">
        <v>3592341.5817146599</v>
      </c>
      <c r="AD159" s="160">
        <v>-3709629.5652241111</v>
      </c>
      <c r="AE159" s="160">
        <v>1747816.0509015024</v>
      </c>
      <c r="AF159" s="160">
        <v>-9275288.4201613516</v>
      </c>
      <c r="AG159" s="160">
        <v>-24065276.565802366</v>
      </c>
    </row>
    <row r="160" spans="16:33" ht="15.75" customHeight="1">
      <c r="P160" s="159"/>
      <c r="Q160" s="159">
        <v>143</v>
      </c>
      <c r="R160" s="160">
        <v>-33157452.722545475</v>
      </c>
      <c r="S160" s="160">
        <v>-27138211.918802306</v>
      </c>
      <c r="T160" s="160">
        <v>-14363385.758829877</v>
      </c>
      <c r="U160" s="160">
        <v>-1069472.9745950401</v>
      </c>
      <c r="V160" s="160">
        <v>-1464577.3214574605</v>
      </c>
      <c r="W160" s="161">
        <v>357977.20392051339</v>
      </c>
      <c r="X160" s="160">
        <v>1294956.4601964206</v>
      </c>
      <c r="Y160" s="160">
        <v>3872409.0137310177</v>
      </c>
      <c r="Z160" s="160">
        <v>2242503.7025036961</v>
      </c>
      <c r="AA160" s="160">
        <v>-2310817.5750127286</v>
      </c>
      <c r="AB160" s="160">
        <v>2132545.6078402996</v>
      </c>
      <c r="AC160" s="160">
        <v>1686492.5324515402</v>
      </c>
      <c r="AD160" s="160">
        <v>3336373.857701391</v>
      </c>
      <c r="AE160" s="160">
        <v>-6233010.5978072882</v>
      </c>
      <c r="AF160" s="160">
        <v>-11488788.47391589</v>
      </c>
      <c r="AG160" s="160">
        <v>-10135541.690765768</v>
      </c>
    </row>
    <row r="161" spans="16:33" ht="15.75" customHeight="1">
      <c r="P161" s="159"/>
      <c r="Q161" s="159">
        <v>144</v>
      </c>
      <c r="R161" s="160">
        <v>-38394793.094346106</v>
      </c>
      <c r="S161" s="160">
        <v>-36631672.7584185</v>
      </c>
      <c r="T161" s="160">
        <v>-5399750.4857294708</v>
      </c>
      <c r="U161" s="160">
        <v>-3693986.8603344262</v>
      </c>
      <c r="V161" s="160">
        <v>-6373272.5752127469</v>
      </c>
      <c r="W161" s="161">
        <v>1671378.3503330052</v>
      </c>
      <c r="X161" s="160">
        <v>10051457.535908654</v>
      </c>
      <c r="Y161" s="160">
        <v>13744499.692466691</v>
      </c>
      <c r="Z161" s="160">
        <v>17455147.197300285</v>
      </c>
      <c r="AA161" s="160">
        <v>11679767.761911303</v>
      </c>
      <c r="AB161" s="160">
        <v>10805245.455400512</v>
      </c>
      <c r="AC161" s="160">
        <v>9011029.7084336877</v>
      </c>
      <c r="AD161" s="160">
        <v>2719740.5779213607</v>
      </c>
      <c r="AE161" s="160">
        <v>-3652805.5528398603</v>
      </c>
      <c r="AF161" s="160">
        <v>-9256792.6010550112</v>
      </c>
      <c r="AG161" s="160">
        <v>-16523752.030096814</v>
      </c>
    </row>
    <row r="162" spans="16:33" ht="15.75" customHeight="1">
      <c r="P162" s="159"/>
      <c r="Q162" s="159">
        <v>145</v>
      </c>
      <c r="R162" s="160">
        <v>-35200453.699874878</v>
      </c>
      <c r="S162" s="160">
        <v>-27075085.236034647</v>
      </c>
      <c r="T162" s="160">
        <v>-22304009.440153703</v>
      </c>
      <c r="U162" s="160">
        <v>-6458462.5905684084</v>
      </c>
      <c r="V162" s="160">
        <v>1783505.3552244008</v>
      </c>
      <c r="W162" s="161">
        <v>-9759973.0201598406</v>
      </c>
      <c r="X162" s="160">
        <v>-7023418.0235679895</v>
      </c>
      <c r="Y162" s="160">
        <v>9672647.3704286218</v>
      </c>
      <c r="Z162" s="160">
        <v>15821893.24750796</v>
      </c>
      <c r="AA162" s="160">
        <v>3535511.8771030456</v>
      </c>
      <c r="AB162" s="160">
        <v>13074871.540507644</v>
      </c>
      <c r="AC162" s="160">
        <v>7496177.5982237756</v>
      </c>
      <c r="AD162" s="160">
        <v>9983910.712717697</v>
      </c>
      <c r="AE162" s="160">
        <v>-5964314.6894317269</v>
      </c>
      <c r="AF162" s="160">
        <v>-7037352.2468903512</v>
      </c>
      <c r="AG162" s="160">
        <v>-23131019.90987879</v>
      </c>
    </row>
    <row r="163" spans="16:33" ht="15.75" customHeight="1">
      <c r="P163" s="159"/>
      <c r="Q163" s="159">
        <v>146</v>
      </c>
      <c r="R163" s="160">
        <v>-39520918.51371488</v>
      </c>
      <c r="S163" s="160">
        <v>-26776117.772212952</v>
      </c>
      <c r="T163" s="160">
        <v>-15424661.492404163</v>
      </c>
      <c r="U163" s="160">
        <v>-2661815.0432082713</v>
      </c>
      <c r="V163" s="160">
        <v>-2267525.4834827036</v>
      </c>
      <c r="W163" s="161">
        <v>5428161.5731151104</v>
      </c>
      <c r="X163" s="160">
        <v>103904.4713113904</v>
      </c>
      <c r="Y163" s="160">
        <v>17707962.673770964</v>
      </c>
      <c r="Z163" s="160">
        <v>15290473.246082768</v>
      </c>
      <c r="AA163" s="160">
        <v>20305395.65675655</v>
      </c>
      <c r="AB163" s="160">
        <v>18896591.297662824</v>
      </c>
      <c r="AC163" s="160">
        <v>-1404562.4026303738</v>
      </c>
      <c r="AD163" s="160">
        <v>5173223.0149333626</v>
      </c>
      <c r="AE163" s="160">
        <v>-6201424.8945760578</v>
      </c>
      <c r="AF163" s="160">
        <v>-9406178.3774293065</v>
      </c>
      <c r="AG163" s="160">
        <v>-9728672.6108908802</v>
      </c>
    </row>
    <row r="164" spans="16:33" ht="15.75" customHeight="1">
      <c r="P164" s="159"/>
      <c r="Q164" s="159">
        <v>147</v>
      </c>
      <c r="R164" s="160">
        <v>-38289737.79980576</v>
      </c>
      <c r="S164" s="160">
        <v>-27101634.297783747</v>
      </c>
      <c r="T164" s="160">
        <v>-19657805.047010645</v>
      </c>
      <c r="U164" s="160">
        <v>-2831241.3752230704</v>
      </c>
      <c r="V164" s="160">
        <v>-4135228.832715556</v>
      </c>
      <c r="W164" s="161">
        <v>4960043.0831620395</v>
      </c>
      <c r="X164" s="160">
        <v>-6428361.5644034445</v>
      </c>
      <c r="Y164" s="160">
        <v>-1218828.4227976948</v>
      </c>
      <c r="Z164" s="160">
        <v>14558657.982783958</v>
      </c>
      <c r="AA164" s="160">
        <v>14769774.511892647</v>
      </c>
      <c r="AB164" s="160">
        <v>4695722.8959252983</v>
      </c>
      <c r="AC164" s="160">
        <v>7318101.3016415536</v>
      </c>
      <c r="AD164" s="160">
        <v>2105907.0387699604</v>
      </c>
      <c r="AE164" s="160">
        <v>-2353559.7319452465</v>
      </c>
      <c r="AF164" s="160">
        <v>-17595055.731839821</v>
      </c>
      <c r="AG164" s="160">
        <v>-19313506.28334038</v>
      </c>
    </row>
    <row r="165" spans="16:33" ht="15.75" customHeight="1">
      <c r="P165" s="159"/>
      <c r="Q165" s="159">
        <v>148</v>
      </c>
      <c r="R165" s="160">
        <v>-35265541.20163174</v>
      </c>
      <c r="S165" s="160">
        <v>-22152172.55233632</v>
      </c>
      <c r="T165" s="160">
        <v>-14268272.849028066</v>
      </c>
      <c r="U165" s="160">
        <v>-7274257.7968891561</v>
      </c>
      <c r="V165" s="160">
        <v>-2702648.2426260859</v>
      </c>
      <c r="W165" s="161">
        <v>3909437.5980705917</v>
      </c>
      <c r="X165" s="160">
        <v>16116565.121358767</v>
      </c>
      <c r="Y165" s="160">
        <v>10758782.668660298</v>
      </c>
      <c r="Z165" s="160">
        <v>666375.28934569657</v>
      </c>
      <c r="AA165" s="160">
        <v>2469009.6513184905</v>
      </c>
      <c r="AB165" s="160">
        <v>6325902.3943412304</v>
      </c>
      <c r="AC165" s="160">
        <v>15138597.471730977</v>
      </c>
      <c r="AD165" s="160">
        <v>-7303651.0294922441</v>
      </c>
      <c r="AE165" s="160">
        <v>-2719733.0469137281</v>
      </c>
      <c r="AF165" s="160">
        <v>-18974744.996741131</v>
      </c>
      <c r="AG165" s="160">
        <v>-19547132.474676937</v>
      </c>
    </row>
    <row r="166" spans="16:33" ht="15.75" customHeight="1">
      <c r="P166" s="159"/>
      <c r="Q166" s="159">
        <v>149</v>
      </c>
      <c r="R166" s="160">
        <v>-35040053.358540863</v>
      </c>
      <c r="S166" s="160">
        <v>-25224609.547300041</v>
      </c>
      <c r="T166" s="160">
        <v>-24748656.060370281</v>
      </c>
      <c r="U166" s="160">
        <v>-12565108.587818757</v>
      </c>
      <c r="V166" s="160">
        <v>5476435.8629040867</v>
      </c>
      <c r="W166" s="161">
        <v>7039243.440632835</v>
      </c>
      <c r="X166" s="160">
        <v>3244222.7994077802</v>
      </c>
      <c r="Y166" s="160">
        <v>7936739.6452176124</v>
      </c>
      <c r="Z166" s="160">
        <v>8850682.7119764686</v>
      </c>
      <c r="AA166" s="160">
        <v>12971345.98844406</v>
      </c>
      <c r="AB166" s="160">
        <v>5808573.5482015163</v>
      </c>
      <c r="AC166" s="160">
        <v>13296960.120532513</v>
      </c>
      <c r="AD166" s="160">
        <v>2956905.2727063596</v>
      </c>
      <c r="AE166" s="160">
        <v>-12039613.432435974</v>
      </c>
      <c r="AF166" s="160">
        <v>643767.90441137552</v>
      </c>
      <c r="AG166" s="160">
        <v>-18169567.060937569</v>
      </c>
    </row>
    <row r="167" spans="16:33" ht="15.75" customHeight="1">
      <c r="P167" s="159"/>
      <c r="Q167" s="159">
        <v>150</v>
      </c>
      <c r="R167" s="160">
        <v>-36583384.907682657</v>
      </c>
      <c r="S167" s="160">
        <v>-22240952.954540983</v>
      </c>
      <c r="T167" s="160">
        <v>-22444274.771580219</v>
      </c>
      <c r="U167" s="160">
        <v>-10887584.994374946</v>
      </c>
      <c r="V167" s="160">
        <v>8432884.4614827484</v>
      </c>
      <c r="W167" s="161">
        <v>2076896.7194025517</v>
      </c>
      <c r="X167" s="160">
        <v>3381822.7414518893</v>
      </c>
      <c r="Y167" s="160">
        <v>17306434.02177228</v>
      </c>
      <c r="Z167" s="160">
        <v>24167867.004879802</v>
      </c>
      <c r="AA167" s="160">
        <v>11874658.644425601</v>
      </c>
      <c r="AB167" s="160">
        <v>7851424.7805602401</v>
      </c>
      <c r="AC167" s="160">
        <v>12224196.611073107</v>
      </c>
      <c r="AD167" s="160">
        <v>-10601734.201688588</v>
      </c>
      <c r="AE167" s="160">
        <v>-3963467.8797122091</v>
      </c>
      <c r="AF167" s="160">
        <v>-10783002.550189778</v>
      </c>
      <c r="AG167" s="160">
        <v>-13601927.543273777</v>
      </c>
    </row>
    <row r="168" spans="16:33" ht="15.75" customHeight="1">
      <c r="P168" s="159"/>
      <c r="Q168" s="159">
        <v>151</v>
      </c>
      <c r="R168" s="160">
        <v>-37301050.530703157</v>
      </c>
      <c r="S168" s="160">
        <v>-30445438.274131969</v>
      </c>
      <c r="T168" s="160">
        <v>-14211750.673499167</v>
      </c>
      <c r="U168" s="160">
        <v>-10058153.017582819</v>
      </c>
      <c r="V168" s="160">
        <v>3483684.7339989245</v>
      </c>
      <c r="W168" s="161">
        <v>5815884.713844344</v>
      </c>
      <c r="X168" s="160">
        <v>16091797.067683309</v>
      </c>
      <c r="Y168" s="160">
        <v>3249870.7415602803</v>
      </c>
      <c r="Z168" s="160">
        <v>10565558.828647226</v>
      </c>
      <c r="AA168" s="160">
        <v>-297945.4018689096</v>
      </c>
      <c r="AB168" s="160">
        <v>714138.42841559649</v>
      </c>
      <c r="AC168" s="160">
        <v>11541536.838441163</v>
      </c>
      <c r="AD168" s="160">
        <v>-1993962.1150631309</v>
      </c>
      <c r="AE168" s="160">
        <v>-9779936.9371982068</v>
      </c>
      <c r="AF168" s="160">
        <v>-13858877.706100166</v>
      </c>
      <c r="AG168" s="160">
        <v>-29542233.795919552</v>
      </c>
    </row>
    <row r="169" spans="16:33" ht="15.75" customHeight="1">
      <c r="P169" s="159"/>
      <c r="Q169" s="159">
        <v>152</v>
      </c>
      <c r="R169" s="160">
        <v>-39085252.783601418</v>
      </c>
      <c r="S169" s="160">
        <v>-26568249.722148001</v>
      </c>
      <c r="T169" s="160">
        <v>-7931036.4089130014</v>
      </c>
      <c r="U169" s="160">
        <v>-2590740.6841641068</v>
      </c>
      <c r="V169" s="160">
        <v>-1614552.770740822</v>
      </c>
      <c r="W169" s="161">
        <v>-4395189.6032224</v>
      </c>
      <c r="X169" s="160">
        <v>13113673.473551899</v>
      </c>
      <c r="Y169" s="160">
        <v>7926851.6705535501</v>
      </c>
      <c r="Z169" s="160">
        <v>10018310.770928502</v>
      </c>
      <c r="AA169" s="160">
        <v>16059893.679803967</v>
      </c>
      <c r="AB169" s="160">
        <v>13442315.866099209</v>
      </c>
      <c r="AC169" s="160">
        <v>4873978.2085919976</v>
      </c>
      <c r="AD169" s="160">
        <v>4723991.1418351382</v>
      </c>
      <c r="AE169" s="160">
        <v>-676402.28246091306</v>
      </c>
      <c r="AF169" s="160">
        <v>-20163428.713208646</v>
      </c>
      <c r="AG169" s="160">
        <v>-18793967.24252069</v>
      </c>
    </row>
    <row r="170" spans="16:33" ht="15.75" customHeight="1">
      <c r="P170" s="159"/>
      <c r="Q170" s="159">
        <v>153</v>
      </c>
      <c r="R170" s="160">
        <v>-34228936.413058028</v>
      </c>
      <c r="S170" s="160">
        <v>-25551316.23363255</v>
      </c>
      <c r="T170" s="160">
        <v>-18418986.850217223</v>
      </c>
      <c r="U170" s="160">
        <v>-11649682.113768101</v>
      </c>
      <c r="V170" s="160">
        <v>656154.24906009436</v>
      </c>
      <c r="W170" s="161">
        <v>1459416.2104102969</v>
      </c>
      <c r="X170" s="160">
        <v>5131667.7988957614</v>
      </c>
      <c r="Y170" s="160">
        <v>7611661.6989300996</v>
      </c>
      <c r="Z170" s="160">
        <v>7096267.7132818103</v>
      </c>
      <c r="AA170" s="160">
        <v>3283702.162165463</v>
      </c>
      <c r="AB170" s="160">
        <v>7833765.949381873</v>
      </c>
      <c r="AC170" s="160">
        <v>265716.25727018714</v>
      </c>
      <c r="AD170" s="160">
        <v>-3879795.6586176455</v>
      </c>
      <c r="AE170" s="160">
        <v>-9222482.1498480737</v>
      </c>
      <c r="AF170" s="160">
        <v>-10421435.224645853</v>
      </c>
      <c r="AG170" s="160">
        <v>-11001597.236924171</v>
      </c>
    </row>
    <row r="171" spans="16:33" ht="15.75" customHeight="1">
      <c r="P171" s="159"/>
      <c r="Q171" s="159">
        <v>154</v>
      </c>
      <c r="R171" s="160">
        <v>-35360477.339579344</v>
      </c>
      <c r="S171" s="160">
        <v>-22916178.140899017</v>
      </c>
      <c r="T171" s="160">
        <v>-23600576.841707125</v>
      </c>
      <c r="U171" s="160">
        <v>-3334448.1638717353</v>
      </c>
      <c r="V171" s="160">
        <v>43122.313631266356</v>
      </c>
      <c r="W171" s="161">
        <v>-5175629.8324319869</v>
      </c>
      <c r="X171" s="160">
        <v>6716357.4371722043</v>
      </c>
      <c r="Y171" s="160">
        <v>7411611.3134678751</v>
      </c>
      <c r="Z171" s="160">
        <v>1225819.6669456363</v>
      </c>
      <c r="AA171" s="160">
        <v>11853987.844113097</v>
      </c>
      <c r="AB171" s="160">
        <v>12477686.610592335</v>
      </c>
      <c r="AC171" s="160">
        <v>1190088.2385891229</v>
      </c>
      <c r="AD171" s="160">
        <v>-10564471.333980113</v>
      </c>
      <c r="AE171" s="160">
        <v>-2027045.8441751003</v>
      </c>
      <c r="AF171" s="160">
        <v>-15654948.715683609</v>
      </c>
      <c r="AG171" s="160">
        <v>-16990672.006329596</v>
      </c>
    </row>
    <row r="172" spans="16:33" ht="15.75" customHeight="1">
      <c r="P172" s="159"/>
      <c r="Q172" s="159">
        <v>155</v>
      </c>
      <c r="R172" s="160">
        <v>-35753075.638772801</v>
      </c>
      <c r="S172" s="160">
        <v>-25201524.084562406</v>
      </c>
      <c r="T172" s="160">
        <v>-12590281.032587484</v>
      </c>
      <c r="U172" s="160">
        <v>-11083267.820496634</v>
      </c>
      <c r="V172" s="160">
        <v>2951820.931402728</v>
      </c>
      <c r="W172" s="161">
        <v>591891.17424421012</v>
      </c>
      <c r="X172" s="160">
        <v>326591.63918849826</v>
      </c>
      <c r="Y172" s="160">
        <v>13045500.13178052</v>
      </c>
      <c r="Z172" s="160">
        <v>20997737.089426339</v>
      </c>
      <c r="AA172" s="160">
        <v>22426986.829900101</v>
      </c>
      <c r="AB172" s="160">
        <v>11164433.408527181</v>
      </c>
      <c r="AC172" s="160">
        <v>11697086.650130495</v>
      </c>
      <c r="AD172" s="160">
        <v>1026552.4470666498</v>
      </c>
      <c r="AE172" s="160">
        <v>-4511800.6071030647</v>
      </c>
      <c r="AF172" s="160">
        <v>-8934464.1466529667</v>
      </c>
      <c r="AG172" s="160">
        <v>-18449269.395586252</v>
      </c>
    </row>
    <row r="173" spans="16:33" ht="15.75" customHeight="1">
      <c r="P173" s="159"/>
      <c r="Q173" s="159">
        <v>156</v>
      </c>
      <c r="R173" s="160">
        <v>-35630073.427228436</v>
      </c>
      <c r="S173" s="160">
        <v>-20272132.857218578</v>
      </c>
      <c r="T173" s="160">
        <v>-17573661.291915834</v>
      </c>
      <c r="U173" s="160">
        <v>-10629751.90978153</v>
      </c>
      <c r="V173" s="160">
        <v>-15050376.977949411</v>
      </c>
      <c r="W173" s="161">
        <v>-4119538.6537487954</v>
      </c>
      <c r="X173" s="160">
        <v>10668636.632280365</v>
      </c>
      <c r="Y173" s="160">
        <v>12347794.417042464</v>
      </c>
      <c r="Z173" s="160">
        <v>-3021295.7124380916</v>
      </c>
      <c r="AA173" s="160">
        <v>11340734.911368534</v>
      </c>
      <c r="AB173" s="160">
        <v>10033320.850599825</v>
      </c>
      <c r="AC173" s="160">
        <v>6103713.1563385278</v>
      </c>
      <c r="AD173" s="160">
        <v>4030012.0309327543</v>
      </c>
      <c r="AE173" s="160">
        <v>5324915.2375780195</v>
      </c>
      <c r="AF173" s="160">
        <v>-4745449.2576519996</v>
      </c>
      <c r="AG173" s="160">
        <v>-17241408.364340201</v>
      </c>
    </row>
    <row r="174" spans="16:33" ht="15.75" customHeight="1">
      <c r="P174" s="159"/>
      <c r="Q174" s="159">
        <v>157</v>
      </c>
      <c r="R174" s="160">
        <v>-40446337.869936258</v>
      </c>
      <c r="S174" s="160">
        <v>-15702641.497971281</v>
      </c>
      <c r="T174" s="160">
        <v>-12515038.602305189</v>
      </c>
      <c r="U174" s="160">
        <v>-9381936.5969682932</v>
      </c>
      <c r="V174" s="160">
        <v>422236.91108179092</v>
      </c>
      <c r="W174" s="161">
        <v>12415964.744632244</v>
      </c>
      <c r="X174" s="160">
        <v>3021219.3652972728</v>
      </c>
      <c r="Y174" s="160">
        <v>6319152.3495499194</v>
      </c>
      <c r="Z174" s="160">
        <v>6163014.5170401037</v>
      </c>
      <c r="AA174" s="160">
        <v>7134739.0492032915</v>
      </c>
      <c r="AB174" s="160">
        <v>10079328.667580992</v>
      </c>
      <c r="AC174" s="160">
        <v>9978784.1259592623</v>
      </c>
      <c r="AD174" s="160">
        <v>-4892857.2044541538</v>
      </c>
      <c r="AE174" s="160">
        <v>-3989161.1616870165</v>
      </c>
      <c r="AF174" s="160">
        <v>-8272946.4636782855</v>
      </c>
      <c r="AG174" s="160">
        <v>-23371998.747855186</v>
      </c>
    </row>
    <row r="175" spans="16:33" ht="15.75" customHeight="1">
      <c r="P175" s="159"/>
      <c r="Q175" s="159">
        <v>158</v>
      </c>
      <c r="R175" s="160">
        <v>-35847056.226646259</v>
      </c>
      <c r="S175" s="160">
        <v>-25955168.439061448</v>
      </c>
      <c r="T175" s="160">
        <v>-8513389.0351479799</v>
      </c>
      <c r="U175" s="160">
        <v>-3619335.7968903482</v>
      </c>
      <c r="V175" s="160">
        <v>-6032819.818233192</v>
      </c>
      <c r="W175" s="161">
        <v>3871255.9079325199</v>
      </c>
      <c r="X175" s="160">
        <v>-206248.60501366854</v>
      </c>
      <c r="Y175" s="160">
        <v>13938943.678032354</v>
      </c>
      <c r="Z175" s="160">
        <v>4206434.044934392</v>
      </c>
      <c r="AA175" s="160">
        <v>13995348.326888636</v>
      </c>
      <c r="AB175" s="160">
        <v>14458383.340544686</v>
      </c>
      <c r="AC175" s="160">
        <v>13013391.89476876</v>
      </c>
      <c r="AD175" s="160">
        <v>4521243.3593153208</v>
      </c>
      <c r="AE175" s="160">
        <v>-8122103.3222199231</v>
      </c>
      <c r="AF175" s="160">
        <v>-15959108.029950961</v>
      </c>
      <c r="AG175" s="160">
        <v>-21011270.80293864</v>
      </c>
    </row>
    <row r="176" spans="16:33" ht="15.75" customHeight="1">
      <c r="P176" s="159"/>
      <c r="Q176" s="159">
        <v>159</v>
      </c>
      <c r="R176" s="160">
        <v>-36633396.476576954</v>
      </c>
      <c r="S176" s="160">
        <v>-27862168.34656094</v>
      </c>
      <c r="T176" s="160">
        <v>-8085348.6059490144</v>
      </c>
      <c r="U176" s="160">
        <v>-18709964.322459728</v>
      </c>
      <c r="V176" s="160">
        <v>2404000.0969791412</v>
      </c>
      <c r="W176" s="161">
        <v>-1659415.6863816082</v>
      </c>
      <c r="X176" s="160">
        <v>7348820.656522274</v>
      </c>
      <c r="Y176" s="160">
        <v>6494737.0967126936</v>
      </c>
      <c r="Z176" s="160">
        <v>15143512.539059535</v>
      </c>
      <c r="AA176" s="160">
        <v>15844232.113730073</v>
      </c>
      <c r="AB176" s="160">
        <v>15762687.946935415</v>
      </c>
      <c r="AC176" s="160">
        <v>8707764.3624723852</v>
      </c>
      <c r="AD176" s="160">
        <v>563423.21914878488</v>
      </c>
      <c r="AE176" s="160">
        <v>-10810500.658227324</v>
      </c>
      <c r="AF176" s="160">
        <v>-10781069.039153084</v>
      </c>
      <c r="AG176" s="160">
        <v>-16240476.61922121</v>
      </c>
    </row>
    <row r="177" spans="16:33" ht="15.75" customHeight="1">
      <c r="P177" s="159"/>
      <c r="Q177" s="159">
        <v>160</v>
      </c>
      <c r="R177" s="160">
        <v>-38018229.83878389</v>
      </c>
      <c r="S177" s="160">
        <v>-23957050.441678628</v>
      </c>
      <c r="T177" s="160">
        <v>-16911804.029703736</v>
      </c>
      <c r="U177" s="160">
        <v>-12321024.983415574</v>
      </c>
      <c r="V177" s="160">
        <v>-46575.956434041262</v>
      </c>
      <c r="W177" s="161">
        <v>-11294516.670527577</v>
      </c>
      <c r="X177" s="160">
        <v>13384266.00264436</v>
      </c>
      <c r="Y177" s="160">
        <v>11517128.357337683</v>
      </c>
      <c r="Z177" s="160">
        <v>6071104.0581634045</v>
      </c>
      <c r="AA177" s="160">
        <v>8917279.2503749132</v>
      </c>
      <c r="AB177" s="160">
        <v>6479932.0596155822</v>
      </c>
      <c r="AC177" s="160">
        <v>16269749.019736469</v>
      </c>
      <c r="AD177" s="160">
        <v>13748928.002550989</v>
      </c>
      <c r="AE177" s="160">
        <v>-2957291.8000621796</v>
      </c>
      <c r="AF177" s="160">
        <v>-10116750.872656479</v>
      </c>
      <c r="AG177" s="160">
        <v>-15924146.175010443</v>
      </c>
    </row>
    <row r="178" spans="16:33" ht="15.75" customHeight="1">
      <c r="P178" s="159"/>
      <c r="Q178" s="159">
        <v>161</v>
      </c>
      <c r="R178" s="160">
        <v>-32769103.747862399</v>
      </c>
      <c r="S178" s="160">
        <v>-30386981.868160561</v>
      </c>
      <c r="T178" s="160">
        <v>-10051043.607650653</v>
      </c>
      <c r="U178" s="160">
        <v>-5556090.4717348069</v>
      </c>
      <c r="V178" s="160">
        <v>4526767.6974496394</v>
      </c>
      <c r="W178" s="161">
        <v>2939082.3874863237</v>
      </c>
      <c r="X178" s="160">
        <v>8809458.9883669913</v>
      </c>
      <c r="Y178" s="160">
        <v>17415811.301285848</v>
      </c>
      <c r="Z178" s="160">
        <v>4046855.8848944157</v>
      </c>
      <c r="AA178" s="160">
        <v>8056192.7774252445</v>
      </c>
      <c r="AB178" s="160">
        <v>-5524124.6095361561</v>
      </c>
      <c r="AC178" s="160">
        <v>1748883.4655697793</v>
      </c>
      <c r="AD178" s="160">
        <v>-21196.492458358407</v>
      </c>
      <c r="AE178" s="160">
        <v>7042951.355263114</v>
      </c>
      <c r="AF178" s="160">
        <v>-22077771.713807344</v>
      </c>
      <c r="AG178" s="160">
        <v>-11838308.438580528</v>
      </c>
    </row>
    <row r="179" spans="16:33" ht="15.75" customHeight="1">
      <c r="P179" s="159"/>
      <c r="Q179" s="159">
        <v>162</v>
      </c>
      <c r="R179" s="160">
        <v>-34356894.63188906</v>
      </c>
      <c r="S179" s="160">
        <v>-25536024.231659263</v>
      </c>
      <c r="T179" s="160">
        <v>-16286105.781474754</v>
      </c>
      <c r="U179" s="160">
        <v>-4768604.3508903682</v>
      </c>
      <c r="V179" s="160">
        <v>-480845.91219955683</v>
      </c>
      <c r="W179" s="161">
        <v>5059729.7152934968</v>
      </c>
      <c r="X179" s="160">
        <v>1629316.6180021912</v>
      </c>
      <c r="Y179" s="160">
        <v>13415457.094928905</v>
      </c>
      <c r="Z179" s="160">
        <v>12660510.199481696</v>
      </c>
      <c r="AA179" s="160">
        <v>18377064.209675491</v>
      </c>
      <c r="AB179" s="160">
        <v>7511472.4375919253</v>
      </c>
      <c r="AC179" s="160">
        <v>6874737.3464444727</v>
      </c>
      <c r="AD179" s="160">
        <v>3599063.1879712641</v>
      </c>
      <c r="AE179" s="160">
        <v>-5828141.4774475396</v>
      </c>
      <c r="AF179" s="160">
        <v>-15539326.887303606</v>
      </c>
      <c r="AG179" s="160">
        <v>-16125601.645067424</v>
      </c>
    </row>
    <row r="180" spans="16:33" ht="15.75" customHeight="1">
      <c r="P180" s="159"/>
      <c r="Q180" s="159">
        <v>163</v>
      </c>
      <c r="R180" s="160">
        <v>-33785561.470706657</v>
      </c>
      <c r="S180" s="160">
        <v>-25063101.036576971</v>
      </c>
      <c r="T180" s="160">
        <v>-24964416.383935466</v>
      </c>
      <c r="U180" s="160">
        <v>-12332712.530256405</v>
      </c>
      <c r="V180" s="160">
        <v>6629847.4059001356</v>
      </c>
      <c r="W180" s="161">
        <v>13292493.580159739</v>
      </c>
      <c r="X180" s="160">
        <v>13108217.171602368</v>
      </c>
      <c r="Y180" s="160">
        <v>19266035.570057839</v>
      </c>
      <c r="Z180" s="160">
        <v>1234656.1831449419</v>
      </c>
      <c r="AA180" s="160">
        <v>13064826.462185204</v>
      </c>
      <c r="AB180" s="160">
        <v>12397200.647081256</v>
      </c>
      <c r="AC180" s="160">
        <v>14794827.320616052</v>
      </c>
      <c r="AD180" s="160">
        <v>1628434.8952193856</v>
      </c>
      <c r="AE180" s="160">
        <v>-1301362.1178724319</v>
      </c>
      <c r="AF180" s="160">
        <v>-9392674.8446742445</v>
      </c>
      <c r="AG180" s="160">
        <v>-19472399.872871816</v>
      </c>
    </row>
    <row r="181" spans="16:33" ht="15.75" customHeight="1">
      <c r="P181" s="159"/>
      <c r="Q181" s="159">
        <v>164</v>
      </c>
      <c r="R181" s="160">
        <v>-30224007.968863964</v>
      </c>
      <c r="S181" s="160">
        <v>-23476231.264330268</v>
      </c>
      <c r="T181" s="160">
        <v>-13765474.68188633</v>
      </c>
      <c r="U181" s="160">
        <v>-794613.20591966808</v>
      </c>
      <c r="V181" s="160">
        <v>97006.834374219179</v>
      </c>
      <c r="W181" s="161">
        <v>6451711.7981959581</v>
      </c>
      <c r="X181" s="160">
        <v>7951493.0739106834</v>
      </c>
      <c r="Y181" s="160">
        <v>15595117.424718067</v>
      </c>
      <c r="Z181" s="160">
        <v>20200086.356807664</v>
      </c>
      <c r="AA181" s="160">
        <v>11719733.741576031</v>
      </c>
      <c r="AB181" s="160">
        <v>5511999.2401682734</v>
      </c>
      <c r="AC181" s="160">
        <v>7022796.2250143737</v>
      </c>
      <c r="AD181" s="160">
        <v>3399971.2788131833</v>
      </c>
      <c r="AE181" s="160">
        <v>-1064645.2561498582</v>
      </c>
      <c r="AF181" s="160">
        <v>6816319.5739085674</v>
      </c>
      <c r="AG181" s="160">
        <v>-19347649.143665969</v>
      </c>
    </row>
    <row r="182" spans="16:33" ht="15.75" customHeight="1">
      <c r="P182" s="159"/>
      <c r="Q182" s="159">
        <v>165</v>
      </c>
      <c r="R182" s="160">
        <v>-36290037.935371295</v>
      </c>
      <c r="S182" s="160">
        <v>-20375638.314562634</v>
      </c>
      <c r="T182" s="160">
        <v>-11776580.590078801</v>
      </c>
      <c r="U182" s="160">
        <v>-12302497.813315779</v>
      </c>
      <c r="V182" s="160">
        <v>2218616.1642948687</v>
      </c>
      <c r="W182" s="161">
        <v>14932704.294088408</v>
      </c>
      <c r="X182" s="160">
        <v>5177654.9950294346</v>
      </c>
      <c r="Y182" s="160">
        <v>11281000.351543561</v>
      </c>
      <c r="Z182" s="160">
        <v>7400041.0402868241</v>
      </c>
      <c r="AA182" s="160">
        <v>12275336.342160612</v>
      </c>
      <c r="AB182" s="160">
        <v>2825916.9529095739</v>
      </c>
      <c r="AC182" s="160">
        <v>5882849.1704322547</v>
      </c>
      <c r="AD182" s="160">
        <v>7155577.2736358196</v>
      </c>
      <c r="AE182" s="160">
        <v>1052045.283207953</v>
      </c>
      <c r="AF182" s="160">
        <v>-14815265.958201304</v>
      </c>
      <c r="AG182" s="160">
        <v>-13599853.110229298</v>
      </c>
    </row>
    <row r="183" spans="16:33" ht="15.75" customHeight="1">
      <c r="P183" s="159"/>
      <c r="Q183" s="159">
        <v>166</v>
      </c>
      <c r="R183" s="160">
        <v>-44266407.192897394</v>
      </c>
      <c r="S183" s="160">
        <v>-22610991.055706501</v>
      </c>
      <c r="T183" s="160">
        <v>-22476447.881544515</v>
      </c>
      <c r="U183" s="160">
        <v>-7992229.4406788498</v>
      </c>
      <c r="V183" s="160">
        <v>-3571538.7188600451</v>
      </c>
      <c r="W183" s="161">
        <v>13850530.261776865</v>
      </c>
      <c r="X183" s="160">
        <v>4450126.1794304401</v>
      </c>
      <c r="Y183" s="160">
        <v>2089047.2484571636</v>
      </c>
      <c r="Z183" s="160">
        <v>3313907.60068506</v>
      </c>
      <c r="AA183" s="160">
        <v>8635400.6871344</v>
      </c>
      <c r="AB183" s="160">
        <v>-1173928.5032483935</v>
      </c>
      <c r="AC183" s="160">
        <v>10739979.937176675</v>
      </c>
      <c r="AD183" s="160">
        <v>491762.10235646367</v>
      </c>
      <c r="AE183" s="160">
        <v>-8935900.1107824296</v>
      </c>
      <c r="AF183" s="160">
        <v>-15970626.934223533</v>
      </c>
      <c r="AG183" s="160">
        <v>-19129914.213049978</v>
      </c>
    </row>
    <row r="184" spans="16:33" ht="15.75" customHeight="1">
      <c r="P184" s="159"/>
      <c r="Q184" s="159">
        <v>167</v>
      </c>
      <c r="R184" s="160">
        <v>-35427057.67740196</v>
      </c>
      <c r="S184" s="160">
        <v>-28524609.370560884</v>
      </c>
      <c r="T184" s="160">
        <v>-7150736.6894388944</v>
      </c>
      <c r="U184" s="160">
        <v>-13104143.716800719</v>
      </c>
      <c r="V184" s="160">
        <v>-2669103.7808797956</v>
      </c>
      <c r="W184" s="161">
        <v>14461822.309334934</v>
      </c>
      <c r="X184" s="160">
        <v>19440897.955310032</v>
      </c>
      <c r="Y184" s="160">
        <v>10545182.05588007</v>
      </c>
      <c r="Z184" s="160">
        <v>11319580.710083768</v>
      </c>
      <c r="AA184" s="160">
        <v>18202266.228452474</v>
      </c>
      <c r="AB184" s="160">
        <v>22041497.121144384</v>
      </c>
      <c r="AC184" s="160">
        <v>3717262.9287862927</v>
      </c>
      <c r="AD184" s="160">
        <v>3909872.5599198043</v>
      </c>
      <c r="AE184" s="160">
        <v>-14331322.879136324</v>
      </c>
      <c r="AF184" s="160">
        <v>-17618081.62194404</v>
      </c>
      <c r="AG184" s="160">
        <v>-15225481.669603705</v>
      </c>
    </row>
    <row r="185" spans="16:33" ht="15.75" customHeight="1">
      <c r="P185" s="159"/>
      <c r="Q185" s="159">
        <v>168</v>
      </c>
      <c r="R185" s="160">
        <v>-42281387.61590074</v>
      </c>
      <c r="S185" s="160">
        <v>-26443820.242414311</v>
      </c>
      <c r="T185" s="160">
        <v>-7423572.6190614998</v>
      </c>
      <c r="U185" s="160">
        <v>-15627527.953641728</v>
      </c>
      <c r="V185" s="160">
        <v>6837612.4919741899</v>
      </c>
      <c r="W185" s="161">
        <v>1349088.6809075922</v>
      </c>
      <c r="X185" s="160">
        <v>-4558300.9377014041</v>
      </c>
      <c r="Y185" s="160">
        <v>6685736.9396943599</v>
      </c>
      <c r="Z185" s="160">
        <v>14051463.574641883</v>
      </c>
      <c r="AA185" s="160">
        <v>14790581.000059545</v>
      </c>
      <c r="AB185" s="160">
        <v>7540213.4122194797</v>
      </c>
      <c r="AC185" s="160">
        <v>14252772.843612283</v>
      </c>
      <c r="AD185" s="160">
        <v>4921244.9229860008</v>
      </c>
      <c r="AE185" s="160">
        <v>2510825.4749617428</v>
      </c>
      <c r="AF185" s="160">
        <v>-18712067.469865352</v>
      </c>
      <c r="AG185" s="160">
        <v>-27400980.3569175</v>
      </c>
    </row>
    <row r="186" spans="16:33" ht="15.75" customHeight="1">
      <c r="P186" s="159"/>
      <c r="Q186" s="159">
        <v>169</v>
      </c>
      <c r="R186" s="160">
        <v>-32475043.17967391</v>
      </c>
      <c r="S186" s="160">
        <v>-29768856.434779003</v>
      </c>
      <c r="T186" s="160">
        <v>-19326034.376176804</v>
      </c>
      <c r="U186" s="160">
        <v>-126525.01286132634</v>
      </c>
      <c r="V186" s="160">
        <v>-6656947.369922474</v>
      </c>
      <c r="W186" s="161">
        <v>16700193.032893494</v>
      </c>
      <c r="X186" s="160">
        <v>6932890.0766368806</v>
      </c>
      <c r="Y186" s="160">
        <v>25516094.551181212</v>
      </c>
      <c r="Z186" s="160">
        <v>15180339.706558093</v>
      </c>
      <c r="AA186" s="160">
        <v>12327744.254154369</v>
      </c>
      <c r="AB186" s="160">
        <v>12769592.620075077</v>
      </c>
      <c r="AC186" s="160">
        <v>6064117.6075091958</v>
      </c>
      <c r="AD186" s="160">
        <v>630010.42340557277</v>
      </c>
      <c r="AE186" s="160">
        <v>-868401.6983641237</v>
      </c>
      <c r="AF186" s="160">
        <v>-10422738.453426227</v>
      </c>
      <c r="AG186" s="160">
        <v>-32581271.271656543</v>
      </c>
    </row>
    <row r="187" spans="16:33" ht="15.75" customHeight="1">
      <c r="P187" s="159"/>
      <c r="Q187" s="159">
        <v>170</v>
      </c>
      <c r="R187" s="160">
        <v>-30766092.661337167</v>
      </c>
      <c r="S187" s="160">
        <v>-33730818.556448847</v>
      </c>
      <c r="T187" s="160">
        <v>-13480894.91384612</v>
      </c>
      <c r="U187" s="160">
        <v>-9596774.4297020733</v>
      </c>
      <c r="V187" s="160">
        <v>1699026.4872002453</v>
      </c>
      <c r="W187" s="161">
        <v>13525270.237634227</v>
      </c>
      <c r="X187" s="160">
        <v>420179.53115485609</v>
      </c>
      <c r="Y187" s="160">
        <v>22139742.381734565</v>
      </c>
      <c r="Z187" s="160">
        <v>2787140.4295558929</v>
      </c>
      <c r="AA187" s="160">
        <v>5782250.8090487868</v>
      </c>
      <c r="AB187" s="160">
        <v>12151075.498213589</v>
      </c>
      <c r="AC187" s="160">
        <v>-1498970.6695985198</v>
      </c>
      <c r="AD187" s="160">
        <v>945020.43402460217</v>
      </c>
      <c r="AE187" s="160">
        <v>-7176868.1233913004</v>
      </c>
      <c r="AF187" s="160">
        <v>-9875670.5144584477</v>
      </c>
      <c r="AG187" s="160">
        <v>-17109147.482658625</v>
      </c>
    </row>
    <row r="188" spans="16:33" ht="15.75" customHeight="1">
      <c r="P188" s="159"/>
      <c r="Q188" s="159">
        <v>171</v>
      </c>
      <c r="R188" s="160">
        <v>-37405791.380354792</v>
      </c>
      <c r="S188" s="160">
        <v>-24976389.23601298</v>
      </c>
      <c r="T188" s="160">
        <v>-18912451.126655698</v>
      </c>
      <c r="U188" s="160">
        <v>-10262376.849288166</v>
      </c>
      <c r="V188" s="160">
        <v>2309839.6147990376</v>
      </c>
      <c r="W188" s="161">
        <v>744636.80519148707</v>
      </c>
      <c r="X188" s="160">
        <v>13589518.18008168</v>
      </c>
      <c r="Y188" s="160">
        <v>9318580.3331451565</v>
      </c>
      <c r="Z188" s="160">
        <v>13257124.892586082</v>
      </c>
      <c r="AA188" s="160">
        <v>4389762.3157625049</v>
      </c>
      <c r="AB188" s="160">
        <v>12703671.258298486</v>
      </c>
      <c r="AC188" s="160">
        <v>-1325122.9639050364</v>
      </c>
      <c r="AD188" s="160">
        <v>7463340.5293488801</v>
      </c>
      <c r="AE188" s="160">
        <v>-10018303.141294241</v>
      </c>
      <c r="AF188" s="160">
        <v>-16832476.291603431</v>
      </c>
      <c r="AG188" s="160">
        <v>-16553713.453785673</v>
      </c>
    </row>
    <row r="189" spans="16:33" ht="15.75" customHeight="1">
      <c r="P189" s="159"/>
      <c r="Q189" s="159">
        <v>172</v>
      </c>
      <c r="R189" s="160">
        <v>-36563748.832555771</v>
      </c>
      <c r="S189" s="160">
        <v>-30201214.290252134</v>
      </c>
      <c r="T189" s="160">
        <v>-15094464.970251709</v>
      </c>
      <c r="U189" s="160">
        <v>-8320552.4128665477</v>
      </c>
      <c r="V189" s="160">
        <v>3563418.0885315239</v>
      </c>
      <c r="W189" s="161">
        <v>844761.9512861073</v>
      </c>
      <c r="X189" s="160">
        <v>9596919.3554702401</v>
      </c>
      <c r="Y189" s="160">
        <v>5931489.5182524621</v>
      </c>
      <c r="Z189" s="160">
        <v>-4725846.3483168483</v>
      </c>
      <c r="AA189" s="160">
        <v>2794526.346236825</v>
      </c>
      <c r="AB189" s="160">
        <v>8764978.8346229643</v>
      </c>
      <c r="AC189" s="160">
        <v>10521460.856032759</v>
      </c>
      <c r="AD189" s="160">
        <v>179326.98033000529</v>
      </c>
      <c r="AE189" s="160">
        <v>-7059658.0715085268</v>
      </c>
      <c r="AF189" s="160">
        <v>-9653436.9229832292</v>
      </c>
      <c r="AG189" s="160">
        <v>-18077016.724500611</v>
      </c>
    </row>
    <row r="190" spans="16:33" ht="15.75" customHeight="1">
      <c r="P190" s="159"/>
      <c r="Q190" s="159">
        <v>173</v>
      </c>
      <c r="R190" s="160">
        <v>-35586987.481572464</v>
      </c>
      <c r="S190" s="160">
        <v>-26329150.97907351</v>
      </c>
      <c r="T190" s="160">
        <v>-6997688.812508598</v>
      </c>
      <c r="U190" s="160">
        <v>-16843973.868641362</v>
      </c>
      <c r="V190" s="160">
        <v>6520432.7732584327</v>
      </c>
      <c r="W190" s="161">
        <v>1056603.6409460306</v>
      </c>
      <c r="X190" s="160">
        <v>1811796.0683338493</v>
      </c>
      <c r="Y190" s="160">
        <v>13705155.585385337</v>
      </c>
      <c r="Z190" s="160">
        <v>8086445.3137518317</v>
      </c>
      <c r="AA190" s="160">
        <v>3545278.4515685737</v>
      </c>
      <c r="AB190" s="160">
        <v>12658236.561753273</v>
      </c>
      <c r="AC190" s="160">
        <v>-3131282.2342173755</v>
      </c>
      <c r="AD190" s="160">
        <v>1126874.5939944088</v>
      </c>
      <c r="AE190" s="160">
        <v>-10695365.043225259</v>
      </c>
      <c r="AF190" s="160">
        <v>-9492837.3369763792</v>
      </c>
      <c r="AG190" s="160">
        <v>-18763449.550909072</v>
      </c>
    </row>
    <row r="191" spans="16:33" ht="15.75" customHeight="1">
      <c r="P191" s="159"/>
      <c r="Q191" s="159">
        <v>174</v>
      </c>
      <c r="R191" s="160">
        <v>-42869766.615387946</v>
      </c>
      <c r="S191" s="160">
        <v>-31560675.899216726</v>
      </c>
      <c r="T191" s="160">
        <v>-18013476.449751228</v>
      </c>
      <c r="U191" s="160">
        <v>-1914887.4529528618</v>
      </c>
      <c r="V191" s="160">
        <v>-2527688.7229382247</v>
      </c>
      <c r="W191" s="161">
        <v>530527.5302208662</v>
      </c>
      <c r="X191" s="160">
        <v>7816236.3849916458</v>
      </c>
      <c r="Y191" s="160">
        <v>7475884.3175347447</v>
      </c>
      <c r="Z191" s="160">
        <v>14445691.598280728</v>
      </c>
      <c r="AA191" s="160">
        <v>13801279.268698484</v>
      </c>
      <c r="AB191" s="160">
        <v>1057717.8362169266</v>
      </c>
      <c r="AC191" s="160">
        <v>236613.7416613698</v>
      </c>
      <c r="AD191" s="160">
        <v>9668848.4937016666</v>
      </c>
      <c r="AE191" s="160">
        <v>-1840095.1852014512</v>
      </c>
      <c r="AF191" s="160">
        <v>-11089683.073367476</v>
      </c>
      <c r="AG191" s="160">
        <v>-23448491.481972143</v>
      </c>
    </row>
    <row r="192" spans="16:33" ht="15.75" customHeight="1">
      <c r="P192" s="159"/>
      <c r="Q192" s="159">
        <v>175</v>
      </c>
      <c r="R192" s="160">
        <v>-34198496.410478041</v>
      </c>
      <c r="S192" s="160">
        <v>-19020811.497381866</v>
      </c>
      <c r="T192" s="160">
        <v>-10993227.221633032</v>
      </c>
      <c r="U192" s="160">
        <v>-6103748.1030634046</v>
      </c>
      <c r="V192" s="160">
        <v>-519528.45585598052</v>
      </c>
      <c r="W192" s="161">
        <v>10925425.70603174</v>
      </c>
      <c r="X192" s="160">
        <v>22879838.443870977</v>
      </c>
      <c r="Y192" s="160">
        <v>4588123.5141852498</v>
      </c>
      <c r="Z192" s="160">
        <v>17770896.477083966</v>
      </c>
      <c r="AA192" s="160">
        <v>11897361.371704742</v>
      </c>
      <c r="AB192" s="160">
        <v>11863403.239100784</v>
      </c>
      <c r="AC192" s="160">
        <v>17665369.529531747</v>
      </c>
      <c r="AD192" s="160">
        <v>6851249.6533830315</v>
      </c>
      <c r="AE192" s="160">
        <v>74026.822637781501</v>
      </c>
      <c r="AF192" s="160">
        <v>-17713282.668606177</v>
      </c>
      <c r="AG192" s="160">
        <v>-18760966.572614327</v>
      </c>
    </row>
    <row r="193" spans="16:33" ht="15.75" customHeight="1">
      <c r="P193" s="159"/>
      <c r="Q193" s="159">
        <v>176</v>
      </c>
      <c r="R193" s="160">
        <v>-34364176.863696277</v>
      </c>
      <c r="S193" s="160">
        <v>-17603388.065865293</v>
      </c>
      <c r="T193" s="160">
        <v>-19822793.448183924</v>
      </c>
      <c r="U193" s="160">
        <v>-6256715.2867416143</v>
      </c>
      <c r="V193" s="160">
        <v>-4922984.2223921269</v>
      </c>
      <c r="W193" s="161">
        <v>-2985036.0438979268</v>
      </c>
      <c r="X193" s="160">
        <v>8567132.2042370737</v>
      </c>
      <c r="Y193" s="160">
        <v>-5137162.5714484751</v>
      </c>
      <c r="Z193" s="160">
        <v>17061546.347782135</v>
      </c>
      <c r="AA193" s="160">
        <v>5474904.2598978877</v>
      </c>
      <c r="AB193" s="160">
        <v>1260442.2813668251</v>
      </c>
      <c r="AC193" s="160">
        <v>-5663355.1094844639</v>
      </c>
      <c r="AD193" s="160">
        <v>4635950.628092736</v>
      </c>
      <c r="AE193" s="160">
        <v>-7081025.2525806576</v>
      </c>
      <c r="AF193" s="160">
        <v>-13138668.260238484</v>
      </c>
      <c r="AG193" s="160">
        <v>-17080388.578018069</v>
      </c>
    </row>
    <row r="194" spans="16:33" ht="15.75" customHeight="1">
      <c r="P194" s="159"/>
      <c r="Q194" s="159">
        <v>177</v>
      </c>
      <c r="R194" s="160">
        <v>-33926567.316648602</v>
      </c>
      <c r="S194" s="160">
        <v>-29239279.481398866</v>
      </c>
      <c r="T194" s="160">
        <v>-14787099.619909033</v>
      </c>
      <c r="U194" s="160">
        <v>-10087622.716682136</v>
      </c>
      <c r="V194" s="160">
        <v>-3011470.6942372918</v>
      </c>
      <c r="W194" s="161">
        <v>9630535.9888932407</v>
      </c>
      <c r="X194" s="160">
        <v>2462445.6790251434</v>
      </c>
      <c r="Y194" s="160">
        <v>7160425.0484275222</v>
      </c>
      <c r="Z194" s="160">
        <v>16187489.547694385</v>
      </c>
      <c r="AA194" s="160">
        <v>22189032.919526726</v>
      </c>
      <c r="AB194" s="160">
        <v>8254390.3190953583</v>
      </c>
      <c r="AC194" s="160">
        <v>7462474.6541287452</v>
      </c>
      <c r="AD194" s="160">
        <v>-5436408.883333683</v>
      </c>
      <c r="AE194" s="160">
        <v>-5319073.8013429344</v>
      </c>
      <c r="AF194" s="160">
        <v>-11513118.417673305</v>
      </c>
      <c r="AG194" s="160">
        <v>-21948213.29819198</v>
      </c>
    </row>
    <row r="195" spans="16:33" ht="15.75" customHeight="1">
      <c r="P195" s="159"/>
      <c r="Q195" s="159">
        <v>178</v>
      </c>
      <c r="R195" s="160">
        <v>-34272303.220516577</v>
      </c>
      <c r="S195" s="160">
        <v>-23872896.431028068</v>
      </c>
      <c r="T195" s="160">
        <v>-7344287.7023993433</v>
      </c>
      <c r="U195" s="160">
        <v>-5606774.2044194043</v>
      </c>
      <c r="V195" s="160">
        <v>3816622.0975387841</v>
      </c>
      <c r="W195" s="161">
        <v>2052487.3950300813</v>
      </c>
      <c r="X195" s="160">
        <v>11153516.165294707</v>
      </c>
      <c r="Y195" s="160">
        <v>4354155.4963733554</v>
      </c>
      <c r="Z195" s="160">
        <v>13468376.294382378</v>
      </c>
      <c r="AA195" s="160">
        <v>21301669.242194101</v>
      </c>
      <c r="AB195" s="160">
        <v>5228306.2440586984</v>
      </c>
      <c r="AC195" s="160">
        <v>6935882.246039927</v>
      </c>
      <c r="AD195" s="160">
        <v>124774.90474562347</v>
      </c>
      <c r="AE195" s="160">
        <v>-430043.47388146818</v>
      </c>
      <c r="AF195" s="160">
        <v>-15935090.74140799</v>
      </c>
      <c r="AG195" s="160">
        <v>-11145287.091906711</v>
      </c>
    </row>
    <row r="196" spans="16:33" ht="15.75" customHeight="1">
      <c r="P196" s="159"/>
      <c r="Q196" s="159">
        <v>179</v>
      </c>
      <c r="R196" s="160">
        <v>-36519099.311323255</v>
      </c>
      <c r="S196" s="160">
        <v>-27064063.452100888</v>
      </c>
      <c r="T196" s="160">
        <v>-3214475.4821496308</v>
      </c>
      <c r="U196" s="160">
        <v>-7161313.1421895474</v>
      </c>
      <c r="V196" s="160">
        <v>-8542475.4919851124</v>
      </c>
      <c r="W196" s="161">
        <v>12619897.304605439</v>
      </c>
      <c r="X196" s="160">
        <v>3797231.0112255216</v>
      </c>
      <c r="Y196" s="160">
        <v>2594149.4791785926</v>
      </c>
      <c r="Z196" s="160">
        <v>27913434.120571464</v>
      </c>
      <c r="AA196" s="160">
        <v>10498818.116318151</v>
      </c>
      <c r="AB196" s="160">
        <v>10256342.748607561</v>
      </c>
      <c r="AC196" s="160">
        <v>5727390.426944077</v>
      </c>
      <c r="AD196" s="160">
        <v>2866806.7125612348</v>
      </c>
      <c r="AE196" s="160">
        <v>-8220489.7576304823</v>
      </c>
      <c r="AF196" s="160">
        <v>-23767876.057842121</v>
      </c>
      <c r="AG196" s="160">
        <v>-14169074.255735844</v>
      </c>
    </row>
    <row r="197" spans="16:33" ht="15.75" customHeight="1">
      <c r="P197" s="159"/>
      <c r="Q197" s="159">
        <v>180</v>
      </c>
      <c r="R197" s="160">
        <v>-31255131.487232864</v>
      </c>
      <c r="S197" s="160">
        <v>-18718260.357554168</v>
      </c>
      <c r="T197" s="160">
        <v>-3808588.442943126</v>
      </c>
      <c r="U197" s="160">
        <v>-4497868.1623311639</v>
      </c>
      <c r="V197" s="160">
        <v>-767469.19482190907</v>
      </c>
      <c r="W197" s="161">
        <v>5785207.2852946967</v>
      </c>
      <c r="X197" s="160">
        <v>530186.82659825683</v>
      </c>
      <c r="Y197" s="160">
        <v>5758499.8389633745</v>
      </c>
      <c r="Z197" s="160">
        <v>10848692.01947017</v>
      </c>
      <c r="AA197" s="160">
        <v>20517139.524218187</v>
      </c>
      <c r="AB197" s="160">
        <v>4312459.0224955231</v>
      </c>
      <c r="AC197" s="160">
        <v>4655741.2478434891</v>
      </c>
      <c r="AD197" s="160">
        <v>724289.00077272952</v>
      </c>
      <c r="AE197" s="160">
        <v>-6590536.4051596373</v>
      </c>
      <c r="AF197" s="160">
        <v>-1211951.4552671462</v>
      </c>
      <c r="AG197" s="160">
        <v>-13794277.465254426</v>
      </c>
    </row>
    <row r="198" spans="16:33" ht="15.75" customHeight="1">
      <c r="P198" s="159"/>
      <c r="Q198" s="159">
        <v>181</v>
      </c>
      <c r="R198" s="160">
        <v>-33175798.759317607</v>
      </c>
      <c r="S198" s="160">
        <v>-26328433.442280844</v>
      </c>
      <c r="T198" s="160">
        <v>-16304428.511634886</v>
      </c>
      <c r="U198" s="160">
        <v>-4312735.5115632862</v>
      </c>
      <c r="V198" s="160">
        <v>-7714395.3011791557</v>
      </c>
      <c r="W198" s="161">
        <v>7471897.3908373713</v>
      </c>
      <c r="X198" s="160">
        <v>3264724.6873968691</v>
      </c>
      <c r="Y198" s="160">
        <v>10821623.726865917</v>
      </c>
      <c r="Z198" s="160">
        <v>-5052123.0914993286</v>
      </c>
      <c r="AA198" s="160">
        <v>5975201.8544549346</v>
      </c>
      <c r="AB198" s="160">
        <v>-811237.28811258078</v>
      </c>
      <c r="AC198" s="160">
        <v>14933971.173430875</v>
      </c>
      <c r="AD198" s="160">
        <v>-10910726.275823444</v>
      </c>
      <c r="AE198" s="160">
        <v>9878216.4627306312</v>
      </c>
      <c r="AF198" s="160">
        <v>-9820450.813106522</v>
      </c>
      <c r="AG198" s="160">
        <v>-26684392.48348549</v>
      </c>
    </row>
    <row r="199" spans="16:33" ht="15.75" customHeight="1">
      <c r="P199" s="159"/>
      <c r="Q199" s="159">
        <v>182</v>
      </c>
      <c r="R199" s="160">
        <v>-38443499.463769794</v>
      </c>
      <c r="S199" s="160">
        <v>-24222697.334521651</v>
      </c>
      <c r="T199" s="160">
        <v>-18956883.349933386</v>
      </c>
      <c r="U199" s="160">
        <v>-13697407.260532603</v>
      </c>
      <c r="V199" s="160">
        <v>7532392.6089126915</v>
      </c>
      <c r="W199" s="161">
        <v>1008342.1274651438</v>
      </c>
      <c r="X199" s="160">
        <v>19590993.717508227</v>
      </c>
      <c r="Y199" s="160">
        <v>8607621.1768939644</v>
      </c>
      <c r="Z199" s="160">
        <v>22802028.687917322</v>
      </c>
      <c r="AA199" s="160">
        <v>5965439.8948676735</v>
      </c>
      <c r="AB199" s="160">
        <v>14068147.940198764</v>
      </c>
      <c r="AC199" s="160">
        <v>10721814.78840062</v>
      </c>
      <c r="AD199" s="160">
        <v>719658.60441713035</v>
      </c>
      <c r="AE199" s="160">
        <v>-5489908.9212672114</v>
      </c>
      <c r="AF199" s="160">
        <v>-12233121.40336284</v>
      </c>
      <c r="AG199" s="160">
        <v>-15539984.034654006</v>
      </c>
    </row>
    <row r="200" spans="16:33" ht="15.75" customHeight="1">
      <c r="P200" s="159"/>
      <c r="Q200" s="159">
        <v>183</v>
      </c>
      <c r="R200" s="160">
        <v>-34658904.064302757</v>
      </c>
      <c r="S200" s="160">
        <v>-29208776.593315691</v>
      </c>
      <c r="T200" s="160">
        <v>-15401211.793170929</v>
      </c>
      <c r="U200" s="160">
        <v>-8857218.8840488195</v>
      </c>
      <c r="V200" s="160">
        <v>2770590.4463220239</v>
      </c>
      <c r="W200" s="161">
        <v>-4436740.3999222815</v>
      </c>
      <c r="X200" s="160">
        <v>12942284.216822818</v>
      </c>
      <c r="Y200" s="160">
        <v>4146699.2903963774</v>
      </c>
      <c r="Z200" s="160">
        <v>11921547.923210382</v>
      </c>
      <c r="AA200" s="160">
        <v>15484219.228057846</v>
      </c>
      <c r="AB200" s="160">
        <v>13513994.806378394</v>
      </c>
      <c r="AC200" s="160">
        <v>14977798.347374126</v>
      </c>
      <c r="AD200" s="160">
        <v>1629809.5041978657</v>
      </c>
      <c r="AE200" s="160">
        <v>-11187663.207554638</v>
      </c>
      <c r="AF200" s="160">
        <v>-5471656.0037359744</v>
      </c>
      <c r="AG200" s="160">
        <v>-30496799.808010668</v>
      </c>
    </row>
    <row r="201" spans="16:33" ht="15.75" customHeight="1">
      <c r="P201" s="159"/>
      <c r="Q201" s="159">
        <v>184</v>
      </c>
      <c r="R201" s="160">
        <v>-43382779.158560455</v>
      </c>
      <c r="S201" s="160">
        <v>-21957752.051685542</v>
      </c>
      <c r="T201" s="160">
        <v>-10727011.955826849</v>
      </c>
      <c r="U201" s="160">
        <v>-2901321.9617720544</v>
      </c>
      <c r="V201" s="160">
        <v>1779001.8968192786</v>
      </c>
      <c r="W201" s="161">
        <v>3930784.3457315862</v>
      </c>
      <c r="X201" s="160">
        <v>11546671.87224175</v>
      </c>
      <c r="Y201" s="160">
        <v>13241006.43604292</v>
      </c>
      <c r="Z201" s="160">
        <v>21158985.189318627</v>
      </c>
      <c r="AA201" s="160">
        <v>18175885.66331619</v>
      </c>
      <c r="AB201" s="160">
        <v>16013630.832205668</v>
      </c>
      <c r="AC201" s="160">
        <v>1969037.1708345711</v>
      </c>
      <c r="AD201" s="160">
        <v>1528144.9262847304</v>
      </c>
      <c r="AE201" s="160">
        <v>-4706518.0733294636</v>
      </c>
      <c r="AF201" s="160">
        <v>-15818374.383589312</v>
      </c>
      <c r="AG201" s="160">
        <v>-19645190.928764567</v>
      </c>
    </row>
    <row r="202" spans="16:33" ht="15.75" customHeight="1">
      <c r="P202" s="159"/>
      <c r="Q202" s="159">
        <v>185</v>
      </c>
      <c r="R202" s="160">
        <v>-31922593.437834486</v>
      </c>
      <c r="S202" s="160">
        <v>-24975768.872026399</v>
      </c>
      <c r="T202" s="160">
        <v>-15894619.66721186</v>
      </c>
      <c r="U202" s="160">
        <v>-8533710.8809581548</v>
      </c>
      <c r="V202" s="160">
        <v>-5280459.7269994318</v>
      </c>
      <c r="W202" s="161">
        <v>4239324.6756977588</v>
      </c>
      <c r="X202" s="160">
        <v>10138128.440042883</v>
      </c>
      <c r="Y202" s="160">
        <v>6197753.9371860921</v>
      </c>
      <c r="Z202" s="160">
        <v>5881652.0153950155</v>
      </c>
      <c r="AA202" s="160">
        <v>3202963.1112496406</v>
      </c>
      <c r="AB202" s="160">
        <v>8911375.0096997917</v>
      </c>
      <c r="AC202" s="160">
        <v>2244238.4837442786</v>
      </c>
      <c r="AD202" s="160">
        <v>15253735.244137615</v>
      </c>
      <c r="AE202" s="160">
        <v>-8245368.5679153204</v>
      </c>
      <c r="AF202" s="160">
        <v>-7283132.7014768571</v>
      </c>
      <c r="AG202" s="160">
        <v>-25642552.152562425</v>
      </c>
    </row>
    <row r="203" spans="16:33" ht="15.75" customHeight="1">
      <c r="P203" s="159"/>
      <c r="Q203" s="159">
        <v>186</v>
      </c>
      <c r="R203" s="160">
        <v>-40335700.025961027</v>
      </c>
      <c r="S203" s="160">
        <v>-27698206.141514033</v>
      </c>
      <c r="T203" s="160">
        <v>-6164057.9425393343</v>
      </c>
      <c r="U203" s="160">
        <v>-10443365.238136008</v>
      </c>
      <c r="V203" s="160">
        <v>4346267.2840217352</v>
      </c>
      <c r="W203" s="161">
        <v>5275531.9242581278</v>
      </c>
      <c r="X203" s="160">
        <v>12031773.096016049</v>
      </c>
      <c r="Y203" s="160">
        <v>4286896.8269611597</v>
      </c>
      <c r="Z203" s="160">
        <v>5385339.9221132249</v>
      </c>
      <c r="AA203" s="160">
        <v>12188873.643366709</v>
      </c>
      <c r="AB203" s="160">
        <v>3121621.5051049143</v>
      </c>
      <c r="AC203" s="160">
        <v>-6781273.3597767502</v>
      </c>
      <c r="AD203" s="160">
        <v>-2711957.7072370648</v>
      </c>
      <c r="AE203" s="160">
        <v>-4694713.4191405475</v>
      </c>
      <c r="AF203" s="160">
        <v>-17294902.686844021</v>
      </c>
      <c r="AG203" s="160">
        <v>-11858578.346363753</v>
      </c>
    </row>
    <row r="204" spans="16:33" ht="15.75" customHeight="1">
      <c r="P204" s="159"/>
      <c r="Q204" s="159">
        <v>187</v>
      </c>
      <c r="R204" s="160">
        <v>-37594085.946095616</v>
      </c>
      <c r="S204" s="160">
        <v>-23527500.526506573</v>
      </c>
      <c r="T204" s="160">
        <v>-13869951.358304694</v>
      </c>
      <c r="U204" s="160">
        <v>-13147091.180139363</v>
      </c>
      <c r="V204" s="160">
        <v>-4383237.9977756888</v>
      </c>
      <c r="W204" s="161">
        <v>8287632.4114267528</v>
      </c>
      <c r="X204" s="160">
        <v>2055521.7019389421</v>
      </c>
      <c r="Y204" s="160">
        <v>6873596.8532250971</v>
      </c>
      <c r="Z204" s="160">
        <v>24640667.31617415</v>
      </c>
      <c r="AA204" s="160">
        <v>-484540.66883119941</v>
      </c>
      <c r="AB204" s="160">
        <v>4699406.5255238414</v>
      </c>
      <c r="AC204" s="160">
        <v>3053588.3249042481</v>
      </c>
      <c r="AD204" s="160">
        <v>7026437.416910693</v>
      </c>
      <c r="AE204" s="160">
        <v>-1468425.0190308988</v>
      </c>
      <c r="AF204" s="160">
        <v>-13267017.120121211</v>
      </c>
      <c r="AG204" s="160">
        <v>-20233906.842168748</v>
      </c>
    </row>
    <row r="205" spans="16:33" ht="15.75" customHeight="1">
      <c r="P205" s="159"/>
      <c r="Q205" s="159">
        <v>188</v>
      </c>
      <c r="R205" s="160">
        <v>-38884916.66245921</v>
      </c>
      <c r="S205" s="160">
        <v>-23352909.933937654</v>
      </c>
      <c r="T205" s="160">
        <v>-15120321.897772953</v>
      </c>
      <c r="U205" s="160">
        <v>-7233163.7875311822</v>
      </c>
      <c r="V205" s="160">
        <v>3228494.4483796805</v>
      </c>
      <c r="W205" s="161">
        <v>-5074381.5403607488</v>
      </c>
      <c r="X205" s="160">
        <v>10470698.319091409</v>
      </c>
      <c r="Y205" s="160">
        <v>8477798.1413818151</v>
      </c>
      <c r="Z205" s="160">
        <v>18027098.474363491</v>
      </c>
      <c r="AA205" s="160">
        <v>14908756.686345339</v>
      </c>
      <c r="AB205" s="160">
        <v>9613208.8640918881</v>
      </c>
      <c r="AC205" s="160">
        <v>16559880.853332087</v>
      </c>
      <c r="AD205" s="160">
        <v>-1016322.5091027617</v>
      </c>
      <c r="AE205" s="160">
        <v>2830441.2876442075</v>
      </c>
      <c r="AF205" s="160">
        <v>-13675698.686637908</v>
      </c>
      <c r="AG205" s="160">
        <v>-12936750.418907583</v>
      </c>
    </row>
    <row r="206" spans="16:33" ht="15.75" customHeight="1">
      <c r="P206" s="159"/>
      <c r="Q206" s="159">
        <v>189</v>
      </c>
      <c r="R206" s="160">
        <v>-26104403.510986239</v>
      </c>
      <c r="S206" s="160">
        <v>-22594678.960261151</v>
      </c>
      <c r="T206" s="160">
        <v>-17853509.399046063</v>
      </c>
      <c r="U206" s="160">
        <v>-12379670.964022592</v>
      </c>
      <c r="V206" s="160">
        <v>-4239458.3299752325</v>
      </c>
      <c r="W206" s="161">
        <v>1326464.4650879353</v>
      </c>
      <c r="X206" s="160">
        <v>6755272.0969106257</v>
      </c>
      <c r="Y206" s="160">
        <v>8877953.7814385295</v>
      </c>
      <c r="Z206" s="160">
        <v>17873049.478110313</v>
      </c>
      <c r="AA206" s="160">
        <v>15621235.171665907</v>
      </c>
      <c r="AB206" s="160">
        <v>16834276.368681639</v>
      </c>
      <c r="AC206" s="160">
        <v>4450872.710114032</v>
      </c>
      <c r="AD206" s="160">
        <v>3394941.6353251934</v>
      </c>
      <c r="AE206" s="160">
        <v>-11655808.361345217</v>
      </c>
      <c r="AF206" s="160">
        <v>-8737680.3562975377</v>
      </c>
      <c r="AG206" s="160">
        <v>-20901609.954053313</v>
      </c>
    </row>
    <row r="207" spans="16:33" ht="15.75" customHeight="1">
      <c r="P207" s="159"/>
      <c r="Q207" s="159">
        <v>190</v>
      </c>
      <c r="R207" s="160">
        <v>-35190460.443118662</v>
      </c>
      <c r="S207" s="160">
        <v>-17672699.998027578</v>
      </c>
      <c r="T207" s="160">
        <v>-13928831.176986396</v>
      </c>
      <c r="U207" s="160">
        <v>-12258133.099626422</v>
      </c>
      <c r="V207" s="160">
        <v>-5876108.8845846653</v>
      </c>
      <c r="W207" s="161">
        <v>1832883.4456803948</v>
      </c>
      <c r="X207" s="160">
        <v>16396389.729551226</v>
      </c>
      <c r="Y207" s="160">
        <v>5192437.4211148024</v>
      </c>
      <c r="Z207" s="160">
        <v>12339696.053775311</v>
      </c>
      <c r="AA207" s="160">
        <v>8784441.7094926536</v>
      </c>
      <c r="AB207" s="160">
        <v>12393943.24320057</v>
      </c>
      <c r="AC207" s="160">
        <v>2121054.7879152894</v>
      </c>
      <c r="AD207" s="160">
        <v>3455821.8036177456</v>
      </c>
      <c r="AE207" s="160">
        <v>7183942.2315061688</v>
      </c>
      <c r="AF207" s="160">
        <v>-10806953.678361997</v>
      </c>
      <c r="AG207" s="160">
        <v>-5915267.7597634047</v>
      </c>
    </row>
    <row r="208" spans="16:33" ht="15.75" customHeight="1">
      <c r="P208" s="159"/>
      <c r="Q208" s="159">
        <v>191</v>
      </c>
      <c r="R208" s="160">
        <v>-40308013.549662262</v>
      </c>
      <c r="S208" s="160">
        <v>-18880691.37793684</v>
      </c>
      <c r="T208" s="160">
        <v>-17154726.550042093</v>
      </c>
      <c r="U208" s="160">
        <v>-13435763.525014445</v>
      </c>
      <c r="V208" s="160">
        <v>-6661662.5426900238</v>
      </c>
      <c r="W208" s="161">
        <v>-3379488.7770418823</v>
      </c>
      <c r="X208" s="160">
        <v>8550615.3620435596</v>
      </c>
      <c r="Y208" s="160">
        <v>14106830.976524383</v>
      </c>
      <c r="Z208" s="160">
        <v>14862156.967722893</v>
      </c>
      <c r="AA208" s="160">
        <v>5109782.8719891608</v>
      </c>
      <c r="AB208" s="160">
        <v>6255461.3296489567</v>
      </c>
      <c r="AC208" s="160">
        <v>1467762.9352333546</v>
      </c>
      <c r="AD208" s="160">
        <v>-63682.686433672905</v>
      </c>
      <c r="AE208" s="160">
        <v>-15144085.66203934</v>
      </c>
      <c r="AF208" s="160">
        <v>-6836983.8319312036</v>
      </c>
      <c r="AG208" s="160">
        <v>-23184085.296082869</v>
      </c>
    </row>
    <row r="209" spans="16:33" ht="15.75" customHeight="1">
      <c r="P209" s="159"/>
      <c r="Q209" s="159">
        <v>192</v>
      </c>
      <c r="R209" s="160">
        <v>-34476985.745326549</v>
      </c>
      <c r="S209" s="160">
        <v>-21024388.757057652</v>
      </c>
      <c r="T209" s="160">
        <v>-18789880.363976315</v>
      </c>
      <c r="U209" s="160">
        <v>-7428111.208929047</v>
      </c>
      <c r="V209" s="160">
        <v>-1594149.1773183346</v>
      </c>
      <c r="W209" s="161">
        <v>5502416.5885984004</v>
      </c>
      <c r="X209" s="160">
        <v>18017999.314985409</v>
      </c>
      <c r="Y209" s="160">
        <v>9759797.2455907911</v>
      </c>
      <c r="Z209" s="160">
        <v>16271721.559894651</v>
      </c>
      <c r="AA209" s="160">
        <v>4470875.4909025878</v>
      </c>
      <c r="AB209" s="160">
        <v>3585068.1591926515</v>
      </c>
      <c r="AC209" s="160">
        <v>6247093.2095936388</v>
      </c>
      <c r="AD209" s="160">
        <v>7627886.5301194191</v>
      </c>
      <c r="AE209" s="160">
        <v>-8615616.375197649</v>
      </c>
      <c r="AF209" s="160">
        <v>-16255511.141228646</v>
      </c>
      <c r="AG209" s="160">
        <v>-10944204.35145697</v>
      </c>
    </row>
    <row r="210" spans="16:33" ht="15.75" customHeight="1">
      <c r="P210" s="159"/>
      <c r="Q210" s="159">
        <v>193</v>
      </c>
      <c r="R210" s="160">
        <v>-31074321.255295619</v>
      </c>
      <c r="S210" s="160">
        <v>-26902961.02440609</v>
      </c>
      <c r="T210" s="160">
        <v>-17306495.708983973</v>
      </c>
      <c r="U210" s="160">
        <v>175258.02147860825</v>
      </c>
      <c r="V210" s="160">
        <v>-2362556.5965997428</v>
      </c>
      <c r="W210" s="161">
        <v>7719030.4506161362</v>
      </c>
      <c r="X210" s="160">
        <v>4670803.0892216712</v>
      </c>
      <c r="Y210" s="160">
        <v>17414589.371374488</v>
      </c>
      <c r="Z210" s="160">
        <v>13659746.530410707</v>
      </c>
      <c r="AA210" s="160">
        <v>6559586.0666086823</v>
      </c>
      <c r="AB210" s="160">
        <v>11511929.39735654</v>
      </c>
      <c r="AC210" s="160">
        <v>12878952.421340391</v>
      </c>
      <c r="AD210" s="160">
        <v>3581080.0093280375</v>
      </c>
      <c r="AE210" s="160">
        <v>-8511250.910937801</v>
      </c>
      <c r="AF210" s="160">
        <v>-10632455.004404262</v>
      </c>
      <c r="AG210" s="160">
        <v>-27542051.822443783</v>
      </c>
    </row>
    <row r="211" spans="16:33" ht="15.75" customHeight="1">
      <c r="P211" s="159"/>
      <c r="Q211" s="159">
        <v>194</v>
      </c>
      <c r="R211" s="160">
        <v>-34427432.904583126</v>
      </c>
      <c r="S211" s="160">
        <v>-28773437.268292665</v>
      </c>
      <c r="T211" s="160">
        <v>-13671639.89267765</v>
      </c>
      <c r="U211" s="160">
        <v>-10975925.914119393</v>
      </c>
      <c r="V211" s="160">
        <v>-11822945.737519503</v>
      </c>
      <c r="W211" s="161">
        <v>3873189.3338873684</v>
      </c>
      <c r="X211" s="160">
        <v>3362899.8040533513</v>
      </c>
      <c r="Y211" s="160">
        <v>17070184.483634934</v>
      </c>
      <c r="Z211" s="160">
        <v>10871216.499324411</v>
      </c>
      <c r="AA211" s="160">
        <v>8548243.1530872732</v>
      </c>
      <c r="AB211" s="160">
        <v>10421487.505234271</v>
      </c>
      <c r="AC211" s="160">
        <v>-623604.8374248147</v>
      </c>
      <c r="AD211" s="160">
        <v>3109011.8250210583</v>
      </c>
      <c r="AE211" s="160">
        <v>-4234342.4254765362</v>
      </c>
      <c r="AF211" s="160">
        <v>-8706346.1276332587</v>
      </c>
      <c r="AG211" s="160">
        <v>-22583719.034952104</v>
      </c>
    </row>
    <row r="212" spans="16:33" ht="15.75" customHeight="1">
      <c r="P212" s="159"/>
      <c r="Q212" s="159">
        <v>195</v>
      </c>
      <c r="R212" s="160">
        <v>-37860956.095120162</v>
      </c>
      <c r="S212" s="160">
        <v>-27298249.239816681</v>
      </c>
      <c r="T212" s="160">
        <v>-11012930.33175084</v>
      </c>
      <c r="U212" s="160">
        <v>-11772937.723301396</v>
      </c>
      <c r="V212" s="160">
        <v>6503358.7407772094</v>
      </c>
      <c r="W212" s="161">
        <v>3727509.2437295914</v>
      </c>
      <c r="X212" s="160">
        <v>20000153.710044995</v>
      </c>
      <c r="Y212" s="160">
        <v>5810202.7329450846</v>
      </c>
      <c r="Z212" s="160">
        <v>4710974.6002042294</v>
      </c>
      <c r="AA212" s="160">
        <v>9030220.0491202325</v>
      </c>
      <c r="AB212" s="160">
        <v>11464814.09352982</v>
      </c>
      <c r="AC212" s="160">
        <v>-1688196.5513159782</v>
      </c>
      <c r="AD212" s="160">
        <v>-11606957.282037541</v>
      </c>
      <c r="AE212" s="160">
        <v>-2981870.8346859813</v>
      </c>
      <c r="AF212" s="160">
        <v>-564438.42373980582</v>
      </c>
      <c r="AG212" s="160">
        <v>-29627047.20684205</v>
      </c>
    </row>
    <row r="213" spans="16:33" ht="15.75" customHeight="1">
      <c r="P213" s="159"/>
      <c r="Q213" s="159">
        <v>196</v>
      </c>
      <c r="R213" s="160">
        <v>-34884486.992424518</v>
      </c>
      <c r="S213" s="160">
        <v>-24483861.371302247</v>
      </c>
      <c r="T213" s="160">
        <v>-19218531.330687225</v>
      </c>
      <c r="U213" s="160">
        <v>-214047.23304499686</v>
      </c>
      <c r="V213" s="160">
        <v>-3731804.0749066025</v>
      </c>
      <c r="W213" s="161">
        <v>4277723.7323188186</v>
      </c>
      <c r="X213" s="160">
        <v>9343784.6079225242</v>
      </c>
      <c r="Y213" s="160">
        <v>7446017.1761690974</v>
      </c>
      <c r="Z213" s="160">
        <v>18106601.479539186</v>
      </c>
      <c r="AA213" s="160">
        <v>18948595.193023011</v>
      </c>
      <c r="AB213" s="160">
        <v>2624998.6802795976</v>
      </c>
      <c r="AC213" s="160">
        <v>9835504.4356631637</v>
      </c>
      <c r="AD213" s="160">
        <v>13085600.240065724</v>
      </c>
      <c r="AE213" s="160">
        <v>175738.27234074473</v>
      </c>
      <c r="AF213" s="160">
        <v>-6024476.8846269548</v>
      </c>
      <c r="AG213" s="160">
        <v>-22407646.50383459</v>
      </c>
    </row>
    <row r="214" spans="16:33" ht="15.75" customHeight="1">
      <c r="P214" s="159"/>
      <c r="Q214" s="159">
        <v>197</v>
      </c>
      <c r="R214" s="160">
        <v>-32370696.088043094</v>
      </c>
      <c r="S214" s="160">
        <v>-31757795.233605117</v>
      </c>
      <c r="T214" s="160">
        <v>-9545338.8490983546</v>
      </c>
      <c r="U214" s="160">
        <v>-4388907.472592324</v>
      </c>
      <c r="V214" s="160">
        <v>-4554825.8963364363</v>
      </c>
      <c r="W214" s="161">
        <v>-3233874.3838248849</v>
      </c>
      <c r="X214" s="160">
        <v>769008.21635849774</v>
      </c>
      <c r="Y214" s="160">
        <v>9141182.6511234939</v>
      </c>
      <c r="Z214" s="160">
        <v>12600706.909278482</v>
      </c>
      <c r="AA214" s="160">
        <v>17901799.549399108</v>
      </c>
      <c r="AB214" s="160">
        <v>4785632.4197934419</v>
      </c>
      <c r="AC214" s="160">
        <v>7017272.2259308696</v>
      </c>
      <c r="AD214" s="160">
        <v>8053653.1593128443</v>
      </c>
      <c r="AE214" s="160">
        <v>-9353683.9952755272</v>
      </c>
      <c r="AF214" s="160">
        <v>-22095376.724355787</v>
      </c>
      <c r="AG214" s="160">
        <v>-13536197.908507571</v>
      </c>
    </row>
    <row r="215" spans="16:33" ht="15.75" customHeight="1">
      <c r="P215" s="159"/>
      <c r="Q215" s="159">
        <v>198</v>
      </c>
      <c r="R215" s="160">
        <v>-40036153.250295073</v>
      </c>
      <c r="S215" s="160">
        <v>-18795499.675223976</v>
      </c>
      <c r="T215" s="160">
        <v>-11025705.736796528</v>
      </c>
      <c r="U215" s="160">
        <v>-11761689.595882565</v>
      </c>
      <c r="V215" s="160">
        <v>-4353708.8106036186</v>
      </c>
      <c r="W215" s="161">
        <v>-4516583.1113363504</v>
      </c>
      <c r="X215" s="160">
        <v>14350659.392808124</v>
      </c>
      <c r="Y215" s="160">
        <v>10104983.629316181</v>
      </c>
      <c r="Z215" s="160">
        <v>12193698.183344394</v>
      </c>
      <c r="AA215" s="160">
        <v>13823368.680400625</v>
      </c>
      <c r="AB215" s="160">
        <v>21006178.215961039</v>
      </c>
      <c r="AC215" s="160">
        <v>4797029.5598589033</v>
      </c>
      <c r="AD215" s="160">
        <v>9432580.9398911148</v>
      </c>
      <c r="AE215" s="160">
        <v>-3536988.6678100079</v>
      </c>
      <c r="AF215" s="160">
        <v>-7980362.5440454632</v>
      </c>
      <c r="AG215" s="160">
        <v>-18750256.266755208</v>
      </c>
    </row>
    <row r="216" spans="16:33" ht="15.75" customHeight="1">
      <c r="P216" s="159"/>
      <c r="Q216" s="159">
        <v>199</v>
      </c>
      <c r="R216" s="160">
        <v>-39690081.607534081</v>
      </c>
      <c r="S216" s="160">
        <v>-21754508.829794288</v>
      </c>
      <c r="T216" s="160">
        <v>-17946699.308286399</v>
      </c>
      <c r="U216" s="160">
        <v>-11952798.389647901</v>
      </c>
      <c r="V216" s="160">
        <v>-6094502.0984297693</v>
      </c>
      <c r="W216" s="161">
        <v>1495924.5365680158</v>
      </c>
      <c r="X216" s="160">
        <v>-6629789.2672151327</v>
      </c>
      <c r="Y216" s="160">
        <v>2455883.5397255719</v>
      </c>
      <c r="Z216" s="160">
        <v>23262891.844369426</v>
      </c>
      <c r="AA216" s="160">
        <v>16982301.272525221</v>
      </c>
      <c r="AB216" s="160">
        <v>19429071.487917587</v>
      </c>
      <c r="AC216" s="160">
        <v>6823658.0244892389</v>
      </c>
      <c r="AD216" s="160">
        <v>-8553739.0571978837</v>
      </c>
      <c r="AE216" s="160">
        <v>-522039.17604188621</v>
      </c>
      <c r="AF216" s="160">
        <v>-10115604.434023514</v>
      </c>
      <c r="AG216" s="160">
        <v>-13793250.355042964</v>
      </c>
    </row>
    <row r="217" spans="16:33" ht="15.75" customHeight="1">
      <c r="P217" s="159"/>
      <c r="Q217" s="159">
        <v>200</v>
      </c>
      <c r="R217" s="160">
        <v>-43760196.036619425</v>
      </c>
      <c r="S217" s="160">
        <v>-20308470.936940402</v>
      </c>
      <c r="T217" s="160">
        <v>-11737763.570317343</v>
      </c>
      <c r="U217" s="160">
        <v>-5603088.9120022953</v>
      </c>
      <c r="V217" s="160">
        <v>-7299944.787355423</v>
      </c>
      <c r="W217" s="161">
        <v>1774780.3363479078</v>
      </c>
      <c r="X217" s="160">
        <v>6132161.164174661</v>
      </c>
      <c r="Y217" s="160">
        <v>3502239.7701030672</v>
      </c>
      <c r="Z217" s="160">
        <v>9678306.1028315425</v>
      </c>
      <c r="AA217" s="160">
        <v>2217096.7640968412</v>
      </c>
      <c r="AB217" s="160">
        <v>19926505.540388271</v>
      </c>
      <c r="AC217" s="160">
        <v>-4414737.5540277809</v>
      </c>
      <c r="AD217" s="160">
        <v>-2792040.3577035666</v>
      </c>
      <c r="AE217" s="160">
        <v>-5802735.1594416052</v>
      </c>
      <c r="AF217" s="160">
        <v>-4677704.1924423426</v>
      </c>
      <c r="AG217" s="160">
        <v>-17076135.651258856</v>
      </c>
    </row>
    <row r="218" spans="16:33" ht="15.75" customHeight="1">
      <c r="P218" s="159"/>
      <c r="Q218" s="159">
        <v>201</v>
      </c>
      <c r="R218" s="160">
        <v>-31732371.672036856</v>
      </c>
      <c r="S218" s="160">
        <v>-27521199.110334009</v>
      </c>
      <c r="T218" s="160">
        <v>-17697020.974290058</v>
      </c>
      <c r="U218" s="160">
        <v>-3453032.0456413627</v>
      </c>
      <c r="V218" s="160">
        <v>3470764.970824942</v>
      </c>
      <c r="W218" s="161">
        <v>4404033.8114197105</v>
      </c>
      <c r="X218" s="160">
        <v>3427518.4285993725</v>
      </c>
      <c r="Y218" s="160">
        <v>12916329.493451223</v>
      </c>
      <c r="Z218" s="160">
        <v>18061715.885570407</v>
      </c>
      <c r="AA218" s="160">
        <v>9451918.3348141909</v>
      </c>
      <c r="AB218" s="160">
        <v>7403921.0934753418</v>
      </c>
      <c r="AC218" s="160">
        <v>5432472.3923950195</v>
      </c>
      <c r="AD218" s="160">
        <v>4126675.0817171335</v>
      </c>
      <c r="AE218" s="160">
        <v>-10259456.808207601</v>
      </c>
      <c r="AF218" s="160">
        <v>-12918958.428930447</v>
      </c>
      <c r="AG218" s="160">
        <v>-16172846.288987726</v>
      </c>
    </row>
    <row r="219" spans="16:33" ht="15.75" customHeight="1">
      <c r="P219" s="159"/>
      <c r="Q219" s="159">
        <v>202</v>
      </c>
      <c r="R219" s="160">
        <v>-35736983.648470387</v>
      </c>
      <c r="S219" s="160">
        <v>-30467419.749553993</v>
      </c>
      <c r="T219" s="160">
        <v>-10778861.064994797</v>
      </c>
      <c r="U219" s="160">
        <v>-8095291.6592594683</v>
      </c>
      <c r="V219" s="160">
        <v>-9892190.0840044916</v>
      </c>
      <c r="W219" s="161">
        <v>9275051.829243809</v>
      </c>
      <c r="X219" s="160">
        <v>6676629.856894806</v>
      </c>
      <c r="Y219" s="160">
        <v>23987599.448212475</v>
      </c>
      <c r="Z219" s="160">
        <v>13643633.44921571</v>
      </c>
      <c r="AA219" s="160">
        <v>7905091.4322429895</v>
      </c>
      <c r="AB219" s="160">
        <v>14636050.288271099</v>
      </c>
      <c r="AC219" s="160">
        <v>10879053.234065786</v>
      </c>
      <c r="AD219" s="160">
        <v>-71376.828315287828</v>
      </c>
      <c r="AE219" s="160">
        <v>973929.28209733963</v>
      </c>
      <c r="AF219" s="160">
        <v>-10746674.980841383</v>
      </c>
      <c r="AG219" s="160">
        <v>-19135230.161979303</v>
      </c>
    </row>
    <row r="220" spans="16:33" ht="15.75" customHeight="1">
      <c r="P220" s="159"/>
      <c r="Q220" s="159">
        <v>203</v>
      </c>
      <c r="R220" s="160">
        <v>-30472577.772283584</v>
      </c>
      <c r="S220" s="160">
        <v>-18551240.140423149</v>
      </c>
      <c r="T220" s="160">
        <v>-14862842.371867582</v>
      </c>
      <c r="U220" s="160">
        <v>-20619633.837779641</v>
      </c>
      <c r="V220" s="160">
        <v>-6470651.4301752895</v>
      </c>
      <c r="W220" s="161">
        <v>10071839.33930786</v>
      </c>
      <c r="X220" s="160">
        <v>18896240.104541287</v>
      </c>
      <c r="Y220" s="160">
        <v>12769033.161777139</v>
      </c>
      <c r="Z220" s="160">
        <v>21452610.102796614</v>
      </c>
      <c r="AA220" s="160">
        <v>8837474.2271335721</v>
      </c>
      <c r="AB220" s="160">
        <v>6281280.5491691381</v>
      </c>
      <c r="AC220" s="160">
        <v>11522343.548935354</v>
      </c>
      <c r="AD220" s="160">
        <v>-1856414.5069126338</v>
      </c>
      <c r="AE220" s="160">
        <v>-2286911.9954008609</v>
      </c>
      <c r="AF220" s="160">
        <v>-8874123.618588075</v>
      </c>
      <c r="AG220" s="160">
        <v>-12830890.10359624</v>
      </c>
    </row>
    <row r="221" spans="16:33" ht="15.75" customHeight="1">
      <c r="P221" s="159"/>
      <c r="Q221" s="159">
        <v>204</v>
      </c>
      <c r="R221" s="160">
        <v>-41000725.301260263</v>
      </c>
      <c r="S221" s="160">
        <v>-28265029.023818493</v>
      </c>
      <c r="T221" s="160">
        <v>-11190404.855087921</v>
      </c>
      <c r="U221" s="160">
        <v>-14622471.330787227</v>
      </c>
      <c r="V221" s="160">
        <v>1057107.9768294543</v>
      </c>
      <c r="W221" s="161">
        <v>-1613614.2124456316</v>
      </c>
      <c r="X221" s="160">
        <v>5796334.5285238326</v>
      </c>
      <c r="Y221" s="160">
        <v>8418646.1319533288</v>
      </c>
      <c r="Z221" s="160">
        <v>13390598.451876029</v>
      </c>
      <c r="AA221" s="160">
        <v>152079.27210116386</v>
      </c>
      <c r="AB221" s="160">
        <v>16526892.614389047</v>
      </c>
      <c r="AC221" s="160">
        <v>7306095.9917130023</v>
      </c>
      <c r="AD221" s="160">
        <v>-1135919.3855415285</v>
      </c>
      <c r="AE221" s="160">
        <v>-2211296.0646100491</v>
      </c>
      <c r="AF221" s="160">
        <v>-3084066.4850021154</v>
      </c>
      <c r="AG221" s="160">
        <v>-24669936.717088908</v>
      </c>
    </row>
    <row r="222" spans="16:33" ht="15.75" customHeight="1">
      <c r="P222" s="159"/>
      <c r="Q222" s="159">
        <v>205</v>
      </c>
      <c r="R222" s="160">
        <v>-41565008.315537214</v>
      </c>
      <c r="S222" s="160">
        <v>-29992476.778010041</v>
      </c>
      <c r="T222" s="160">
        <v>-14193510.958403498</v>
      </c>
      <c r="U222" s="160">
        <v>-12053774.700122178</v>
      </c>
      <c r="V222" s="160">
        <v>7053452.9172708988</v>
      </c>
      <c r="W222" s="161">
        <v>148150.21129597723</v>
      </c>
      <c r="X222" s="160">
        <v>6249598.0665770471</v>
      </c>
      <c r="Y222" s="160">
        <v>16728627.455165312</v>
      </c>
      <c r="Z222" s="160">
        <v>12435935.132743329</v>
      </c>
      <c r="AA222" s="160">
        <v>17550590.598053411</v>
      </c>
      <c r="AB222" s="160">
        <v>7331341.3308083713</v>
      </c>
      <c r="AC222" s="160">
        <v>-3834129.0844390541</v>
      </c>
      <c r="AD222" s="160">
        <v>108847.0206387192</v>
      </c>
      <c r="AE222" s="160">
        <v>-5665697.7303587347</v>
      </c>
      <c r="AF222" s="160">
        <v>-5176726.46882689</v>
      </c>
      <c r="AG222" s="160">
        <v>-22935450.910382152</v>
      </c>
    </row>
    <row r="223" spans="16:33" ht="15.75" customHeight="1">
      <c r="P223" s="159"/>
      <c r="Q223" s="159">
        <v>206</v>
      </c>
      <c r="R223" s="160">
        <v>-31342690.048120737</v>
      </c>
      <c r="S223" s="160">
        <v>-29138474.87078093</v>
      </c>
      <c r="T223" s="160">
        <v>-20392793.899012685</v>
      </c>
      <c r="U223" s="160">
        <v>-12011846.40704295</v>
      </c>
      <c r="V223" s="160">
        <v>-666128.15179038048</v>
      </c>
      <c r="W223" s="161">
        <v>-3028558.8140128851</v>
      </c>
      <c r="X223" s="160">
        <v>-65545.033724099398</v>
      </c>
      <c r="Y223" s="160">
        <v>11366616.255404055</v>
      </c>
      <c r="Z223" s="160">
        <v>10738300.333867818</v>
      </c>
      <c r="AA223" s="160">
        <v>18506688.498279139</v>
      </c>
      <c r="AB223" s="160">
        <v>22891533.654461831</v>
      </c>
      <c r="AC223" s="160">
        <v>2921412.6034083217</v>
      </c>
      <c r="AD223" s="160">
        <v>4184077.679353714</v>
      </c>
      <c r="AE223" s="160">
        <v>-2778643.0471843183</v>
      </c>
      <c r="AF223" s="160">
        <v>-8150803.7605516016</v>
      </c>
      <c r="AG223" s="160">
        <v>-16889697.004282564</v>
      </c>
    </row>
    <row r="224" spans="16:33" ht="15.75" customHeight="1">
      <c r="P224" s="159"/>
      <c r="Q224" s="159">
        <v>207</v>
      </c>
      <c r="R224" s="160">
        <v>-38556563.673066646</v>
      </c>
      <c r="S224" s="160">
        <v>-30740972.876550749</v>
      </c>
      <c r="T224" s="160">
        <v>-9884054.4180975258</v>
      </c>
      <c r="U224" s="160">
        <v>-6881748.208065331</v>
      </c>
      <c r="V224" s="160">
        <v>-5832211.6745863706</v>
      </c>
      <c r="W224" s="161">
        <v>5584511.7470874637</v>
      </c>
      <c r="X224" s="160">
        <v>7569397.3698364496</v>
      </c>
      <c r="Y224" s="160">
        <v>18490555.479716465</v>
      </c>
      <c r="Z224" s="160">
        <v>7584995.1182645112</v>
      </c>
      <c r="AA224" s="160">
        <v>19585979.730302021</v>
      </c>
      <c r="AB224" s="160">
        <v>8717844.6485813558</v>
      </c>
      <c r="AC224" s="160">
        <v>3379681.0793412179</v>
      </c>
      <c r="AD224" s="160">
        <v>5996593.9471754432</v>
      </c>
      <c r="AE224" s="160">
        <v>6279596.2134545147</v>
      </c>
      <c r="AF224" s="160">
        <v>-10555456.963464558</v>
      </c>
      <c r="AG224" s="160">
        <v>-9858886.3240659833</v>
      </c>
    </row>
    <row r="225" spans="16:33" ht="15.75" customHeight="1">
      <c r="P225" s="159"/>
      <c r="Q225" s="159">
        <v>208</v>
      </c>
      <c r="R225" s="160">
        <v>-28798796.3678478</v>
      </c>
      <c r="S225" s="160">
        <v>-24415095.275257796</v>
      </c>
      <c r="T225" s="160">
        <v>-12617405.920758694</v>
      </c>
      <c r="U225" s="160">
        <v>-12789805.459032387</v>
      </c>
      <c r="V225" s="160">
        <v>-1161600.0343773067</v>
      </c>
      <c r="W225" s="161">
        <v>-1551811.2358673513</v>
      </c>
      <c r="X225" s="160">
        <v>17486829.663958937</v>
      </c>
      <c r="Y225" s="160">
        <v>7897707.6057449132</v>
      </c>
      <c r="Z225" s="160">
        <v>10578248.010690004</v>
      </c>
      <c r="AA225" s="160">
        <v>12843713.025602445</v>
      </c>
      <c r="AB225" s="160">
        <v>13502038.060089737</v>
      </c>
      <c r="AC225" s="160">
        <v>4882183.1890752017</v>
      </c>
      <c r="AD225" s="160">
        <v>-8399891.2806009948</v>
      </c>
      <c r="AE225" s="160">
        <v>-9499159.0627955496</v>
      </c>
      <c r="AF225" s="160">
        <v>-474690.48138612509</v>
      </c>
      <c r="AG225" s="160">
        <v>-12331214.794647634</v>
      </c>
    </row>
    <row r="226" spans="16:33" ht="15.75" customHeight="1">
      <c r="P226" s="159"/>
      <c r="Q226" s="159">
        <v>209</v>
      </c>
      <c r="R226" s="160">
        <v>-41148379.615957022</v>
      </c>
      <c r="S226" s="160">
        <v>-13704900.177361697</v>
      </c>
      <c r="T226" s="160">
        <v>-13509922.409895003</v>
      </c>
      <c r="U226" s="160">
        <v>-12101029.388127983</v>
      </c>
      <c r="V226" s="160">
        <v>-3677419.6181779653</v>
      </c>
      <c r="W226" s="161">
        <v>5516103.4667579234</v>
      </c>
      <c r="X226" s="160">
        <v>12509138.714303538</v>
      </c>
      <c r="Y226" s="160">
        <v>13954577.466108769</v>
      </c>
      <c r="Z226" s="160">
        <v>15189245.353066161</v>
      </c>
      <c r="AA226" s="160">
        <v>5060161.9947080463</v>
      </c>
      <c r="AB226" s="160">
        <v>2639480.2296577692</v>
      </c>
      <c r="AC226" s="160">
        <v>8816239.7929646671</v>
      </c>
      <c r="AD226" s="160">
        <v>735796.90966443717</v>
      </c>
      <c r="AE226" s="160">
        <v>-15723739.486813486</v>
      </c>
      <c r="AF226" s="160">
        <v>-14375058.123722717</v>
      </c>
      <c r="AG226" s="160">
        <v>-7676102.0940262973</v>
      </c>
    </row>
    <row r="227" spans="16:33" ht="15.75" customHeight="1">
      <c r="P227" s="159"/>
      <c r="Q227" s="159">
        <v>210</v>
      </c>
      <c r="R227" s="160">
        <v>-33165324.634493724</v>
      </c>
      <c r="S227" s="160">
        <v>-24849786.613204658</v>
      </c>
      <c r="T227" s="160">
        <v>-21717024.316212237</v>
      </c>
      <c r="U227" s="160">
        <v>-8668824.1494185627</v>
      </c>
      <c r="V227" s="160">
        <v>10119338.108989269</v>
      </c>
      <c r="W227" s="161">
        <v>3713956.261474371</v>
      </c>
      <c r="X227" s="160">
        <v>7763908.4683729261</v>
      </c>
      <c r="Y227" s="160">
        <v>23951.360958144069</v>
      </c>
      <c r="Z227" s="160">
        <v>8165967.7969900817</v>
      </c>
      <c r="AA227" s="160">
        <v>9400432.7995010316</v>
      </c>
      <c r="AB227" s="160">
        <v>14610738.757897109</v>
      </c>
      <c r="AC227" s="160">
        <v>12682444.018323615</v>
      </c>
      <c r="AD227" s="160">
        <v>4295385.3461463302</v>
      </c>
      <c r="AE227" s="160">
        <v>7711158.1787508279</v>
      </c>
      <c r="AF227" s="160">
        <v>-5996024.6450514197</v>
      </c>
      <c r="AG227" s="160">
        <v>-2371102.6264276803</v>
      </c>
    </row>
    <row r="228" spans="16:33" ht="15.75" customHeight="1">
      <c r="P228" s="159"/>
      <c r="Q228" s="159">
        <v>211</v>
      </c>
      <c r="R228" s="160">
        <v>-37362433.287030965</v>
      </c>
      <c r="S228" s="160">
        <v>-29553757.538700148</v>
      </c>
      <c r="T228" s="160">
        <v>-17004178.93199876</v>
      </c>
      <c r="U228" s="160">
        <v>-12403334.4523561</v>
      </c>
      <c r="V228" s="160">
        <v>-2897017.7448533475</v>
      </c>
      <c r="W228" s="161">
        <v>15095057.376659796</v>
      </c>
      <c r="X228" s="160">
        <v>2072689.6301221699</v>
      </c>
      <c r="Y228" s="160">
        <v>-3618220.8143768907</v>
      </c>
      <c r="Z228" s="160">
        <v>8728912.7137675732</v>
      </c>
      <c r="AA228" s="160">
        <v>8888077.3918667287</v>
      </c>
      <c r="AB228" s="160">
        <v>14207280.69532606</v>
      </c>
      <c r="AC228" s="160">
        <v>9133584.6778438687</v>
      </c>
      <c r="AD228" s="160">
        <v>-517903.46965385973</v>
      </c>
      <c r="AE228" s="160">
        <v>-3968907.4883206487</v>
      </c>
      <c r="AF228" s="160">
        <v>-13912649.496968925</v>
      </c>
      <c r="AG228" s="160">
        <v>-19970847.734929562</v>
      </c>
    </row>
    <row r="229" spans="16:33" ht="15.75" customHeight="1">
      <c r="P229" s="159"/>
      <c r="Q229" s="159">
        <v>212</v>
      </c>
      <c r="R229" s="160">
        <v>-35415772.95275715</v>
      </c>
      <c r="S229" s="160">
        <v>-24642620.331943616</v>
      </c>
      <c r="T229" s="160">
        <v>-15780295.30213055</v>
      </c>
      <c r="U229" s="160">
        <v>-7135993.1406810582</v>
      </c>
      <c r="V229" s="160">
        <v>1173059.4339081496</v>
      </c>
      <c r="W229" s="161">
        <v>-2475564.6628794968</v>
      </c>
      <c r="X229" s="160">
        <v>7842643.5661790371</v>
      </c>
      <c r="Y229" s="160">
        <v>14285943.383190945</v>
      </c>
      <c r="Z229" s="160">
        <v>12328092.183460936</v>
      </c>
      <c r="AA229" s="160">
        <v>9169621.4697057456</v>
      </c>
      <c r="AB229" s="160">
        <v>15332709.82508111</v>
      </c>
      <c r="AC229" s="160">
        <v>7017784.0409004837</v>
      </c>
      <c r="AD229" s="160">
        <v>10392475.6569767</v>
      </c>
      <c r="AE229" s="160">
        <v>6073742.1117158234</v>
      </c>
      <c r="AF229" s="160">
        <v>-8467000.9115873277</v>
      </c>
      <c r="AG229" s="160">
        <v>-14089751.796690241</v>
      </c>
    </row>
    <row r="230" spans="16:33" ht="15.75" customHeight="1">
      <c r="P230" s="159"/>
      <c r="Q230" s="159">
        <v>213</v>
      </c>
      <c r="R230" s="160">
        <v>-37154012.208400279</v>
      </c>
      <c r="S230" s="160">
        <v>-22665027.391079322</v>
      </c>
      <c r="T230" s="160">
        <v>-21986922.285519466</v>
      </c>
      <c r="U230" s="160">
        <v>-10360108.678882822</v>
      </c>
      <c r="V230" s="160">
        <v>-595691.97913469374</v>
      </c>
      <c r="W230" s="161">
        <v>10330347.391561881</v>
      </c>
      <c r="X230" s="160">
        <v>4454938.3846063763</v>
      </c>
      <c r="Y230" s="160">
        <v>3100287.252877444</v>
      </c>
      <c r="Z230" s="160">
        <v>29315719.930715621</v>
      </c>
      <c r="AA230" s="160">
        <v>15969976.637853011</v>
      </c>
      <c r="AB230" s="160">
        <v>15485863.191852123</v>
      </c>
      <c r="AC230" s="160">
        <v>14500718.794796303</v>
      </c>
      <c r="AD230" s="160">
        <v>-4809467.0908161998</v>
      </c>
      <c r="AE230" s="160">
        <v>1113091.0261934847</v>
      </c>
      <c r="AF230" s="160">
        <v>-2260670.3727793694</v>
      </c>
      <c r="AG230" s="160">
        <v>-15378315.899040341</v>
      </c>
    </row>
    <row r="231" spans="16:33" ht="15.75" customHeight="1">
      <c r="P231" s="159"/>
      <c r="Q231" s="159">
        <v>214</v>
      </c>
      <c r="R231" s="160">
        <v>-40334198.185002372</v>
      </c>
      <c r="S231" s="160">
        <v>-29193217.345313817</v>
      </c>
      <c r="T231" s="160">
        <v>-12871915.925870806</v>
      </c>
      <c r="U231" s="160">
        <v>-6856380.191592589</v>
      </c>
      <c r="V231" s="160">
        <v>-9347028.0271622986</v>
      </c>
      <c r="W231" s="161">
        <v>4298550.2443138659</v>
      </c>
      <c r="X231" s="160">
        <v>12584674.137105539</v>
      </c>
      <c r="Y231" s="160">
        <v>7267389.6710445434</v>
      </c>
      <c r="Z231" s="160">
        <v>4437403.2145596594</v>
      </c>
      <c r="AA231" s="160">
        <v>10300710.921342537</v>
      </c>
      <c r="AB231" s="160">
        <v>4618104.8803189397</v>
      </c>
      <c r="AC231" s="160">
        <v>-325136.90781214833</v>
      </c>
      <c r="AD231" s="160">
        <v>367894.60116069019</v>
      </c>
      <c r="AE231" s="160">
        <v>1113084.747139141</v>
      </c>
      <c r="AF231" s="160">
        <v>-18613007.088769972</v>
      </c>
      <c r="AG231" s="160">
        <v>-21017187.166924894</v>
      </c>
    </row>
    <row r="232" spans="16:33" ht="15.75" customHeight="1">
      <c r="P232" s="159"/>
      <c r="Q232" s="159">
        <v>215</v>
      </c>
      <c r="R232" s="160">
        <v>-38816157.790592343</v>
      </c>
      <c r="S232" s="160">
        <v>-23200546.317412883</v>
      </c>
      <c r="T232" s="160">
        <v>-14866506.097062796</v>
      </c>
      <c r="U232" s="160">
        <v>5141993.0812243819</v>
      </c>
      <c r="V232" s="160">
        <v>9655114.2805517763</v>
      </c>
      <c r="W232" s="161">
        <v>2927031.9846946001</v>
      </c>
      <c r="X232" s="160">
        <v>10977831.162321642</v>
      </c>
      <c r="Y232" s="160">
        <v>10418441.278898522</v>
      </c>
      <c r="Z232" s="160">
        <v>13396960.845464438</v>
      </c>
      <c r="AA232" s="160">
        <v>17742018.897600576</v>
      </c>
      <c r="AB232" s="160">
        <v>20783519.505520523</v>
      </c>
      <c r="AC232" s="160">
        <v>3960128.812323451</v>
      </c>
      <c r="AD232" s="160">
        <v>3866458.6258415133</v>
      </c>
      <c r="AE232" s="160">
        <v>-1936621.1368981451</v>
      </c>
      <c r="AF232" s="160">
        <v>-10311069.43049711</v>
      </c>
      <c r="AG232" s="160">
        <v>-23480912.194176912</v>
      </c>
    </row>
    <row r="233" spans="16:33" ht="15.75" customHeight="1">
      <c r="P233" s="159"/>
      <c r="Q233" s="159">
        <v>216</v>
      </c>
      <c r="R233" s="160">
        <v>-33600574.457202107</v>
      </c>
      <c r="S233" s="160">
        <v>-26641770.982479036</v>
      </c>
      <c r="T233" s="160">
        <v>-13485233.78376703</v>
      </c>
      <c r="U233" s="160">
        <v>-9346388.0977917463</v>
      </c>
      <c r="V233" s="160">
        <v>-7835602.676472351</v>
      </c>
      <c r="W233" s="161">
        <v>6151037.6318909526</v>
      </c>
      <c r="X233" s="160">
        <v>20573823.918583512</v>
      </c>
      <c r="Y233" s="160">
        <v>25950831.99934411</v>
      </c>
      <c r="Z233" s="160">
        <v>4641298.2387432456</v>
      </c>
      <c r="AA233" s="160">
        <v>15836303.275853381</v>
      </c>
      <c r="AB233" s="160">
        <v>-1977368.7485609502</v>
      </c>
      <c r="AC233" s="160">
        <v>1987987.7222675234</v>
      </c>
      <c r="AD233" s="160">
        <v>-1396885.3586053848</v>
      </c>
      <c r="AE233" s="160">
        <v>-76556.342751771212</v>
      </c>
      <c r="AF233" s="160">
        <v>-14266596.953301147</v>
      </c>
      <c r="AG233" s="160">
        <v>-14457967.708608106</v>
      </c>
    </row>
    <row r="234" spans="16:33" ht="15.75" customHeight="1">
      <c r="P234" s="159"/>
      <c r="Q234" s="159">
        <v>217</v>
      </c>
      <c r="R234" s="160">
        <v>-35779053.318207651</v>
      </c>
      <c r="S234" s="160">
        <v>-25276842.408909604</v>
      </c>
      <c r="T234" s="160">
        <v>-9436510.1357852817</v>
      </c>
      <c r="U234" s="160">
        <v>-3189687.5376544148</v>
      </c>
      <c r="V234" s="160">
        <v>-3004208.738850385</v>
      </c>
      <c r="W234" s="161">
        <v>2386657.8031128496</v>
      </c>
      <c r="X234" s="160">
        <v>3706840.9363169223</v>
      </c>
      <c r="Y234" s="160">
        <v>15756297.186418653</v>
      </c>
      <c r="Z234" s="160">
        <v>12402952.346062332</v>
      </c>
      <c r="AA234" s="160">
        <v>17070238.243952021</v>
      </c>
      <c r="AB234" s="160">
        <v>7126771.5362014025</v>
      </c>
      <c r="AC234" s="160">
        <v>5521426.7593237162</v>
      </c>
      <c r="AD234" s="160">
        <v>6574589.1461787522</v>
      </c>
      <c r="AE234" s="160">
        <v>1947699.0098800659</v>
      </c>
      <c r="AF234" s="160">
        <v>-17187004.754270017</v>
      </c>
      <c r="AG234" s="160">
        <v>-13919001.085347831</v>
      </c>
    </row>
    <row r="235" spans="16:33" ht="15.75" customHeight="1">
      <c r="P235" s="159"/>
      <c r="Q235" s="159">
        <v>218</v>
      </c>
      <c r="R235" s="160">
        <v>-34797908.66335769</v>
      </c>
      <c r="S235" s="160">
        <v>-25667451.757339954</v>
      </c>
      <c r="T235" s="160">
        <v>-19236071.256875619</v>
      </c>
      <c r="U235" s="160">
        <v>-10343783.370066538</v>
      </c>
      <c r="V235" s="160">
        <v>1378666.6253540665</v>
      </c>
      <c r="W235" s="161">
        <v>-1442016.8297715336</v>
      </c>
      <c r="X235" s="160">
        <v>-702035.73613287508</v>
      </c>
      <c r="Y235" s="160">
        <v>8886010.5630278885</v>
      </c>
      <c r="Z235" s="160">
        <v>18828140.732848778</v>
      </c>
      <c r="AA235" s="160">
        <v>6448614.00624533</v>
      </c>
      <c r="AB235" s="160">
        <v>11269328.472997576</v>
      </c>
      <c r="AC235" s="160">
        <v>8254649.2942586839</v>
      </c>
      <c r="AD235" s="160">
        <v>6059820.6969140917</v>
      </c>
      <c r="AE235" s="160">
        <v>-6637868.5012920201</v>
      </c>
      <c r="AF235" s="160">
        <v>-8690221.6921696365</v>
      </c>
      <c r="AG235" s="160">
        <v>-19707896.047165364</v>
      </c>
    </row>
    <row r="236" spans="16:33" ht="15.75" customHeight="1">
      <c r="P236" s="159"/>
      <c r="Q236" s="159">
        <v>219</v>
      </c>
      <c r="R236" s="160">
        <v>-38592390.999114156</v>
      </c>
      <c r="S236" s="160">
        <v>-20029420.519459844</v>
      </c>
      <c r="T236" s="160">
        <v>-16499131.449278876</v>
      </c>
      <c r="U236" s="160">
        <v>-10932881.100673914</v>
      </c>
      <c r="V236" s="160">
        <v>-120114.78273995221</v>
      </c>
      <c r="W236" s="161">
        <v>15919335.074051693</v>
      </c>
      <c r="X236" s="160">
        <v>14269413.35150972</v>
      </c>
      <c r="Y236" s="160">
        <v>3785595.0854039341</v>
      </c>
      <c r="Z236" s="160">
        <v>13804711.825068504</v>
      </c>
      <c r="AA236" s="160">
        <v>8777068.5687330663</v>
      </c>
      <c r="AB236" s="160">
        <v>9554779.0750535429</v>
      </c>
      <c r="AC236" s="160">
        <v>14340432.876830474</v>
      </c>
      <c r="AD236" s="160">
        <v>2949809.7811859548</v>
      </c>
      <c r="AE236" s="160">
        <v>-2467676.0788486749</v>
      </c>
      <c r="AF236" s="160">
        <v>-9661986.1609073877</v>
      </c>
      <c r="AG236" s="160">
        <v>-19808759.908834949</v>
      </c>
    </row>
    <row r="237" spans="16:33" ht="15.75" customHeight="1">
      <c r="P237" s="159"/>
      <c r="Q237" s="159">
        <v>220</v>
      </c>
      <c r="R237" s="160">
        <v>-41745775.929675549</v>
      </c>
      <c r="S237" s="160">
        <v>-29564136.292511389</v>
      </c>
      <c r="T237" s="160">
        <v>-14440846.370538473</v>
      </c>
      <c r="U237" s="160">
        <v>-1727810.2722678185</v>
      </c>
      <c r="V237" s="160">
        <v>1692093.3449458182</v>
      </c>
      <c r="W237" s="161">
        <v>12567436.602726087</v>
      </c>
      <c r="X237" s="160">
        <v>2453635.8808564842</v>
      </c>
      <c r="Y237" s="160">
        <v>10093737.601684839</v>
      </c>
      <c r="Z237" s="160">
        <v>9237986.6036513895</v>
      </c>
      <c r="AA237" s="160">
        <v>5722683.055152759</v>
      </c>
      <c r="AB237" s="160">
        <v>7969117.6957108676</v>
      </c>
      <c r="AC237" s="160">
        <v>15566129.906041265</v>
      </c>
      <c r="AD237" s="160">
        <v>1913666.0747813433</v>
      </c>
      <c r="AE237" s="160">
        <v>936244.00794987381</v>
      </c>
      <c r="AF237" s="160">
        <v>-3378330.0758278668</v>
      </c>
      <c r="AG237" s="160">
        <v>-13203423.452424094</v>
      </c>
    </row>
    <row r="238" spans="16:33" ht="15.75" customHeight="1">
      <c r="P238" s="159"/>
      <c r="Q238" s="159">
        <v>221</v>
      </c>
      <c r="R238" s="160">
        <v>-42694654.082151264</v>
      </c>
      <c r="S238" s="160">
        <v>-27142997.482275233</v>
      </c>
      <c r="T238" s="160">
        <v>-18192249.765446171</v>
      </c>
      <c r="U238" s="160">
        <v>-7505985.146373257</v>
      </c>
      <c r="V238" s="160">
        <v>2408622.2400978953</v>
      </c>
      <c r="W238" s="161">
        <v>1240176.7229234129</v>
      </c>
      <c r="X238" s="160">
        <v>16449759.797039911</v>
      </c>
      <c r="Y238" s="160">
        <v>10398891.880411163</v>
      </c>
      <c r="Z238" s="160">
        <v>11829258.177179813</v>
      </c>
      <c r="AA238" s="160">
        <v>11347658.476976395</v>
      </c>
      <c r="AB238" s="160">
        <v>3697158.9959018528</v>
      </c>
      <c r="AC238" s="160">
        <v>-1204154.5903270394</v>
      </c>
      <c r="AD238" s="160">
        <v>-665078.369452402</v>
      </c>
      <c r="AE238" s="160">
        <v>3000740.6155398935</v>
      </c>
      <c r="AF238" s="160">
        <v>-13209479.327763677</v>
      </c>
      <c r="AG238" s="160">
        <v>-23046898.62830314</v>
      </c>
    </row>
    <row r="239" spans="16:33" ht="15.75" customHeight="1">
      <c r="P239" s="159"/>
      <c r="Q239" s="159">
        <v>222</v>
      </c>
      <c r="R239" s="160">
        <v>-39570779.978538364</v>
      </c>
      <c r="S239" s="160">
        <v>-22567815.278610155</v>
      </c>
      <c r="T239" s="160">
        <v>-9090979.1897244155</v>
      </c>
      <c r="U239" s="160">
        <v>-7047196.3031650782</v>
      </c>
      <c r="V239" s="160">
        <v>-668239.44953979552</v>
      </c>
      <c r="W239" s="161">
        <v>5127045.6052716821</v>
      </c>
      <c r="X239" s="160">
        <v>10433120.84577249</v>
      </c>
      <c r="Y239" s="160">
        <v>1624706.5062830448</v>
      </c>
      <c r="Z239" s="160">
        <v>5574599.6530513614</v>
      </c>
      <c r="AA239" s="160">
        <v>14882057.784893632</v>
      </c>
      <c r="AB239" s="160">
        <v>18621639.728767246</v>
      </c>
      <c r="AC239" s="160">
        <v>12114185.766100377</v>
      </c>
      <c r="AD239" s="160">
        <v>10832873.950667515</v>
      </c>
      <c r="AE239" s="160">
        <v>-4807897.4052627534</v>
      </c>
      <c r="AF239" s="160">
        <v>-7348033.7558384389</v>
      </c>
      <c r="AG239" s="160">
        <v>-23703047.672504112</v>
      </c>
    </row>
    <row r="240" spans="16:33" ht="15.75" customHeight="1">
      <c r="P240" s="159"/>
      <c r="Q240" s="159">
        <v>223</v>
      </c>
      <c r="R240" s="160">
        <v>-35436074.324182868</v>
      </c>
      <c r="S240" s="160">
        <v>-25318210.050884262</v>
      </c>
      <c r="T240" s="160">
        <v>-16238196.747759312</v>
      </c>
      <c r="U240" s="160">
        <v>-15410809.062196508</v>
      </c>
      <c r="V240" s="160">
        <v>628931.25715759397</v>
      </c>
      <c r="W240" s="161">
        <v>6169825.946761474</v>
      </c>
      <c r="X240" s="160">
        <v>6276649.8607817143</v>
      </c>
      <c r="Y240" s="160">
        <v>4419371.8023437113</v>
      </c>
      <c r="Z240" s="160">
        <v>19701012.685779288</v>
      </c>
      <c r="AA240" s="160">
        <v>15649168.719171509</v>
      </c>
      <c r="AB240" s="160">
        <v>10107756.97096613</v>
      </c>
      <c r="AC240" s="160">
        <v>62998.553181394935</v>
      </c>
      <c r="AD240" s="160">
        <v>-1353776.7206478119</v>
      </c>
      <c r="AE240" s="160">
        <v>-6601447.2217721045</v>
      </c>
      <c r="AF240" s="160">
        <v>-12822599.585853025</v>
      </c>
      <c r="AG240" s="160">
        <v>-20655046.136212081</v>
      </c>
    </row>
    <row r="241" spans="16:33" ht="15.75" customHeight="1">
      <c r="P241" s="159"/>
      <c r="Q241" s="159">
        <v>224</v>
      </c>
      <c r="R241" s="160">
        <v>-38305498.534251943</v>
      </c>
      <c r="S241" s="160">
        <v>-27494174.443086699</v>
      </c>
      <c r="T241" s="160">
        <v>-25199602.982604504</v>
      </c>
      <c r="U241" s="160">
        <v>-5043293.1184471399</v>
      </c>
      <c r="V241" s="160">
        <v>6616227.1056702584</v>
      </c>
      <c r="W241" s="161">
        <v>6385338.3823494613</v>
      </c>
      <c r="X241" s="160">
        <v>12467825.769947499</v>
      </c>
      <c r="Y241" s="160">
        <v>11249922.843156084</v>
      </c>
      <c r="Z241" s="160">
        <v>11926374.224401429</v>
      </c>
      <c r="AA241" s="160">
        <v>18448699.271257326</v>
      </c>
      <c r="AB241" s="160">
        <v>12339015.787112266</v>
      </c>
      <c r="AC241" s="160">
        <v>7654497.9628665745</v>
      </c>
      <c r="AD241" s="160">
        <v>2483950.8691562861</v>
      </c>
      <c r="AE241" s="160">
        <v>-3439956.8099850863</v>
      </c>
      <c r="AF241" s="160">
        <v>-8994454.9181033373</v>
      </c>
      <c r="AG241" s="160">
        <v>-10146366.859199941</v>
      </c>
    </row>
    <row r="242" spans="16:33" ht="15.75" customHeight="1">
      <c r="P242" s="159"/>
      <c r="Q242" s="159">
        <v>225</v>
      </c>
      <c r="R242" s="160">
        <v>-33082265.585321292</v>
      </c>
      <c r="S242" s="160">
        <v>-30867509.790234342</v>
      </c>
      <c r="T242" s="160">
        <v>-16018791.906149134</v>
      </c>
      <c r="U242" s="160">
        <v>1001765.9202943742</v>
      </c>
      <c r="V242" s="160">
        <v>-7353569.3709963411</v>
      </c>
      <c r="W242" s="161">
        <v>14135104.380645648</v>
      </c>
      <c r="X242" s="160">
        <v>6240129.9441531599</v>
      </c>
      <c r="Y242" s="160">
        <v>7600889.8070771396</v>
      </c>
      <c r="Z242" s="160">
        <v>25417838.346700937</v>
      </c>
      <c r="AA242" s="160">
        <v>8311841.8778091073</v>
      </c>
      <c r="AB242" s="160">
        <v>-2842374.9875066876</v>
      </c>
      <c r="AC242" s="160">
        <v>1363332.9208345115</v>
      </c>
      <c r="AD242" s="160">
        <v>1994950.7729660273</v>
      </c>
      <c r="AE242" s="160">
        <v>956065.71939529479</v>
      </c>
      <c r="AF242" s="160">
        <v>-5945297.9364145249</v>
      </c>
      <c r="AG242" s="160">
        <v>-15560928.300954208</v>
      </c>
    </row>
    <row r="243" spans="16:33" ht="15.75" customHeight="1">
      <c r="P243" s="159"/>
      <c r="Q243" s="159">
        <v>226</v>
      </c>
      <c r="R243" s="160">
        <v>-41539979.001998574</v>
      </c>
      <c r="S243" s="160">
        <v>-22217415.162089437</v>
      </c>
      <c r="T243" s="160">
        <v>-13754255.406547695</v>
      </c>
      <c r="U243" s="160">
        <v>-9253582.5486185253</v>
      </c>
      <c r="V243" s="160">
        <v>5177000.4041343778</v>
      </c>
      <c r="W243" s="161">
        <v>2797274.8944441676</v>
      </c>
      <c r="X243" s="160">
        <v>8370508.1819105446</v>
      </c>
      <c r="Y243" s="160">
        <v>17492842.515093163</v>
      </c>
      <c r="Z243" s="160">
        <v>-448166.14075680077</v>
      </c>
      <c r="AA243" s="160">
        <v>17187558.968733013</v>
      </c>
      <c r="AB243" s="160">
        <v>7420972.7757536173</v>
      </c>
      <c r="AC243" s="160">
        <v>11928886.88704589</v>
      </c>
      <c r="AD243" s="160">
        <v>2639276.9741960913</v>
      </c>
      <c r="AE243" s="160">
        <v>-1568754.15878281</v>
      </c>
      <c r="AF243" s="160">
        <v>-18292092.259538531</v>
      </c>
      <c r="AG243" s="160">
        <v>-23725386.678772986</v>
      </c>
    </row>
    <row r="244" spans="16:33" ht="15.75" customHeight="1">
      <c r="P244" s="159"/>
      <c r="Q244" s="159">
        <v>227</v>
      </c>
      <c r="R244" s="160">
        <v>-32061108.161575049</v>
      </c>
      <c r="S244" s="160">
        <v>-23591271.317506969</v>
      </c>
      <c r="T244" s="160">
        <v>-12192520.049522579</v>
      </c>
      <c r="U244" s="160">
        <v>-17533363.104816616</v>
      </c>
      <c r="V244" s="160">
        <v>-10755191.116848558</v>
      </c>
      <c r="W244" s="161">
        <v>10977391.871641636</v>
      </c>
      <c r="X244" s="160">
        <v>15068351.966012359</v>
      </c>
      <c r="Y244" s="160">
        <v>7695904.3719037622</v>
      </c>
      <c r="Z244" s="160">
        <v>3643410.0331227332</v>
      </c>
      <c r="AA244" s="160">
        <v>-3385586.1717752367</v>
      </c>
      <c r="AB244" s="160">
        <v>21038859.307465479</v>
      </c>
      <c r="AC244" s="160">
        <v>-221926.21038146317</v>
      </c>
      <c r="AD244" s="160">
        <v>2710891.7111051679</v>
      </c>
      <c r="AE244" s="160">
        <v>-2325436.5452275127</v>
      </c>
      <c r="AF244" s="160">
        <v>-12213458.402280509</v>
      </c>
      <c r="AG244" s="160">
        <v>-21457626.09036465</v>
      </c>
    </row>
    <row r="245" spans="16:33" ht="15.75" customHeight="1">
      <c r="P245" s="159"/>
      <c r="Q245" s="159">
        <v>228</v>
      </c>
      <c r="R245" s="160">
        <v>-29106543.176982597</v>
      </c>
      <c r="S245" s="160">
        <v>-30247457.392154664</v>
      </c>
      <c r="T245" s="160">
        <v>-13734487.20088242</v>
      </c>
      <c r="U245" s="160">
        <v>-5267173.6328432411</v>
      </c>
      <c r="V245" s="160">
        <v>-2840369.065703243</v>
      </c>
      <c r="W245" s="161">
        <v>10600969.686495692</v>
      </c>
      <c r="X245" s="160">
        <v>3090823.8934455514</v>
      </c>
      <c r="Y245" s="160">
        <v>12614650.973240286</v>
      </c>
      <c r="Z245" s="160">
        <v>15109196.027109861</v>
      </c>
      <c r="AA245" s="160">
        <v>4760124.1833002269</v>
      </c>
      <c r="AB245" s="160">
        <v>7000044.9354971647</v>
      </c>
      <c r="AC245" s="160">
        <v>3143810.743256405</v>
      </c>
      <c r="AD245" s="160">
        <v>4534608.1268007308</v>
      </c>
      <c r="AE245" s="160">
        <v>-1119803.7618005425</v>
      </c>
      <c r="AF245" s="160">
        <v>-10396681.840473384</v>
      </c>
      <c r="AG245" s="160">
        <v>-19230974.695311338</v>
      </c>
    </row>
    <row r="246" spans="16:33" ht="15.75" customHeight="1">
      <c r="P246" s="159"/>
      <c r="Q246" s="159">
        <v>229</v>
      </c>
      <c r="R246" s="160">
        <v>-37840588.405227378</v>
      </c>
      <c r="S246" s="160">
        <v>-25742979.813298941</v>
      </c>
      <c r="T246" s="160">
        <v>-12959285.812274545</v>
      </c>
      <c r="U246" s="160">
        <v>-8614958.7678384185</v>
      </c>
      <c r="V246" s="160">
        <v>-1941946.1040643752</v>
      </c>
      <c r="W246" s="161">
        <v>1895406.4696674496</v>
      </c>
      <c r="X246" s="160">
        <v>11774874.472377434</v>
      </c>
      <c r="Y246" s="160">
        <v>13224850.244393378</v>
      </c>
      <c r="Z246" s="160">
        <v>7671287.8059000671</v>
      </c>
      <c r="AA246" s="160">
        <v>11963376.21637316</v>
      </c>
      <c r="AB246" s="160">
        <v>14491597.345393136</v>
      </c>
      <c r="AC246" s="160">
        <v>-2551069.4795405418</v>
      </c>
      <c r="AD246" s="160">
        <v>5316271.8901325166</v>
      </c>
      <c r="AE246" s="160">
        <v>2563317.3944168389</v>
      </c>
      <c r="AF246" s="160">
        <v>3544136.9437711686</v>
      </c>
      <c r="AG246" s="160">
        <v>-19369522.059797615</v>
      </c>
    </row>
    <row r="247" spans="16:33" ht="15.75" customHeight="1">
      <c r="P247" s="159"/>
      <c r="Q247" s="159">
        <v>230</v>
      </c>
      <c r="R247" s="160">
        <v>-36752150.906738371</v>
      </c>
      <c r="S247" s="160">
        <v>-24051837.682073057</v>
      </c>
      <c r="T247" s="160">
        <v>-14020748.459482402</v>
      </c>
      <c r="U247" s="160">
        <v>-6430281.049998641</v>
      </c>
      <c r="V247" s="160">
        <v>-6566908.9043859243</v>
      </c>
      <c r="W247" s="161">
        <v>7202048.1165206581</v>
      </c>
      <c r="X247" s="160">
        <v>1604603.0858720988</v>
      </c>
      <c r="Y247" s="160">
        <v>2792117.5873660296</v>
      </c>
      <c r="Z247" s="160">
        <v>14501000.271565869</v>
      </c>
      <c r="AA247" s="160">
        <v>15877342.477142185</v>
      </c>
      <c r="AB247" s="160">
        <v>9350792.9945781827</v>
      </c>
      <c r="AC247" s="160">
        <v>11489511.031869844</v>
      </c>
      <c r="AD247" s="160">
        <v>-1950840.0068500638</v>
      </c>
      <c r="AE247" s="160">
        <v>6369123.0234103054</v>
      </c>
      <c r="AF247" s="160">
        <v>-14338561.54778111</v>
      </c>
      <c r="AG247" s="160">
        <v>-18536683.103150457</v>
      </c>
    </row>
    <row r="248" spans="16:33" ht="15.75" customHeight="1">
      <c r="P248" s="159"/>
      <c r="Q248" s="159">
        <v>231</v>
      </c>
      <c r="R248" s="160">
        <v>-34854089.049404427</v>
      </c>
      <c r="S248" s="160">
        <v>-29805568.590085417</v>
      </c>
      <c r="T248" s="160">
        <v>-18470432.97785759</v>
      </c>
      <c r="U248" s="160">
        <v>-5228384.0849219561</v>
      </c>
      <c r="V248" s="160">
        <v>-3737663.2991635054</v>
      </c>
      <c r="W248" s="161">
        <v>-5405108.4279851913</v>
      </c>
      <c r="X248" s="160">
        <v>-2234002.3172390312</v>
      </c>
      <c r="Y248" s="160">
        <v>8622862.8943624943</v>
      </c>
      <c r="Z248" s="160">
        <v>13745363.790941447</v>
      </c>
      <c r="AA248" s="160">
        <v>11941106.241130382</v>
      </c>
      <c r="AB248" s="160">
        <v>18748360.110293627</v>
      </c>
      <c r="AC248" s="160">
        <v>3372040.1002416462</v>
      </c>
      <c r="AD248" s="160">
        <v>2495795.5349142402</v>
      </c>
      <c r="AE248" s="160">
        <v>-10106111.516626224</v>
      </c>
      <c r="AF248" s="160">
        <v>-15405995.344536021</v>
      </c>
      <c r="AG248" s="160">
        <v>-10783009.692852288</v>
      </c>
    </row>
    <row r="249" spans="16:33" ht="15.75" customHeight="1">
      <c r="P249" s="159"/>
      <c r="Q249" s="159">
        <v>232</v>
      </c>
      <c r="R249" s="160">
        <v>-40400851.856601804</v>
      </c>
      <c r="S249" s="160">
        <v>-24037156.3551099</v>
      </c>
      <c r="T249" s="160">
        <v>-29827480.750987872</v>
      </c>
      <c r="U249" s="160">
        <v>-5976524.8616539091</v>
      </c>
      <c r="V249" s="160">
        <v>-3225305.1796989739</v>
      </c>
      <c r="W249" s="161">
        <v>10341937.078009814</v>
      </c>
      <c r="X249" s="160">
        <v>10084408.480785668</v>
      </c>
      <c r="Y249" s="160">
        <v>8709740.1690284461</v>
      </c>
      <c r="Z249" s="160">
        <v>-347990.60568386316</v>
      </c>
      <c r="AA249" s="160">
        <v>10858304.32152018</v>
      </c>
      <c r="AB249" s="160">
        <v>4650585.6837657988</v>
      </c>
      <c r="AC249" s="160">
        <v>501703.09449753165</v>
      </c>
      <c r="AD249" s="160">
        <v>11085422.08742772</v>
      </c>
      <c r="AE249" s="160">
        <v>2648103.7903172225</v>
      </c>
      <c r="AF249" s="160">
        <v>-18984990.379683018</v>
      </c>
      <c r="AG249" s="160">
        <v>-18406825.596422404</v>
      </c>
    </row>
    <row r="250" spans="16:33" ht="15.75" customHeight="1">
      <c r="P250" s="159"/>
      <c r="Q250" s="159">
        <v>233</v>
      </c>
      <c r="R250" s="160">
        <v>-35038463.371158034</v>
      </c>
      <c r="S250" s="160">
        <v>-27124515.47019878</v>
      </c>
      <c r="T250" s="160">
        <v>-22337373.865559846</v>
      </c>
      <c r="U250" s="160">
        <v>-8044342.3371715546</v>
      </c>
      <c r="V250" s="160">
        <v>2090390.7073064893</v>
      </c>
      <c r="W250" s="161">
        <v>-3766737.3288325071</v>
      </c>
      <c r="X250" s="160">
        <v>7542758.0921664983</v>
      </c>
      <c r="Y250" s="160">
        <v>14422002.994435802</v>
      </c>
      <c r="Z250" s="160">
        <v>23201858.07646662</v>
      </c>
      <c r="AA250" s="160">
        <v>9563625.7541751266</v>
      </c>
      <c r="AB250" s="160">
        <v>11224877.742332861</v>
      </c>
      <c r="AC250" s="160">
        <v>7738795.4233485758</v>
      </c>
      <c r="AD250" s="160">
        <v>12161379.785997301</v>
      </c>
      <c r="AE250" s="160">
        <v>-2093936.079795599</v>
      </c>
      <c r="AF250" s="160">
        <v>-9978381.1726803482</v>
      </c>
      <c r="AG250" s="160">
        <v>-13678321.252670676</v>
      </c>
    </row>
    <row r="251" spans="16:33" ht="15.75" customHeight="1">
      <c r="P251" s="159"/>
      <c r="Q251" s="159">
        <v>234</v>
      </c>
      <c r="R251" s="160">
        <v>-32529796.16450116</v>
      </c>
      <c r="S251" s="160">
        <v>-20606674.995991156</v>
      </c>
      <c r="T251" s="160">
        <v>-17601505.17100592</v>
      </c>
      <c r="U251" s="160">
        <v>-4657700.622107625</v>
      </c>
      <c r="V251" s="160">
        <v>2315901.3692646623</v>
      </c>
      <c r="W251" s="161">
        <v>3578740.3607440144</v>
      </c>
      <c r="X251" s="160">
        <v>9156853.7805731744</v>
      </c>
      <c r="Y251" s="160">
        <v>15861594.286955148</v>
      </c>
      <c r="Z251" s="160">
        <v>16420091.349958226</v>
      </c>
      <c r="AA251" s="160">
        <v>15213668.860842466</v>
      </c>
      <c r="AB251" s="160">
        <v>14325174.758323222</v>
      </c>
      <c r="AC251" s="160">
        <v>-754586.09179493785</v>
      </c>
      <c r="AD251" s="160">
        <v>-1450444.7168242633</v>
      </c>
      <c r="AE251" s="160">
        <v>-7954819.5103348345</v>
      </c>
      <c r="AF251" s="160">
        <v>-10500482.338264063</v>
      </c>
      <c r="AG251" s="160">
        <v>-20806795.209604323</v>
      </c>
    </row>
    <row r="252" spans="16:33" ht="15.75" customHeight="1">
      <c r="P252" s="159"/>
      <c r="Q252" s="159">
        <v>235</v>
      </c>
      <c r="R252" s="160">
        <v>-39314296.098591268</v>
      </c>
      <c r="S252" s="160">
        <v>-18094049.421001941</v>
      </c>
      <c r="T252" s="160">
        <v>-22170594.082323521</v>
      </c>
      <c r="U252" s="160">
        <v>348697.11671970785</v>
      </c>
      <c r="V252" s="160">
        <v>-2940361.5189390182</v>
      </c>
      <c r="W252" s="161">
        <v>3466961.3665824234</v>
      </c>
      <c r="X252" s="160">
        <v>922449.89857332408</v>
      </c>
      <c r="Y252" s="160">
        <v>12425494.309006184</v>
      </c>
      <c r="Z252" s="160">
        <v>-1128648.0744618326</v>
      </c>
      <c r="AA252" s="160">
        <v>3466505.895449087</v>
      </c>
      <c r="AB252" s="160">
        <v>12050378.975344107</v>
      </c>
      <c r="AC252" s="160">
        <v>3822980.0873140842</v>
      </c>
      <c r="AD252" s="160">
        <v>1939031.1991934478</v>
      </c>
      <c r="AE252" s="160">
        <v>-5203627.1373284906</v>
      </c>
      <c r="AF252" s="160">
        <v>-7499287.0122212321</v>
      </c>
      <c r="AG252" s="160">
        <v>-19988628.04394193</v>
      </c>
    </row>
    <row r="253" spans="16:33" ht="15.75" customHeight="1">
      <c r="P253" s="159"/>
      <c r="Q253" s="159">
        <v>236</v>
      </c>
      <c r="R253" s="160">
        <v>-35213536.252193063</v>
      </c>
      <c r="S253" s="160">
        <v>-26829843.430777192</v>
      </c>
      <c r="T253" s="160">
        <v>-26632483.241165519</v>
      </c>
      <c r="U253" s="160">
        <v>-4569802.5366368294</v>
      </c>
      <c r="V253" s="160">
        <v>-85695.531953513622</v>
      </c>
      <c r="W253" s="161">
        <v>2382882.3947300911</v>
      </c>
      <c r="X253" s="160">
        <v>4001461.5780550987</v>
      </c>
      <c r="Y253" s="160">
        <v>17853493.552645162</v>
      </c>
      <c r="Z253" s="160">
        <v>16084015.951706186</v>
      </c>
      <c r="AA253" s="160">
        <v>18606163.860502586</v>
      </c>
      <c r="AB253" s="160">
        <v>21237765.092480928</v>
      </c>
      <c r="AC253" s="160">
        <v>3017877.6840334684</v>
      </c>
      <c r="AD253" s="160">
        <v>-8735148.3241156638</v>
      </c>
      <c r="AE253" s="160">
        <v>-1034462.4621552676</v>
      </c>
      <c r="AF253" s="160">
        <v>-20080151.502963647</v>
      </c>
      <c r="AG253" s="160">
        <v>-12935126.915198684</v>
      </c>
    </row>
    <row r="254" spans="16:33" ht="15.75" customHeight="1">
      <c r="P254" s="159"/>
      <c r="Q254" s="159">
        <v>237</v>
      </c>
      <c r="R254" s="160">
        <v>-38489539.954324558</v>
      </c>
      <c r="S254" s="160">
        <v>-29250404.260976851</v>
      </c>
      <c r="T254" s="160">
        <v>-9807648.6727827936</v>
      </c>
      <c r="U254" s="160">
        <v>-1351052.0031131357</v>
      </c>
      <c r="V254" s="160">
        <v>-3154857.1468511224</v>
      </c>
      <c r="W254" s="161">
        <v>2821925.7539871037</v>
      </c>
      <c r="X254" s="160">
        <v>12523959.20964025</v>
      </c>
      <c r="Y254" s="160">
        <v>11460464.331230208</v>
      </c>
      <c r="Z254" s="160">
        <v>8328870.6290629357</v>
      </c>
      <c r="AA254" s="160">
        <v>8765630.2041775137</v>
      </c>
      <c r="AB254" s="160">
        <v>8549324.7394115478</v>
      </c>
      <c r="AC254" s="160">
        <v>3711550.6830192804</v>
      </c>
      <c r="AD254" s="160">
        <v>-2449243.6655653417</v>
      </c>
      <c r="AE254" s="160">
        <v>-10988606.723903835</v>
      </c>
      <c r="AF254" s="160">
        <v>-8344727.7334162593</v>
      </c>
      <c r="AG254" s="160">
        <v>-21803472.918250412</v>
      </c>
    </row>
    <row r="255" spans="16:33" ht="15.75" customHeight="1">
      <c r="P255" s="159"/>
      <c r="Q255" s="159">
        <v>238</v>
      </c>
      <c r="R255" s="160">
        <v>-43515405.449314445</v>
      </c>
      <c r="S255" s="160">
        <v>-29566327.678572744</v>
      </c>
      <c r="T255" s="160">
        <v>-11659849.164074883</v>
      </c>
      <c r="U255" s="160">
        <v>-11191532.728010297</v>
      </c>
      <c r="V255" s="160">
        <v>-7827880.1463204175</v>
      </c>
      <c r="W255" s="161">
        <v>1099517.2670343667</v>
      </c>
      <c r="X255" s="160">
        <v>10222582.7655112</v>
      </c>
      <c r="Y255" s="160">
        <v>2631075.5010925978</v>
      </c>
      <c r="Z255" s="160">
        <v>13588326.951085761</v>
      </c>
      <c r="AA255" s="160">
        <v>10427724.253310502</v>
      </c>
      <c r="AB255" s="160">
        <v>-3162347.3007709831</v>
      </c>
      <c r="AC255" s="160">
        <v>10048680.153485298</v>
      </c>
      <c r="AD255" s="160">
        <v>1353636.6941959858</v>
      </c>
      <c r="AE255" s="160">
        <v>7109224.1200473011</v>
      </c>
      <c r="AF255" s="160">
        <v>-1724003.2777500898</v>
      </c>
      <c r="AG255" s="160">
        <v>-21504641.661997736</v>
      </c>
    </row>
    <row r="256" spans="16:33" ht="15.75" customHeight="1">
      <c r="P256" s="159"/>
      <c r="Q256" s="159">
        <v>239</v>
      </c>
      <c r="R256" s="160">
        <v>-34774067.971032292</v>
      </c>
      <c r="S256" s="160">
        <v>-22975907.17806457</v>
      </c>
      <c r="T256" s="160">
        <v>-19468625.469434336</v>
      </c>
      <c r="U256" s="160">
        <v>-2999387.3770148158</v>
      </c>
      <c r="V256" s="160">
        <v>6735030.0833101124</v>
      </c>
      <c r="W256" s="161">
        <v>9449489.4414042979</v>
      </c>
      <c r="X256" s="160">
        <v>15338503.041143641</v>
      </c>
      <c r="Y256" s="160">
        <v>8366942.4870983958</v>
      </c>
      <c r="Z256" s="160">
        <v>15897076.822148487</v>
      </c>
      <c r="AA256" s="160">
        <v>14270223.098878071</v>
      </c>
      <c r="AB256" s="160">
        <v>8935048.67292808</v>
      </c>
      <c r="AC256" s="160">
        <v>7696186.705095619</v>
      </c>
      <c r="AD256" s="160">
        <v>4195979.9870206118</v>
      </c>
      <c r="AE256" s="160">
        <v>-2860054.302644074</v>
      </c>
      <c r="AF256" s="160">
        <v>-10269501.1084342</v>
      </c>
      <c r="AG256" s="160">
        <v>-12031725.314105958</v>
      </c>
    </row>
    <row r="257" spans="16:33" ht="15.75" customHeight="1">
      <c r="P257" s="159"/>
      <c r="Q257" s="159">
        <v>240</v>
      </c>
      <c r="R257" s="160">
        <v>-35755841.270090282</v>
      </c>
      <c r="S257" s="160">
        <v>-21246686.393207625</v>
      </c>
      <c r="T257" s="160">
        <v>-25448408.587514728</v>
      </c>
      <c r="U257" s="160">
        <v>-2968197.6117299944</v>
      </c>
      <c r="V257" s="160">
        <v>-4578580.9369248897</v>
      </c>
      <c r="W257" s="161">
        <v>8385283.4603943825</v>
      </c>
      <c r="X257" s="160">
        <v>2071401.8735077083</v>
      </c>
      <c r="Y257" s="160">
        <v>15044672.804548562</v>
      </c>
      <c r="Z257" s="160">
        <v>12991691.627322957</v>
      </c>
      <c r="AA257" s="160">
        <v>12912332.719505429</v>
      </c>
      <c r="AB257" s="160">
        <v>15108071.883113205</v>
      </c>
      <c r="AC257" s="160">
        <v>4440193.2843838334</v>
      </c>
      <c r="AD257" s="160">
        <v>9334707.509075895</v>
      </c>
      <c r="AE257" s="160">
        <v>3180228.5644484311</v>
      </c>
      <c r="AF257" s="160">
        <v>-11047425.012199134</v>
      </c>
      <c r="AG257" s="160">
        <v>-18283496.613326624</v>
      </c>
    </row>
    <row r="258" spans="16:33" ht="15.75" customHeight="1">
      <c r="P258" s="159"/>
      <c r="Q258" s="159">
        <v>241</v>
      </c>
      <c r="R258" s="160">
        <v>-31555547.047212064</v>
      </c>
      <c r="S258" s="160">
        <v>-21575045.785817757</v>
      </c>
      <c r="T258" s="160">
        <v>-23557704.327306688</v>
      </c>
      <c r="U258" s="160">
        <v>-9307294.4058286846</v>
      </c>
      <c r="V258" s="160">
        <v>-1821918.5683645159</v>
      </c>
      <c r="W258" s="161">
        <v>231133.19337838888</v>
      </c>
      <c r="X258" s="160">
        <v>14819753.921413019</v>
      </c>
      <c r="Y258" s="160">
        <v>17149405.38810204</v>
      </c>
      <c r="Z258" s="160">
        <v>10540830.692293748</v>
      </c>
      <c r="AA258" s="160">
        <v>4235195.6905539632</v>
      </c>
      <c r="AB258" s="160">
        <v>2656407.8255665004</v>
      </c>
      <c r="AC258" s="160">
        <v>5880243.8781291991</v>
      </c>
      <c r="AD258" s="160">
        <v>3435276.0496745408</v>
      </c>
      <c r="AE258" s="160">
        <v>5125064.0485729426</v>
      </c>
      <c r="AF258" s="160">
        <v>-9456440.3061849624</v>
      </c>
      <c r="AG258" s="160">
        <v>-13712093.196527332</v>
      </c>
    </row>
    <row r="259" spans="16:33" ht="15.75" customHeight="1">
      <c r="P259" s="159"/>
      <c r="Q259" s="159">
        <v>242</v>
      </c>
      <c r="R259" s="160">
        <v>-35880898.559209526</v>
      </c>
      <c r="S259" s="160">
        <v>-18299824.244309857</v>
      </c>
      <c r="T259" s="160">
        <v>-18659035.313009292</v>
      </c>
      <c r="U259" s="160">
        <v>1810144.7452857792</v>
      </c>
      <c r="V259" s="160">
        <v>334890.38379123807</v>
      </c>
      <c r="W259" s="161">
        <v>608746.09273336828</v>
      </c>
      <c r="X259" s="160">
        <v>4591516.0769809932</v>
      </c>
      <c r="Y259" s="160">
        <v>14035479.344164833</v>
      </c>
      <c r="Z259" s="160">
        <v>17826370.110431746</v>
      </c>
      <c r="AA259" s="160">
        <v>19628440.876989469</v>
      </c>
      <c r="AB259" s="160">
        <v>8714539.1656472683</v>
      </c>
      <c r="AC259" s="160">
        <v>12494528.475402102</v>
      </c>
      <c r="AD259" s="160">
        <v>-4869115.6506041586</v>
      </c>
      <c r="AE259" s="160">
        <v>-11606077.111215279</v>
      </c>
      <c r="AF259" s="160">
        <v>-12875155.118665248</v>
      </c>
      <c r="AG259" s="160">
        <v>-19993829.267690361</v>
      </c>
    </row>
    <row r="260" spans="16:33" ht="15.75" customHeight="1">
      <c r="P260" s="159"/>
      <c r="Q260" s="159">
        <v>243</v>
      </c>
      <c r="R260" s="160">
        <v>-36305223.682376534</v>
      </c>
      <c r="S260" s="160">
        <v>-13922415.422992021</v>
      </c>
      <c r="T260" s="160">
        <v>-14537496.419795319</v>
      </c>
      <c r="U260" s="160">
        <v>-4619639.8886570036</v>
      </c>
      <c r="V260" s="160">
        <v>1793797.3318156302</v>
      </c>
      <c r="W260" s="161">
        <v>8094642.2762448788</v>
      </c>
      <c r="X260" s="160">
        <v>7231918.7008441538</v>
      </c>
      <c r="Y260" s="160">
        <v>1512561.0884037465</v>
      </c>
      <c r="Z260" s="160">
        <v>8020082.2229539305</v>
      </c>
      <c r="AA260" s="160">
        <v>14770328.57115598</v>
      </c>
      <c r="AB260" s="160">
        <v>8245343.9582598358</v>
      </c>
      <c r="AC260" s="160">
        <v>-3010702.753253445</v>
      </c>
      <c r="AD260" s="160">
        <v>-10349430.518303975</v>
      </c>
      <c r="AE260" s="160">
        <v>-270071.16237203777</v>
      </c>
      <c r="AF260" s="160">
        <v>-11330436.901902229</v>
      </c>
      <c r="AG260" s="160">
        <v>-13903959.123021096</v>
      </c>
    </row>
    <row r="261" spans="16:33" ht="15.75" customHeight="1">
      <c r="P261" s="159"/>
      <c r="Q261" s="159">
        <v>244</v>
      </c>
      <c r="R261" s="160">
        <v>-32436632.129011214</v>
      </c>
      <c r="S261" s="160">
        <v>-25589826.932775244</v>
      </c>
      <c r="T261" s="160">
        <v>-16334919.055383876</v>
      </c>
      <c r="U261" s="160">
        <v>-6248529.5181551427</v>
      </c>
      <c r="V261" s="160">
        <v>-5453875.7827635407</v>
      </c>
      <c r="W261" s="161">
        <v>-1478615.9828634858</v>
      </c>
      <c r="X261" s="160">
        <v>14810203.651449218</v>
      </c>
      <c r="Y261" s="160">
        <v>2622123.7086225003</v>
      </c>
      <c r="Z261" s="160">
        <v>13180115.278099135</v>
      </c>
      <c r="AA261" s="160">
        <v>5694814.5960226059</v>
      </c>
      <c r="AB261" s="160">
        <v>12207334.284088731</v>
      </c>
      <c r="AC261" s="160">
        <v>-1708043.2996467501</v>
      </c>
      <c r="AD261" s="160">
        <v>-1500101.6018600464</v>
      </c>
      <c r="AE261" s="160">
        <v>-6865032.076491788</v>
      </c>
      <c r="AF261" s="160">
        <v>-20208766.041471004</v>
      </c>
      <c r="AG261" s="160">
        <v>-20728566.28760834</v>
      </c>
    </row>
    <row r="262" spans="16:33" ht="15.75" customHeight="1">
      <c r="P262" s="159"/>
      <c r="Q262" s="159">
        <v>245</v>
      </c>
      <c r="R262" s="160">
        <v>-28249119.031024322</v>
      </c>
      <c r="S262" s="160">
        <v>-26772891.98484382</v>
      </c>
      <c r="T262" s="160">
        <v>-18816941.127316698</v>
      </c>
      <c r="U262" s="160">
        <v>-11672105.830230266</v>
      </c>
      <c r="V262" s="160">
        <v>-1595286.9592668712</v>
      </c>
      <c r="W262" s="161">
        <v>3208413.3499662578</v>
      </c>
      <c r="X262" s="160">
        <v>15060833.238019079</v>
      </c>
      <c r="Y262" s="160">
        <v>16131556.915110081</v>
      </c>
      <c r="Z262" s="160">
        <v>15843162.937399328</v>
      </c>
      <c r="AA262" s="160">
        <v>7266966.9430550784</v>
      </c>
      <c r="AB262" s="160">
        <v>17597906.902082086</v>
      </c>
      <c r="AC262" s="160">
        <v>18201895.998218194</v>
      </c>
      <c r="AD262" s="160">
        <v>-10546929.013049662</v>
      </c>
      <c r="AE262" s="160">
        <v>1667141.7487446666</v>
      </c>
      <c r="AF262" s="160">
        <v>-11567616.546242908</v>
      </c>
      <c r="AG262" s="160">
        <v>-14892175.380113974</v>
      </c>
    </row>
    <row r="263" spans="16:33" ht="15.75" customHeight="1">
      <c r="P263" s="159"/>
      <c r="Q263" s="159">
        <v>246</v>
      </c>
      <c r="R263" s="160">
        <v>-42923139.573070809</v>
      </c>
      <c r="S263" s="160">
        <v>-26437526.995449379</v>
      </c>
      <c r="T263" s="160">
        <v>-14648136.892471611</v>
      </c>
      <c r="U263" s="160">
        <v>41967.729432478547</v>
      </c>
      <c r="V263" s="160">
        <v>-1116335.4842397273</v>
      </c>
      <c r="W263" s="161">
        <v>1441566.9722779095</v>
      </c>
      <c r="X263" s="160">
        <v>1620066.7952428162</v>
      </c>
      <c r="Y263" s="160">
        <v>12222029.408218384</v>
      </c>
      <c r="Z263" s="160">
        <v>6598212.7716749907</v>
      </c>
      <c r="AA263" s="160">
        <v>9000485.854127124</v>
      </c>
      <c r="AB263" s="160">
        <v>5126069.9736986607</v>
      </c>
      <c r="AC263" s="160">
        <v>10626030.397577241</v>
      </c>
      <c r="AD263" s="160">
        <v>1000808.2943401933</v>
      </c>
      <c r="AE263" s="160">
        <v>-8314395.1702161729</v>
      </c>
      <c r="AF263" s="160">
        <v>-9060761.8785846382</v>
      </c>
      <c r="AG263" s="160">
        <v>-25465432.289753839</v>
      </c>
    </row>
    <row r="264" spans="16:33" ht="15.75" customHeight="1">
      <c r="P264" s="159"/>
      <c r="Q264" s="159">
        <v>247</v>
      </c>
      <c r="R264" s="160">
        <v>-36543532.163469613</v>
      </c>
      <c r="S264" s="160">
        <v>-25399756.024969786</v>
      </c>
      <c r="T264" s="160">
        <v>-18568216.15035221</v>
      </c>
      <c r="U264" s="160">
        <v>-5285470.4407874495</v>
      </c>
      <c r="V264" s="160">
        <v>-10568032.187091753</v>
      </c>
      <c r="W264" s="161">
        <v>3588138.6191947609</v>
      </c>
      <c r="X264" s="160">
        <v>3138935.9365527183</v>
      </c>
      <c r="Y264" s="160">
        <v>7174888.5051703006</v>
      </c>
      <c r="Z264" s="160">
        <v>9068847.0490014851</v>
      </c>
      <c r="AA264" s="160">
        <v>11040370.293637499</v>
      </c>
      <c r="AB264" s="160">
        <v>7423807.6937157065</v>
      </c>
      <c r="AC264" s="160">
        <v>11116562.697097003</v>
      </c>
      <c r="AD264" s="160">
        <v>-586939.9263188988</v>
      </c>
      <c r="AE264" s="160">
        <v>829132.07037298381</v>
      </c>
      <c r="AF264" s="160">
        <v>-11022601.273126781</v>
      </c>
      <c r="AG264" s="160">
        <v>-21989866.70829089</v>
      </c>
    </row>
    <row r="265" spans="16:33" ht="15.75" customHeight="1">
      <c r="P265" s="159"/>
      <c r="Q265" s="159">
        <v>248</v>
      </c>
      <c r="R265" s="160">
        <v>-29260522.900027558</v>
      </c>
      <c r="S265" s="160">
        <v>-28767954.101646453</v>
      </c>
      <c r="T265" s="160">
        <v>-16188052.32663691</v>
      </c>
      <c r="U265" s="160">
        <v>-3231968.4951841831</v>
      </c>
      <c r="V265" s="160">
        <v>-10032041.997251272</v>
      </c>
      <c r="W265" s="161">
        <v>475298.26218873262</v>
      </c>
      <c r="X265" s="160">
        <v>9090484.4565425217</v>
      </c>
      <c r="Y265" s="160">
        <v>3463237.8055635542</v>
      </c>
      <c r="Z265" s="160">
        <v>18479422.304474011</v>
      </c>
      <c r="AA265" s="160">
        <v>20417507.695518389</v>
      </c>
      <c r="AB265" s="160">
        <v>9860455.9212744236</v>
      </c>
      <c r="AC265" s="160">
        <v>11869336.83183746</v>
      </c>
      <c r="AD265" s="160">
        <v>5114512.6696965843</v>
      </c>
      <c r="AE265" s="160">
        <v>-10133542.213023126</v>
      </c>
      <c r="AF265" s="160">
        <v>-19016113.936499968</v>
      </c>
      <c r="AG265" s="160">
        <v>-18774228.394991279</v>
      </c>
    </row>
    <row r="266" spans="16:33" ht="15.75" customHeight="1">
      <c r="P266" s="159"/>
      <c r="Q266" s="159">
        <v>249</v>
      </c>
      <c r="R266" s="160">
        <v>-37122991.814972728</v>
      </c>
      <c r="S266" s="160">
        <v>-18436418.283010066</v>
      </c>
      <c r="T266" s="160">
        <v>-18537755.641174331</v>
      </c>
      <c r="U266" s="160">
        <v>-5593734.2996470481</v>
      </c>
      <c r="V266" s="160">
        <v>1450802.7374138683</v>
      </c>
      <c r="W266" s="161">
        <v>5931168.8604463339</v>
      </c>
      <c r="X266" s="160">
        <v>10644822.219217405</v>
      </c>
      <c r="Y266" s="160">
        <v>8291523.2747148871</v>
      </c>
      <c r="Z266" s="160">
        <v>22566738.948789939</v>
      </c>
      <c r="AA266" s="160">
        <v>2955249.0246727765</v>
      </c>
      <c r="AB266" s="160">
        <v>2067553.3525582999</v>
      </c>
      <c r="AC266" s="160">
        <v>9861974.3150370121</v>
      </c>
      <c r="AD266" s="160">
        <v>1848560.4859328717</v>
      </c>
      <c r="AE266" s="160">
        <v>3959693.3432967812</v>
      </c>
      <c r="AF266" s="160">
        <v>-13549151.620220006</v>
      </c>
      <c r="AG266" s="160">
        <v>-17522604.400204867</v>
      </c>
    </row>
    <row r="267" spans="16:33" ht="15.75" customHeight="1">
      <c r="P267" s="159"/>
      <c r="Q267" s="159">
        <v>250</v>
      </c>
      <c r="R267" s="160">
        <v>-29587969.477185264</v>
      </c>
      <c r="S267" s="160">
        <v>-24915951.125321016</v>
      </c>
      <c r="T267" s="160">
        <v>-19852050.986597225</v>
      </c>
      <c r="U267" s="160">
        <v>-6065835.7528670877</v>
      </c>
      <c r="V267" s="160">
        <v>2147118.3673542142</v>
      </c>
      <c r="W267" s="161">
        <v>-607470.94884924591</v>
      </c>
      <c r="X267" s="160">
        <v>12488610.117463231</v>
      </c>
      <c r="Y267" s="160">
        <v>15278117.891993746</v>
      </c>
      <c r="Z267" s="160">
        <v>9847786.1539389938</v>
      </c>
      <c r="AA267" s="160">
        <v>14472851.102973059</v>
      </c>
      <c r="AB267" s="160">
        <v>12800919.221975684</v>
      </c>
      <c r="AC267" s="160">
        <v>10632744.484344751</v>
      </c>
      <c r="AD267" s="160">
        <v>-7749098.7425632924</v>
      </c>
      <c r="AE267" s="160">
        <v>-3400821.0877407044</v>
      </c>
      <c r="AF267" s="160">
        <v>-10798212.737968087</v>
      </c>
      <c r="AG267" s="160">
        <v>-14343540.442418903</v>
      </c>
    </row>
    <row r="268" spans="16:33" ht="15.75" customHeight="1">
      <c r="P268" s="159"/>
      <c r="Q268" s="159">
        <v>251</v>
      </c>
      <c r="R268" s="160">
        <v>-32109471.352364987</v>
      </c>
      <c r="S268" s="160">
        <v>-19517324.314360619</v>
      </c>
      <c r="T268" s="160">
        <v>-18575027.475522801</v>
      </c>
      <c r="U268" s="160">
        <v>-11170157.745099977</v>
      </c>
      <c r="V268" s="160">
        <v>2402462.5734790862</v>
      </c>
      <c r="W268" s="161">
        <v>7521441.8777748644</v>
      </c>
      <c r="X268" s="160">
        <v>12266748.860299632</v>
      </c>
      <c r="Y268" s="160">
        <v>993555.02458272874</v>
      </c>
      <c r="Z268" s="160">
        <v>12296978.770370543</v>
      </c>
      <c r="AA268" s="160">
        <v>11390667.003069401</v>
      </c>
      <c r="AB268" s="160">
        <v>13396757.572017521</v>
      </c>
      <c r="AC268" s="160">
        <v>7658855.5777771771</v>
      </c>
      <c r="AD268" s="160">
        <v>234761.90500718355</v>
      </c>
      <c r="AE268" s="160">
        <v>4925630.8195006996</v>
      </c>
      <c r="AF268" s="160">
        <v>-7390596.408396095</v>
      </c>
      <c r="AG268" s="160">
        <v>-19919786.117326498</v>
      </c>
    </row>
    <row r="269" spans="16:33" ht="15.75" customHeight="1">
      <c r="P269" s="159"/>
      <c r="Q269" s="159">
        <v>252</v>
      </c>
      <c r="R269" s="160">
        <v>-32133762.825644433</v>
      </c>
      <c r="S269" s="160">
        <v>-24221090.71255435</v>
      </c>
      <c r="T269" s="160">
        <v>-13748672.659367234</v>
      </c>
      <c r="U269" s="160">
        <v>-8800915.7456863075</v>
      </c>
      <c r="V269" s="160">
        <v>-1838161.2839519978</v>
      </c>
      <c r="W269" s="161">
        <v>5657857.6333552003</v>
      </c>
      <c r="X269" s="160">
        <v>18687173.638207018</v>
      </c>
      <c r="Y269" s="160">
        <v>2631838.8831932992</v>
      </c>
      <c r="Z269" s="160">
        <v>18633679.760832444</v>
      </c>
      <c r="AA269" s="160">
        <v>25512111.546828404</v>
      </c>
      <c r="AB269" s="160">
        <v>22855396.844030097</v>
      </c>
      <c r="AC269" s="160">
        <v>-1991243.299572289</v>
      </c>
      <c r="AD269" s="160">
        <v>-818285.52274906635</v>
      </c>
      <c r="AE269" s="160">
        <v>-5808022.4657311887</v>
      </c>
      <c r="AF269" s="160">
        <v>-2911816.1022415459</v>
      </c>
      <c r="AG269" s="160">
        <v>-22343119.417548299</v>
      </c>
    </row>
    <row r="270" spans="16:33" ht="15.75" customHeight="1">
      <c r="P270" s="159"/>
      <c r="Q270" s="159">
        <v>253</v>
      </c>
      <c r="R270" s="160">
        <v>-41795689.42775555</v>
      </c>
      <c r="S270" s="160">
        <v>-17803455.810373321</v>
      </c>
      <c r="T270" s="160">
        <v>-14866501.017589107</v>
      </c>
      <c r="U270" s="160">
        <v>-3617812.9523456246</v>
      </c>
      <c r="V270" s="160">
        <v>-1291022.9463390857</v>
      </c>
      <c r="W270" s="161">
        <v>3489353.719247669</v>
      </c>
      <c r="X270" s="160">
        <v>7803891.2130728364</v>
      </c>
      <c r="Y270" s="160">
        <v>19902445.954648435</v>
      </c>
      <c r="Z270" s="160">
        <v>11269072.534716591</v>
      </c>
      <c r="AA270" s="160">
        <v>5114135.1165421307</v>
      </c>
      <c r="AB270" s="160">
        <v>15770108.686777115</v>
      </c>
      <c r="AC270" s="160">
        <v>10392576.093136087</v>
      </c>
      <c r="AD270" s="160">
        <v>-6941735.0034363717</v>
      </c>
      <c r="AE270" s="160">
        <v>-6690455.3966748863</v>
      </c>
      <c r="AF270" s="160">
        <v>-12400940.812717319</v>
      </c>
      <c r="AG270" s="160">
        <v>-14198692.946548536</v>
      </c>
    </row>
    <row r="271" spans="16:33" ht="15.75" customHeight="1">
      <c r="P271" s="159"/>
      <c r="Q271" s="159">
        <v>254</v>
      </c>
      <c r="R271" s="160">
        <v>-31652281.383637354</v>
      </c>
      <c r="S271" s="160">
        <v>-24821021.855717272</v>
      </c>
      <c r="T271" s="160">
        <v>-12446889.705294073</v>
      </c>
      <c r="U271" s="160">
        <v>-4309882.778629899</v>
      </c>
      <c r="V271" s="160">
        <v>2851608.7120672017</v>
      </c>
      <c r="W271" s="161">
        <v>4581678.8198852688</v>
      </c>
      <c r="X271" s="160">
        <v>7560785.513941735</v>
      </c>
      <c r="Y271" s="160">
        <v>14083147.569052443</v>
      </c>
      <c r="Z271" s="160">
        <v>14389771.994325548</v>
      </c>
      <c r="AA271" s="160">
        <v>14349757.610634267</v>
      </c>
      <c r="AB271" s="160">
        <v>5685459.300446555</v>
      </c>
      <c r="AC271" s="160">
        <v>1597930.3633327484</v>
      </c>
      <c r="AD271" s="160">
        <v>-2825922.0590083599</v>
      </c>
      <c r="AE271" s="160">
        <v>-23551.820541858673</v>
      </c>
      <c r="AF271" s="160">
        <v>-3514787.6263288856</v>
      </c>
      <c r="AG271" s="160">
        <v>-17809216.542289883</v>
      </c>
    </row>
    <row r="272" spans="16:33" ht="15.75" customHeight="1">
      <c r="P272" s="159"/>
      <c r="Q272" s="159">
        <v>255</v>
      </c>
      <c r="R272" s="160">
        <v>-35266164.836339355</v>
      </c>
      <c r="S272" s="160">
        <v>-22856596.993271694</v>
      </c>
      <c r="T272" s="160">
        <v>-18328404.405211568</v>
      </c>
      <c r="U272" s="160">
        <v>-8168221.22511594</v>
      </c>
      <c r="V272" s="160">
        <v>4491227.8686692864</v>
      </c>
      <c r="W272" s="161">
        <v>-581069.69779105484</v>
      </c>
      <c r="X272" s="160">
        <v>9005060.5787947178</v>
      </c>
      <c r="Y272" s="160">
        <v>3313472.3348703831</v>
      </c>
      <c r="Z272" s="160">
        <v>14805848.056189165</v>
      </c>
      <c r="AA272" s="160">
        <v>8051358.4868833721</v>
      </c>
      <c r="AB272" s="160">
        <v>12820553.389021009</v>
      </c>
      <c r="AC272" s="160">
        <v>14481427.163003817</v>
      </c>
      <c r="AD272" s="160">
        <v>11903687.34613502</v>
      </c>
      <c r="AE272" s="160">
        <v>-9525412.2338317633</v>
      </c>
      <c r="AF272" s="160">
        <v>-8860573.4325973541</v>
      </c>
      <c r="AG272" s="160">
        <v>-13085336.10972926</v>
      </c>
    </row>
    <row r="273" spans="16:33" ht="15.75" customHeight="1">
      <c r="P273" s="159"/>
      <c r="Q273" s="159">
        <v>256</v>
      </c>
      <c r="R273" s="160">
        <v>-42810132.28972736</v>
      </c>
      <c r="S273" s="160">
        <v>-27138720.360584334</v>
      </c>
      <c r="T273" s="160">
        <v>-13274770.774819002</v>
      </c>
      <c r="U273" s="160">
        <v>-6719418.5653432608</v>
      </c>
      <c r="V273" s="160">
        <v>4130297.1517921388</v>
      </c>
      <c r="W273" s="161">
        <v>2217893.8686985821</v>
      </c>
      <c r="X273" s="160">
        <v>7513798.6115651876</v>
      </c>
      <c r="Y273" s="160">
        <v>14054285.333147243</v>
      </c>
      <c r="Z273" s="160">
        <v>6148354.2993549407</v>
      </c>
      <c r="AA273" s="160">
        <v>7533503.5065869242</v>
      </c>
      <c r="AB273" s="160">
        <v>13476021.635812178</v>
      </c>
      <c r="AC273" s="160">
        <v>6514327.4581831247</v>
      </c>
      <c r="AD273" s="160">
        <v>9434304.4938597977</v>
      </c>
      <c r="AE273" s="160">
        <v>-6882040.1142919958</v>
      </c>
      <c r="AF273" s="160">
        <v>-12818518.513712481</v>
      </c>
      <c r="AG273" s="160">
        <v>-25561759.001197964</v>
      </c>
    </row>
    <row r="274" spans="16:33" ht="15.75" customHeight="1">
      <c r="P274" s="159"/>
      <c r="Q274" s="159">
        <v>257</v>
      </c>
      <c r="R274" s="160">
        <v>-31878803.10576129</v>
      </c>
      <c r="S274" s="160">
        <v>-23436577.993050352</v>
      </c>
      <c r="T274" s="160">
        <v>-5395060.5056226403</v>
      </c>
      <c r="U274" s="160">
        <v>-7715798.9993833154</v>
      </c>
      <c r="V274" s="160">
        <v>-2543498.5032610595</v>
      </c>
      <c r="W274" s="161">
        <v>-230836.19703371823</v>
      </c>
      <c r="X274" s="160">
        <v>2924932.7177100331</v>
      </c>
      <c r="Y274" s="160">
        <v>14327789.822998405</v>
      </c>
      <c r="Z274" s="160">
        <v>4521375.7526602745</v>
      </c>
      <c r="AA274" s="160">
        <v>13850997.352511644</v>
      </c>
      <c r="AB274" s="160">
        <v>7603082.7741808444</v>
      </c>
      <c r="AC274" s="160">
        <v>11204168.100147247</v>
      </c>
      <c r="AD274" s="160">
        <v>7029513.9031421989</v>
      </c>
      <c r="AE274" s="160">
        <v>-9748672.1613437086</v>
      </c>
      <c r="AF274" s="160">
        <v>-8465313.1025740802</v>
      </c>
      <c r="AG274" s="160">
        <v>-14011337.952006444</v>
      </c>
    </row>
    <row r="275" spans="16:33" ht="15.75" customHeight="1">
      <c r="P275" s="159"/>
      <c r="Q275" s="159">
        <v>258</v>
      </c>
      <c r="R275" s="160">
        <v>-40398813.288315803</v>
      </c>
      <c r="S275" s="160">
        <v>-28940752.541267648</v>
      </c>
      <c r="T275" s="160">
        <v>-4388388.3017324805</v>
      </c>
      <c r="U275" s="160">
        <v>-9006886.5571856648</v>
      </c>
      <c r="V275" s="160">
        <v>-3781647.3078074008</v>
      </c>
      <c r="W275" s="161">
        <v>3937176.3732711673</v>
      </c>
      <c r="X275" s="160">
        <v>4887396.2443324029</v>
      </c>
      <c r="Y275" s="160">
        <v>14604209.729746938</v>
      </c>
      <c r="Z275" s="160">
        <v>-6598434.3338678032</v>
      </c>
      <c r="AA275" s="160">
        <v>15858047.467671663</v>
      </c>
      <c r="AB275" s="160">
        <v>13813874.345066726</v>
      </c>
      <c r="AC275" s="160">
        <v>-2415045.0017156005</v>
      </c>
      <c r="AD275" s="160">
        <v>12423981.004686832</v>
      </c>
      <c r="AE275" s="160">
        <v>-1399904.4769419134</v>
      </c>
      <c r="AF275" s="160">
        <v>-14644608.114652053</v>
      </c>
      <c r="AG275" s="160">
        <v>-20791340.802357018</v>
      </c>
    </row>
    <row r="276" spans="16:33" ht="15.75" customHeight="1">
      <c r="P276" s="159"/>
      <c r="Q276" s="159">
        <v>259</v>
      </c>
      <c r="R276" s="160">
        <v>-35097512.91503337</v>
      </c>
      <c r="S276" s="160">
        <v>-26102649.264647469</v>
      </c>
      <c r="T276" s="160">
        <v>-17485820.688142449</v>
      </c>
      <c r="U276" s="160">
        <v>-16107098.217434093</v>
      </c>
      <c r="V276" s="160">
        <v>-3583978.0747841001</v>
      </c>
      <c r="W276" s="161">
        <v>-6103975.0701266229</v>
      </c>
      <c r="X276" s="160">
        <v>10676563.002353519</v>
      </c>
      <c r="Y276" s="160">
        <v>1191819.0086323172</v>
      </c>
      <c r="Z276" s="160">
        <v>7355570.16575104</v>
      </c>
      <c r="AA276" s="160">
        <v>14665480.438787907</v>
      </c>
      <c r="AB276" s="160">
        <v>14140983.65298599</v>
      </c>
      <c r="AC276" s="160">
        <v>8414649.8148978204</v>
      </c>
      <c r="AD276" s="160">
        <v>13146981.718483493</v>
      </c>
      <c r="AE276" s="160">
        <v>-1567346.930557251</v>
      </c>
      <c r="AF276" s="160">
        <v>-16566959.058262914</v>
      </c>
      <c r="AG276" s="160">
        <v>-13726744.105834708</v>
      </c>
    </row>
    <row r="277" spans="16:33" ht="15.75" customHeight="1">
      <c r="P277" s="159"/>
      <c r="Q277" s="159">
        <v>260</v>
      </c>
      <c r="R277" s="160">
        <v>-36300732.890558869</v>
      </c>
      <c r="S277" s="160">
        <v>-14517623.095243379</v>
      </c>
      <c r="T277" s="160">
        <v>-7162688.0403174907</v>
      </c>
      <c r="U277" s="160">
        <v>-19469752.098129004</v>
      </c>
      <c r="V277" s="160">
        <v>-3793414.1338825375</v>
      </c>
      <c r="W277" s="161">
        <v>-761830.64470857382</v>
      </c>
      <c r="X277" s="160">
        <v>15533509.219248801</v>
      </c>
      <c r="Y277" s="160">
        <v>15443112.229460075</v>
      </c>
      <c r="Z277" s="160">
        <v>9018732.2885487229</v>
      </c>
      <c r="AA277" s="160">
        <v>3472978.0262103528</v>
      </c>
      <c r="AB277" s="160">
        <v>702338.82201607525</v>
      </c>
      <c r="AC277" s="160">
        <v>6180392.9295669943</v>
      </c>
      <c r="AD277" s="160">
        <v>11688451.441427171</v>
      </c>
      <c r="AE277" s="160">
        <v>-13114848.93022728</v>
      </c>
      <c r="AF277" s="160">
        <v>-13582313.757966384</v>
      </c>
      <c r="AG277" s="160">
        <v>-19303367.56759347</v>
      </c>
    </row>
    <row r="278" spans="16:33" ht="15.75" customHeight="1">
      <c r="P278" s="159"/>
      <c r="Q278" s="159">
        <v>261</v>
      </c>
      <c r="R278" s="160">
        <v>-29766260.070712611</v>
      </c>
      <c r="S278" s="160">
        <v>-25758827.447747186</v>
      </c>
      <c r="T278" s="160">
        <v>-10462013.386153996</v>
      </c>
      <c r="U278" s="160">
        <v>-9529198.6233574748</v>
      </c>
      <c r="V278" s="160">
        <v>-688618.82402268052</v>
      </c>
      <c r="W278" s="161">
        <v>9334756.2261525691</v>
      </c>
      <c r="X278" s="160">
        <v>9409596.6772940159</v>
      </c>
      <c r="Y278" s="160">
        <v>11030021.17284067</v>
      </c>
      <c r="Z278" s="160">
        <v>5398380.9010815471</v>
      </c>
      <c r="AA278" s="160">
        <v>13756876.419508174</v>
      </c>
      <c r="AB278" s="160">
        <v>13120927.306003273</v>
      </c>
      <c r="AC278" s="160">
        <v>6538247.024315685</v>
      </c>
      <c r="AD278" s="160">
        <v>603680.46929448843</v>
      </c>
      <c r="AE278" s="160">
        <v>-15623685.621403441</v>
      </c>
      <c r="AF278" s="160">
        <v>-17783175.703675464</v>
      </c>
      <c r="AG278" s="160">
        <v>-15772344.384548709</v>
      </c>
    </row>
    <row r="279" spans="16:33" ht="15.75" customHeight="1">
      <c r="P279" s="159"/>
      <c r="Q279" s="159">
        <v>262</v>
      </c>
      <c r="R279" s="160">
        <v>-37716702.274667531</v>
      </c>
      <c r="S279" s="160">
        <v>-22686089.652766377</v>
      </c>
      <c r="T279" s="160">
        <v>-23153149.139630526</v>
      </c>
      <c r="U279" s="160">
        <v>-11885266.200651422</v>
      </c>
      <c r="V279" s="160">
        <v>3097011.9053607285</v>
      </c>
      <c r="W279" s="161">
        <v>11602457.465387419</v>
      </c>
      <c r="X279" s="160">
        <v>-1435705.7280096263</v>
      </c>
      <c r="Y279" s="160">
        <v>7616720.0526961535</v>
      </c>
      <c r="Z279" s="160">
        <v>2970323.9248176962</v>
      </c>
      <c r="AA279" s="160">
        <v>18618553.997520894</v>
      </c>
      <c r="AB279" s="160">
        <v>20401214.316756129</v>
      </c>
      <c r="AC279" s="160">
        <v>18010040.183520406</v>
      </c>
      <c r="AD279" s="160">
        <v>-2653802.8655014634</v>
      </c>
      <c r="AE279" s="160">
        <v>-13345378.243565783</v>
      </c>
      <c r="AF279" s="160">
        <v>-16722989.90287444</v>
      </c>
      <c r="AG279" s="160">
        <v>-7288827.0904320329</v>
      </c>
    </row>
    <row r="280" spans="16:33" ht="15.75" customHeight="1">
      <c r="P280" s="159"/>
      <c r="Q280" s="159">
        <v>263</v>
      </c>
      <c r="R280" s="160">
        <v>-34809522.374262601</v>
      </c>
      <c r="S280" s="160">
        <v>-24091224.670302302</v>
      </c>
      <c r="T280" s="160">
        <v>-17536653.169787943</v>
      </c>
      <c r="U280" s="160">
        <v>-10517281.51762186</v>
      </c>
      <c r="V280" s="160">
        <v>332228.39274024963</v>
      </c>
      <c r="W280" s="161">
        <v>-2997430.0774416476</v>
      </c>
      <c r="X280" s="160">
        <v>7689348.5939056426</v>
      </c>
      <c r="Y280" s="160">
        <v>12833749.441422448</v>
      </c>
      <c r="Z280" s="160">
        <v>10003318.604059786</v>
      </c>
      <c r="AA280" s="160">
        <v>17935836.771821633</v>
      </c>
      <c r="AB280" s="160">
        <v>10729252.254890919</v>
      </c>
      <c r="AC280" s="160">
        <v>6109608.4645556659</v>
      </c>
      <c r="AD280" s="160">
        <v>6609781.6120965779</v>
      </c>
      <c r="AE280" s="160">
        <v>-6344082.3241213262</v>
      </c>
      <c r="AF280" s="160">
        <v>-8941341.3718567938</v>
      </c>
      <c r="AG280" s="160">
        <v>-21530539.325726211</v>
      </c>
    </row>
    <row r="281" spans="16:33" ht="15.75" customHeight="1">
      <c r="P281" s="159"/>
      <c r="Q281" s="159">
        <v>264</v>
      </c>
      <c r="R281" s="160">
        <v>-33702217.878874153</v>
      </c>
      <c r="S281" s="160">
        <v>-25055430.618123069</v>
      </c>
      <c r="T281" s="160">
        <v>-16103975.170854285</v>
      </c>
      <c r="U281" s="160">
        <v>-9402229.2468601912</v>
      </c>
      <c r="V281" s="160">
        <v>-329073.03393959999</v>
      </c>
      <c r="W281" s="161">
        <v>-1938882.7305487245</v>
      </c>
      <c r="X281" s="160">
        <v>6716031.9837610722</v>
      </c>
      <c r="Y281" s="160">
        <v>-151764.78230151534</v>
      </c>
      <c r="Z281" s="160">
        <v>14586604.103944615</v>
      </c>
      <c r="AA281" s="160">
        <v>13393257.286019057</v>
      </c>
      <c r="AB281" s="160">
        <v>10511606.286715567</v>
      </c>
      <c r="AC281" s="160">
        <v>-8985770.3167137355</v>
      </c>
      <c r="AD281" s="160">
        <v>-8565026.7937942147</v>
      </c>
      <c r="AE281" s="160">
        <v>-3604394.3819491118</v>
      </c>
      <c r="AF281" s="160">
        <v>-7724076.6193382889</v>
      </c>
      <c r="AG281" s="160">
        <v>-12698035.801308811</v>
      </c>
    </row>
    <row r="282" spans="16:33" ht="15.75" customHeight="1">
      <c r="P282" s="159"/>
      <c r="Q282" s="159">
        <v>265</v>
      </c>
      <c r="R282" s="160">
        <v>-42234233.780642539</v>
      </c>
      <c r="S282" s="160">
        <v>-33125088.786410972</v>
      </c>
      <c r="T282" s="160">
        <v>-16344336.296368465</v>
      </c>
      <c r="U282" s="160">
        <v>-9578002.7768942714</v>
      </c>
      <c r="V282" s="160">
        <v>-2987251.2000536323</v>
      </c>
      <c r="W282" s="161">
        <v>-6653645.4855574518</v>
      </c>
      <c r="X282" s="160">
        <v>12876889.739911944</v>
      </c>
      <c r="Y282" s="160">
        <v>6911041.8434409499</v>
      </c>
      <c r="Z282" s="160">
        <v>12901640.266762123</v>
      </c>
      <c r="AA282" s="160">
        <v>10455008.877072096</v>
      </c>
      <c r="AB282" s="160">
        <v>9729274.9937577695</v>
      </c>
      <c r="AC282" s="160">
        <v>11759512.588449106</v>
      </c>
      <c r="AD282" s="160">
        <v>6603129.5039967597</v>
      </c>
      <c r="AE282" s="160">
        <v>-5145471.7856803834</v>
      </c>
      <c r="AF282" s="160">
        <v>-11965990.003886461</v>
      </c>
      <c r="AG282" s="160">
        <v>-14083760.74549672</v>
      </c>
    </row>
    <row r="283" spans="16:33" ht="15.75" customHeight="1">
      <c r="P283" s="159"/>
      <c r="Q283" s="159">
        <v>266</v>
      </c>
      <c r="R283" s="160">
        <v>-35721929.813919678</v>
      </c>
      <c r="S283" s="160">
        <v>-18918545.320631936</v>
      </c>
      <c r="T283" s="160">
        <v>-15271483.049210533</v>
      </c>
      <c r="U283" s="160">
        <v>-7498216.7765232772</v>
      </c>
      <c r="V283" s="160">
        <v>1824102.4439859092</v>
      </c>
      <c r="W283" s="161">
        <v>-211143.57784675062</v>
      </c>
      <c r="X283" s="160">
        <v>10760275.874059334</v>
      </c>
      <c r="Y283" s="160">
        <v>5471286.8131334484</v>
      </c>
      <c r="Z283" s="160">
        <v>16410700.232585162</v>
      </c>
      <c r="AA283" s="160">
        <v>4803498.2914112806</v>
      </c>
      <c r="AB283" s="160">
        <v>7874939.8335205466</v>
      </c>
      <c r="AC283" s="160">
        <v>6758643.740472585</v>
      </c>
      <c r="AD283" s="160">
        <v>8993602.9278008342</v>
      </c>
      <c r="AE283" s="160">
        <v>139253.54979902506</v>
      </c>
      <c r="AF283" s="160">
        <v>-10830007.780716255</v>
      </c>
      <c r="AG283" s="160">
        <v>-14954288.498071134</v>
      </c>
    </row>
    <row r="284" spans="16:33" ht="15.75" customHeight="1">
      <c r="P284" s="159"/>
      <c r="Q284" s="159">
        <v>267</v>
      </c>
      <c r="R284" s="160">
        <v>-43201587.950586602</v>
      </c>
      <c r="S284" s="160">
        <v>-26903341.966038704</v>
      </c>
      <c r="T284" s="160">
        <v>-12062590.073767215</v>
      </c>
      <c r="U284" s="160">
        <v>-12929393.598449096</v>
      </c>
      <c r="V284" s="160">
        <v>-12230705.146031812</v>
      </c>
      <c r="W284" s="161">
        <v>10344046.111360371</v>
      </c>
      <c r="X284" s="160">
        <v>18610411.882745489</v>
      </c>
      <c r="Y284" s="160">
        <v>12064317.371451586</v>
      </c>
      <c r="Z284" s="160">
        <v>2010468.7393452525</v>
      </c>
      <c r="AA284" s="160">
        <v>8456763.9821846932</v>
      </c>
      <c r="AB284" s="160">
        <v>5762418.2522504926</v>
      </c>
      <c r="AC284" s="160">
        <v>18383981.253325567</v>
      </c>
      <c r="AD284" s="160">
        <v>-3952942.2152657062</v>
      </c>
      <c r="AE284" s="160">
        <v>-5299450.808170706</v>
      </c>
      <c r="AF284" s="160">
        <v>-14576347.683316126</v>
      </c>
      <c r="AG284" s="160">
        <v>-25903076.639313966</v>
      </c>
    </row>
    <row r="285" spans="16:33" ht="15.75" customHeight="1">
      <c r="P285" s="159"/>
      <c r="Q285" s="159">
        <v>268</v>
      </c>
      <c r="R285" s="160">
        <v>-27622584.435507953</v>
      </c>
      <c r="S285" s="160">
        <v>-22836401.725618243</v>
      </c>
      <c r="T285" s="160">
        <v>-14903704.744993746</v>
      </c>
      <c r="U285" s="160">
        <v>1413854.0095784217</v>
      </c>
      <c r="V285" s="160">
        <v>-3176858.5676514804</v>
      </c>
      <c r="W285" s="161">
        <v>2604971.4789646864</v>
      </c>
      <c r="X285" s="160">
        <v>7937022.2047307491</v>
      </c>
      <c r="Y285" s="160">
        <v>14846647.843754336</v>
      </c>
      <c r="Z285" s="160">
        <v>10828087.735108301</v>
      </c>
      <c r="AA285" s="160">
        <v>17735260.601446897</v>
      </c>
      <c r="AB285" s="160">
        <v>9683874.8826674223</v>
      </c>
      <c r="AC285" s="160">
        <v>6909302.1624671817</v>
      </c>
      <c r="AD285" s="160">
        <v>2989375.9118060917</v>
      </c>
      <c r="AE285" s="160">
        <v>-4177901.4799943864</v>
      </c>
      <c r="AF285" s="160">
        <v>-8935262.2427388728</v>
      </c>
      <c r="AG285" s="160">
        <v>-14844023.71502158</v>
      </c>
    </row>
    <row r="286" spans="16:33" ht="15.75" customHeight="1">
      <c r="P286" s="159"/>
      <c r="Q286" s="159">
        <v>269</v>
      </c>
      <c r="R286" s="160">
        <v>-39724851.524956688</v>
      </c>
      <c r="S286" s="160">
        <v>-16887243.581434146</v>
      </c>
      <c r="T286" s="160">
        <v>-19760441.529786929</v>
      </c>
      <c r="U286" s="160">
        <v>-5684032.5553536415</v>
      </c>
      <c r="V286" s="160">
        <v>3848826.2515392303</v>
      </c>
      <c r="W286" s="161">
        <v>11634442.803221151</v>
      </c>
      <c r="X286" s="160">
        <v>4956024.9369326085</v>
      </c>
      <c r="Y286" s="160">
        <v>7328523.400562197</v>
      </c>
      <c r="Z286" s="160">
        <v>6344182.3592161238</v>
      </c>
      <c r="AA286" s="160">
        <v>22543025.519945323</v>
      </c>
      <c r="AB286" s="160">
        <v>10398633.19999674</v>
      </c>
      <c r="AC286" s="160">
        <v>12407333.879799262</v>
      </c>
      <c r="AD286" s="160">
        <v>4087510.4284148216</v>
      </c>
      <c r="AE286" s="160">
        <v>614641.06929686666</v>
      </c>
      <c r="AF286" s="160">
        <v>-11256076.413705021</v>
      </c>
      <c r="AG286" s="160">
        <v>-23912923.198963732</v>
      </c>
    </row>
    <row r="287" spans="16:33" ht="15.75" customHeight="1">
      <c r="P287" s="159"/>
      <c r="Q287" s="159">
        <v>270</v>
      </c>
      <c r="R287" s="160">
        <v>-34320599.771230489</v>
      </c>
      <c r="S287" s="160">
        <v>-23256976.435453564</v>
      </c>
      <c r="T287" s="160">
        <v>-11153547.830627441</v>
      </c>
      <c r="U287" s="160">
        <v>-12673812.739052251</v>
      </c>
      <c r="V287" s="160">
        <v>4877924.6695724726</v>
      </c>
      <c r="W287" s="161">
        <v>10776670.421568483</v>
      </c>
      <c r="X287" s="160">
        <v>13080481.847986042</v>
      </c>
      <c r="Y287" s="160">
        <v>12751303.402422205</v>
      </c>
      <c r="Z287" s="160">
        <v>20719876.144739315</v>
      </c>
      <c r="AA287" s="160">
        <v>12620105.576350212</v>
      </c>
      <c r="AB287" s="160">
        <v>15477103.720705464</v>
      </c>
      <c r="AC287" s="160">
        <v>5080070.8768647611</v>
      </c>
      <c r="AD287" s="160">
        <v>5059449.4442291856</v>
      </c>
      <c r="AE287" s="160">
        <v>-8164407.9620066434</v>
      </c>
      <c r="AF287" s="160">
        <v>-158543.69122467935</v>
      </c>
      <c r="AG287" s="160">
        <v>-27477952.014355958</v>
      </c>
    </row>
    <row r="288" spans="16:33" ht="15.75" customHeight="1">
      <c r="P288" s="159"/>
      <c r="Q288" s="159">
        <v>271</v>
      </c>
      <c r="R288" s="160">
        <v>-29925534.240736559</v>
      </c>
      <c r="S288" s="160">
        <v>-15384140.179509595</v>
      </c>
      <c r="T288" s="160">
        <v>-11299338.906444475</v>
      </c>
      <c r="U288" s="160">
        <v>-1639245.7404962331</v>
      </c>
      <c r="V288" s="160">
        <v>7396734.485766992</v>
      </c>
      <c r="W288" s="161">
        <v>4976731.5711047351</v>
      </c>
      <c r="X288" s="160">
        <v>-2133315.0291807652</v>
      </c>
      <c r="Y288" s="160">
        <v>7210723.950796023</v>
      </c>
      <c r="Z288" s="160">
        <v>-2428258.9957029074</v>
      </c>
      <c r="AA288" s="160">
        <v>4808733.3099028319</v>
      </c>
      <c r="AB288" s="160">
        <v>3295786.1056590378</v>
      </c>
      <c r="AC288" s="160">
        <v>6220687.8874552399</v>
      </c>
      <c r="AD288" s="160">
        <v>13297450.821582556</v>
      </c>
      <c r="AE288" s="160">
        <v>-10159303.670256004</v>
      </c>
      <c r="AF288" s="160">
        <v>-8778005.2312957048</v>
      </c>
      <c r="AG288" s="160">
        <v>-21144138.620414436</v>
      </c>
    </row>
    <row r="289" spans="16:33" ht="15.75" customHeight="1">
      <c r="P289" s="159"/>
      <c r="Q289" s="159">
        <v>272</v>
      </c>
      <c r="R289" s="160">
        <v>-34167626.828380018</v>
      </c>
      <c r="S289" s="160">
        <v>-18968595.874373332</v>
      </c>
      <c r="T289" s="160">
        <v>-21148197.365542263</v>
      </c>
      <c r="U289" s="160">
        <v>1949610.7082740813</v>
      </c>
      <c r="V289" s="160">
        <v>-647454.73884515464</v>
      </c>
      <c r="W289" s="161">
        <v>10379111.34986493</v>
      </c>
      <c r="X289" s="160">
        <v>4976742.1475659311</v>
      </c>
      <c r="Y289" s="160">
        <v>3596635.3083754033</v>
      </c>
      <c r="Z289" s="160">
        <v>-1924422.7955023497</v>
      </c>
      <c r="AA289" s="160">
        <v>11398475.014723316</v>
      </c>
      <c r="AB289" s="160">
        <v>8542541.7663085163</v>
      </c>
      <c r="AC289" s="160">
        <v>10493375.547841668</v>
      </c>
      <c r="AD289" s="160">
        <v>-2114227.6317787021</v>
      </c>
      <c r="AE289" s="160">
        <v>-10022742.302132547</v>
      </c>
      <c r="AF289" s="160">
        <v>-8858717.0546519309</v>
      </c>
      <c r="AG289" s="160">
        <v>-12566573.733717173</v>
      </c>
    </row>
    <row r="290" spans="16:33" ht="15.75" customHeight="1">
      <c r="P290" s="159"/>
      <c r="Q290" s="159">
        <v>273</v>
      </c>
      <c r="R290" s="160">
        <v>-34728047.375725061</v>
      </c>
      <c r="S290" s="160">
        <v>-17833044.821008936</v>
      </c>
      <c r="T290" s="160">
        <v>-18993969.836816087</v>
      </c>
      <c r="U290" s="160">
        <v>-5538631.1525028497</v>
      </c>
      <c r="V290" s="160">
        <v>506237.3183721751</v>
      </c>
      <c r="W290" s="161">
        <v>12065817.184389502</v>
      </c>
      <c r="X290" s="160">
        <v>4219228.3752735257</v>
      </c>
      <c r="Y290" s="160">
        <v>13213149.581154108</v>
      </c>
      <c r="Z290" s="160">
        <v>22519741.730554655</v>
      </c>
      <c r="AA290" s="160">
        <v>8224832.7158538401</v>
      </c>
      <c r="AB290" s="160">
        <v>18829853.827277064</v>
      </c>
      <c r="AC290" s="160">
        <v>10053434.930702865</v>
      </c>
      <c r="AD290" s="160">
        <v>6644292.216493994</v>
      </c>
      <c r="AE290" s="160">
        <v>-554759.4868516475</v>
      </c>
      <c r="AF290" s="160">
        <v>-5159563.6620631516</v>
      </c>
      <c r="AG290" s="160">
        <v>-23044173.10939838</v>
      </c>
    </row>
    <row r="291" spans="16:33" ht="15.75" customHeight="1">
      <c r="P291" s="159"/>
      <c r="Q291" s="159">
        <v>274</v>
      </c>
      <c r="R291" s="160">
        <v>-30115156.292681217</v>
      </c>
      <c r="S291" s="160">
        <v>-19316698.552215859</v>
      </c>
      <c r="T291" s="160">
        <v>-12146409.186935484</v>
      </c>
      <c r="U291" s="160">
        <v>-9373511.6828365624</v>
      </c>
      <c r="V291" s="160">
        <v>-2084360.4791335911</v>
      </c>
      <c r="W291" s="161">
        <v>4547019.2695759535</v>
      </c>
      <c r="X291" s="160">
        <v>7156443.2718176842</v>
      </c>
      <c r="Y291" s="160">
        <v>19736883.51580891</v>
      </c>
      <c r="Z291" s="160">
        <v>13665932.298036605</v>
      </c>
      <c r="AA291" s="160">
        <v>8459883.8289437443</v>
      </c>
      <c r="AB291" s="160">
        <v>13640401.338445351</v>
      </c>
      <c r="AC291" s="160">
        <v>-778712.62708064914</v>
      </c>
      <c r="AD291" s="160">
        <v>3279109.227769807</v>
      </c>
      <c r="AE291" s="160">
        <v>6702194.5629498363</v>
      </c>
      <c r="AF291" s="160">
        <v>-12303554.350139871</v>
      </c>
      <c r="AG291" s="160">
        <v>-18657287.45098865</v>
      </c>
    </row>
    <row r="292" spans="16:33" ht="15.75" customHeight="1">
      <c r="P292" s="159"/>
      <c r="Q292" s="159">
        <v>275</v>
      </c>
      <c r="R292" s="160">
        <v>-31211578.588556185</v>
      </c>
      <c r="S292" s="160">
        <v>-25130646.757891461</v>
      </c>
      <c r="T292" s="160">
        <v>-16297522.249473885</v>
      </c>
      <c r="U292" s="160">
        <v>-16345675.025855005</v>
      </c>
      <c r="V292" s="160">
        <v>-2895025.9690996408</v>
      </c>
      <c r="W292" s="161">
        <v>-1229349.3275289983</v>
      </c>
      <c r="X292" s="160">
        <v>1470148.7088502944</v>
      </c>
      <c r="Y292" s="160">
        <v>15924644.343792424</v>
      </c>
      <c r="Z292" s="160">
        <v>6406552.9818014055</v>
      </c>
      <c r="AA292" s="160">
        <v>-167027.64068806171</v>
      </c>
      <c r="AB292" s="160">
        <v>6878319.0849349499</v>
      </c>
      <c r="AC292" s="160">
        <v>-1149509.9149124771</v>
      </c>
      <c r="AD292" s="160">
        <v>7003672.5294651538</v>
      </c>
      <c r="AE292" s="160">
        <v>-8393316.7794547975</v>
      </c>
      <c r="AF292" s="160">
        <v>-7740189.855073303</v>
      </c>
      <c r="AG292" s="160">
        <v>-20576067.378485844</v>
      </c>
    </row>
    <row r="293" spans="16:33" ht="15.75" customHeight="1">
      <c r="P293" s="159"/>
      <c r="Q293" s="159">
        <v>276</v>
      </c>
      <c r="R293" s="160">
        <v>-39459509.895082816</v>
      </c>
      <c r="S293" s="160">
        <v>-26536108.38910827</v>
      </c>
      <c r="T293" s="160">
        <v>1301462.2052951306</v>
      </c>
      <c r="U293" s="160">
        <v>-9089353.2149583995</v>
      </c>
      <c r="V293" s="160">
        <v>-74892.072707757354</v>
      </c>
      <c r="W293" s="161">
        <v>-516930.84215539694</v>
      </c>
      <c r="X293" s="160">
        <v>1835278.0274629593</v>
      </c>
      <c r="Y293" s="160">
        <v>11761604.447941527</v>
      </c>
      <c r="Z293" s="160">
        <v>10789255.567941263</v>
      </c>
      <c r="AA293" s="160">
        <v>12795421.255839691</v>
      </c>
      <c r="AB293" s="160">
        <v>8415448.6657496691</v>
      </c>
      <c r="AC293" s="160">
        <v>149344.57404983044</v>
      </c>
      <c r="AD293" s="160">
        <v>4275953.0320478082</v>
      </c>
      <c r="AE293" s="160">
        <v>-5138469.3667974472</v>
      </c>
      <c r="AF293" s="160">
        <v>-8736770.1039423048</v>
      </c>
      <c r="AG293" s="160">
        <v>-22065100.523036063</v>
      </c>
    </row>
    <row r="294" spans="16:33" ht="15.75" customHeight="1">
      <c r="P294" s="159"/>
      <c r="Q294" s="159">
        <v>277</v>
      </c>
      <c r="R294" s="160">
        <v>-37759859.824937522</v>
      </c>
      <c r="S294" s="160">
        <v>-26182919.984445885</v>
      </c>
      <c r="T294" s="160">
        <v>-17712186.439843044</v>
      </c>
      <c r="U294" s="160">
        <v>-16890869.833434954</v>
      </c>
      <c r="V294" s="160">
        <v>-2714369.4493578374</v>
      </c>
      <c r="W294" s="161">
        <v>5592727.5020433068</v>
      </c>
      <c r="X294" s="160">
        <v>10350401.400967762</v>
      </c>
      <c r="Y294" s="160">
        <v>10628116.279763341</v>
      </c>
      <c r="Z294" s="160">
        <v>13792317.515182748</v>
      </c>
      <c r="AA294" s="160">
        <v>15677216.551607043</v>
      </c>
      <c r="AB294" s="160">
        <v>12608002.813319698</v>
      </c>
      <c r="AC294" s="160">
        <v>20611824.28353858</v>
      </c>
      <c r="AD294" s="160">
        <v>-5735733.3755412698</v>
      </c>
      <c r="AE294" s="160">
        <v>-1736871.2188410163</v>
      </c>
      <c r="AF294" s="160">
        <v>155878.6747905612</v>
      </c>
      <c r="AG294" s="160">
        <v>-22892318.581799239</v>
      </c>
    </row>
    <row r="295" spans="16:33" ht="15.75" customHeight="1">
      <c r="P295" s="159"/>
      <c r="Q295" s="159">
        <v>278</v>
      </c>
      <c r="R295" s="160">
        <v>-43913607.520121485</v>
      </c>
      <c r="S295" s="160">
        <v>-20121098.93936272</v>
      </c>
      <c r="T295" s="160">
        <v>-24162017.521759599</v>
      </c>
      <c r="U295" s="160">
        <v>-12915879.710245937</v>
      </c>
      <c r="V295" s="160">
        <v>-6941066.9697207659</v>
      </c>
      <c r="W295" s="161">
        <v>-4962402.5200975239</v>
      </c>
      <c r="X295" s="160">
        <v>14537204.338115916</v>
      </c>
      <c r="Y295" s="160">
        <v>4494476.1224620491</v>
      </c>
      <c r="Z295" s="160">
        <v>10664629.815889314</v>
      </c>
      <c r="AA295" s="160">
        <v>6858456.9082924426</v>
      </c>
      <c r="AB295" s="160">
        <v>10613986.694863051</v>
      </c>
      <c r="AC295" s="160">
        <v>7698312.648962453</v>
      </c>
      <c r="AD295" s="160">
        <v>-7860455.6494904459</v>
      </c>
      <c r="AE295" s="160">
        <v>-4212420.8632464409</v>
      </c>
      <c r="AF295" s="160">
        <v>-10189435.45240587</v>
      </c>
      <c r="AG295" s="160">
        <v>-11891827.691602722</v>
      </c>
    </row>
    <row r="296" spans="16:33" ht="15.75" customHeight="1">
      <c r="P296" s="159"/>
      <c r="Q296" s="159">
        <v>279</v>
      </c>
      <c r="R296" s="160">
        <v>-43696528.741585046</v>
      </c>
      <c r="S296" s="160">
        <v>-23671093.944911852</v>
      </c>
      <c r="T296" s="160">
        <v>-18819175.899691477</v>
      </c>
      <c r="U296" s="160">
        <v>-6183479.1515447795</v>
      </c>
      <c r="V296" s="160">
        <v>-1937943.1866274476</v>
      </c>
      <c r="W296" s="161">
        <v>11869019.932449907</v>
      </c>
      <c r="X296" s="160">
        <v>8954659.1019598991</v>
      </c>
      <c r="Y296" s="160">
        <v>16305792.164490551</v>
      </c>
      <c r="Z296" s="160">
        <v>12500736.164907202</v>
      </c>
      <c r="AA296" s="160">
        <v>8502080.0401241928</v>
      </c>
      <c r="AB296" s="160">
        <v>21191486.068544447</v>
      </c>
      <c r="AC296" s="160">
        <v>2404910.3332486153</v>
      </c>
      <c r="AD296" s="160">
        <v>103167.42732232809</v>
      </c>
      <c r="AE296" s="160">
        <v>2663294.6145147383</v>
      </c>
      <c r="AF296" s="160">
        <v>-14196146.059626937</v>
      </c>
      <c r="AG296" s="160">
        <v>-14896281.435527891</v>
      </c>
    </row>
    <row r="297" spans="16:33" ht="15.75" customHeight="1">
      <c r="P297" s="159"/>
      <c r="Q297" s="159">
        <v>280</v>
      </c>
      <c r="R297" s="160">
        <v>-33804217.377646163</v>
      </c>
      <c r="S297" s="160">
        <v>-19344099.004929811</v>
      </c>
      <c r="T297" s="160">
        <v>-26974491.626152858</v>
      </c>
      <c r="U297" s="160">
        <v>-2643278.4740769863</v>
      </c>
      <c r="V297" s="160">
        <v>-4448951.3896918297</v>
      </c>
      <c r="W297" s="161">
        <v>-586396.78336559236</v>
      </c>
      <c r="X297" s="160">
        <v>16888357.034394264</v>
      </c>
      <c r="Y297" s="160">
        <v>15610521.75617446</v>
      </c>
      <c r="Z297" s="160">
        <v>30321440.745675296</v>
      </c>
      <c r="AA297" s="160">
        <v>11456843.351797268</v>
      </c>
      <c r="AB297" s="160">
        <v>-7537551.8222346306</v>
      </c>
      <c r="AC297" s="160">
        <v>-1312396.4501531422</v>
      </c>
      <c r="AD297" s="160">
        <v>4969018.2600305527</v>
      </c>
      <c r="AE297" s="160">
        <v>1812016.0571388453</v>
      </c>
      <c r="AF297" s="160">
        <v>-11444251.316638738</v>
      </c>
      <c r="AG297" s="160">
        <v>-13732449.373449862</v>
      </c>
    </row>
    <row r="298" spans="16:33" ht="15.75" customHeight="1">
      <c r="P298" s="159"/>
      <c r="Q298" s="159">
        <v>281</v>
      </c>
      <c r="R298" s="160">
        <v>-32366497.305084363</v>
      </c>
      <c r="S298" s="160">
        <v>-27627504.998884499</v>
      </c>
      <c r="T298" s="160">
        <v>-19505175.743454725</v>
      </c>
      <c r="U298" s="160">
        <v>-12797349.476578951</v>
      </c>
      <c r="V298" s="160">
        <v>4874246.1726952493</v>
      </c>
      <c r="W298" s="161">
        <v>10125504.681339711</v>
      </c>
      <c r="X298" s="160">
        <v>8040272.0551352352</v>
      </c>
      <c r="Y298" s="160">
        <v>15495466.553968489</v>
      </c>
      <c r="Z298" s="160">
        <v>17510883.139373362</v>
      </c>
      <c r="AA298" s="160">
        <v>16710303.029166445</v>
      </c>
      <c r="AB298" s="160">
        <v>12055159.806312501</v>
      </c>
      <c r="AC298" s="160">
        <v>10711804.399917111</v>
      </c>
      <c r="AD298" s="160">
        <v>3033508.7023053914</v>
      </c>
      <c r="AE298" s="160">
        <v>9663258.1026453525</v>
      </c>
      <c r="AF298" s="160">
        <v>-14041095.484042123</v>
      </c>
      <c r="AG298" s="160">
        <v>-20334852.024480626</v>
      </c>
    </row>
    <row r="299" spans="16:33" ht="15.75" customHeight="1">
      <c r="P299" s="159"/>
      <c r="Q299" s="159">
        <v>282</v>
      </c>
      <c r="R299" s="160">
        <v>-36899999.773948342</v>
      </c>
      <c r="S299" s="160">
        <v>-29216629.395065054</v>
      </c>
      <c r="T299" s="160">
        <v>-21356799.618307248</v>
      </c>
      <c r="U299" s="160">
        <v>-10090698.10308294</v>
      </c>
      <c r="V299" s="160">
        <v>-1639659.5708746165</v>
      </c>
      <c r="W299" s="161">
        <v>-479973.2075330019</v>
      </c>
      <c r="X299" s="160">
        <v>8119905.5186887085</v>
      </c>
      <c r="Y299" s="160">
        <v>9299202.3597653955</v>
      </c>
      <c r="Z299" s="160">
        <v>15897576.637643173</v>
      </c>
      <c r="AA299" s="160">
        <v>-3311689.9256468713</v>
      </c>
      <c r="AB299" s="160">
        <v>5334865.6161412597</v>
      </c>
      <c r="AC299" s="160">
        <v>3180438.5965953022</v>
      </c>
      <c r="AD299" s="160">
        <v>-2715330.6860490888</v>
      </c>
      <c r="AE299" s="160">
        <v>-9073528.1060116589</v>
      </c>
      <c r="AF299" s="160">
        <v>-7921515.2200507969</v>
      </c>
      <c r="AG299" s="160">
        <v>-13078607.45106779</v>
      </c>
    </row>
    <row r="300" spans="16:33" ht="15.75" customHeight="1">
      <c r="P300" s="159"/>
      <c r="Q300" s="159">
        <v>283</v>
      </c>
      <c r="R300" s="160">
        <v>-38226329.839370996</v>
      </c>
      <c r="S300" s="160">
        <v>-23774668.70698522</v>
      </c>
      <c r="T300" s="160">
        <v>-15900716.764094934</v>
      </c>
      <c r="U300" s="160">
        <v>4235749.0467851162</v>
      </c>
      <c r="V300" s="160">
        <v>-661099.23405341804</v>
      </c>
      <c r="W300" s="161">
        <v>-175120.37646448612</v>
      </c>
      <c r="X300" s="160">
        <v>7569414.9850924015</v>
      </c>
      <c r="Y300" s="160">
        <v>22555570.081471175</v>
      </c>
      <c r="Z300" s="160">
        <v>22106834.205206439</v>
      </c>
      <c r="AA300" s="160">
        <v>12838883.68962194</v>
      </c>
      <c r="AB300" s="160">
        <v>10768511.022761017</v>
      </c>
      <c r="AC300" s="160">
        <v>3271706.8017733246</v>
      </c>
      <c r="AD300" s="160">
        <v>-7371600.0785284489</v>
      </c>
      <c r="AE300" s="160">
        <v>-12744429.209357649</v>
      </c>
      <c r="AF300" s="160">
        <v>-16415414.614533648</v>
      </c>
      <c r="AG300" s="160">
        <v>-16910356.758332834</v>
      </c>
    </row>
    <row r="301" spans="16:33" ht="15.75" customHeight="1">
      <c r="P301" s="159"/>
      <c r="Q301" s="159">
        <v>284</v>
      </c>
      <c r="R301" s="160">
        <v>-35050079.820116848</v>
      </c>
      <c r="S301" s="160">
        <v>-25631538.553548604</v>
      </c>
      <c r="T301" s="160">
        <v>-20291792.63329564</v>
      </c>
      <c r="U301" s="160">
        <v>-8186429.306604296</v>
      </c>
      <c r="V301" s="160">
        <v>-1203086.489111647</v>
      </c>
      <c r="W301" s="161">
        <v>-1629861.8877164721</v>
      </c>
      <c r="X301" s="160">
        <v>8089755.9349066317</v>
      </c>
      <c r="Y301" s="160">
        <v>8410333.7891970277</v>
      </c>
      <c r="Z301" s="160">
        <v>2815231.2617904246</v>
      </c>
      <c r="AA301" s="160">
        <v>19144118.737273186</v>
      </c>
      <c r="AB301" s="160">
        <v>14999823.312509224</v>
      </c>
      <c r="AC301" s="160">
        <v>10326746.961222008</v>
      </c>
      <c r="AD301" s="160">
        <v>10463977.715917304</v>
      </c>
      <c r="AE301" s="160">
        <v>-7107924.1410886049</v>
      </c>
      <c r="AF301" s="160">
        <v>-13201696.904155433</v>
      </c>
      <c r="AG301" s="160">
        <v>-21642834.326197356</v>
      </c>
    </row>
    <row r="302" spans="16:33" ht="15.75" customHeight="1">
      <c r="P302" s="159"/>
      <c r="Q302" s="159">
        <v>285</v>
      </c>
      <c r="R302" s="160">
        <v>-31787616.224247918</v>
      </c>
      <c r="S302" s="160">
        <v>-27368533.77227065</v>
      </c>
      <c r="T302" s="160">
        <v>-20457530.628904954</v>
      </c>
      <c r="U302" s="160">
        <v>-8172193.3980229497</v>
      </c>
      <c r="V302" s="160">
        <v>-607483.23666058481</v>
      </c>
      <c r="W302" s="161">
        <v>-108008.38044565916</v>
      </c>
      <c r="X302" s="160">
        <v>10210156.70779036</v>
      </c>
      <c r="Y302" s="160">
        <v>15188709.056160465</v>
      </c>
      <c r="Z302" s="160">
        <v>5902184.0655336827</v>
      </c>
      <c r="AA302" s="160">
        <v>25663643.353596047</v>
      </c>
      <c r="AB302" s="160">
        <v>9029913.8870378286</v>
      </c>
      <c r="AC302" s="160">
        <v>10606249.760073572</v>
      </c>
      <c r="AD302" s="160">
        <v>5816393.2572541684</v>
      </c>
      <c r="AE302" s="160">
        <v>-10630301.020021573</v>
      </c>
      <c r="AF302" s="160">
        <v>-8529233.9978837371</v>
      </c>
      <c r="AG302" s="160">
        <v>-14946024.354736045</v>
      </c>
    </row>
    <row r="303" spans="16:33" ht="15.75" customHeight="1">
      <c r="P303" s="159"/>
      <c r="Q303" s="159">
        <v>286</v>
      </c>
      <c r="R303" s="160">
        <v>-38526344.775105208</v>
      </c>
      <c r="S303" s="160">
        <v>-18663184.081753463</v>
      </c>
      <c r="T303" s="160">
        <v>-14662381.705654398</v>
      </c>
      <c r="U303" s="160">
        <v>1699245.4535165727</v>
      </c>
      <c r="V303" s="160">
        <v>3635108.522507906</v>
      </c>
      <c r="W303" s="161">
        <v>-11426695.818726897</v>
      </c>
      <c r="X303" s="160">
        <v>4422445.1050527096</v>
      </c>
      <c r="Y303" s="160">
        <v>11021402.609612688</v>
      </c>
      <c r="Z303" s="160">
        <v>18499309.907054409</v>
      </c>
      <c r="AA303" s="160">
        <v>18582296.610944241</v>
      </c>
      <c r="AB303" s="160">
        <v>9753757.3410557508</v>
      </c>
      <c r="AC303" s="160">
        <v>2480001.2450816631</v>
      </c>
      <c r="AD303" s="160">
        <v>8229464.8939020485</v>
      </c>
      <c r="AE303" s="160">
        <v>-9716291.4834740162</v>
      </c>
      <c r="AF303" s="160">
        <v>-18532456.366776839</v>
      </c>
      <c r="AG303" s="160">
        <v>-17201377.272280544</v>
      </c>
    </row>
    <row r="304" spans="16:33" ht="15.75" customHeight="1">
      <c r="P304" s="159"/>
      <c r="Q304" s="159">
        <v>287</v>
      </c>
      <c r="R304" s="160">
        <v>-36990701.210652947</v>
      </c>
      <c r="S304" s="160">
        <v>-30925108.852065802</v>
      </c>
      <c r="T304" s="160">
        <v>-18941630.678324744</v>
      </c>
      <c r="U304" s="160">
        <v>-6407681.1107640266</v>
      </c>
      <c r="V304" s="160">
        <v>138155.45989991724</v>
      </c>
      <c r="W304" s="161">
        <v>4410283.1342247427</v>
      </c>
      <c r="X304" s="160">
        <v>6201635.0383011997</v>
      </c>
      <c r="Y304" s="160">
        <v>10858652.776497737</v>
      </c>
      <c r="Z304" s="160">
        <v>5631445.8134212196</v>
      </c>
      <c r="AA304" s="160">
        <v>15590977.786522448</v>
      </c>
      <c r="AB304" s="160">
        <v>6603071.1258797348</v>
      </c>
      <c r="AC304" s="160">
        <v>2863608.9034238458</v>
      </c>
      <c r="AD304" s="160">
        <v>36187.752980649471</v>
      </c>
      <c r="AE304" s="160">
        <v>1696181.2656763941</v>
      </c>
      <c r="AF304" s="160">
        <v>-14664045.632705986</v>
      </c>
      <c r="AG304" s="160">
        <v>-17863265.252071232</v>
      </c>
    </row>
    <row r="305" spans="16:33" ht="15.75" customHeight="1">
      <c r="P305" s="159"/>
      <c r="Q305" s="159">
        <v>288</v>
      </c>
      <c r="R305" s="160">
        <v>-36372481.263345182</v>
      </c>
      <c r="S305" s="160">
        <v>-22122356.86201033</v>
      </c>
      <c r="T305" s="160">
        <v>-15564815.445049569</v>
      </c>
      <c r="U305" s="160">
        <v>-11464329.765562266</v>
      </c>
      <c r="V305" s="160">
        <v>-2179747.1271417886</v>
      </c>
      <c r="W305" s="161">
        <v>-519679.06210961938</v>
      </c>
      <c r="X305" s="160">
        <v>12036774.319853619</v>
      </c>
      <c r="Y305" s="160">
        <v>3826237.6406438202</v>
      </c>
      <c r="Z305" s="160">
        <v>13809177.66247493</v>
      </c>
      <c r="AA305" s="160">
        <v>1737019.5360019654</v>
      </c>
      <c r="AB305" s="160">
        <v>9316108.2236233354</v>
      </c>
      <c r="AC305" s="160">
        <v>4915821.3488556147</v>
      </c>
      <c r="AD305" s="160">
        <v>1166107.6177393347</v>
      </c>
      <c r="AE305" s="160">
        <v>-6708675.255048424</v>
      </c>
      <c r="AF305" s="160">
        <v>-12945185.486718491</v>
      </c>
      <c r="AG305" s="160">
        <v>-21844111.276429772</v>
      </c>
    </row>
    <row r="306" spans="16:33" ht="15.75" customHeight="1">
      <c r="P306" s="159"/>
      <c r="Q306" s="159">
        <v>289</v>
      </c>
      <c r="R306" s="160">
        <v>-42499850.700267017</v>
      </c>
      <c r="S306" s="160">
        <v>-31284563.09999235</v>
      </c>
      <c r="T306" s="160">
        <v>-14563375.40616408</v>
      </c>
      <c r="U306" s="160">
        <v>-6378107.2452750206</v>
      </c>
      <c r="V306" s="160">
        <v>-5064181.8764347583</v>
      </c>
      <c r="W306" s="161">
        <v>14380176.041461781</v>
      </c>
      <c r="X306" s="160">
        <v>8755904.5630144924</v>
      </c>
      <c r="Y306" s="160">
        <v>16060530.751964271</v>
      </c>
      <c r="Z306" s="160">
        <v>10068144.084095597</v>
      </c>
      <c r="AA306" s="160">
        <v>17978112.898829654</v>
      </c>
      <c r="AB306" s="160">
        <v>10126087.403494403</v>
      </c>
      <c r="AC306" s="160">
        <v>3406197.8859590143</v>
      </c>
      <c r="AD306" s="160">
        <v>6562376.1275663525</v>
      </c>
      <c r="AE306" s="160">
        <v>-6887305.7540716827</v>
      </c>
      <c r="AF306" s="160">
        <v>-10901646.694771901</v>
      </c>
      <c r="AG306" s="160">
        <v>-5661019.3737329096</v>
      </c>
    </row>
    <row r="307" spans="16:33" ht="15.75" customHeight="1">
      <c r="P307" s="159"/>
      <c r="Q307" s="159">
        <v>290</v>
      </c>
      <c r="R307" s="160">
        <v>-31368941.989504546</v>
      </c>
      <c r="S307" s="160">
        <v>-26170889.756097168</v>
      </c>
      <c r="T307" s="160">
        <v>-17827830.912752226</v>
      </c>
      <c r="U307" s="160">
        <v>-12793211.997802213</v>
      </c>
      <c r="V307" s="160">
        <v>17926.751159369946</v>
      </c>
      <c r="W307" s="161">
        <v>5225885.1070195138</v>
      </c>
      <c r="X307" s="160">
        <v>3201681.9159671664</v>
      </c>
      <c r="Y307" s="160">
        <v>18736924.156673521</v>
      </c>
      <c r="Z307" s="160">
        <v>8829222.1559254676</v>
      </c>
      <c r="AA307" s="160">
        <v>10156320.534408301</v>
      </c>
      <c r="AB307" s="160">
        <v>10377047.301407516</v>
      </c>
      <c r="AC307" s="160">
        <v>5300785.3773988634</v>
      </c>
      <c r="AD307" s="160">
        <v>-4624769.1762593687</v>
      </c>
      <c r="AE307" s="160">
        <v>-5470211.5129977912</v>
      </c>
      <c r="AF307" s="160">
        <v>-14521452.487364173</v>
      </c>
      <c r="AG307" s="160">
        <v>-7101519.2019252479</v>
      </c>
    </row>
    <row r="308" spans="16:33" ht="15.75" customHeight="1">
      <c r="P308" s="159"/>
      <c r="Q308" s="159">
        <v>291</v>
      </c>
      <c r="R308" s="160">
        <v>-34945367.480487257</v>
      </c>
      <c r="S308" s="160">
        <v>-21768688.550582811</v>
      </c>
      <c r="T308" s="160">
        <v>-12029765.388446644</v>
      </c>
      <c r="U308" s="160">
        <v>-10159514.364626721</v>
      </c>
      <c r="V308" s="160">
        <v>-4835347.5676868856</v>
      </c>
      <c r="W308" s="161">
        <v>8795644.8293601871</v>
      </c>
      <c r="X308" s="160">
        <v>4435069.0283102542</v>
      </c>
      <c r="Y308" s="160">
        <v>7587787.610346213</v>
      </c>
      <c r="Z308" s="160">
        <v>6590943.8803525418</v>
      </c>
      <c r="AA308" s="160">
        <v>5144013.4936811179</v>
      </c>
      <c r="AB308" s="160">
        <v>12157428.237275809</v>
      </c>
      <c r="AC308" s="160">
        <v>3567916.8493069708</v>
      </c>
      <c r="AD308" s="160">
        <v>-9440334.1962342411</v>
      </c>
      <c r="AE308" s="160">
        <v>560284.84096644819</v>
      </c>
      <c r="AF308" s="160">
        <v>-7317813.6394355744</v>
      </c>
      <c r="AG308" s="160">
        <v>-20291597.476573437</v>
      </c>
    </row>
    <row r="309" spans="16:33" ht="15.75" customHeight="1">
      <c r="P309" s="159"/>
      <c r="Q309" s="159">
        <v>292</v>
      </c>
      <c r="R309" s="160">
        <v>-32745425.676725686</v>
      </c>
      <c r="S309" s="160">
        <v>-18641466.920921311</v>
      </c>
      <c r="T309" s="160">
        <v>-20453723.166562811</v>
      </c>
      <c r="U309" s="160">
        <v>-11953106.445848063</v>
      </c>
      <c r="V309" s="160">
        <v>1719622.8595372289</v>
      </c>
      <c r="W309" s="161">
        <v>4169913.0753035843</v>
      </c>
      <c r="X309" s="160">
        <v>8227949.345352158</v>
      </c>
      <c r="Y309" s="160">
        <v>21232216.540776148</v>
      </c>
      <c r="Z309" s="160">
        <v>6813942.3625789583</v>
      </c>
      <c r="AA309" s="160">
        <v>3286882.690420866</v>
      </c>
      <c r="AB309" s="160">
        <v>6450277.22711429</v>
      </c>
      <c r="AC309" s="160">
        <v>5505031.1362871081</v>
      </c>
      <c r="AD309" s="160">
        <v>-530888.56970325112</v>
      </c>
      <c r="AE309" s="160">
        <v>6877430.9940451682</v>
      </c>
      <c r="AF309" s="160">
        <v>-4166801.974379465</v>
      </c>
      <c r="AG309" s="160">
        <v>-26288363.059966207</v>
      </c>
    </row>
    <row r="310" spans="16:33" ht="15.75" customHeight="1">
      <c r="P310" s="159"/>
      <c r="Q310" s="159">
        <v>293</v>
      </c>
      <c r="R310" s="160">
        <v>-39265853.192728639</v>
      </c>
      <c r="S310" s="160">
        <v>-22876265.901154622</v>
      </c>
      <c r="T310" s="160">
        <v>-10744940.798263818</v>
      </c>
      <c r="U310" s="160">
        <v>-11149683.411895469</v>
      </c>
      <c r="V310" s="160">
        <v>-686876.90887106955</v>
      </c>
      <c r="W310" s="161">
        <v>4464376.0781065375</v>
      </c>
      <c r="X310" s="160">
        <v>7847952.9061013162</v>
      </c>
      <c r="Y310" s="160">
        <v>4646080.6931202114</v>
      </c>
      <c r="Z310" s="160">
        <v>6298954.4185747504</v>
      </c>
      <c r="AA310" s="160">
        <v>12304790.014342844</v>
      </c>
      <c r="AB310" s="160">
        <v>9918341.4385418445</v>
      </c>
      <c r="AC310" s="160">
        <v>4478416.9351054579</v>
      </c>
      <c r="AD310" s="160">
        <v>1318444.9545588493</v>
      </c>
      <c r="AE310" s="160">
        <v>6159230.7283310592</v>
      </c>
      <c r="AF310" s="160">
        <v>-9673930.6591660082</v>
      </c>
      <c r="AG310" s="160">
        <v>-30187566.246729255</v>
      </c>
    </row>
    <row r="311" spans="16:33" ht="15.75" customHeight="1">
      <c r="P311" s="159"/>
      <c r="Q311" s="159">
        <v>294</v>
      </c>
      <c r="R311" s="160">
        <v>-34599244.377096444</v>
      </c>
      <c r="S311" s="160">
        <v>-27042775.040369987</v>
      </c>
      <c r="T311" s="160">
        <v>-18528564.659385726</v>
      </c>
      <c r="U311" s="160">
        <v>-7632338.7420461625</v>
      </c>
      <c r="V311" s="160">
        <v>-4050345.0067368448</v>
      </c>
      <c r="W311" s="161">
        <v>1621626.8120059818</v>
      </c>
      <c r="X311" s="160">
        <v>7473133.4456739575</v>
      </c>
      <c r="Y311" s="160">
        <v>6061600.8930028975</v>
      </c>
      <c r="Z311" s="160">
        <v>6597922.9196573943</v>
      </c>
      <c r="AA311" s="160">
        <v>407316.82411295176</v>
      </c>
      <c r="AB311" s="160">
        <v>5962119.2324522734</v>
      </c>
      <c r="AC311" s="160">
        <v>4832744.3569156677</v>
      </c>
      <c r="AD311" s="160">
        <v>-281054.85610674322</v>
      </c>
      <c r="AE311" s="160">
        <v>-1722612.7017612755</v>
      </c>
      <c r="AF311" s="160">
        <v>2745492.0444428623</v>
      </c>
      <c r="AG311" s="160">
        <v>-18854567.042106479</v>
      </c>
    </row>
    <row r="312" spans="16:33" ht="15.75" customHeight="1">
      <c r="P312" s="159"/>
      <c r="Q312" s="159">
        <v>295</v>
      </c>
      <c r="R312" s="160">
        <v>-33940843.548819125</v>
      </c>
      <c r="S312" s="160">
        <v>-31397282.787267312</v>
      </c>
      <c r="T312" s="160">
        <v>-12304178.725227967</v>
      </c>
      <c r="U312" s="160">
        <v>-7684614.5689094961</v>
      </c>
      <c r="V312" s="160">
        <v>4664114.3063376546</v>
      </c>
      <c r="W312" s="161">
        <v>7258599.0458094776</v>
      </c>
      <c r="X312" s="160">
        <v>14130067.775739878</v>
      </c>
      <c r="Y312" s="160">
        <v>10313446.562270999</v>
      </c>
      <c r="Z312" s="160">
        <v>-1366926.5209260136</v>
      </c>
      <c r="AA312" s="160">
        <v>3961153.2921940833</v>
      </c>
      <c r="AB312" s="160">
        <v>5975697.5653537959</v>
      </c>
      <c r="AC312" s="160">
        <v>8320421.8190481365</v>
      </c>
      <c r="AD312" s="160">
        <v>2597851.6406616569</v>
      </c>
      <c r="AE312" s="160">
        <v>3670303.2260362208</v>
      </c>
      <c r="AF312" s="160">
        <v>-9111777.5303506404</v>
      </c>
      <c r="AG312" s="160">
        <v>-22220629.739413708</v>
      </c>
    </row>
    <row r="313" spans="16:33" ht="15.75" customHeight="1">
      <c r="P313" s="159"/>
      <c r="Q313" s="159">
        <v>296</v>
      </c>
      <c r="R313" s="160">
        <v>-37084844.111016706</v>
      </c>
      <c r="S313" s="160">
        <v>-23470842.53288576</v>
      </c>
      <c r="T313" s="160">
        <v>-24405264.592813388</v>
      </c>
      <c r="U313" s="160">
        <v>2908575.388986364</v>
      </c>
      <c r="V313" s="160">
        <v>-3086746.5762541443</v>
      </c>
      <c r="W313" s="161">
        <v>13615277.312752753</v>
      </c>
      <c r="X313" s="160">
        <v>9388146.8120031357</v>
      </c>
      <c r="Y313" s="160">
        <v>5981066.3641380072</v>
      </c>
      <c r="Z313" s="160">
        <v>1797855.8057419509</v>
      </c>
      <c r="AA313" s="160">
        <v>11170335.680718645</v>
      </c>
      <c r="AB313" s="160">
        <v>10531242.207471639</v>
      </c>
      <c r="AC313" s="160">
        <v>-4662687.2301841974</v>
      </c>
      <c r="AD313" s="160">
        <v>195564.49499724805</v>
      </c>
      <c r="AE313" s="160">
        <v>-3876622.653051272</v>
      </c>
      <c r="AF313" s="160">
        <v>-15677281.436841905</v>
      </c>
      <c r="AG313" s="160">
        <v>-12493540.551844403</v>
      </c>
    </row>
    <row r="314" spans="16:33" ht="15.75" customHeight="1">
      <c r="P314" s="159"/>
      <c r="Q314" s="159">
        <v>297</v>
      </c>
      <c r="R314" s="160">
        <v>-31062055.090987474</v>
      </c>
      <c r="S314" s="160">
        <v>-19634567.420577601</v>
      </c>
      <c r="T314" s="160">
        <v>-13167920.315319255</v>
      </c>
      <c r="U314" s="160">
        <v>-2029905.1098266691</v>
      </c>
      <c r="V314" s="160">
        <v>-7265671.9160372168</v>
      </c>
      <c r="W314" s="161">
        <v>1707644.7823799103</v>
      </c>
      <c r="X314" s="160">
        <v>10175551.57241039</v>
      </c>
      <c r="Y314" s="160">
        <v>18697757.715437204</v>
      </c>
      <c r="Z314" s="160">
        <v>10927095.92986986</v>
      </c>
      <c r="AA314" s="160">
        <v>7295389.1336082369</v>
      </c>
      <c r="AB314" s="160">
        <v>12049455.055122629</v>
      </c>
      <c r="AC314" s="160">
        <v>6938531.2758865654</v>
      </c>
      <c r="AD314" s="160">
        <v>6980255.2433001101</v>
      </c>
      <c r="AE314" s="160">
        <v>-6789551.2309543937</v>
      </c>
      <c r="AF314" s="160">
        <v>-13675337.554929301</v>
      </c>
      <c r="AG314" s="160">
        <v>-25349333.541078895</v>
      </c>
    </row>
    <row r="315" spans="16:33" ht="15.75" customHeight="1">
      <c r="P315" s="159"/>
      <c r="Q315" s="159">
        <v>298</v>
      </c>
      <c r="R315" s="160">
        <v>-30191168.092888609</v>
      </c>
      <c r="S315" s="160">
        <v>-24573500.076161146</v>
      </c>
      <c r="T315" s="160">
        <v>-12528424.020791218</v>
      </c>
      <c r="U315" s="160">
        <v>-2170522.5830390304</v>
      </c>
      <c r="V315" s="160">
        <v>-2887984.5996313989</v>
      </c>
      <c r="W315" s="161">
        <v>7057558.342879504</v>
      </c>
      <c r="X315" s="160">
        <v>9145779.0998759121</v>
      </c>
      <c r="Y315" s="160">
        <v>16480929.664399832</v>
      </c>
      <c r="Z315" s="160">
        <v>15755412.012665063</v>
      </c>
      <c r="AA315" s="160">
        <v>20273723.343983144</v>
      </c>
      <c r="AB315" s="160">
        <v>24728480.947100744</v>
      </c>
      <c r="AC315" s="160">
        <v>9503891.32538414</v>
      </c>
      <c r="AD315" s="160">
        <v>-2198799.4033794254</v>
      </c>
      <c r="AE315" s="160">
        <v>-759539.97519747913</v>
      </c>
      <c r="AF315" s="160">
        <v>-10619860.964867502</v>
      </c>
      <c r="AG315" s="160">
        <v>-20595940.951140434</v>
      </c>
    </row>
    <row r="316" spans="16:33" ht="15.75" customHeight="1">
      <c r="P316" s="159"/>
      <c r="Q316" s="159">
        <v>299</v>
      </c>
      <c r="R316" s="160">
        <v>-39126978.027952999</v>
      </c>
      <c r="S316" s="160">
        <v>-25945169.456267387</v>
      </c>
      <c r="T316" s="160">
        <v>-11300872.037827045</v>
      </c>
      <c r="U316" s="160">
        <v>-3160826.3192297965</v>
      </c>
      <c r="V316" s="160">
        <v>5205563.10503304</v>
      </c>
      <c r="W316" s="161">
        <v>9574108.1543525606</v>
      </c>
      <c r="X316" s="160">
        <v>9938533.2080210298</v>
      </c>
      <c r="Y316" s="160">
        <v>7207400.2393801808</v>
      </c>
      <c r="Z316" s="160">
        <v>11677624.445680588</v>
      </c>
      <c r="AA316" s="160">
        <v>11457925.013170972</v>
      </c>
      <c r="AB316" s="160">
        <v>17299844.367200106</v>
      </c>
      <c r="AC316" s="160">
        <v>-3390672.3614525497</v>
      </c>
      <c r="AD316" s="160">
        <v>5024606.2294232994</v>
      </c>
      <c r="AE316" s="160">
        <v>-14186325.779961169</v>
      </c>
      <c r="AF316" s="160">
        <v>-13184039.084360361</v>
      </c>
      <c r="AG316" s="160">
        <v>-21315174.406693012</v>
      </c>
    </row>
    <row r="317" spans="16:33" ht="15.75" customHeight="1">
      <c r="P317" s="159"/>
      <c r="Q317" s="159">
        <v>300</v>
      </c>
      <c r="R317" s="160">
        <v>-32783508.596770808</v>
      </c>
      <c r="S317" s="160">
        <v>-20833788.763012886</v>
      </c>
      <c r="T317" s="160">
        <v>-20327825.636283144</v>
      </c>
      <c r="U317" s="160">
        <v>-4748624.7972745448</v>
      </c>
      <c r="V317" s="160">
        <v>847700.37422886491</v>
      </c>
      <c r="W317" s="161">
        <v>-4608464.3841919154</v>
      </c>
      <c r="X317" s="160">
        <v>7614500.9541195333</v>
      </c>
      <c r="Y317" s="160">
        <v>11558723.002744958</v>
      </c>
      <c r="Z317" s="160">
        <v>14449937.812886268</v>
      </c>
      <c r="AA317" s="160">
        <v>9863501.2117221802</v>
      </c>
      <c r="AB317" s="160">
        <v>-1053230.0143868327</v>
      </c>
      <c r="AC317" s="160">
        <v>8302615.8168090433</v>
      </c>
      <c r="AD317" s="160">
        <v>1942369.9001203477</v>
      </c>
      <c r="AE317" s="160">
        <v>-2263771.1875933707</v>
      </c>
      <c r="AF317" s="160">
        <v>556402.78688065708</v>
      </c>
      <c r="AG317" s="160">
        <v>-13458149.470679015</v>
      </c>
    </row>
    <row r="318" spans="16:33" ht="15.75" customHeight="1">
      <c r="P318" s="159"/>
      <c r="Q318" s="159">
        <v>301</v>
      </c>
      <c r="R318" s="160">
        <v>-32816586.183048874</v>
      </c>
      <c r="S318" s="160">
        <v>-18749315.011738941</v>
      </c>
      <c r="T318" s="160">
        <v>-23756167.990334928</v>
      </c>
      <c r="U318" s="160">
        <v>-5578387.2811475396</v>
      </c>
      <c r="V318" s="160">
        <v>4563886.0867000669</v>
      </c>
      <c r="W318" s="161">
        <v>1689664.1628521234</v>
      </c>
      <c r="X318" s="160">
        <v>4369589.6054752171</v>
      </c>
      <c r="Y318" s="160">
        <v>25007514.95296222</v>
      </c>
      <c r="Z318" s="160">
        <v>15078334.846320808</v>
      </c>
      <c r="AA318" s="160">
        <v>7833683.5276751518</v>
      </c>
      <c r="AB318" s="160">
        <v>6936462.8683079481</v>
      </c>
      <c r="AC318" s="160">
        <v>7012938.0960106552</v>
      </c>
      <c r="AD318" s="160">
        <v>-383083.16288350523</v>
      </c>
      <c r="AE318" s="160">
        <v>2599067.9042799026</v>
      </c>
      <c r="AF318" s="160">
        <v>-14842386.667850941</v>
      </c>
      <c r="AG318" s="160">
        <v>-18066550.008519217</v>
      </c>
    </row>
    <row r="319" spans="16:33" ht="15.75" customHeight="1">
      <c r="P319" s="159"/>
      <c r="Q319" s="159">
        <v>302</v>
      </c>
      <c r="R319" s="160">
        <v>-35674023.704066768</v>
      </c>
      <c r="S319" s="160">
        <v>-29888877.177784547</v>
      </c>
      <c r="T319" s="160">
        <v>-13604533.396423131</v>
      </c>
      <c r="U319" s="160">
        <v>-1393922.4265441597</v>
      </c>
      <c r="V319" s="160">
        <v>-15967808.916366115</v>
      </c>
      <c r="W319" s="161">
        <v>6882148.1606576145</v>
      </c>
      <c r="X319" s="160">
        <v>-608513.00519052148</v>
      </c>
      <c r="Y319" s="160">
        <v>12688580.753318191</v>
      </c>
      <c r="Z319" s="160">
        <v>11365527.301631853</v>
      </c>
      <c r="AA319" s="160">
        <v>16840053.677339464</v>
      </c>
      <c r="AB319" s="160">
        <v>569084.69162029028</v>
      </c>
      <c r="AC319" s="160">
        <v>1148578.9221639931</v>
      </c>
      <c r="AD319" s="160">
        <v>2050319.3430157751</v>
      </c>
      <c r="AE319" s="160">
        <v>-7916737.9047015756</v>
      </c>
      <c r="AF319" s="160">
        <v>-3702717.17760019</v>
      </c>
      <c r="AG319" s="160">
        <v>-12385010.669139042</v>
      </c>
    </row>
    <row r="320" spans="16:33" ht="15.75" customHeight="1">
      <c r="P320" s="159"/>
      <c r="Q320" s="159">
        <v>303</v>
      </c>
      <c r="R320" s="160">
        <v>-33959441.730129793</v>
      </c>
      <c r="S320" s="160">
        <v>-27095377.605895072</v>
      </c>
      <c r="T320" s="160">
        <v>-13923675.52141431</v>
      </c>
      <c r="U320" s="160">
        <v>-1025119.916795969</v>
      </c>
      <c r="V320" s="160">
        <v>-1072237.3059495986</v>
      </c>
      <c r="W320" s="161">
        <v>3519811.0064197779</v>
      </c>
      <c r="X320" s="160">
        <v>-3147400.5557473004</v>
      </c>
      <c r="Y320" s="160">
        <v>19957229.792922378</v>
      </c>
      <c r="Z320" s="160">
        <v>-4654693.9471397251</v>
      </c>
      <c r="AA320" s="160">
        <v>14584498.838089153</v>
      </c>
      <c r="AB320" s="160">
        <v>6724110.6582634896</v>
      </c>
      <c r="AC320" s="160">
        <v>4976182.2496657223</v>
      </c>
      <c r="AD320" s="160">
        <v>9651912.092802465</v>
      </c>
      <c r="AE320" s="160">
        <v>-9410035.026423946</v>
      </c>
      <c r="AF320" s="160">
        <v>-9048853.6203258038</v>
      </c>
      <c r="AG320" s="160">
        <v>-8986046.8277441561</v>
      </c>
    </row>
    <row r="321" spans="16:33" ht="15.75" customHeight="1">
      <c r="P321" s="159"/>
      <c r="Q321" s="159">
        <v>304</v>
      </c>
      <c r="R321" s="160">
        <v>-28318750.35142228</v>
      </c>
      <c r="S321" s="160">
        <v>-19138469.49702175</v>
      </c>
      <c r="T321" s="160">
        <v>-20589776.365555778</v>
      </c>
      <c r="U321" s="160">
        <v>-15879859.230337426</v>
      </c>
      <c r="V321" s="160">
        <v>-2753188.3379561752</v>
      </c>
      <c r="W321" s="161">
        <v>7642661.2618377805</v>
      </c>
      <c r="X321" s="160">
        <v>6863154.2168756425</v>
      </c>
      <c r="Y321" s="160">
        <v>17274360.19310303</v>
      </c>
      <c r="Z321" s="160">
        <v>12018577.438438267</v>
      </c>
      <c r="AA321" s="160">
        <v>-6569254.9206715822</v>
      </c>
      <c r="AB321" s="160">
        <v>14291440.878948957</v>
      </c>
      <c r="AC321" s="160">
        <v>-902380.54543597996</v>
      </c>
      <c r="AD321" s="160">
        <v>-5109613.4892959297</v>
      </c>
      <c r="AE321" s="160">
        <v>-2715202.2926114947</v>
      </c>
      <c r="AF321" s="160">
        <v>-12791559.797625214</v>
      </c>
      <c r="AG321" s="160">
        <v>-22351139.148408905</v>
      </c>
    </row>
    <row r="322" spans="16:33" ht="15.75" customHeight="1">
      <c r="P322" s="159"/>
      <c r="Q322" s="159">
        <v>305</v>
      </c>
      <c r="R322" s="160">
        <v>-37614364.97567147</v>
      </c>
      <c r="S322" s="160">
        <v>-26468554.413152725</v>
      </c>
      <c r="T322" s="160">
        <v>-15101019.976930901</v>
      </c>
      <c r="U322" s="160">
        <v>-3579462.6283721179</v>
      </c>
      <c r="V322" s="160">
        <v>912599.39840142429</v>
      </c>
      <c r="W322" s="161">
        <v>7485049.4968076199</v>
      </c>
      <c r="X322" s="160">
        <v>11974263.84143956</v>
      </c>
      <c r="Y322" s="160">
        <v>17781653.570689514</v>
      </c>
      <c r="Z322" s="160">
        <v>20391525.676467344</v>
      </c>
      <c r="AA322" s="160">
        <v>22468426.829715639</v>
      </c>
      <c r="AB322" s="160">
        <v>13004985.576317146</v>
      </c>
      <c r="AC322" s="160">
        <v>11730061.168754905</v>
      </c>
      <c r="AD322" s="160">
        <v>-1269090.5927877277</v>
      </c>
      <c r="AE322" s="160">
        <v>-6879572.0033035278</v>
      </c>
      <c r="AF322" s="160">
        <v>-2493779.1781680286</v>
      </c>
      <c r="AG322" s="160">
        <v>-16832843.2671085</v>
      </c>
    </row>
    <row r="323" spans="16:33" ht="15.75" customHeight="1">
      <c r="P323" s="159"/>
      <c r="Q323" s="159">
        <v>306</v>
      </c>
      <c r="R323" s="160">
        <v>-32486101.195616156</v>
      </c>
      <c r="S323" s="160">
        <v>-22096435.975853592</v>
      </c>
      <c r="T323" s="160">
        <v>-16067244.63669312</v>
      </c>
      <c r="U323" s="160">
        <v>3126657.5632420033</v>
      </c>
      <c r="V323" s="160">
        <v>-5969103.8633154631</v>
      </c>
      <c r="W323" s="161">
        <v>-5833378.9761189371</v>
      </c>
      <c r="X323" s="160">
        <v>13735339.208970159</v>
      </c>
      <c r="Y323" s="160">
        <v>6592131.9681119323</v>
      </c>
      <c r="Z323" s="160">
        <v>9198307.2422663271</v>
      </c>
      <c r="AA323" s="160">
        <v>9722321.9552496076</v>
      </c>
      <c r="AB323" s="160">
        <v>15919715.545957223</v>
      </c>
      <c r="AC323" s="160">
        <v>7976809.524022162</v>
      </c>
      <c r="AD323" s="160">
        <v>6582370.0380415171</v>
      </c>
      <c r="AE323" s="160">
        <v>-3368059.6291417778</v>
      </c>
      <c r="AF323" s="160">
        <v>-7796337.7719459981</v>
      </c>
      <c r="AG323" s="160">
        <v>-15936557.882873133</v>
      </c>
    </row>
    <row r="324" spans="16:33" ht="15.75" customHeight="1">
      <c r="P324" s="159"/>
      <c r="Q324" s="159">
        <v>307</v>
      </c>
      <c r="R324" s="160">
        <v>-35372181.858922094</v>
      </c>
      <c r="S324" s="160">
        <v>-23743930.621365994</v>
      </c>
      <c r="T324" s="160">
        <v>-10106080.580962971</v>
      </c>
      <c r="U324" s="160">
        <v>-9580109.0944509655</v>
      </c>
      <c r="V324" s="160">
        <v>-13332599.359485015</v>
      </c>
      <c r="W324" s="161">
        <v>-28727.866846695542</v>
      </c>
      <c r="X324" s="160">
        <v>1283032.4310866147</v>
      </c>
      <c r="Y324" s="160">
        <v>4940082.2266156226</v>
      </c>
      <c r="Z324" s="160">
        <v>19202228.058941245</v>
      </c>
      <c r="AA324" s="160">
        <v>18439902.504099473</v>
      </c>
      <c r="AB324" s="160">
        <v>7859363.810057804</v>
      </c>
      <c r="AC324" s="160">
        <v>-5723027.9876760095</v>
      </c>
      <c r="AD324" s="160">
        <v>5913704.0896945149</v>
      </c>
      <c r="AE324" s="160">
        <v>-5209154.1964793354</v>
      </c>
      <c r="AF324" s="160">
        <v>-7197495.581247285</v>
      </c>
      <c r="AG324" s="160">
        <v>-20422389.655213058</v>
      </c>
    </row>
    <row r="325" spans="16:33" ht="15.75" customHeight="1">
      <c r="P325" s="159"/>
      <c r="Q325" s="159">
        <v>308</v>
      </c>
      <c r="R325" s="160">
        <v>-36548314.173909813</v>
      </c>
      <c r="S325" s="160">
        <v>-34929393.990680665</v>
      </c>
      <c r="T325" s="160">
        <v>-18601476.972799718</v>
      </c>
      <c r="U325" s="160">
        <v>-14484141.04742305</v>
      </c>
      <c r="V325" s="160">
        <v>2572236.8136588037</v>
      </c>
      <c r="W325" s="161">
        <v>9373280.3278145492</v>
      </c>
      <c r="X325" s="160">
        <v>12427237.908843502</v>
      </c>
      <c r="Y325" s="160">
        <v>11939352.433802083</v>
      </c>
      <c r="Z325" s="160">
        <v>13158056.84859705</v>
      </c>
      <c r="AA325" s="160">
        <v>19289950.060156479</v>
      </c>
      <c r="AB325" s="160">
        <v>12302301.505749688</v>
      </c>
      <c r="AC325" s="160">
        <v>6773014.9104430676</v>
      </c>
      <c r="AD325" s="160">
        <v>13735753.105103865</v>
      </c>
      <c r="AE325" s="160">
        <v>-408907.70704944432</v>
      </c>
      <c r="AF325" s="160">
        <v>-10854622.66558148</v>
      </c>
      <c r="AG325" s="160">
        <v>-13862160.179790393</v>
      </c>
    </row>
    <row r="326" spans="16:33" ht="15.75" customHeight="1">
      <c r="P326" s="159"/>
      <c r="Q326" s="159">
        <v>309</v>
      </c>
      <c r="R326" s="160">
        <v>-41332932.918115467</v>
      </c>
      <c r="S326" s="160">
        <v>-28135687.87891297</v>
      </c>
      <c r="T326" s="160">
        <v>-18297557.935985357</v>
      </c>
      <c r="U326" s="160">
        <v>-11604226.331434026</v>
      </c>
      <c r="V326" s="160">
        <v>-650439.42294473946</v>
      </c>
      <c r="W326" s="161">
        <v>-2877844.8022620976</v>
      </c>
      <c r="X326" s="160">
        <v>14176745.633332446</v>
      </c>
      <c r="Y326" s="160">
        <v>3899565.1726250947</v>
      </c>
      <c r="Z326" s="160">
        <v>7131638.0725789964</v>
      </c>
      <c r="AA326" s="160">
        <v>-302864.115520522</v>
      </c>
      <c r="AB326" s="160">
        <v>6844047.0088957399</v>
      </c>
      <c r="AC326" s="160">
        <v>9147947.1571390927</v>
      </c>
      <c r="AD326" s="160">
        <v>4593499.1397069842</v>
      </c>
      <c r="AE326" s="160">
        <v>2986657.2148196995</v>
      </c>
      <c r="AF326" s="160">
        <v>-10703394.032604173</v>
      </c>
      <c r="AG326" s="160">
        <v>-26482594.076025158</v>
      </c>
    </row>
    <row r="327" spans="16:33" ht="15.75" customHeight="1">
      <c r="P327" s="159"/>
      <c r="Q327" s="159">
        <v>310</v>
      </c>
      <c r="R327" s="160">
        <v>-39472993.35498026</v>
      </c>
      <c r="S327" s="160">
        <v>-18041362.686755598</v>
      </c>
      <c r="T327" s="160">
        <v>-18598982.210660204</v>
      </c>
      <c r="U327" s="160">
        <v>-4878214.0483990461</v>
      </c>
      <c r="V327" s="160">
        <v>-10063849.119995669</v>
      </c>
      <c r="W327" s="161">
        <v>2660578.9214036167</v>
      </c>
      <c r="X327" s="160">
        <v>16447923.638718531</v>
      </c>
      <c r="Y327" s="160">
        <v>10154117.177389011</v>
      </c>
      <c r="Z327" s="160">
        <v>-846484.2225715816</v>
      </c>
      <c r="AA327" s="160">
        <v>9487776.5471568853</v>
      </c>
      <c r="AB327" s="160">
        <v>2396518.1268337667</v>
      </c>
      <c r="AC327" s="160">
        <v>7499178.0785428733</v>
      </c>
      <c r="AD327" s="160">
        <v>4643585.3104012907</v>
      </c>
      <c r="AE327" s="160">
        <v>-5542552.2011013776</v>
      </c>
      <c r="AF327" s="160">
        <v>-19374568.978836447</v>
      </c>
      <c r="AG327" s="160">
        <v>-20059851.387440294</v>
      </c>
    </row>
    <row r="328" spans="16:33" ht="15.75" customHeight="1">
      <c r="P328" s="159"/>
      <c r="Q328" s="159">
        <v>311</v>
      </c>
      <c r="R328" s="160">
        <v>-30497338.573302761</v>
      </c>
      <c r="S328" s="160">
        <v>-24940988.249592721</v>
      </c>
      <c r="T328" s="160">
        <v>-10112525.364118204</v>
      </c>
      <c r="U328" s="160">
        <v>2610762.2843138576</v>
      </c>
      <c r="V328" s="160">
        <v>2031335.6671411395</v>
      </c>
      <c r="W328" s="161">
        <v>8987996.5694646239</v>
      </c>
      <c r="X328" s="160">
        <v>19582805.353506818</v>
      </c>
      <c r="Y328" s="160">
        <v>16622962.495584562</v>
      </c>
      <c r="Z328" s="160">
        <v>7377151.4259506911</v>
      </c>
      <c r="AA328" s="160">
        <v>19195804.905305579</v>
      </c>
      <c r="AB328" s="160">
        <v>8422117.1680036932</v>
      </c>
      <c r="AC328" s="160">
        <v>9705148.648328945</v>
      </c>
      <c r="AD328" s="160">
        <v>-2022575.6325654387</v>
      </c>
      <c r="AE328" s="160">
        <v>5860888.5760569423</v>
      </c>
      <c r="AF328" s="160">
        <v>-12333283.930075854</v>
      </c>
      <c r="AG328" s="160">
        <v>-16527274.321407571</v>
      </c>
    </row>
    <row r="329" spans="16:33" ht="15.75" customHeight="1">
      <c r="P329" s="159"/>
      <c r="Q329" s="159">
        <v>312</v>
      </c>
      <c r="R329" s="160">
        <v>-42514877.778590649</v>
      </c>
      <c r="S329" s="160">
        <v>-21040971.780028462</v>
      </c>
      <c r="T329" s="160">
        <v>-10133839.921102434</v>
      </c>
      <c r="U329" s="160">
        <v>-14428230.136325523</v>
      </c>
      <c r="V329" s="160">
        <v>4970990.6827362925</v>
      </c>
      <c r="W329" s="161">
        <v>19890221.673306346</v>
      </c>
      <c r="X329" s="160">
        <v>-3802148.3215455562</v>
      </c>
      <c r="Y329" s="160">
        <v>-1325132.1757461727</v>
      </c>
      <c r="Z329" s="160">
        <v>25622083.845201105</v>
      </c>
      <c r="AA329" s="160">
        <v>7339927.6346190572</v>
      </c>
      <c r="AB329" s="160">
        <v>9456850.2916133553</v>
      </c>
      <c r="AC329" s="160">
        <v>565050.89313057065</v>
      </c>
      <c r="AD329" s="160">
        <v>385067.05704560876</v>
      </c>
      <c r="AE329" s="160">
        <v>1616304.6885636002</v>
      </c>
      <c r="AF329" s="160">
        <v>-13542236.879880026</v>
      </c>
      <c r="AG329" s="160">
        <v>-14632737.898391172</v>
      </c>
    </row>
    <row r="330" spans="16:33" ht="15.75" customHeight="1">
      <c r="P330" s="159"/>
      <c r="Q330" s="159">
        <v>313</v>
      </c>
      <c r="R330" s="160">
        <v>-31507785.884313703</v>
      </c>
      <c r="S330" s="160">
        <v>-23552182.980026215</v>
      </c>
      <c r="T330" s="160">
        <v>-18996127.552516073</v>
      </c>
      <c r="U330" s="160">
        <v>-15082002.216399655</v>
      </c>
      <c r="V330" s="160">
        <v>11145539.255351275</v>
      </c>
      <c r="W330" s="161">
        <v>13064873.073803216</v>
      </c>
      <c r="X330" s="160">
        <v>3576230.5919149667</v>
      </c>
      <c r="Y330" s="160">
        <v>13992107.369846866</v>
      </c>
      <c r="Z330" s="160">
        <v>12247963.114495754</v>
      </c>
      <c r="AA330" s="160">
        <v>10442987.061127663</v>
      </c>
      <c r="AB330" s="160">
        <v>6977195.4015721679</v>
      </c>
      <c r="AC330" s="160">
        <v>3426224.8117867559</v>
      </c>
      <c r="AD330" s="160">
        <v>4635437.5564177334</v>
      </c>
      <c r="AE330" s="160">
        <v>-5233254.8217174858</v>
      </c>
      <c r="AF330" s="160">
        <v>-10916400.934215292</v>
      </c>
      <c r="AG330" s="160">
        <v>-31563523.298544958</v>
      </c>
    </row>
    <row r="331" spans="16:33" ht="15.75" customHeight="1">
      <c r="P331" s="159"/>
      <c r="Q331" s="159">
        <v>314</v>
      </c>
      <c r="R331" s="160">
        <v>-39443745.235173091</v>
      </c>
      <c r="S331" s="160">
        <v>-27419861.666700125</v>
      </c>
      <c r="T331" s="160">
        <v>-13114100.852314875</v>
      </c>
      <c r="U331" s="160">
        <v>-13869904.367454544</v>
      </c>
      <c r="V331" s="160">
        <v>7838224.3120575398</v>
      </c>
      <c r="W331" s="161">
        <v>-5054554.1475191414</v>
      </c>
      <c r="X331" s="160">
        <v>10958290.193085402</v>
      </c>
      <c r="Y331" s="160">
        <v>9057863.6883748323</v>
      </c>
      <c r="Z331" s="160">
        <v>8671719.1584382355</v>
      </c>
      <c r="AA331" s="160">
        <v>11017860.784551322</v>
      </c>
      <c r="AB331" s="160">
        <v>6886140.2355050445</v>
      </c>
      <c r="AC331" s="160">
        <v>8969804.2818387002</v>
      </c>
      <c r="AD331" s="160">
        <v>9521980.5412884504</v>
      </c>
      <c r="AE331" s="160">
        <v>302411.98311118782</v>
      </c>
      <c r="AF331" s="160">
        <v>-15869360.585969746</v>
      </c>
      <c r="AG331" s="160">
        <v>-25974119.341945395</v>
      </c>
    </row>
    <row r="332" spans="16:33" ht="15.75" customHeight="1">
      <c r="P332" s="159"/>
      <c r="Q332" s="159">
        <v>315</v>
      </c>
      <c r="R332" s="160">
        <v>-37885919.71509105</v>
      </c>
      <c r="S332" s="160">
        <v>-23761063.099319458</v>
      </c>
      <c r="T332" s="160">
        <v>-17528884.801682055</v>
      </c>
      <c r="U332" s="160">
        <v>739271.63711765409</v>
      </c>
      <c r="V332" s="160">
        <v>-5120800.3399261832</v>
      </c>
      <c r="W332" s="161">
        <v>20130995.297093466</v>
      </c>
      <c r="X332" s="160">
        <v>16630397.569230884</v>
      </c>
      <c r="Y332" s="160">
        <v>12996961.373553112</v>
      </c>
      <c r="Z332" s="160">
        <v>7461901.9042253941</v>
      </c>
      <c r="AA332" s="160">
        <v>13212299.915091917</v>
      </c>
      <c r="AB332" s="160">
        <v>6847145.2018650174</v>
      </c>
      <c r="AC332" s="160">
        <v>4819520.653690815</v>
      </c>
      <c r="AD332" s="160">
        <v>2787517.9668948352</v>
      </c>
      <c r="AE332" s="160">
        <v>-2878989.0898048133</v>
      </c>
      <c r="AF332" s="160">
        <v>-8742170.1196195036</v>
      </c>
      <c r="AG332" s="160">
        <v>-16443065.078349292</v>
      </c>
    </row>
    <row r="333" spans="16:33" ht="15.75" customHeight="1">
      <c r="P333" s="159"/>
      <c r="Q333" s="159">
        <v>316</v>
      </c>
      <c r="R333" s="160">
        <v>-27351375.381414443</v>
      </c>
      <c r="S333" s="160">
        <v>-25300435.021029368</v>
      </c>
      <c r="T333" s="160">
        <v>-17384009.661501095</v>
      </c>
      <c r="U333" s="160">
        <v>-120176.90424641967</v>
      </c>
      <c r="V333" s="160">
        <v>-5211993.0235110223</v>
      </c>
      <c r="W333" s="161">
        <v>-1410294.416318357</v>
      </c>
      <c r="X333" s="160">
        <v>3039670.3245117962</v>
      </c>
      <c r="Y333" s="160">
        <v>8184837.8451465219</v>
      </c>
      <c r="Z333" s="160">
        <v>4345588.8609280735</v>
      </c>
      <c r="AA333" s="160">
        <v>27013807.709475979</v>
      </c>
      <c r="AB333" s="160">
        <v>16656752.015241355</v>
      </c>
      <c r="AC333" s="160">
        <v>4691558.4933685809</v>
      </c>
      <c r="AD333" s="160">
        <v>8697848.3249603808</v>
      </c>
      <c r="AE333" s="160">
        <v>-9550360.7729452103</v>
      </c>
      <c r="AF333" s="160">
        <v>-20516423.290656328</v>
      </c>
      <c r="AG333" s="160">
        <v>-16908404.909338117</v>
      </c>
    </row>
    <row r="334" spans="16:33" ht="15.75" customHeight="1">
      <c r="P334" s="159"/>
      <c r="Q334" s="159">
        <v>317</v>
      </c>
      <c r="R334" s="160">
        <v>-35153406.988828391</v>
      </c>
      <c r="S334" s="160">
        <v>-22698722.561906591</v>
      </c>
      <c r="T334" s="160">
        <v>-12014544.568497717</v>
      </c>
      <c r="U334" s="160">
        <v>-4037498.9792337269</v>
      </c>
      <c r="V334" s="160">
        <v>1159395.8451948613</v>
      </c>
      <c r="W334" s="161">
        <v>-1023683.8903928399</v>
      </c>
      <c r="X334" s="160">
        <v>8945256.6740892529</v>
      </c>
      <c r="Y334" s="160">
        <v>15600407.167308629</v>
      </c>
      <c r="Z334" s="160">
        <v>9707362.9835560173</v>
      </c>
      <c r="AA334" s="160">
        <v>8093260.6425691396</v>
      </c>
      <c r="AB334" s="160">
        <v>11504805.564159811</v>
      </c>
      <c r="AC334" s="160">
        <v>7358873.8909751475</v>
      </c>
      <c r="AD334" s="160">
        <v>-7309127.1544612646</v>
      </c>
      <c r="AE334" s="160">
        <v>-5008425.6076910198</v>
      </c>
      <c r="AF334" s="160">
        <v>-4710173.482159704</v>
      </c>
      <c r="AG334" s="160">
        <v>-19388621.04425247</v>
      </c>
    </row>
    <row r="335" spans="16:33" ht="15.75" customHeight="1">
      <c r="P335" s="159"/>
      <c r="Q335" s="159">
        <v>318</v>
      </c>
      <c r="R335" s="160">
        <v>-33015343.092985809</v>
      </c>
      <c r="S335" s="160">
        <v>-25136769.797654837</v>
      </c>
      <c r="T335" s="160">
        <v>-18939709.080082297</v>
      </c>
      <c r="U335" s="160">
        <v>3025839.1436797827</v>
      </c>
      <c r="V335" s="160">
        <v>-3074336.3497078568</v>
      </c>
      <c r="W335" s="161">
        <v>13378456.421547592</v>
      </c>
      <c r="X335" s="160">
        <v>8444492.9012851268</v>
      </c>
      <c r="Y335" s="160">
        <v>12964599.206914365</v>
      </c>
      <c r="Z335" s="160">
        <v>17347531.790814236</v>
      </c>
      <c r="AA335" s="160">
        <v>9329241.9761030823</v>
      </c>
      <c r="AB335" s="160">
        <v>6741558.2786048949</v>
      </c>
      <c r="AC335" s="160">
        <v>-4492875.6903472096</v>
      </c>
      <c r="AD335" s="160">
        <v>6543316.3337069303</v>
      </c>
      <c r="AE335" s="160">
        <v>-13214100.861544773</v>
      </c>
      <c r="AF335" s="160">
        <v>-14422128.482740015</v>
      </c>
      <c r="AG335" s="160">
        <v>-16783465.685805202</v>
      </c>
    </row>
    <row r="336" spans="16:33" ht="15.75" customHeight="1">
      <c r="P336" s="159"/>
      <c r="Q336" s="159">
        <v>319</v>
      </c>
      <c r="R336" s="160">
        <v>-36964240.173969686</v>
      </c>
      <c r="S336" s="160">
        <v>-22671770.303804621</v>
      </c>
      <c r="T336" s="160">
        <v>-17467984.54884778</v>
      </c>
      <c r="U336" s="160">
        <v>-9152375.7628275156</v>
      </c>
      <c r="V336" s="160">
        <v>9625063.5044398904</v>
      </c>
      <c r="W336" s="161">
        <v>8037507.9473895729</v>
      </c>
      <c r="X336" s="160">
        <v>10433558.910219461</v>
      </c>
      <c r="Y336" s="160">
        <v>5975200.7698067576</v>
      </c>
      <c r="Z336" s="160">
        <v>7222658.1263940334</v>
      </c>
      <c r="AA336" s="160">
        <v>-432351.09455344081</v>
      </c>
      <c r="AB336" s="160">
        <v>14658835.881441206</v>
      </c>
      <c r="AC336" s="160">
        <v>16310274.888696745</v>
      </c>
      <c r="AD336" s="160">
        <v>2640049.9817724824</v>
      </c>
      <c r="AE336" s="160">
        <v>-1703023.3364011943</v>
      </c>
      <c r="AF336" s="160">
        <v>-14663172.576851189</v>
      </c>
      <c r="AG336" s="160">
        <v>-16246307.607629076</v>
      </c>
    </row>
    <row r="337" spans="16:33" ht="15.75" customHeight="1">
      <c r="P337" s="159"/>
      <c r="Q337" s="159">
        <v>320</v>
      </c>
      <c r="R337" s="160">
        <v>-36650628.861039221</v>
      </c>
      <c r="S337" s="160">
        <v>-20507919.457764506</v>
      </c>
      <c r="T337" s="160">
        <v>-9398277.6148450524</v>
      </c>
      <c r="U337" s="160">
        <v>-3577642.3745530099</v>
      </c>
      <c r="V337" s="160">
        <v>-3907085.6568126529</v>
      </c>
      <c r="W337" s="161">
        <v>16255559.182807982</v>
      </c>
      <c r="X337" s="160">
        <v>748404.12123638391</v>
      </c>
      <c r="Y337" s="160">
        <v>16284156.53070423</v>
      </c>
      <c r="Z337" s="160">
        <v>13557710.98011288</v>
      </c>
      <c r="AA337" s="160">
        <v>9657902.3509812802</v>
      </c>
      <c r="AB337" s="160">
        <v>18468990.163601607</v>
      </c>
      <c r="AC337" s="160">
        <v>-3694037.140589729</v>
      </c>
      <c r="AD337" s="160">
        <v>1142035.7967600673</v>
      </c>
      <c r="AE337" s="160">
        <v>-13877843.786505148</v>
      </c>
      <c r="AF337" s="160">
        <v>-9509009.0395483673</v>
      </c>
      <c r="AG337" s="160">
        <v>-14816416.028953314</v>
      </c>
    </row>
    <row r="338" spans="16:33" ht="15.75" customHeight="1">
      <c r="P338" s="159"/>
      <c r="Q338" s="159">
        <v>321</v>
      </c>
      <c r="R338" s="160">
        <v>-34103742.328572512</v>
      </c>
      <c r="S338" s="160">
        <v>-18711452.234599486</v>
      </c>
      <c r="T338" s="160">
        <v>-14605400.173806533</v>
      </c>
      <c r="U338" s="160">
        <v>-6385023.0736380965</v>
      </c>
      <c r="V338" s="160">
        <v>5598848.2106511742</v>
      </c>
      <c r="W338" s="161">
        <v>1071178.8201757073</v>
      </c>
      <c r="X338" s="160">
        <v>15272024.474238455</v>
      </c>
      <c r="Y338" s="160">
        <v>13643957.375586271</v>
      </c>
      <c r="Z338" s="160">
        <v>12045176.407971814</v>
      </c>
      <c r="AA338" s="160">
        <v>6217889.9733640254</v>
      </c>
      <c r="AB338" s="160">
        <v>12476336.496850163</v>
      </c>
      <c r="AC338" s="160">
        <v>1910804.4991396517</v>
      </c>
      <c r="AD338" s="160">
        <v>11503657.665451229</v>
      </c>
      <c r="AE338" s="160">
        <v>4137674.8231194168</v>
      </c>
      <c r="AF338" s="160">
        <v>-13823499.4340325</v>
      </c>
      <c r="AG338" s="160">
        <v>-20595015.725007206</v>
      </c>
    </row>
    <row r="339" spans="16:33" ht="15.75" customHeight="1">
      <c r="P339" s="159"/>
      <c r="Q339" s="159">
        <v>322</v>
      </c>
      <c r="R339" s="160">
        <v>-36966989.812877417</v>
      </c>
      <c r="S339" s="160">
        <v>-28085793.869437307</v>
      </c>
      <c r="T339" s="160">
        <v>-14148811.800030217</v>
      </c>
      <c r="U339" s="160">
        <v>-8092236.4327280819</v>
      </c>
      <c r="V339" s="160">
        <v>6089523.4924999923</v>
      </c>
      <c r="W339" s="161">
        <v>11195617.211194605</v>
      </c>
      <c r="X339" s="160">
        <v>7264043.8503454626</v>
      </c>
      <c r="Y339" s="160">
        <v>14809532.897669017</v>
      </c>
      <c r="Z339" s="160">
        <v>2293741.3230556697</v>
      </c>
      <c r="AA339" s="160">
        <v>23614588.489168689</v>
      </c>
      <c r="AB339" s="160">
        <v>8869746.5695870519</v>
      </c>
      <c r="AC339" s="160">
        <v>13227848.877307892</v>
      </c>
      <c r="AD339" s="160">
        <v>-3346271.7230662704</v>
      </c>
      <c r="AE339" s="160">
        <v>-19890092.328229919</v>
      </c>
      <c r="AF339" s="160">
        <v>-4417910.6361707449</v>
      </c>
      <c r="AG339" s="160">
        <v>-11166135.279504478</v>
      </c>
    </row>
    <row r="340" spans="16:33" ht="15.75" customHeight="1">
      <c r="P340" s="159"/>
      <c r="Q340" s="159">
        <v>323</v>
      </c>
      <c r="R340" s="160">
        <v>-38480292.031986922</v>
      </c>
      <c r="S340" s="160">
        <v>-22284755.942514554</v>
      </c>
      <c r="T340" s="160">
        <v>-14052686.814097002</v>
      </c>
      <c r="U340" s="160">
        <v>2647777.4224297553</v>
      </c>
      <c r="V340" s="160">
        <v>6652895.5380023122</v>
      </c>
      <c r="W340" s="161">
        <v>-4850113.0439282358</v>
      </c>
      <c r="X340" s="160">
        <v>9077589.3917104304</v>
      </c>
      <c r="Y340" s="160">
        <v>9209709.393091172</v>
      </c>
      <c r="Z340" s="160">
        <v>17516430.633520648</v>
      </c>
      <c r="AA340" s="160">
        <v>16407434.673985109</v>
      </c>
      <c r="AB340" s="160">
        <v>5587280.9940506369</v>
      </c>
      <c r="AC340" s="160">
        <v>6859778.6452419311</v>
      </c>
      <c r="AD340" s="160">
        <v>1178045.6686010957</v>
      </c>
      <c r="AE340" s="160">
        <v>-6528783.2893236428</v>
      </c>
      <c r="AF340" s="160">
        <v>-15770908.398487017</v>
      </c>
      <c r="AG340" s="160">
        <v>-23718614.885153234</v>
      </c>
    </row>
    <row r="341" spans="16:33" ht="15.75" customHeight="1">
      <c r="P341" s="159"/>
      <c r="Q341" s="159">
        <v>324</v>
      </c>
      <c r="R341" s="160">
        <v>-33475624.878503069</v>
      </c>
      <c r="S341" s="160">
        <v>-27094134.952199489</v>
      </c>
      <c r="T341" s="160">
        <v>-7139935.1353913397</v>
      </c>
      <c r="U341" s="160">
        <v>2276415.7604012042</v>
      </c>
      <c r="V341" s="160">
        <v>-2689260.0054248124</v>
      </c>
      <c r="W341" s="161">
        <v>9764321.2800460905</v>
      </c>
      <c r="X341" s="160">
        <v>13383801.255965456</v>
      </c>
      <c r="Y341" s="160">
        <v>5119961.8652197719</v>
      </c>
      <c r="Z341" s="160">
        <v>15171988.886670873</v>
      </c>
      <c r="AA341" s="160">
        <v>8465997.6537042111</v>
      </c>
      <c r="AB341" s="160">
        <v>17553063.1802717</v>
      </c>
      <c r="AC341" s="160">
        <v>10589654.960455507</v>
      </c>
      <c r="AD341" s="160">
        <v>-2778609.5424240083</v>
      </c>
      <c r="AE341" s="160">
        <v>-5369971.3512298018</v>
      </c>
      <c r="AF341" s="160">
        <v>-1130969.2957058847</v>
      </c>
      <c r="AG341" s="160">
        <v>-17002217.018556029</v>
      </c>
    </row>
    <row r="342" spans="16:33" ht="15.75" customHeight="1">
      <c r="P342" s="159"/>
      <c r="Q342" s="159">
        <v>325</v>
      </c>
      <c r="R342" s="160">
        <v>-40295728.805929154</v>
      </c>
      <c r="S342" s="160">
        <v>-20519796.6661973</v>
      </c>
      <c r="T342" s="160">
        <v>-10359252.674819455</v>
      </c>
      <c r="U342" s="160">
        <v>-3179569.1024057269</v>
      </c>
      <c r="V342" s="160">
        <v>-3110957.2940453291</v>
      </c>
      <c r="W342" s="161">
        <v>-1106411.9702796489</v>
      </c>
      <c r="X342" s="160">
        <v>11642708.201285124</v>
      </c>
      <c r="Y342" s="160">
        <v>14258428.986048564</v>
      </c>
      <c r="Z342" s="160">
        <v>19743318.589572877</v>
      </c>
      <c r="AA342" s="160">
        <v>23548453.697247133</v>
      </c>
      <c r="AB342" s="160">
        <v>5397771.0320728719</v>
      </c>
      <c r="AC342" s="160">
        <v>4881332.5468435287</v>
      </c>
      <c r="AD342" s="160">
        <v>-6082247.7828030139</v>
      </c>
      <c r="AE342" s="160">
        <v>-9173956.4612676501</v>
      </c>
      <c r="AF342" s="160">
        <v>-10108224.512358442</v>
      </c>
      <c r="AG342" s="160">
        <v>-23656428.849734306</v>
      </c>
    </row>
    <row r="343" spans="16:33" ht="15.75" customHeight="1">
      <c r="P343" s="159"/>
      <c r="Q343" s="159">
        <v>326</v>
      </c>
      <c r="R343" s="160">
        <v>-36299886.130312994</v>
      </c>
      <c r="S343" s="160">
        <v>-26305230.401245192</v>
      </c>
      <c r="T343" s="160">
        <v>-17908990.471550778</v>
      </c>
      <c r="U343" s="160">
        <v>-11164874.201628551</v>
      </c>
      <c r="V343" s="160">
        <v>1905273.7652883381</v>
      </c>
      <c r="W343" s="161">
        <v>1337894.2954494208</v>
      </c>
      <c r="X343" s="160">
        <v>12506423.531301931</v>
      </c>
      <c r="Y343" s="160">
        <v>-863555.71030293405</v>
      </c>
      <c r="Z343" s="160">
        <v>15235299.819169804</v>
      </c>
      <c r="AA343" s="160">
        <v>18069768.302491188</v>
      </c>
      <c r="AB343" s="160">
        <v>12243318.286303192</v>
      </c>
      <c r="AC343" s="160">
        <v>10813221.050952613</v>
      </c>
      <c r="AD343" s="160">
        <v>-2523111.3709907234</v>
      </c>
      <c r="AE343" s="160">
        <v>-972815.2123671025</v>
      </c>
      <c r="AF343" s="160">
        <v>-9914849.4876155555</v>
      </c>
      <c r="AG343" s="160">
        <v>-12198269.251175851</v>
      </c>
    </row>
    <row r="344" spans="16:33" ht="15.75" customHeight="1">
      <c r="P344" s="159"/>
      <c r="Q344" s="159">
        <v>327</v>
      </c>
      <c r="R344" s="160">
        <v>-37065133.846344292</v>
      </c>
      <c r="S344" s="160">
        <v>-23656811.715213403</v>
      </c>
      <c r="T344" s="160">
        <v>-9096555.4423777759</v>
      </c>
      <c r="U344" s="160">
        <v>-16375077.681658298</v>
      </c>
      <c r="V344" s="160">
        <v>-3068399.1748170853</v>
      </c>
      <c r="W344" s="161">
        <v>6008528.8715823591</v>
      </c>
      <c r="X344" s="160">
        <v>10606505.934668615</v>
      </c>
      <c r="Y344" s="160">
        <v>12161412.460372806</v>
      </c>
      <c r="Z344" s="160">
        <v>16465741.629738778</v>
      </c>
      <c r="AA344" s="160">
        <v>3166284.1963112354</v>
      </c>
      <c r="AB344" s="160">
        <v>10616885.250606403</v>
      </c>
      <c r="AC344" s="160">
        <v>3241158.9743528217</v>
      </c>
      <c r="AD344" s="160">
        <v>541047.50217460096</v>
      </c>
      <c r="AE344" s="160">
        <v>-2042177.7366399467</v>
      </c>
      <c r="AF344" s="160">
        <v>-19165179.894866481</v>
      </c>
      <c r="AG344" s="160">
        <v>-23558639.857241303</v>
      </c>
    </row>
    <row r="345" spans="16:33" ht="15.75" customHeight="1">
      <c r="P345" s="159"/>
      <c r="Q345" s="159">
        <v>328</v>
      </c>
      <c r="R345" s="160">
        <v>-35856662.111121804</v>
      </c>
      <c r="S345" s="160">
        <v>-27440538.190678656</v>
      </c>
      <c r="T345" s="160">
        <v>-20095775.024363697</v>
      </c>
      <c r="U345" s="160">
        <v>-1827013.1241109371</v>
      </c>
      <c r="V345" s="160">
        <v>-4104499.7578617036</v>
      </c>
      <c r="W345" s="161">
        <v>337189.34272806346</v>
      </c>
      <c r="X345" s="160">
        <v>12859530.235670745</v>
      </c>
      <c r="Y345" s="160">
        <v>12190916.561941758</v>
      </c>
      <c r="Z345" s="160">
        <v>21599647.601609498</v>
      </c>
      <c r="AA345" s="160">
        <v>9968527.9190485179</v>
      </c>
      <c r="AB345" s="160">
        <v>11609977.930488274</v>
      </c>
      <c r="AC345" s="160">
        <v>-7011980.1927014142</v>
      </c>
      <c r="AD345" s="160">
        <v>-8188219.2335693389</v>
      </c>
      <c r="AE345" s="160">
        <v>-8572493.2415673435</v>
      </c>
      <c r="AF345" s="160">
        <v>4121955.4938821793</v>
      </c>
      <c r="AG345" s="160">
        <v>-22694015.731015995</v>
      </c>
    </row>
    <row r="346" spans="16:33" ht="15.75" customHeight="1">
      <c r="P346" s="159"/>
      <c r="Q346" s="159">
        <v>329</v>
      </c>
      <c r="R346" s="160">
        <v>-36891724.618582711</v>
      </c>
      <c r="S346" s="160">
        <v>-28723249.166620985</v>
      </c>
      <c r="T346" s="160">
        <v>-15623495.972177297</v>
      </c>
      <c r="U346" s="160">
        <v>-8412377.624832049</v>
      </c>
      <c r="V346" s="160">
        <v>-9496867.228695184</v>
      </c>
      <c r="W346" s="161">
        <v>14277312.644786328</v>
      </c>
      <c r="X346" s="160">
        <v>6397440.8615558445</v>
      </c>
      <c r="Y346" s="160">
        <v>14214274.162228972</v>
      </c>
      <c r="Z346" s="160">
        <v>4235404.1636116207</v>
      </c>
      <c r="AA346" s="160">
        <v>4511986.5130856782</v>
      </c>
      <c r="AB346" s="160">
        <v>17702184.523552179</v>
      </c>
      <c r="AC346" s="160">
        <v>-1178607.8792110234</v>
      </c>
      <c r="AD346" s="160">
        <v>1163303.9687133133</v>
      </c>
      <c r="AE346" s="160">
        <v>-11694611.4869041</v>
      </c>
      <c r="AF346" s="160">
        <v>-5885932.602012068</v>
      </c>
      <c r="AG346" s="160">
        <v>-19222659.054271802</v>
      </c>
    </row>
    <row r="347" spans="16:33" ht="15.75" customHeight="1">
      <c r="P347" s="159"/>
      <c r="Q347" s="159">
        <v>330</v>
      </c>
      <c r="R347" s="160">
        <v>-35304116.285886109</v>
      </c>
      <c r="S347" s="160">
        <v>-19468965.640554339</v>
      </c>
      <c r="T347" s="160">
        <v>-16978367.516263172</v>
      </c>
      <c r="U347" s="160">
        <v>-3077153.9719179422</v>
      </c>
      <c r="V347" s="160">
        <v>-3327920.1130648702</v>
      </c>
      <c r="W347" s="161">
        <v>1250616.9303564727</v>
      </c>
      <c r="X347" s="160">
        <v>6399949.3116920441</v>
      </c>
      <c r="Y347" s="160">
        <v>11265668.122175857</v>
      </c>
      <c r="Z347" s="160">
        <v>15424161.084193483</v>
      </c>
      <c r="AA347" s="160">
        <v>17303548.269835442</v>
      </c>
      <c r="AB347" s="160">
        <v>11121418.07941547</v>
      </c>
      <c r="AC347" s="160">
        <v>4390788.0558691025</v>
      </c>
      <c r="AD347" s="160">
        <v>5683027.2915871292</v>
      </c>
      <c r="AE347" s="160">
        <v>2965954.4324086308</v>
      </c>
      <c r="AF347" s="160">
        <v>-7949388.3872102499</v>
      </c>
      <c r="AG347" s="160">
        <v>-13910401.472244769</v>
      </c>
    </row>
    <row r="348" spans="16:33" ht="15.75" customHeight="1">
      <c r="P348" s="159"/>
      <c r="Q348" s="159">
        <v>331</v>
      </c>
      <c r="R348" s="160">
        <v>-34356957.058214307</v>
      </c>
      <c r="S348" s="160">
        <v>-34560916.579913706</v>
      </c>
      <c r="T348" s="160">
        <v>-12698821.834981337</v>
      </c>
      <c r="U348" s="160">
        <v>-13053341.469587684</v>
      </c>
      <c r="V348" s="160">
        <v>-4046668.7161687464</v>
      </c>
      <c r="W348" s="161">
        <v>-1555336.8240814805</v>
      </c>
      <c r="X348" s="160">
        <v>11791012.04775019</v>
      </c>
      <c r="Y348" s="160">
        <v>15103633.561895832</v>
      </c>
      <c r="Z348" s="160">
        <v>12785441.656432912</v>
      </c>
      <c r="AA348" s="160">
        <v>11212333.127004117</v>
      </c>
      <c r="AB348" s="160">
        <v>5503491.5695950389</v>
      </c>
      <c r="AC348" s="160">
        <v>11329653.04575029</v>
      </c>
      <c r="AD348" s="160">
        <v>11050998.373999</v>
      </c>
      <c r="AE348" s="160">
        <v>-5435517.187434569</v>
      </c>
      <c r="AF348" s="160">
        <v>-14772736.279521167</v>
      </c>
      <c r="AG348" s="160">
        <v>-15462991.154838592</v>
      </c>
    </row>
    <row r="349" spans="16:33" ht="15.75" customHeight="1">
      <c r="P349" s="159"/>
      <c r="Q349" s="159">
        <v>332</v>
      </c>
      <c r="R349" s="160">
        <v>-38546286.881021798</v>
      </c>
      <c r="S349" s="160">
        <v>-16123842.039197519</v>
      </c>
      <c r="T349" s="160">
        <v>-17589274.658811584</v>
      </c>
      <c r="U349" s="160">
        <v>3646877.8955594748</v>
      </c>
      <c r="V349" s="160">
        <v>-289292.6519934535</v>
      </c>
      <c r="W349" s="161">
        <v>12578815.35393618</v>
      </c>
      <c r="X349" s="160">
        <v>10529265.090762377</v>
      </c>
      <c r="Y349" s="160">
        <v>12896217.768245965</v>
      </c>
      <c r="Z349" s="160">
        <v>16933604.497489274</v>
      </c>
      <c r="AA349" s="160">
        <v>5013337.9445444196</v>
      </c>
      <c r="AB349" s="160">
        <v>4453207.2626950443</v>
      </c>
      <c r="AC349" s="160">
        <v>3420462.7247759998</v>
      </c>
      <c r="AD349" s="160">
        <v>712203.6499735117</v>
      </c>
      <c r="AE349" s="160">
        <v>-5695004.3825949281</v>
      </c>
      <c r="AF349" s="160">
        <v>-12710436.741209</v>
      </c>
      <c r="AG349" s="160">
        <v>-10323451.198033527</v>
      </c>
    </row>
    <row r="350" spans="16:33" ht="15.75" customHeight="1">
      <c r="P350" s="159"/>
      <c r="Q350" s="159">
        <v>333</v>
      </c>
      <c r="R350" s="160">
        <v>-39699514.834550336</v>
      </c>
      <c r="S350" s="160">
        <v>-21675690.056104302</v>
      </c>
      <c r="T350" s="160">
        <v>-18999772.083895549</v>
      </c>
      <c r="U350" s="160">
        <v>-5352616.7892250866</v>
      </c>
      <c r="V350" s="160">
        <v>1537276.9142720848</v>
      </c>
      <c r="W350" s="161">
        <v>9051681.6555856019</v>
      </c>
      <c r="X350" s="160">
        <v>5572153.9913657159</v>
      </c>
      <c r="Y350" s="160">
        <v>21007395.49739179</v>
      </c>
      <c r="Z350" s="160">
        <v>16975134.884920806</v>
      </c>
      <c r="AA350" s="160">
        <v>16570421.793183744</v>
      </c>
      <c r="AB350" s="160">
        <v>2745205.2148635983</v>
      </c>
      <c r="AC350" s="160">
        <v>8382059.5957199335</v>
      </c>
      <c r="AD350" s="160">
        <v>1028798.7811201513</v>
      </c>
      <c r="AE350" s="160">
        <v>-6230477.029397428</v>
      </c>
      <c r="AF350" s="160">
        <v>-11062731.017961681</v>
      </c>
      <c r="AG350" s="160">
        <v>-24757069.429582089</v>
      </c>
    </row>
    <row r="351" spans="16:33" ht="15.75" customHeight="1">
      <c r="P351" s="159"/>
      <c r="Q351" s="159">
        <v>334</v>
      </c>
      <c r="R351" s="160">
        <v>-28975018.248359159</v>
      </c>
      <c r="S351" s="160">
        <v>-22773134.037460476</v>
      </c>
      <c r="T351" s="160">
        <v>-23205638.077400163</v>
      </c>
      <c r="U351" s="160">
        <v>-15440868.600684822</v>
      </c>
      <c r="V351" s="160">
        <v>-12376463.828293562</v>
      </c>
      <c r="W351" s="161">
        <v>-724780.11024270952</v>
      </c>
      <c r="X351" s="160">
        <v>2786733.0130906105</v>
      </c>
      <c r="Y351" s="160">
        <v>2547029.8249702603</v>
      </c>
      <c r="Z351" s="160">
        <v>16815023.759462506</v>
      </c>
      <c r="AA351" s="160">
        <v>14467007.650188878</v>
      </c>
      <c r="AB351" s="160">
        <v>4482707.4265729785</v>
      </c>
      <c r="AC351" s="160">
        <v>7469040.2508435845</v>
      </c>
      <c r="AD351" s="160">
        <v>10216656.614689365</v>
      </c>
      <c r="AE351" s="160">
        <v>-10140908.762803733</v>
      </c>
      <c r="AF351" s="160">
        <v>-8857076.9484934956</v>
      </c>
      <c r="AG351" s="160">
        <v>-20521650.402542382</v>
      </c>
    </row>
    <row r="352" spans="16:33" ht="15.75" customHeight="1">
      <c r="P352" s="159"/>
      <c r="Q352" s="159">
        <v>335</v>
      </c>
      <c r="R352" s="160">
        <v>-33271297.837253138</v>
      </c>
      <c r="S352" s="160">
        <v>-19715879.815713286</v>
      </c>
      <c r="T352" s="160">
        <v>-5711222.3483646214</v>
      </c>
      <c r="U352" s="160">
        <v>-4166172.2945142388</v>
      </c>
      <c r="V352" s="160">
        <v>1274694.25508672</v>
      </c>
      <c r="W352" s="161">
        <v>5332037.9082588553</v>
      </c>
      <c r="X352" s="160">
        <v>9265330.3112320006</v>
      </c>
      <c r="Y352" s="160">
        <v>13196960.464755639</v>
      </c>
      <c r="Z352" s="160">
        <v>6015619.5915383697</v>
      </c>
      <c r="AA352" s="160">
        <v>-7888183.1586099416</v>
      </c>
      <c r="AB352" s="160">
        <v>4194462.2614753097</v>
      </c>
      <c r="AC352" s="160">
        <v>4075969.3013443202</v>
      </c>
      <c r="AD352" s="160">
        <v>9557150.940710336</v>
      </c>
      <c r="AE352" s="160">
        <v>540400.98942422867</v>
      </c>
      <c r="AF352" s="160">
        <v>-14230355.46865572</v>
      </c>
      <c r="AG352" s="160">
        <v>-9652802.7248878032</v>
      </c>
    </row>
    <row r="353" spans="16:33" ht="15.75" customHeight="1">
      <c r="P353" s="159"/>
      <c r="Q353" s="159">
        <v>336</v>
      </c>
      <c r="R353" s="160">
        <v>-35417278.563228726</v>
      </c>
      <c r="S353" s="160">
        <v>-29098255.049229354</v>
      </c>
      <c r="T353" s="160">
        <v>-20516610.362531707</v>
      </c>
      <c r="U353" s="160">
        <v>-8890523.518241927</v>
      </c>
      <c r="V353" s="160">
        <v>-5104141.6218045652</v>
      </c>
      <c r="W353" s="161">
        <v>12438226.615471825</v>
      </c>
      <c r="X353" s="160">
        <v>15120779.611798674</v>
      </c>
      <c r="Y353" s="160">
        <v>1082344.7909090817</v>
      </c>
      <c r="Z353" s="160">
        <v>20440344.777482837</v>
      </c>
      <c r="AA353" s="160">
        <v>17724858.146239683</v>
      </c>
      <c r="AB353" s="160">
        <v>4419653.2995992154</v>
      </c>
      <c r="AC353" s="160">
        <v>-2779593.726919353</v>
      </c>
      <c r="AD353" s="160">
        <v>9125983.4429863989</v>
      </c>
      <c r="AE353" s="160">
        <v>2511894.9669219106</v>
      </c>
      <c r="AF353" s="160">
        <v>-6640582.7771943361</v>
      </c>
      <c r="AG353" s="160">
        <v>-26155494.47236906</v>
      </c>
    </row>
    <row r="354" spans="16:33" ht="15.75" customHeight="1">
      <c r="P354" s="159"/>
      <c r="Q354" s="159">
        <v>337</v>
      </c>
      <c r="R354" s="160">
        <v>-38888123.985320404</v>
      </c>
      <c r="S354" s="160">
        <v>-23986652.481513932</v>
      </c>
      <c r="T354" s="160">
        <v>-18838843.528632611</v>
      </c>
      <c r="U354" s="160">
        <v>-17629085.714205474</v>
      </c>
      <c r="V354" s="160">
        <v>3103377.6792029291</v>
      </c>
      <c r="W354" s="161">
        <v>10713055.812234685</v>
      </c>
      <c r="X354" s="160">
        <v>8285295.7690660954</v>
      </c>
      <c r="Y354" s="160">
        <v>8037471.7181549221</v>
      </c>
      <c r="Z354" s="160">
        <v>21733559.916565031</v>
      </c>
      <c r="AA354" s="160">
        <v>2135194.0737526417</v>
      </c>
      <c r="AB354" s="160">
        <v>3444545.9777312726</v>
      </c>
      <c r="AC354" s="160">
        <v>16663995.22481899</v>
      </c>
      <c r="AD354" s="160">
        <v>6551852.0733884573</v>
      </c>
      <c r="AE354" s="160">
        <v>-2524822.1432279795</v>
      </c>
      <c r="AF354" s="160">
        <v>-11541840.100983769</v>
      </c>
      <c r="AG354" s="160">
        <v>-11873671.882593244</v>
      </c>
    </row>
    <row r="355" spans="16:33" ht="15.75" customHeight="1">
      <c r="P355" s="159"/>
      <c r="Q355" s="159">
        <v>338</v>
      </c>
      <c r="R355" s="160">
        <v>-34574103.324163601</v>
      </c>
      <c r="S355" s="160">
        <v>-20219999.500939354</v>
      </c>
      <c r="T355" s="160">
        <v>-15539651.667188093</v>
      </c>
      <c r="U355" s="160">
        <v>-10295271.450729772</v>
      </c>
      <c r="V355" s="160">
        <v>-10135179.689729989</v>
      </c>
      <c r="W355" s="161">
        <v>3117237.2864997834</v>
      </c>
      <c r="X355" s="160">
        <v>-854840.44395841658</v>
      </c>
      <c r="Y355" s="160">
        <v>9297227.7602323592</v>
      </c>
      <c r="Z355" s="160">
        <v>15665533.882693604</v>
      </c>
      <c r="AA355" s="160">
        <v>19818578.420529097</v>
      </c>
      <c r="AB355" s="160">
        <v>8176291.4965985566</v>
      </c>
      <c r="AC355" s="160">
        <v>9463169.2786984593</v>
      </c>
      <c r="AD355" s="160">
        <v>-5272815.2261809409</v>
      </c>
      <c r="AE355" s="160">
        <v>-2505988.7737205625</v>
      </c>
      <c r="AF355" s="160">
        <v>-15535119.42185539</v>
      </c>
      <c r="AG355" s="160">
        <v>-8867163.4338193834</v>
      </c>
    </row>
    <row r="356" spans="16:33" ht="15.75" customHeight="1">
      <c r="P356" s="159"/>
      <c r="Q356" s="159">
        <v>339</v>
      </c>
      <c r="R356" s="160">
        <v>-24844282.920996055</v>
      </c>
      <c r="S356" s="160">
        <v>-28461115.052421674</v>
      </c>
      <c r="T356" s="160">
        <v>-21847220.459001482</v>
      </c>
      <c r="U356" s="160">
        <v>-11283198.52590844</v>
      </c>
      <c r="V356" s="160">
        <v>3870406.9892825186</v>
      </c>
      <c r="W356" s="161">
        <v>-7354548.7226526141</v>
      </c>
      <c r="X356" s="160">
        <v>9302213.8190630227</v>
      </c>
      <c r="Y356" s="160">
        <v>16414369.651087746</v>
      </c>
      <c r="Z356" s="160">
        <v>9906867.3789799064</v>
      </c>
      <c r="AA356" s="160">
        <v>9618718.9649090022</v>
      </c>
      <c r="AB356" s="160">
        <v>284530.22162850201</v>
      </c>
      <c r="AC356" s="160">
        <v>16819804.870011657</v>
      </c>
      <c r="AD356" s="160">
        <v>-4027598.5635567158</v>
      </c>
      <c r="AE356" s="160">
        <v>-771759.54942698777</v>
      </c>
      <c r="AF356" s="160">
        <v>-10810766.058203429</v>
      </c>
      <c r="AG356" s="160">
        <v>-20076046.072398797</v>
      </c>
    </row>
    <row r="357" spans="16:33" ht="15.75" customHeight="1">
      <c r="P357" s="159"/>
      <c r="Q357" s="159">
        <v>340</v>
      </c>
      <c r="R357" s="160">
        <v>-34202418.321745306</v>
      </c>
      <c r="S357" s="160">
        <v>-26831630.432410493</v>
      </c>
      <c r="T357" s="160">
        <v>-18720325.655096889</v>
      </c>
      <c r="U357" s="160">
        <v>-12695077.383179858</v>
      </c>
      <c r="V357" s="160">
        <v>-6005673.3504410982</v>
      </c>
      <c r="W357" s="161">
        <v>-9051419.8443639427</v>
      </c>
      <c r="X357" s="160">
        <v>2694227.3948293477</v>
      </c>
      <c r="Y357" s="160">
        <v>12493961.278734446</v>
      </c>
      <c r="Z357" s="160">
        <v>6984843.8839109689</v>
      </c>
      <c r="AA357" s="160">
        <v>4823699.5897156745</v>
      </c>
      <c r="AB357" s="160">
        <v>22815950.848338068</v>
      </c>
      <c r="AC357" s="160">
        <v>4149864.1374042779</v>
      </c>
      <c r="AD357" s="160">
        <v>4814561.0245849788</v>
      </c>
      <c r="AE357" s="160">
        <v>-328903.60884955525</v>
      </c>
      <c r="AF357" s="160">
        <v>-4014176.055808574</v>
      </c>
      <c r="AG357" s="160">
        <v>-16370918.824760348</v>
      </c>
    </row>
    <row r="358" spans="16:33" ht="15.75" customHeight="1">
      <c r="P358" s="159"/>
      <c r="Q358" s="159">
        <v>341</v>
      </c>
      <c r="R358" s="160">
        <v>-31068111.355787978</v>
      </c>
      <c r="S358" s="160">
        <v>-16892416.191329762</v>
      </c>
      <c r="T358" s="160">
        <v>-17448687.380259827</v>
      </c>
      <c r="U358" s="160">
        <v>-16415414.475396931</v>
      </c>
      <c r="V358" s="160">
        <v>2286032.0808682442</v>
      </c>
      <c r="W358" s="161">
        <v>4830338.0380852073</v>
      </c>
      <c r="X358" s="160">
        <v>4036838.9549780339</v>
      </c>
      <c r="Y358" s="160">
        <v>6206821.9066626728</v>
      </c>
      <c r="Z358" s="160">
        <v>11799588.859930798</v>
      </c>
      <c r="AA358" s="160">
        <v>11533104.004168093</v>
      </c>
      <c r="AB358" s="160">
        <v>3654701.323525548</v>
      </c>
      <c r="AC358" s="160">
        <v>16674355.695393249</v>
      </c>
      <c r="AD358" s="160">
        <v>-24685.233322143555</v>
      </c>
      <c r="AE358" s="160">
        <v>5228705.5342541784</v>
      </c>
      <c r="AF358" s="160">
        <v>-6020944.0394266695</v>
      </c>
      <c r="AG358" s="160">
        <v>-13657962.727675527</v>
      </c>
    </row>
    <row r="359" spans="16:33" ht="15.75" customHeight="1">
      <c r="P359" s="159"/>
      <c r="Q359" s="159">
        <v>342</v>
      </c>
      <c r="R359" s="160">
        <v>-33672297.236554876</v>
      </c>
      <c r="S359" s="160">
        <v>-29674225.589930803</v>
      </c>
      <c r="T359" s="160">
        <v>-19045123.14353539</v>
      </c>
      <c r="U359" s="160">
        <v>-10038331.639067993</v>
      </c>
      <c r="V359" s="160">
        <v>-490932.43656989932</v>
      </c>
      <c r="W359" s="161">
        <v>982259.86366485059</v>
      </c>
      <c r="X359" s="160">
        <v>5594704.8350041807</v>
      </c>
      <c r="Y359" s="160">
        <v>5967219.354107812</v>
      </c>
      <c r="Z359" s="160">
        <v>16936854.942959502</v>
      </c>
      <c r="AA359" s="160">
        <v>21868320.45368591</v>
      </c>
      <c r="AB359" s="160">
        <v>10583910.55206421</v>
      </c>
      <c r="AC359" s="160">
        <v>5719143.8378660977</v>
      </c>
      <c r="AD359" s="160">
        <v>-5012651.0229479522</v>
      </c>
      <c r="AE359" s="160">
        <v>-1269402.5629990548</v>
      </c>
      <c r="AF359" s="160">
        <v>-13652307.264098465</v>
      </c>
      <c r="AG359" s="160">
        <v>-20131035.554412723</v>
      </c>
    </row>
    <row r="360" spans="16:33" ht="15.75" customHeight="1">
      <c r="P360" s="159"/>
      <c r="Q360" s="159">
        <v>343</v>
      </c>
      <c r="R360" s="160">
        <v>-31861415.119472176</v>
      </c>
      <c r="S360" s="160">
        <v>-21613557.069637567</v>
      </c>
      <c r="T360" s="160">
        <v>-8471206.0216149986</v>
      </c>
      <c r="U360" s="160">
        <v>-3177292.8091785312</v>
      </c>
      <c r="V360" s="160">
        <v>8155370.70748128</v>
      </c>
      <c r="W360" s="161">
        <v>10022713.345436364</v>
      </c>
      <c r="X360" s="160">
        <v>12774753.314972609</v>
      </c>
      <c r="Y360" s="160">
        <v>16991513.182664216</v>
      </c>
      <c r="Z360" s="160">
        <v>7437993.0859233439</v>
      </c>
      <c r="AA360" s="160">
        <v>11301891.663686126</v>
      </c>
      <c r="AB360" s="160">
        <v>17301241.419804975</v>
      </c>
      <c r="AC360" s="160">
        <v>4975567.9652953893</v>
      </c>
      <c r="AD360" s="160">
        <v>3191144.3387490809</v>
      </c>
      <c r="AE360" s="160">
        <v>-11601556.320744455</v>
      </c>
      <c r="AF360" s="160">
        <v>-2146676.8766049594</v>
      </c>
      <c r="AG360" s="160">
        <v>-16601560.833767593</v>
      </c>
    </row>
    <row r="361" spans="16:33" ht="15.75" customHeight="1">
      <c r="P361" s="159"/>
      <c r="Q361" s="159">
        <v>344</v>
      </c>
      <c r="R361" s="160">
        <v>-38438110.438792884</v>
      </c>
      <c r="S361" s="160">
        <v>-27482906.098807424</v>
      </c>
      <c r="T361" s="160">
        <v>-23958888.261132926</v>
      </c>
      <c r="U361" s="160">
        <v>-9252398.6573432088</v>
      </c>
      <c r="V361" s="160">
        <v>8597005.0545733869</v>
      </c>
      <c r="W361" s="161">
        <v>-6162424.9244980812</v>
      </c>
      <c r="X361" s="160">
        <v>-244619.49835181236</v>
      </c>
      <c r="Y361" s="160">
        <v>6030553.6831314564</v>
      </c>
      <c r="Z361" s="160">
        <v>16320778.006355196</v>
      </c>
      <c r="AA361" s="160">
        <v>20873228.428073019</v>
      </c>
      <c r="AB361" s="160">
        <v>2676599.8401917368</v>
      </c>
      <c r="AC361" s="160">
        <v>10844563.665728733</v>
      </c>
      <c r="AD361" s="160">
        <v>6896324.7943951637</v>
      </c>
      <c r="AE361" s="160">
        <v>-7933312.5991005003</v>
      </c>
      <c r="AF361" s="160">
        <v>-6318533.1378840059</v>
      </c>
      <c r="AG361" s="160">
        <v>-24146570.774993777</v>
      </c>
    </row>
    <row r="362" spans="16:33" ht="15.75" customHeight="1">
      <c r="P362" s="159"/>
      <c r="Q362" s="159">
        <v>345</v>
      </c>
      <c r="R362" s="160">
        <v>-38274185.894413799</v>
      </c>
      <c r="S362" s="160">
        <v>-25073563.946645901</v>
      </c>
      <c r="T362" s="160">
        <v>-17919851.740994647</v>
      </c>
      <c r="U362" s="160">
        <v>-16954888.272139087</v>
      </c>
      <c r="V362" s="160">
        <v>1899799.9732184708</v>
      </c>
      <c r="W362" s="161">
        <v>6985213.5953817964</v>
      </c>
      <c r="X362" s="160">
        <v>13540100.995378658</v>
      </c>
      <c r="Y362" s="160">
        <v>11018256.787036493</v>
      </c>
      <c r="Z362" s="160">
        <v>25678628.664928123</v>
      </c>
      <c r="AA362" s="160">
        <v>13617453.636513472</v>
      </c>
      <c r="AB362" s="160">
        <v>-2315047.2133554518</v>
      </c>
      <c r="AC362" s="160">
        <v>8388447.21048145</v>
      </c>
      <c r="AD362" s="160">
        <v>-382238.5478502214</v>
      </c>
      <c r="AE362" s="160">
        <v>-4777510.1332447529</v>
      </c>
      <c r="AF362" s="160">
        <v>-14046640.639534682</v>
      </c>
      <c r="AG362" s="160">
        <v>-10698323.846444786</v>
      </c>
    </row>
    <row r="363" spans="16:33" ht="15.75" customHeight="1">
      <c r="P363" s="159"/>
      <c r="Q363" s="159">
        <v>346</v>
      </c>
      <c r="R363" s="160">
        <v>-33479629.59263511</v>
      </c>
      <c r="S363" s="160">
        <v>-24104588.733168319</v>
      </c>
      <c r="T363" s="160">
        <v>-18368626.015530661</v>
      </c>
      <c r="U363" s="160">
        <v>-9404292.1811886877</v>
      </c>
      <c r="V363" s="160">
        <v>6546255.4913138896</v>
      </c>
      <c r="W363" s="161">
        <v>5901189.3271609545</v>
      </c>
      <c r="X363" s="160">
        <v>5541044.3593096733</v>
      </c>
      <c r="Y363" s="160">
        <v>1955522.3990316242</v>
      </c>
      <c r="Z363" s="160">
        <v>7508265.8351342976</v>
      </c>
      <c r="AA363" s="160">
        <v>7799960.839887768</v>
      </c>
      <c r="AB363" s="160">
        <v>13212677.868684173</v>
      </c>
      <c r="AC363" s="160">
        <v>10434562.912666664</v>
      </c>
      <c r="AD363" s="160">
        <v>1054538.9047335833</v>
      </c>
      <c r="AE363" s="160">
        <v>5016204.6902740896</v>
      </c>
      <c r="AF363" s="160">
        <v>-2774065.8943881691</v>
      </c>
      <c r="AG363" s="160">
        <v>-13217750.526851594</v>
      </c>
    </row>
    <row r="364" spans="16:33" ht="15.75" customHeight="1">
      <c r="P364" s="159"/>
      <c r="Q364" s="159">
        <v>347</v>
      </c>
      <c r="R364" s="160">
        <v>-36437299.680919349</v>
      </c>
      <c r="S364" s="160">
        <v>-37856240.762967572</v>
      </c>
      <c r="T364" s="160">
        <v>-18846969.644315973</v>
      </c>
      <c r="U364" s="160">
        <v>-7109323.0619000196</v>
      </c>
      <c r="V364" s="160">
        <v>-7137434.7149610072</v>
      </c>
      <c r="W364" s="161">
        <v>2211396.3065884709</v>
      </c>
      <c r="X364" s="160">
        <v>1485951.0071141124</v>
      </c>
      <c r="Y364" s="160">
        <v>12869277.107253015</v>
      </c>
      <c r="Z364" s="160">
        <v>13405450.286906868</v>
      </c>
      <c r="AA364" s="160">
        <v>7392929.9448654801</v>
      </c>
      <c r="AB364" s="160">
        <v>11000615.19388631</v>
      </c>
      <c r="AC364" s="160">
        <v>5100488.7110370249</v>
      </c>
      <c r="AD364" s="160">
        <v>10819377.583075315</v>
      </c>
      <c r="AE364" s="160">
        <v>-17669518.513747007</v>
      </c>
      <c r="AF364" s="160">
        <v>-7286134.8909862638</v>
      </c>
      <c r="AG364" s="160">
        <v>-28050345.514733046</v>
      </c>
    </row>
    <row r="365" spans="16:33" ht="15.75" customHeight="1">
      <c r="P365" s="159"/>
      <c r="Q365" s="159">
        <v>348</v>
      </c>
      <c r="R365" s="160">
        <v>-28453443.954311848</v>
      </c>
      <c r="S365" s="160">
        <v>-29471921.505818531</v>
      </c>
      <c r="T365" s="160">
        <v>-11885528.258872882</v>
      </c>
      <c r="U365" s="160">
        <v>-12565432.753348202</v>
      </c>
      <c r="V365" s="160">
        <v>-2369343.0279228389</v>
      </c>
      <c r="W365" s="161">
        <v>10336125.061423004</v>
      </c>
      <c r="X365" s="160">
        <v>4307048.1251793057</v>
      </c>
      <c r="Y365" s="160">
        <v>17366128.643003166</v>
      </c>
      <c r="Z365" s="160">
        <v>10071271.915548518</v>
      </c>
      <c r="AA365" s="160">
        <v>8909294.778866455</v>
      </c>
      <c r="AB365" s="160">
        <v>14415418.573533952</v>
      </c>
      <c r="AC365" s="160">
        <v>3822337.3266210854</v>
      </c>
      <c r="AD365" s="160">
        <v>-8672048.285855487</v>
      </c>
      <c r="AE365" s="160">
        <v>-1328499.9555210769</v>
      </c>
      <c r="AF365" s="160">
        <v>-11717977.615551054</v>
      </c>
      <c r="AG365" s="160">
        <v>-19883350.982738793</v>
      </c>
    </row>
    <row r="366" spans="16:33" ht="15.75" customHeight="1">
      <c r="P366" s="159"/>
      <c r="Q366" s="159">
        <v>349</v>
      </c>
      <c r="R366" s="160">
        <v>-33724655.540518403</v>
      </c>
      <c r="S366" s="160">
        <v>-21501970.623750269</v>
      </c>
      <c r="T366" s="160">
        <v>-21187121.194445118</v>
      </c>
      <c r="U366" s="160">
        <v>-4880839.0198949724</v>
      </c>
      <c r="V366" s="160">
        <v>-2233897.8633882254</v>
      </c>
      <c r="W366" s="161">
        <v>14036111.164702162</v>
      </c>
      <c r="X366" s="160">
        <v>7845504.5694630295</v>
      </c>
      <c r="Y366" s="160">
        <v>5981957.2016813606</v>
      </c>
      <c r="Z366" s="160">
        <v>16845780.391288519</v>
      </c>
      <c r="AA366" s="160">
        <v>5116989.1584776938</v>
      </c>
      <c r="AB366" s="160">
        <v>9323945.3464622498</v>
      </c>
      <c r="AC366" s="160">
        <v>3147626.3173154444</v>
      </c>
      <c r="AD366" s="160">
        <v>-2340934.3155101687</v>
      </c>
      <c r="AE366" s="160">
        <v>-3273964.3225166649</v>
      </c>
      <c r="AF366" s="160">
        <v>-11701048.024828523</v>
      </c>
      <c r="AG366" s="160">
        <v>-25735369.684964314</v>
      </c>
    </row>
    <row r="367" spans="16:33" ht="15.75" customHeight="1">
      <c r="P367" s="159"/>
      <c r="Q367" s="159">
        <v>350</v>
      </c>
      <c r="R367" s="160">
        <v>-37967665.398624435</v>
      </c>
      <c r="S367" s="160">
        <v>-24878857.664543346</v>
      </c>
      <c r="T367" s="160">
        <v>-10672261.59642671</v>
      </c>
      <c r="U367" s="160">
        <v>251093.37235431373</v>
      </c>
      <c r="V367" s="160">
        <v>1901919.2357180268</v>
      </c>
      <c r="W367" s="161">
        <v>-6904068.6468307674</v>
      </c>
      <c r="X367" s="160">
        <v>9377460.7176070362</v>
      </c>
      <c r="Y367" s="160">
        <v>16901463.396490395</v>
      </c>
      <c r="Z367" s="160">
        <v>15450828.643188894</v>
      </c>
      <c r="AA367" s="160">
        <v>9412681.4255406111</v>
      </c>
      <c r="AB367" s="160">
        <v>5317165.9934404194</v>
      </c>
      <c r="AC367" s="160">
        <v>6121558.8962424248</v>
      </c>
      <c r="AD367" s="160">
        <v>1657096.8302198201</v>
      </c>
      <c r="AE367" s="160">
        <v>-4077476.9116005898</v>
      </c>
      <c r="AF367" s="160">
        <v>-3449890.644818455</v>
      </c>
      <c r="AG367" s="160">
        <v>-12111582.904173061</v>
      </c>
    </row>
    <row r="368" spans="16:33" ht="15.75" customHeight="1">
      <c r="P368" s="159"/>
      <c r="Q368" s="159">
        <v>351</v>
      </c>
      <c r="R368" s="160">
        <v>-34512604.945224032</v>
      </c>
      <c r="S368" s="160">
        <v>-34708701.728870675</v>
      </c>
      <c r="T368" s="160">
        <v>-21150127.035989374</v>
      </c>
      <c r="U368" s="160">
        <v>-10599895.562590197</v>
      </c>
      <c r="V368" s="160">
        <v>-4446312.5772311091</v>
      </c>
      <c r="W368" s="161">
        <v>-1466621.9790996164</v>
      </c>
      <c r="X368" s="160">
        <v>8744492.427504316</v>
      </c>
      <c r="Y368" s="160">
        <v>-3392932.0680455863</v>
      </c>
      <c r="Z368" s="160">
        <v>11157350.56569466</v>
      </c>
      <c r="AA368" s="160">
        <v>7679703.5989071131</v>
      </c>
      <c r="AB368" s="160">
        <v>12491339.048333913</v>
      </c>
      <c r="AC368" s="160">
        <v>1280530.4978054911</v>
      </c>
      <c r="AD368" s="160">
        <v>9000071.6127070487</v>
      </c>
      <c r="AE368" s="160">
        <v>-18645961.23934564</v>
      </c>
      <c r="AF368" s="160">
        <v>-9905837.0157146454</v>
      </c>
      <c r="AG368" s="160">
        <v>-21929780.59439604</v>
      </c>
    </row>
    <row r="369" spans="16:33" ht="15.75" customHeight="1">
      <c r="P369" s="159"/>
      <c r="Q369" s="159">
        <v>352</v>
      </c>
      <c r="R369" s="160">
        <v>-40364793.632962927</v>
      </c>
      <c r="S369" s="160">
        <v>-25236841.043222919</v>
      </c>
      <c r="T369" s="160">
        <v>-12033766.723154083</v>
      </c>
      <c r="U369" s="160">
        <v>-13796763.629842237</v>
      </c>
      <c r="V369" s="160">
        <v>-201414.49256621301</v>
      </c>
      <c r="W369" s="161">
        <v>-2103776.2741832435</v>
      </c>
      <c r="X369" s="160">
        <v>8530662.5765809119</v>
      </c>
      <c r="Y369" s="160">
        <v>13335435.108420625</v>
      </c>
      <c r="Z369" s="160">
        <v>11592379.537419736</v>
      </c>
      <c r="AA369" s="160">
        <v>7724913.475632146</v>
      </c>
      <c r="AB369" s="160">
        <v>11542489.560332656</v>
      </c>
      <c r="AC369" s="160">
        <v>6089752.8451578766</v>
      </c>
      <c r="AD369" s="160">
        <v>6735165.3208809346</v>
      </c>
      <c r="AE369" s="160">
        <v>-8185784.9733477533</v>
      </c>
      <c r="AF369" s="160">
        <v>-3689880.508389473</v>
      </c>
      <c r="AG369" s="160">
        <v>-13844513.976126984</v>
      </c>
    </row>
    <row r="370" spans="16:33" ht="15.75" customHeight="1">
      <c r="P370" s="159"/>
      <c r="Q370" s="159">
        <v>353</v>
      </c>
      <c r="R370" s="160">
        <v>-37102046.110110089</v>
      </c>
      <c r="S370" s="160">
        <v>-27739927.811124817</v>
      </c>
      <c r="T370" s="160">
        <v>-10388075.112506405</v>
      </c>
      <c r="U370" s="160">
        <v>-10952897.085558802</v>
      </c>
      <c r="V370" s="160">
        <v>-9095762.0390532464</v>
      </c>
      <c r="W370" s="161">
        <v>8019653.6910522282</v>
      </c>
      <c r="X370" s="160">
        <v>9231199.5903118998</v>
      </c>
      <c r="Y370" s="160">
        <v>18180994.142613769</v>
      </c>
      <c r="Z370" s="160">
        <v>8529191.3445836306</v>
      </c>
      <c r="AA370" s="160">
        <v>9329330.7650104165</v>
      </c>
      <c r="AB370" s="160">
        <v>12827306.479701579</v>
      </c>
      <c r="AC370" s="160">
        <v>10729802.555992857</v>
      </c>
      <c r="AD370" s="160">
        <v>6955127.9937891662</v>
      </c>
      <c r="AE370" s="160">
        <v>-10471569.482335001</v>
      </c>
      <c r="AF370" s="160">
        <v>-17076022.512938529</v>
      </c>
      <c r="AG370" s="160">
        <v>-18895466.070237011</v>
      </c>
    </row>
    <row r="371" spans="16:33" ht="15.75" customHeight="1">
      <c r="P371" s="159"/>
      <c r="Q371" s="159">
        <v>354</v>
      </c>
      <c r="R371" s="160">
        <v>-34813019.399106428</v>
      </c>
      <c r="S371" s="160">
        <v>-26449053.038155004</v>
      </c>
      <c r="T371" s="160">
        <v>-19940948.498532057</v>
      </c>
      <c r="U371" s="160">
        <v>-14860200.646273941</v>
      </c>
      <c r="V371" s="160">
        <v>9872719.1487942785</v>
      </c>
      <c r="W371" s="161">
        <v>-5701545.8227370381</v>
      </c>
      <c r="X371" s="160">
        <v>3768559.7973053902</v>
      </c>
      <c r="Y371" s="160">
        <v>19680739.006798178</v>
      </c>
      <c r="Z371" s="160">
        <v>13374023.657331586</v>
      </c>
      <c r="AA371" s="160">
        <v>2548342.3408454806</v>
      </c>
      <c r="AB371" s="160">
        <v>15293028.970234126</v>
      </c>
      <c r="AC371" s="160">
        <v>-3965887.6263624579</v>
      </c>
      <c r="AD371" s="160">
        <v>7675106.2898732722</v>
      </c>
      <c r="AE371" s="160">
        <v>-4600273.6864644289</v>
      </c>
      <c r="AF371" s="160">
        <v>-11361286.155565605</v>
      </c>
      <c r="AG371" s="160">
        <v>-14455672.552568913</v>
      </c>
    </row>
    <row r="372" spans="16:33" ht="15.75" customHeight="1">
      <c r="P372" s="159"/>
      <c r="Q372" s="159">
        <v>355</v>
      </c>
      <c r="R372" s="160">
        <v>-37447181.873607665</v>
      </c>
      <c r="S372" s="160">
        <v>-23058753.392814413</v>
      </c>
      <c r="T372" s="160">
        <v>-24448805.958295897</v>
      </c>
      <c r="U372" s="160">
        <v>-7851307.7739546001</v>
      </c>
      <c r="V372" s="160">
        <v>-3789152.0845948309</v>
      </c>
      <c r="W372" s="161">
        <v>6581596.7961135507</v>
      </c>
      <c r="X372" s="160">
        <v>11303202.573824704</v>
      </c>
      <c r="Y372" s="160">
        <v>16285521.736173227</v>
      </c>
      <c r="Z372" s="160">
        <v>11586852.251970053</v>
      </c>
      <c r="AA372" s="160">
        <v>8566088.0902326703</v>
      </c>
      <c r="AB372" s="160">
        <v>9830378.2010493129</v>
      </c>
      <c r="AC372" s="160">
        <v>8150567.245207563</v>
      </c>
      <c r="AD372" s="160">
        <v>17844219.743260458</v>
      </c>
      <c r="AE372" s="160">
        <v>940144.48214997351</v>
      </c>
      <c r="AF372" s="160">
        <v>-10122175.256948769</v>
      </c>
      <c r="AG372" s="160">
        <v>-21723746.410838276</v>
      </c>
    </row>
    <row r="373" spans="16:33" ht="15.75" customHeight="1">
      <c r="P373" s="159"/>
      <c r="Q373" s="159">
        <v>356</v>
      </c>
      <c r="R373" s="160">
        <v>-31622110.338598892</v>
      </c>
      <c r="S373" s="160">
        <v>-29946408.824742764</v>
      </c>
      <c r="T373" s="160">
        <v>-18524916.79153724</v>
      </c>
      <c r="U373" s="160">
        <v>-6505735.634760648</v>
      </c>
      <c r="V373" s="160">
        <v>-1297366.787707746</v>
      </c>
      <c r="W373" s="161">
        <v>3486150.4803136885</v>
      </c>
      <c r="X373" s="160">
        <v>-1878650.7900958359</v>
      </c>
      <c r="Y373" s="160">
        <v>1676297.971515134</v>
      </c>
      <c r="Z373" s="160">
        <v>4693329.4466450512</v>
      </c>
      <c r="AA373" s="160">
        <v>22317915.44233264</v>
      </c>
      <c r="AB373" s="160">
        <v>7177291.625033617</v>
      </c>
      <c r="AC373" s="160">
        <v>-121512.42531423271</v>
      </c>
      <c r="AD373" s="160">
        <v>8461066.8211037815</v>
      </c>
      <c r="AE373" s="160">
        <v>-13102470.418011814</v>
      </c>
      <c r="AF373" s="160">
        <v>-6485783.3505091518</v>
      </c>
      <c r="AG373" s="160">
        <v>-24994113.183630347</v>
      </c>
    </row>
    <row r="374" spans="16:33" ht="15.75" customHeight="1">
      <c r="P374" s="159"/>
      <c r="Q374" s="159">
        <v>357</v>
      </c>
      <c r="R374" s="160">
        <v>-36016619.631516427</v>
      </c>
      <c r="S374" s="160">
        <v>-15672180.223227128</v>
      </c>
      <c r="T374" s="160">
        <v>-18319410.539705917</v>
      </c>
      <c r="U374" s="160">
        <v>-10882933.978430629</v>
      </c>
      <c r="V374" s="160">
        <v>-4644791.4846486747</v>
      </c>
      <c r="W374" s="161">
        <v>-2720979.2531264126</v>
      </c>
      <c r="X374" s="160">
        <v>16399167.348360226</v>
      </c>
      <c r="Y374" s="160">
        <v>9673163.7289019972</v>
      </c>
      <c r="Z374" s="160">
        <v>24085128.093894839</v>
      </c>
      <c r="AA374" s="160">
        <v>14661634.127024159</v>
      </c>
      <c r="AB374" s="160">
        <v>15754062.643399566</v>
      </c>
      <c r="AC374" s="160">
        <v>7661705.9119479656</v>
      </c>
      <c r="AD374" s="160">
        <v>12047434.668584853</v>
      </c>
      <c r="AE374" s="160">
        <v>-1058401.547117129</v>
      </c>
      <c r="AF374" s="160">
        <v>-2353805.8274698257</v>
      </c>
      <c r="AG374" s="160">
        <v>-15128416.005325109</v>
      </c>
    </row>
    <row r="375" spans="16:33" ht="15.75" customHeight="1">
      <c r="P375" s="159"/>
      <c r="Q375" s="159">
        <v>358</v>
      </c>
      <c r="R375" s="160">
        <v>-35770062.743279472</v>
      </c>
      <c r="S375" s="160">
        <v>-23429488.682726279</v>
      </c>
      <c r="T375" s="160">
        <v>-18292355.737981156</v>
      </c>
      <c r="U375" s="160">
        <v>-3502226.1579224616</v>
      </c>
      <c r="V375" s="160">
        <v>-5893212.8021234572</v>
      </c>
      <c r="W375" s="161">
        <v>15586263.298741043</v>
      </c>
      <c r="X375" s="160">
        <v>11876656.024669021</v>
      </c>
      <c r="Y375" s="160">
        <v>5961445.1075811088</v>
      </c>
      <c r="Z375" s="160">
        <v>9064459.5415214598</v>
      </c>
      <c r="AA375" s="160">
        <v>16071469.965589941</v>
      </c>
      <c r="AB375" s="160">
        <v>9789950.2390860617</v>
      </c>
      <c r="AC375" s="160">
        <v>583993.8625227958</v>
      </c>
      <c r="AD375" s="160">
        <v>10060940.787665993</v>
      </c>
      <c r="AE375" s="160">
        <v>-1910618.272156626</v>
      </c>
      <c r="AF375" s="160">
        <v>-8331275.0439241827</v>
      </c>
      <c r="AG375" s="160">
        <v>-20216982.05672805</v>
      </c>
    </row>
    <row r="376" spans="16:33" ht="15.75" customHeight="1">
      <c r="P376" s="159"/>
      <c r="Q376" s="159">
        <v>359</v>
      </c>
      <c r="R376" s="160">
        <v>-35988387.938463643</v>
      </c>
      <c r="S376" s="160">
        <v>-17978556.577183858</v>
      </c>
      <c r="T376" s="160">
        <v>-17916428.983350173</v>
      </c>
      <c r="U376" s="160">
        <v>-10006706.57950829</v>
      </c>
      <c r="V376" s="160">
        <v>-4473978.6371705532</v>
      </c>
      <c r="W376" s="161">
        <v>4224120.7306049615</v>
      </c>
      <c r="X376" s="160">
        <v>-1292563.8564464003</v>
      </c>
      <c r="Y376" s="160">
        <v>7705014.960882768</v>
      </c>
      <c r="Z376" s="160">
        <v>10391233.902549446</v>
      </c>
      <c r="AA376" s="160">
        <v>13270551.830775365</v>
      </c>
      <c r="AB376" s="160">
        <v>3002248.0477609038</v>
      </c>
      <c r="AC376" s="160">
        <v>10381638.485416949</v>
      </c>
      <c r="AD376" s="160">
        <v>1715227.2887559831</v>
      </c>
      <c r="AE376" s="160">
        <v>-1234619.7331479639</v>
      </c>
      <c r="AF376" s="160">
        <v>3322103.2076366693</v>
      </c>
      <c r="AG376" s="160">
        <v>-14100480.325117707</v>
      </c>
    </row>
    <row r="377" spans="16:33" ht="15.75" customHeight="1">
      <c r="P377" s="159"/>
      <c r="Q377" s="159">
        <v>360</v>
      </c>
      <c r="R377" s="160">
        <v>-41122378.130375504</v>
      </c>
      <c r="S377" s="160">
        <v>-18993449.617043078</v>
      </c>
      <c r="T377" s="160">
        <v>-14775486.958514139</v>
      </c>
      <c r="U377" s="160">
        <v>-6469535.6905212998</v>
      </c>
      <c r="V377" s="160">
        <v>-5009000.449824065</v>
      </c>
      <c r="W377" s="161">
        <v>9698724.9151133597</v>
      </c>
      <c r="X377" s="160">
        <v>16277043.664305061</v>
      </c>
      <c r="Y377" s="160">
        <v>10147269.644079715</v>
      </c>
      <c r="Z377" s="160">
        <v>25302454.014456213</v>
      </c>
      <c r="AA377" s="160">
        <v>6442269.7331102639</v>
      </c>
      <c r="AB377" s="160">
        <v>11898276.804052591</v>
      </c>
      <c r="AC377" s="160">
        <v>3763797.4495789409</v>
      </c>
      <c r="AD377" s="160">
        <v>6965262.4057818353</v>
      </c>
      <c r="AE377" s="160">
        <v>-1188524.7637925148</v>
      </c>
      <c r="AF377" s="160">
        <v>-12152962.656410471</v>
      </c>
      <c r="AG377" s="160">
        <v>-9998786.9017851055</v>
      </c>
    </row>
    <row r="378" spans="16:33" ht="15.75" customHeight="1">
      <c r="P378" s="159"/>
      <c r="Q378" s="159">
        <v>361</v>
      </c>
      <c r="R378" s="160">
        <v>-35261469.837003127</v>
      </c>
      <c r="S378" s="160">
        <v>-20970807.78796269</v>
      </c>
      <c r="T378" s="160">
        <v>-14954870.445589349</v>
      </c>
      <c r="U378" s="160">
        <v>-6706892.5945481062</v>
      </c>
      <c r="V378" s="160">
        <v>-2493914.1336235404</v>
      </c>
      <c r="W378" s="161">
        <v>-1851589.7142747492</v>
      </c>
      <c r="X378" s="160">
        <v>835280.59766371548</v>
      </c>
      <c r="Y378" s="160">
        <v>6817703.1832186431</v>
      </c>
      <c r="Z378" s="160">
        <v>20229719.146727115</v>
      </c>
      <c r="AA378" s="160">
        <v>6867949.7042336762</v>
      </c>
      <c r="AB378" s="160">
        <v>11594837.242590085</v>
      </c>
      <c r="AC378" s="160">
        <v>9709929.401724562</v>
      </c>
      <c r="AD378" s="160">
        <v>-5252933.848857671</v>
      </c>
      <c r="AE378" s="160">
        <v>-7738825.7375777811</v>
      </c>
      <c r="AF378" s="160">
        <v>-18119015.172524482</v>
      </c>
      <c r="AG378" s="160">
        <v>-21158219.178789809</v>
      </c>
    </row>
    <row r="379" spans="16:33" ht="15.75" customHeight="1">
      <c r="P379" s="159"/>
      <c r="Q379" s="159">
        <v>362</v>
      </c>
      <c r="R379" s="160">
        <v>-38278779.937350973</v>
      </c>
      <c r="S379" s="160">
        <v>-22941940.194394469</v>
      </c>
      <c r="T379" s="160">
        <v>-16483025.786422834</v>
      </c>
      <c r="U379" s="160">
        <v>-8058925.1292619854</v>
      </c>
      <c r="V379" s="160">
        <v>-9789415.0270927548</v>
      </c>
      <c r="W379" s="161">
        <v>-8905352.8287541717</v>
      </c>
      <c r="X379" s="160">
        <v>2416758.2851284742</v>
      </c>
      <c r="Y379" s="160">
        <v>2259221.3374690413</v>
      </c>
      <c r="Z379" s="160">
        <v>19322773.814848274</v>
      </c>
      <c r="AA379" s="160">
        <v>23404238.833454594</v>
      </c>
      <c r="AB379" s="160">
        <v>9194255.0450011492</v>
      </c>
      <c r="AC379" s="160">
        <v>-4637910.179056257</v>
      </c>
      <c r="AD379" s="160">
        <v>-3297176.2306878716</v>
      </c>
      <c r="AE379" s="160">
        <v>-1181286.7477640808</v>
      </c>
      <c r="AF379" s="160">
        <v>-9435493.4473347217</v>
      </c>
      <c r="AG379" s="160">
        <v>-15118190.958947703</v>
      </c>
    </row>
    <row r="380" spans="16:33" ht="15.75" customHeight="1">
      <c r="P380" s="159"/>
      <c r="Q380" s="159">
        <v>363</v>
      </c>
      <c r="R380" s="160">
        <v>-42291724.505620033</v>
      </c>
      <c r="S380" s="160">
        <v>-24507394.326470241</v>
      </c>
      <c r="T380" s="160">
        <v>-18855310.291933492</v>
      </c>
      <c r="U380" s="160">
        <v>79751.083926305175</v>
      </c>
      <c r="V380" s="160">
        <v>-4476931.7113551944</v>
      </c>
      <c r="W380" s="161">
        <v>6960084.9988718331</v>
      </c>
      <c r="X380" s="160">
        <v>3857216.7586911768</v>
      </c>
      <c r="Y380" s="160">
        <v>16800186.782049477</v>
      </c>
      <c r="Z380" s="160">
        <v>4751834.4229362607</v>
      </c>
      <c r="AA380" s="160">
        <v>10802224.100047529</v>
      </c>
      <c r="AB380" s="160">
        <v>16826017.506632656</v>
      </c>
      <c r="AC380" s="160">
        <v>13287993.811102048</v>
      </c>
      <c r="AD380" s="160">
        <v>-1384771.4208947122</v>
      </c>
      <c r="AE380" s="160">
        <v>2349329.3644189835</v>
      </c>
      <c r="AF380" s="160">
        <v>-14826891.412718534</v>
      </c>
      <c r="AG380" s="160">
        <v>-26195138.285757378</v>
      </c>
    </row>
    <row r="381" spans="16:33" ht="15.75" customHeight="1">
      <c r="P381" s="159"/>
      <c r="Q381" s="159">
        <v>364</v>
      </c>
      <c r="R381" s="160">
        <v>-33881628.803371847</v>
      </c>
      <c r="S381" s="160">
        <v>-20762952.174286053</v>
      </c>
      <c r="T381" s="160">
        <v>-9967167.6673707515</v>
      </c>
      <c r="U381" s="160">
        <v>-7504590.464469716</v>
      </c>
      <c r="V381" s="160">
        <v>3748153.9622366428</v>
      </c>
      <c r="W381" s="161">
        <v>5963629.0491467714</v>
      </c>
      <c r="X381" s="160">
        <v>3915571.6794354767</v>
      </c>
      <c r="Y381" s="160">
        <v>10278125.015819639</v>
      </c>
      <c r="Z381" s="160">
        <v>19237865.073127881</v>
      </c>
      <c r="AA381" s="160">
        <v>25087811.930608183</v>
      </c>
      <c r="AB381" s="160">
        <v>14521236.489505708</v>
      </c>
      <c r="AC381" s="160">
        <v>-6647800.7683728635</v>
      </c>
      <c r="AD381" s="160">
        <v>6487374.1344731152</v>
      </c>
      <c r="AE381" s="160">
        <v>-6782582.8741483837</v>
      </c>
      <c r="AF381" s="160">
        <v>-9467847.3437641561</v>
      </c>
      <c r="AG381" s="160">
        <v>-18997665.537855521</v>
      </c>
    </row>
    <row r="382" spans="16:33" ht="15.75" customHeight="1">
      <c r="P382" s="159"/>
      <c r="Q382" s="159">
        <v>365</v>
      </c>
      <c r="R382" s="160">
        <v>-40435335.871834844</v>
      </c>
      <c r="S382" s="160">
        <v>-23736241.358067393</v>
      </c>
      <c r="T382" s="160">
        <v>-21868271.663594931</v>
      </c>
      <c r="U382" s="160">
        <v>-10745403.552741587</v>
      </c>
      <c r="V382" s="160">
        <v>-8544115.659389928</v>
      </c>
      <c r="W382" s="161">
        <v>3596203.8860056102</v>
      </c>
      <c r="X382" s="160">
        <v>4811915.8856499046</v>
      </c>
      <c r="Y382" s="160">
        <v>2082534.4594121873</v>
      </c>
      <c r="Z382" s="160">
        <v>7562842.8044653833</v>
      </c>
      <c r="AA382" s="160">
        <v>11834470.793504313</v>
      </c>
      <c r="AB382" s="160">
        <v>5484371.9138081968</v>
      </c>
      <c r="AC382" s="160">
        <v>1518260.4098428935</v>
      </c>
      <c r="AD382" s="160">
        <v>9842752.6414693445</v>
      </c>
      <c r="AE382" s="160">
        <v>-1336879.5509075671</v>
      </c>
      <c r="AF382" s="160">
        <v>-9708476.1520301998</v>
      </c>
      <c r="AG382" s="160">
        <v>-10289658.603070736</v>
      </c>
    </row>
    <row r="383" spans="16:33" ht="15.75" customHeight="1">
      <c r="P383" s="159"/>
      <c r="Q383" s="159">
        <v>366</v>
      </c>
      <c r="R383" s="160">
        <v>-30131531.79394491</v>
      </c>
      <c r="S383" s="160">
        <v>-27486991.430043221</v>
      </c>
      <c r="T383" s="160">
        <v>-20643764.13173832</v>
      </c>
      <c r="U383" s="160">
        <v>-2875110.1186813712</v>
      </c>
      <c r="V383" s="160">
        <v>2973551.302924931</v>
      </c>
      <c r="W383" s="161">
        <v>6465975.9222573787</v>
      </c>
      <c r="X383" s="160">
        <v>12069306.15464966</v>
      </c>
      <c r="Y383" s="160">
        <v>17063867.101488903</v>
      </c>
      <c r="Z383" s="160">
        <v>13137006.649548143</v>
      </c>
      <c r="AA383" s="160">
        <v>12185883.205297619</v>
      </c>
      <c r="AB383" s="160">
        <v>3974952.9639673233</v>
      </c>
      <c r="AC383" s="160">
        <v>7106129.466296494</v>
      </c>
      <c r="AD383" s="160">
        <v>10631741.786615342</v>
      </c>
      <c r="AE383" s="160">
        <v>-4858110.5251317471</v>
      </c>
      <c r="AF383" s="160">
        <v>-3599526.9477412999</v>
      </c>
      <c r="AG383" s="160">
        <v>-22218638.522970349</v>
      </c>
    </row>
    <row r="384" spans="16:33" ht="15.75" customHeight="1">
      <c r="P384" s="159"/>
      <c r="Q384" s="159">
        <v>367</v>
      </c>
      <c r="R384" s="160">
        <v>-36606379.372832209</v>
      </c>
      <c r="S384" s="160">
        <v>-24422825.888266608</v>
      </c>
      <c r="T384" s="160">
        <v>-25640191.783572942</v>
      </c>
      <c r="U384" s="160">
        <v>-3452514.718549341</v>
      </c>
      <c r="V384" s="160">
        <v>-5970160.3121243417</v>
      </c>
      <c r="W384" s="161">
        <v>6975158.588802889</v>
      </c>
      <c r="X384" s="160">
        <v>6621173.0256171376</v>
      </c>
      <c r="Y384" s="160">
        <v>14278120.805882961</v>
      </c>
      <c r="Z384" s="160">
        <v>14719547.385599658</v>
      </c>
      <c r="AA384" s="160">
        <v>17833025.140772372</v>
      </c>
      <c r="AB384" s="160">
        <v>506302.54363299906</v>
      </c>
      <c r="AC384" s="160">
        <v>1162565.2063794583</v>
      </c>
      <c r="AD384" s="160">
        <v>2092895.2196670324</v>
      </c>
      <c r="AE384" s="160">
        <v>-1406022.8336989731</v>
      </c>
      <c r="AF384" s="160">
        <v>-21019452.658236608</v>
      </c>
      <c r="AG384" s="160">
        <v>-11289511.309854001</v>
      </c>
    </row>
    <row r="385" spans="16:33" ht="15.75" customHeight="1">
      <c r="P385" s="159"/>
      <c r="Q385" s="159">
        <v>368</v>
      </c>
      <c r="R385" s="160">
        <v>-42222711.854213297</v>
      </c>
      <c r="S385" s="160">
        <v>-21410521.522599548</v>
      </c>
      <c r="T385" s="160">
        <v>-17997252.664604828</v>
      </c>
      <c r="U385" s="160">
        <v>-9404494.2607961297</v>
      </c>
      <c r="V385" s="160">
        <v>-1957310.8503938466</v>
      </c>
      <c r="W385" s="161">
        <v>5303583.0612865984</v>
      </c>
      <c r="X385" s="160">
        <v>3832667.4020363539</v>
      </c>
      <c r="Y385" s="160">
        <v>3419884.1070879102</v>
      </c>
      <c r="Z385" s="160">
        <v>14510874.186528638</v>
      </c>
      <c r="AA385" s="160">
        <v>15995180.187437803</v>
      </c>
      <c r="AB385" s="160">
        <v>10031225.771872103</v>
      </c>
      <c r="AC385" s="160">
        <v>11284008.934387371</v>
      </c>
      <c r="AD385" s="160">
        <v>4619520.6128409207</v>
      </c>
      <c r="AE385" s="160">
        <v>-1100357.1334666759</v>
      </c>
      <c r="AF385" s="160">
        <v>-2046329.0646628141</v>
      </c>
      <c r="AG385" s="160">
        <v>-22272121.903975159</v>
      </c>
    </row>
    <row r="386" spans="16:33" ht="15.75" customHeight="1">
      <c r="P386" s="159"/>
      <c r="Q386" s="159">
        <v>369</v>
      </c>
      <c r="R386" s="160">
        <v>-35475765.632143676</v>
      </c>
      <c r="S386" s="160">
        <v>-17462261.178326532</v>
      </c>
      <c r="T386" s="160">
        <v>-18074954.245478451</v>
      </c>
      <c r="U386" s="160">
        <v>-5190776.5896710604</v>
      </c>
      <c r="V386" s="160">
        <v>4028687.9777782708</v>
      </c>
      <c r="W386" s="161">
        <v>2710857.7845611572</v>
      </c>
      <c r="X386" s="160">
        <v>10830203.570453197</v>
      </c>
      <c r="Y386" s="160">
        <v>12429353.362789646</v>
      </c>
      <c r="Z386" s="160">
        <v>17933472.879490107</v>
      </c>
      <c r="AA386" s="160">
        <v>9299393.3874503523</v>
      </c>
      <c r="AB386" s="160">
        <v>11754160.448840395</v>
      </c>
      <c r="AC386" s="160">
        <v>2447968.4930753261</v>
      </c>
      <c r="AD386" s="160">
        <v>3094942.3813981116</v>
      </c>
      <c r="AE386" s="160">
        <v>-7295454.7491704077</v>
      </c>
      <c r="AF386" s="160">
        <v>-11759692.76530242</v>
      </c>
      <c r="AG386" s="160">
        <v>-22601046.55798313</v>
      </c>
    </row>
    <row r="387" spans="16:33" ht="15.75" customHeight="1">
      <c r="P387" s="159"/>
      <c r="Q387" s="159">
        <v>370</v>
      </c>
      <c r="R387" s="160">
        <v>-36593912.666682646</v>
      </c>
      <c r="S387" s="160">
        <v>-16697502.952901393</v>
      </c>
      <c r="T387" s="160">
        <v>-14912224.884571284</v>
      </c>
      <c r="U387" s="160">
        <v>-12160389.567240804</v>
      </c>
      <c r="V387" s="160">
        <v>2197845.4003823996</v>
      </c>
      <c r="W387" s="161">
        <v>8055279.8160786927</v>
      </c>
      <c r="X387" s="160">
        <v>3676475.298438713</v>
      </c>
      <c r="Y387" s="160">
        <v>10464133.922932416</v>
      </c>
      <c r="Z387" s="160">
        <v>23046923.951180115</v>
      </c>
      <c r="AA387" s="160">
        <v>26587211.752026021</v>
      </c>
      <c r="AB387" s="160">
        <v>10612672.406698108</v>
      </c>
      <c r="AC387" s="160">
        <v>10465698.270956755</v>
      </c>
      <c r="AD387" s="160">
        <v>-3189250.0225031376</v>
      </c>
      <c r="AE387" s="160">
        <v>-8638661.3512616903</v>
      </c>
      <c r="AF387" s="160">
        <v>-6667941.7088702768</v>
      </c>
      <c r="AG387" s="160">
        <v>-14124572.251559541</v>
      </c>
    </row>
    <row r="388" spans="16:33" ht="15.75" customHeight="1">
      <c r="P388" s="159"/>
      <c r="Q388" s="159">
        <v>371</v>
      </c>
      <c r="R388" s="160">
        <v>-32959647.357437521</v>
      </c>
      <c r="S388" s="160">
        <v>-20149491.890291601</v>
      </c>
      <c r="T388" s="160">
        <v>-13169272.974361271</v>
      </c>
      <c r="U388" s="160">
        <v>-6428891.438574329</v>
      </c>
      <c r="V388" s="160">
        <v>-11963677.04902336</v>
      </c>
      <c r="W388" s="161">
        <v>-5376893.2332443744</v>
      </c>
      <c r="X388" s="160">
        <v>11818938.997561589</v>
      </c>
      <c r="Y388" s="160">
        <v>5428200.53439942</v>
      </c>
      <c r="Z388" s="160">
        <v>8033037.0420259684</v>
      </c>
      <c r="AA388" s="160">
        <v>6355906.2416260391</v>
      </c>
      <c r="AB388" s="160">
        <v>11488658.802783668</v>
      </c>
      <c r="AC388" s="160">
        <v>5863099.2072482556</v>
      </c>
      <c r="AD388" s="160">
        <v>1390506.3647583723</v>
      </c>
      <c r="AE388" s="160">
        <v>-3869612.0862690508</v>
      </c>
      <c r="AF388" s="160">
        <v>-7424540.738991037</v>
      </c>
      <c r="AG388" s="160">
        <v>-22487618.161407545</v>
      </c>
    </row>
    <row r="389" spans="16:33" ht="15.75" customHeight="1">
      <c r="P389" s="159"/>
      <c r="Q389" s="159">
        <v>372</v>
      </c>
      <c r="R389" s="160">
        <v>-31632211.788733408</v>
      </c>
      <c r="S389" s="160">
        <v>-22282834.977964744</v>
      </c>
      <c r="T389" s="160">
        <v>-18948499.811306566</v>
      </c>
      <c r="U389" s="160">
        <v>238630.88231858611</v>
      </c>
      <c r="V389" s="160">
        <v>-3628978.0849626064</v>
      </c>
      <c r="W389" s="161">
        <v>6472958.4794732779</v>
      </c>
      <c r="X389" s="160">
        <v>-4494447.7620174289</v>
      </c>
      <c r="Y389" s="160">
        <v>10575694.094728574</v>
      </c>
      <c r="Z389" s="160">
        <v>10610960.477635115</v>
      </c>
      <c r="AA389" s="160">
        <v>12647387.54616107</v>
      </c>
      <c r="AB389" s="160">
        <v>15123216.339926273</v>
      </c>
      <c r="AC389" s="160">
        <v>-4879954.1306620985</v>
      </c>
      <c r="AD389" s="160">
        <v>5310209.4717118293</v>
      </c>
      <c r="AE389" s="160">
        <v>2247843.5338113159</v>
      </c>
      <c r="AF389" s="160">
        <v>-12383198.874955431</v>
      </c>
      <c r="AG389" s="160">
        <v>-12587026.060713783</v>
      </c>
    </row>
    <row r="390" spans="16:33" ht="15.75" customHeight="1">
      <c r="P390" s="159"/>
      <c r="Q390" s="159">
        <v>373</v>
      </c>
      <c r="R390" s="160">
        <v>-40333199.506503791</v>
      </c>
      <c r="S390" s="160">
        <v>-19378819.633035898</v>
      </c>
      <c r="T390" s="160">
        <v>-13893956.44939439</v>
      </c>
      <c r="U390" s="160">
        <v>-10667764.712956935</v>
      </c>
      <c r="V390" s="160">
        <v>3084282.646523267</v>
      </c>
      <c r="W390" s="161">
        <v>907067.40702830255</v>
      </c>
      <c r="X390" s="160">
        <v>6121459.4972068518</v>
      </c>
      <c r="Y390" s="160">
        <v>12122533.002922148</v>
      </c>
      <c r="Z390" s="160">
        <v>14447290.009795576</v>
      </c>
      <c r="AA390" s="160">
        <v>6623616.044032678</v>
      </c>
      <c r="AB390" s="160">
        <v>16264128.396376312</v>
      </c>
      <c r="AC390" s="160">
        <v>17320028.936558411</v>
      </c>
      <c r="AD390" s="160">
        <v>7002065.3529459238</v>
      </c>
      <c r="AE390" s="160">
        <v>4832401.8463024795</v>
      </c>
      <c r="AF390" s="160">
        <v>-8624375.3074992746</v>
      </c>
      <c r="AG390" s="160">
        <v>-25105304.779291242</v>
      </c>
    </row>
    <row r="391" spans="16:33" ht="15.75" customHeight="1">
      <c r="P391" s="159"/>
      <c r="Q391" s="159">
        <v>374</v>
      </c>
      <c r="R391" s="160">
        <v>-32607434.380845636</v>
      </c>
      <c r="S391" s="160">
        <v>-23617467.120097086</v>
      </c>
      <c r="T391" s="160">
        <v>-11399659.16938594</v>
      </c>
      <c r="U391" s="160">
        <v>-2093476.8083931506</v>
      </c>
      <c r="V391" s="160">
        <v>-6163129.6728928536</v>
      </c>
      <c r="W391" s="161">
        <v>-3072337.4432950169</v>
      </c>
      <c r="X391" s="160">
        <v>25146649.686705992</v>
      </c>
      <c r="Y391" s="160">
        <v>14411580.094691589</v>
      </c>
      <c r="Z391" s="160">
        <v>19878671.417804971</v>
      </c>
      <c r="AA391" s="160">
        <v>4734561.9272831827</v>
      </c>
      <c r="AB391" s="160">
        <v>8092004.2276998311</v>
      </c>
      <c r="AC391" s="160">
        <v>-6086405.951331228</v>
      </c>
      <c r="AD391" s="160">
        <v>7329369.3536051512</v>
      </c>
      <c r="AE391" s="160">
        <v>-4907593.6184329838</v>
      </c>
      <c r="AF391" s="160">
        <v>-10010397.226103917</v>
      </c>
      <c r="AG391" s="160">
        <v>-15944436.714503348</v>
      </c>
    </row>
    <row r="392" spans="16:33" ht="15.75" customHeight="1">
      <c r="P392" s="159"/>
      <c r="Q392" s="159">
        <v>375</v>
      </c>
      <c r="R392" s="160">
        <v>-28736741.933789074</v>
      </c>
      <c r="S392" s="160">
        <v>-20509939.160292506</v>
      </c>
      <c r="T392" s="160">
        <v>-22610323.259436503</v>
      </c>
      <c r="U392" s="160">
        <v>-7821373.0208982825</v>
      </c>
      <c r="V392" s="160">
        <v>8198571.7222786844</v>
      </c>
      <c r="W392" s="161">
        <v>1111302.1078794897</v>
      </c>
      <c r="X392" s="160">
        <v>15110677.77914536</v>
      </c>
      <c r="Y392" s="160">
        <v>16484267.319616064</v>
      </c>
      <c r="Z392" s="160">
        <v>17427878.299249902</v>
      </c>
      <c r="AA392" s="160">
        <v>12118768.258123279</v>
      </c>
      <c r="AB392" s="160">
        <v>8476353.2809153795</v>
      </c>
      <c r="AC392" s="160">
        <v>-7766410.7071075439</v>
      </c>
      <c r="AD392" s="160">
        <v>-6905182.0227117687</v>
      </c>
      <c r="AE392" s="160">
        <v>-2524454.7545098364</v>
      </c>
      <c r="AF392" s="160">
        <v>-8021255.241736874</v>
      </c>
      <c r="AG392" s="160">
        <v>-13847468.152214736</v>
      </c>
    </row>
    <row r="393" spans="16:33" ht="15.75" customHeight="1">
      <c r="P393" s="159"/>
      <c r="Q393" s="159">
        <v>376</v>
      </c>
      <c r="R393" s="160">
        <v>-42728538.736003071</v>
      </c>
      <c r="S393" s="160">
        <v>-21639418.807049766</v>
      </c>
      <c r="T393" s="160">
        <v>-18865397.140228525</v>
      </c>
      <c r="U393" s="160">
        <v>-12888399.527308881</v>
      </c>
      <c r="V393" s="160">
        <v>-7977196.8317194432</v>
      </c>
      <c r="W393" s="161">
        <v>6497628.3099532723</v>
      </c>
      <c r="X393" s="160">
        <v>19159266.605877087</v>
      </c>
      <c r="Y393" s="160">
        <v>8923741.3499176502</v>
      </c>
      <c r="Z393" s="160">
        <v>6916345.768521443</v>
      </c>
      <c r="AA393" s="160">
        <v>15891268.35247542</v>
      </c>
      <c r="AB393" s="160">
        <v>14564780.40421024</v>
      </c>
      <c r="AC393" s="160">
        <v>9105968.2175715715</v>
      </c>
      <c r="AD393" s="160">
        <v>3419978.5982981771</v>
      </c>
      <c r="AE393" s="160">
        <v>-1753142.5973299891</v>
      </c>
      <c r="AF393" s="160">
        <v>-13215115.403989881</v>
      </c>
      <c r="AG393" s="160">
        <v>-20237167.693913162</v>
      </c>
    </row>
    <row r="394" spans="16:33" ht="15.75" customHeight="1">
      <c r="P394" s="159"/>
      <c r="Q394" s="159">
        <v>377</v>
      </c>
      <c r="R394" s="160">
        <v>-45119658.068046004</v>
      </c>
      <c r="S394" s="160">
        <v>-26481550.692394704</v>
      </c>
      <c r="T394" s="160">
        <v>-23280525.105320558</v>
      </c>
      <c r="U394" s="160">
        <v>-11082636.470075965</v>
      </c>
      <c r="V394" s="160">
        <v>4169243.5639114082</v>
      </c>
      <c r="W394" s="161">
        <v>8976219.6321108639</v>
      </c>
      <c r="X394" s="160">
        <v>11632419.533450961</v>
      </c>
      <c r="Y394" s="160">
        <v>22621288.826689333</v>
      </c>
      <c r="Z394" s="160">
        <v>11245656.194856122</v>
      </c>
      <c r="AA394" s="160">
        <v>12870219.114524037</v>
      </c>
      <c r="AB394" s="160">
        <v>3049053.5169120729</v>
      </c>
      <c r="AC394" s="160">
        <v>11454199.605512902</v>
      </c>
      <c r="AD394" s="160">
        <v>3017239.5682110041</v>
      </c>
      <c r="AE394" s="160">
        <v>-9550665.4610191733</v>
      </c>
      <c r="AF394" s="160">
        <v>-15179744.883923337</v>
      </c>
      <c r="AG394" s="160">
        <v>-20862426.206156611</v>
      </c>
    </row>
    <row r="395" spans="16:33" ht="15.75" customHeight="1">
      <c r="P395" s="159"/>
      <c r="Q395" s="159">
        <v>378</v>
      </c>
      <c r="R395" s="160">
        <v>-34068766.03409934</v>
      </c>
      <c r="S395" s="160">
        <v>-30593121.056680843</v>
      </c>
      <c r="T395" s="160">
        <v>-21060483.649752125</v>
      </c>
      <c r="U395" s="160">
        <v>-14689871.562318698</v>
      </c>
      <c r="V395" s="160">
        <v>-161624.83624893427</v>
      </c>
      <c r="W395" s="161">
        <v>6446991.5669733882</v>
      </c>
      <c r="X395" s="160">
        <v>9472517.5409419537</v>
      </c>
      <c r="Y395" s="160">
        <v>13551221.770572916</v>
      </c>
      <c r="Z395" s="160">
        <v>13506904.801933989</v>
      </c>
      <c r="AA395" s="160">
        <v>15460557.168021977</v>
      </c>
      <c r="AB395" s="160">
        <v>25777573.34722051</v>
      </c>
      <c r="AC395" s="160">
        <v>3750239.030964449</v>
      </c>
      <c r="AD395" s="160">
        <v>2755452.0159661174</v>
      </c>
      <c r="AE395" s="160">
        <v>-8864635.3974316567</v>
      </c>
      <c r="AF395" s="160">
        <v>-15791560.061452314</v>
      </c>
      <c r="AG395" s="160">
        <v>-22059488.688983083</v>
      </c>
    </row>
    <row r="396" spans="16:33" ht="15.75" customHeight="1">
      <c r="P396" s="159"/>
      <c r="Q396" s="159">
        <v>379</v>
      </c>
      <c r="R396" s="160">
        <v>-36823535.371688992</v>
      </c>
      <c r="S396" s="160">
        <v>-18916492.786973685</v>
      </c>
      <c r="T396" s="160">
        <v>-16116466.347825572</v>
      </c>
      <c r="U396" s="160">
        <v>-8083749.4582271874</v>
      </c>
      <c r="V396" s="160">
        <v>1605913.8528470993</v>
      </c>
      <c r="W396" s="161">
        <v>4154069.9709922373</v>
      </c>
      <c r="X396" s="160">
        <v>13562720.197237179</v>
      </c>
      <c r="Y396" s="160">
        <v>9992242.967857495</v>
      </c>
      <c r="Z396" s="160">
        <v>10604799.904888898</v>
      </c>
      <c r="AA396" s="160">
        <v>4036726.1812240779</v>
      </c>
      <c r="AB396" s="160">
        <v>11299493.490094677</v>
      </c>
      <c r="AC396" s="160">
        <v>-1586868.6141783744</v>
      </c>
      <c r="AD396" s="160">
        <v>-6784664.2051715851</v>
      </c>
      <c r="AE396" s="160">
        <v>5508069.3358304948</v>
      </c>
      <c r="AF396" s="160">
        <v>-20410519.788090661</v>
      </c>
      <c r="AG396" s="160">
        <v>-22756896.318213597</v>
      </c>
    </row>
    <row r="397" spans="16:33" ht="15.75" customHeight="1">
      <c r="P397" s="159"/>
      <c r="Q397" s="159">
        <v>380</v>
      </c>
      <c r="R397" s="160">
        <v>-34303333.557629436</v>
      </c>
      <c r="S397" s="160">
        <v>-25334447.969629705</v>
      </c>
      <c r="T397" s="160">
        <v>-17550866.606994539</v>
      </c>
      <c r="U397" s="160">
        <v>-9873251.0965372622</v>
      </c>
      <c r="V397" s="160">
        <v>-4500348.9691187888</v>
      </c>
      <c r="W397" s="161">
        <v>2011464.0380381048</v>
      </c>
      <c r="X397" s="160">
        <v>-856440.22555650771</v>
      </c>
      <c r="Y397" s="160">
        <v>11031195.322479919</v>
      </c>
      <c r="Z397" s="160">
        <v>20823572.146356091</v>
      </c>
      <c r="AA397" s="160">
        <v>9545325.0229608417</v>
      </c>
      <c r="AB397" s="160">
        <v>6361464.9563188255</v>
      </c>
      <c r="AC397" s="160">
        <v>14918204.095609516</v>
      </c>
      <c r="AD397" s="160">
        <v>-3326989.3802915514</v>
      </c>
      <c r="AE397" s="160">
        <v>-8778343.6283370703</v>
      </c>
      <c r="AF397" s="160">
        <v>-4709300.1667134613</v>
      </c>
      <c r="AG397" s="160">
        <v>-24476908.006893814</v>
      </c>
    </row>
    <row r="398" spans="16:33" ht="15.75" customHeight="1">
      <c r="P398" s="159"/>
      <c r="Q398" s="159">
        <v>381</v>
      </c>
      <c r="R398" s="160">
        <v>-32861486.207549423</v>
      </c>
      <c r="S398" s="160">
        <v>-25467469.166019469</v>
      </c>
      <c r="T398" s="160">
        <v>-12389110.093393937</v>
      </c>
      <c r="U398" s="160">
        <v>-12976910.51617083</v>
      </c>
      <c r="V398" s="160">
        <v>-443643.01634635031</v>
      </c>
      <c r="W398" s="161">
        <v>-5165520.2334325612</v>
      </c>
      <c r="X398" s="160">
        <v>2889660.0549201816</v>
      </c>
      <c r="Y398" s="160">
        <v>16364700.132222667</v>
      </c>
      <c r="Z398" s="160">
        <v>12242597.014233604</v>
      </c>
      <c r="AA398" s="160">
        <v>8617787.0324081779</v>
      </c>
      <c r="AB398" s="160">
        <v>-52688.571511730552</v>
      </c>
      <c r="AC398" s="160">
        <v>12577509.803189978</v>
      </c>
      <c r="AD398" s="160">
        <v>10195854.455683559</v>
      </c>
      <c r="AE398" s="160">
        <v>8719925.2558196783</v>
      </c>
      <c r="AF398" s="160">
        <v>-6490165.4794640541</v>
      </c>
      <c r="AG398" s="160">
        <v>-23446539.24816741</v>
      </c>
    </row>
    <row r="399" spans="16:33" ht="15.75" customHeight="1">
      <c r="P399" s="159"/>
      <c r="Q399" s="159">
        <v>382</v>
      </c>
      <c r="R399" s="160">
        <v>-39489338.338719755</v>
      </c>
      <c r="S399" s="160">
        <v>-31458282.296991989</v>
      </c>
      <c r="T399" s="160">
        <v>-8150596.9728542715</v>
      </c>
      <c r="U399" s="160">
        <v>-2066674.7802402675</v>
      </c>
      <c r="V399" s="160">
        <v>-5767258.878205657</v>
      </c>
      <c r="W399" s="161">
        <v>6600063.9321450889</v>
      </c>
      <c r="X399" s="160">
        <v>2592492.6783022732</v>
      </c>
      <c r="Y399" s="160">
        <v>13732690.768305853</v>
      </c>
      <c r="Z399" s="160">
        <v>19112004.71779114</v>
      </c>
      <c r="AA399" s="160">
        <v>5136747.7483982295</v>
      </c>
      <c r="AB399" s="160">
        <v>-2692078.4949106574</v>
      </c>
      <c r="AC399" s="160">
        <v>10143679.147889465</v>
      </c>
      <c r="AD399" s="160">
        <v>6569532.2783017308</v>
      </c>
      <c r="AE399" s="160">
        <v>1120785.3547028601</v>
      </c>
      <c r="AF399" s="160">
        <v>-10506249.817388073</v>
      </c>
      <c r="AG399" s="160">
        <v>-17264296.380931869</v>
      </c>
    </row>
    <row r="400" spans="16:33" ht="15.75" customHeight="1">
      <c r="P400" s="159"/>
      <c r="Q400" s="159">
        <v>383</v>
      </c>
      <c r="R400" s="160">
        <v>-30701368.773032516</v>
      </c>
      <c r="S400" s="160">
        <v>-24878457.311069325</v>
      </c>
      <c r="T400" s="160">
        <v>-18238299.12740086</v>
      </c>
      <c r="U400" s="160">
        <v>-5151383.9060887843</v>
      </c>
      <c r="V400" s="160">
        <v>4319081.6053095162</v>
      </c>
      <c r="W400" s="161">
        <v>9017598.4145520926</v>
      </c>
      <c r="X400" s="160">
        <v>4184804.4481729567</v>
      </c>
      <c r="Y400" s="160">
        <v>6066563.1363185793</v>
      </c>
      <c r="Z400" s="160">
        <v>7146111.4934764802</v>
      </c>
      <c r="AA400" s="160">
        <v>11236888.565681279</v>
      </c>
      <c r="AB400" s="160">
        <v>8512884.4000963271</v>
      </c>
      <c r="AC400" s="160">
        <v>237832.42703209817</v>
      </c>
      <c r="AD400" s="160">
        <v>1492828.1129835099</v>
      </c>
      <c r="AE400" s="160">
        <v>6929494.5482849181</v>
      </c>
      <c r="AF400" s="160">
        <v>-23246642.610969901</v>
      </c>
      <c r="AG400" s="160">
        <v>-23075803.212549239</v>
      </c>
    </row>
    <row r="401" spans="16:33" ht="15.75" customHeight="1">
      <c r="P401" s="159"/>
      <c r="Q401" s="159">
        <v>384</v>
      </c>
      <c r="R401" s="160">
        <v>-36641084.820709631</v>
      </c>
      <c r="S401" s="160">
        <v>-31571388.767305419</v>
      </c>
      <c r="T401" s="160">
        <v>-12206145.525499195</v>
      </c>
      <c r="U401" s="160">
        <v>-10209687.467278183</v>
      </c>
      <c r="V401" s="160">
        <v>-2763750.7140712291</v>
      </c>
      <c r="W401" s="161">
        <v>-1932274.0072779208</v>
      </c>
      <c r="X401" s="160">
        <v>17354398.850089192</v>
      </c>
      <c r="Y401" s="160">
        <v>451246.32923819125</v>
      </c>
      <c r="Z401" s="160">
        <v>16795314.223911062</v>
      </c>
      <c r="AA401" s="160">
        <v>2662161.3792782873</v>
      </c>
      <c r="AB401" s="160">
        <v>1422319.4622254819</v>
      </c>
      <c r="AC401" s="160">
        <v>13458433.117958501</v>
      </c>
      <c r="AD401" s="160">
        <v>-2035631.5663309991</v>
      </c>
      <c r="AE401" s="160">
        <v>-11558533.030558065</v>
      </c>
      <c r="AF401" s="160">
        <v>-14689900.378947571</v>
      </c>
      <c r="AG401" s="160">
        <v>-25548238.298974574</v>
      </c>
    </row>
    <row r="402" spans="16:33" ht="15.75" customHeight="1">
      <c r="P402" s="159"/>
      <c r="Q402" s="159">
        <v>385</v>
      </c>
      <c r="R402" s="160">
        <v>-36690408.180097923</v>
      </c>
      <c r="S402" s="160">
        <v>-19190727.089291036</v>
      </c>
      <c r="T402" s="160">
        <v>-12501516.106859758</v>
      </c>
      <c r="U402" s="160">
        <v>-7939297.7065170854</v>
      </c>
      <c r="V402" s="160">
        <v>1037146.8557596356</v>
      </c>
      <c r="W402" s="161">
        <v>4931331.0262857974</v>
      </c>
      <c r="X402" s="160">
        <v>13118227.388141036</v>
      </c>
      <c r="Y402" s="160">
        <v>11439396.429796711</v>
      </c>
      <c r="Z402" s="160">
        <v>13845194.750891358</v>
      </c>
      <c r="AA402" s="160">
        <v>15976488.552384138</v>
      </c>
      <c r="AB402" s="160">
        <v>13071205.268656909</v>
      </c>
      <c r="AC402" s="160">
        <v>11190989.781932443</v>
      </c>
      <c r="AD402" s="160">
        <v>2140033.178128764</v>
      </c>
      <c r="AE402" s="160">
        <v>-9297649.5987255871</v>
      </c>
      <c r="AF402" s="160">
        <v>-13621233.559235007</v>
      </c>
      <c r="AG402" s="160">
        <v>-17127669.823017105</v>
      </c>
    </row>
    <row r="403" spans="16:33" ht="15.75" customHeight="1">
      <c r="P403" s="159"/>
      <c r="Q403" s="159">
        <v>386</v>
      </c>
      <c r="R403" s="160">
        <v>-34802435.186102167</v>
      </c>
      <c r="S403" s="160">
        <v>-27073064.884262085</v>
      </c>
      <c r="T403" s="160">
        <v>-22847884.575587988</v>
      </c>
      <c r="U403" s="160">
        <v>-6270598.4295715839</v>
      </c>
      <c r="V403" s="160">
        <v>3236424.521931082</v>
      </c>
      <c r="W403" s="161">
        <v>8456900.3168720752</v>
      </c>
      <c r="X403" s="160">
        <v>4016724.2229836583</v>
      </c>
      <c r="Y403" s="160">
        <v>1306602.2949662209</v>
      </c>
      <c r="Z403" s="160">
        <v>11684168.763549834</v>
      </c>
      <c r="AA403" s="160">
        <v>8920095.1492599547</v>
      </c>
      <c r="AB403" s="160">
        <v>5885717.7595986873</v>
      </c>
      <c r="AC403" s="160">
        <v>853895.21183604002</v>
      </c>
      <c r="AD403" s="160">
        <v>2217395.5175661594</v>
      </c>
      <c r="AE403" s="160">
        <v>808270.54292224348</v>
      </c>
      <c r="AF403" s="160">
        <v>-17365802.203346059</v>
      </c>
      <c r="AG403" s="160">
        <v>-23815367.074666351</v>
      </c>
    </row>
    <row r="404" spans="16:33" ht="15.75" customHeight="1">
      <c r="P404" s="159"/>
      <c r="Q404" s="159">
        <v>387</v>
      </c>
      <c r="R404" s="160">
        <v>-29836817.428612202</v>
      </c>
      <c r="S404" s="160">
        <v>-18279750.994751945</v>
      </c>
      <c r="T404" s="160">
        <v>-11056412.382341132</v>
      </c>
      <c r="U404" s="160">
        <v>-11059071.346610963</v>
      </c>
      <c r="V404" s="160">
        <v>1317940.9297586679</v>
      </c>
      <c r="W404" s="161">
        <v>3201197.888019681</v>
      </c>
      <c r="X404" s="160">
        <v>17684142.891128689</v>
      </c>
      <c r="Y404" s="160">
        <v>266896.77205684781</v>
      </c>
      <c r="Z404" s="160">
        <v>10474420.993416429</v>
      </c>
      <c r="AA404" s="160">
        <v>6965433.4980436713</v>
      </c>
      <c r="AB404" s="160">
        <v>7980682.4559096247</v>
      </c>
      <c r="AC404" s="160">
        <v>7008373.706598565</v>
      </c>
      <c r="AD404" s="160">
        <v>10641949.265177339</v>
      </c>
      <c r="AE404" s="160">
        <v>-11294634.099037617</v>
      </c>
      <c r="AF404" s="160">
        <v>-9780299.9974397272</v>
      </c>
      <c r="AG404" s="160">
        <v>-17878784.771498144</v>
      </c>
    </row>
    <row r="405" spans="16:33" ht="15.75" customHeight="1">
      <c r="P405" s="159"/>
      <c r="Q405" s="159">
        <v>388</v>
      </c>
      <c r="R405" s="160">
        <v>-35845784.288203567</v>
      </c>
      <c r="S405" s="160">
        <v>-25496244.601540893</v>
      </c>
      <c r="T405" s="160">
        <v>-27251636.123005852</v>
      </c>
      <c r="U405" s="160">
        <v>-10371919.879883423</v>
      </c>
      <c r="V405" s="160">
        <v>-9268064.7745692432</v>
      </c>
      <c r="W405" s="161">
        <v>4193226.3731781244</v>
      </c>
      <c r="X405" s="160">
        <v>2920946.2898897231</v>
      </c>
      <c r="Y405" s="160">
        <v>-309773.27958808839</v>
      </c>
      <c r="Z405" s="160">
        <v>6572825.6343020946</v>
      </c>
      <c r="AA405" s="160">
        <v>12927245.451397747</v>
      </c>
      <c r="AB405" s="160">
        <v>15691542.863360509</v>
      </c>
      <c r="AC405" s="160">
        <v>9892908.3299380839</v>
      </c>
      <c r="AD405" s="160">
        <v>8301870.6429425627</v>
      </c>
      <c r="AE405" s="160">
        <v>-5074090.7504034489</v>
      </c>
      <c r="AF405" s="160">
        <v>-5927026.4463068098</v>
      </c>
      <c r="AG405" s="160">
        <v>-24764921.997353792</v>
      </c>
    </row>
    <row r="406" spans="16:33" ht="15.75" customHeight="1">
      <c r="P406" s="159"/>
      <c r="Q406" s="159">
        <v>389</v>
      </c>
      <c r="R406" s="160">
        <v>-31465946.932499468</v>
      </c>
      <c r="S406" s="160">
        <v>-16993681.989769533</v>
      </c>
      <c r="T406" s="160">
        <v>-10280103.967166364</v>
      </c>
      <c r="U406" s="160">
        <v>-3250939.6374807507</v>
      </c>
      <c r="V406" s="160">
        <v>-6952862.5817182362</v>
      </c>
      <c r="W406" s="161">
        <v>6489177.6266643703</v>
      </c>
      <c r="X406" s="160">
        <v>4469410.2574118525</v>
      </c>
      <c r="Y406" s="160">
        <v>8782587.6567651927</v>
      </c>
      <c r="Z406" s="160">
        <v>-133641.49983377755</v>
      </c>
      <c r="AA406" s="160">
        <v>18956423.108872771</v>
      </c>
      <c r="AB406" s="160">
        <v>4963995.8390143812</v>
      </c>
      <c r="AC406" s="160">
        <v>5173668.7647902817</v>
      </c>
      <c r="AD406" s="160">
        <v>-3778841.341095075</v>
      </c>
      <c r="AE406" s="160">
        <v>-539513.84615427256</v>
      </c>
      <c r="AF406" s="160">
        <v>-12250571.983164623</v>
      </c>
      <c r="AG406" s="160">
        <v>-14023692.329699248</v>
      </c>
    </row>
    <row r="407" spans="16:33" ht="15.75" customHeight="1">
      <c r="P407" s="159"/>
      <c r="Q407" s="159">
        <v>390</v>
      </c>
      <c r="R407" s="160">
        <v>-37209070.344444364</v>
      </c>
      <c r="S407" s="160">
        <v>-27763180.228265896</v>
      </c>
      <c r="T407" s="160">
        <v>-22391293.649393216</v>
      </c>
      <c r="U407" s="160">
        <v>-17612316.325464711</v>
      </c>
      <c r="V407" s="160">
        <v>1723046.3067097664</v>
      </c>
      <c r="W407" s="161">
        <v>2213835.6347281933</v>
      </c>
      <c r="X407" s="160">
        <v>6127142.6067145616</v>
      </c>
      <c r="Y407" s="160">
        <v>19477944.359022349</v>
      </c>
      <c r="Z407" s="160">
        <v>5825983.668514818</v>
      </c>
      <c r="AA407" s="160">
        <v>19792258.865049392</v>
      </c>
      <c r="AB407" s="160">
        <v>10406779.541383922</v>
      </c>
      <c r="AC407" s="160">
        <v>-1800374.09846811</v>
      </c>
      <c r="AD407" s="160">
        <v>-2590842.1496412158</v>
      </c>
      <c r="AE407" s="160">
        <v>-7068967.7500015199</v>
      </c>
      <c r="AF407" s="160">
        <v>-13189936.597359374</v>
      </c>
      <c r="AG407" s="160">
        <v>-16452875.214308426</v>
      </c>
    </row>
    <row r="408" spans="16:33" ht="15.75" customHeight="1">
      <c r="P408" s="159"/>
      <c r="Q408" s="159">
        <v>391</v>
      </c>
      <c r="R408" s="160">
        <v>-39287572.217231274</v>
      </c>
      <c r="S408" s="160">
        <v>-24505793.730334058</v>
      </c>
      <c r="T408" s="160">
        <v>-10178929.551544294</v>
      </c>
      <c r="U408" s="160">
        <v>-14357382.992156625</v>
      </c>
      <c r="V408" s="160">
        <v>-8886746.2318801731</v>
      </c>
      <c r="W408" s="161">
        <v>2384751.5689994544</v>
      </c>
      <c r="X408" s="160">
        <v>9178876.9179929793</v>
      </c>
      <c r="Y408" s="160">
        <v>17678724.176835999</v>
      </c>
      <c r="Z408" s="160">
        <v>8824554.9845916182</v>
      </c>
      <c r="AA408" s="160">
        <v>8148883.5333418101</v>
      </c>
      <c r="AB408" s="160">
        <v>-1207728.0922518075</v>
      </c>
      <c r="AC408" s="160">
        <v>2069345.261836037</v>
      </c>
      <c r="AD408" s="160">
        <v>7124682.2813395262</v>
      </c>
      <c r="AE408" s="160">
        <v>-6734006.1997800767</v>
      </c>
      <c r="AF408" s="160">
        <v>-10153156.793565363</v>
      </c>
      <c r="AG408" s="160">
        <v>-21471013.193734542</v>
      </c>
    </row>
    <row r="409" spans="16:33" ht="15.75" customHeight="1">
      <c r="P409" s="159"/>
      <c r="Q409" s="159">
        <v>392</v>
      </c>
      <c r="R409" s="160">
        <v>-36502201.291833326</v>
      </c>
      <c r="S409" s="160">
        <v>-21467607.971583217</v>
      </c>
      <c r="T409" s="160">
        <v>-26097361.499786556</v>
      </c>
      <c r="U409" s="160">
        <v>-10033151.317900136</v>
      </c>
      <c r="V409" s="160">
        <v>-4410742.347211659</v>
      </c>
      <c r="W409" s="161">
        <v>8937790.6679524779</v>
      </c>
      <c r="X409" s="160">
        <v>12208996.110077098</v>
      </c>
      <c r="Y409" s="160">
        <v>16562694.053231254</v>
      </c>
      <c r="Z409" s="160">
        <v>5299745.1456415802</v>
      </c>
      <c r="AA409" s="160">
        <v>9831376.5947711468</v>
      </c>
      <c r="AB409" s="160">
        <v>17710572.597221449</v>
      </c>
      <c r="AC409" s="160">
        <v>1513445.744785428</v>
      </c>
      <c r="AD409" s="160">
        <v>-6683554.8352583796</v>
      </c>
      <c r="AE409" s="160">
        <v>-8406756.6484496444</v>
      </c>
      <c r="AF409" s="160">
        <v>-8732545.4052894861</v>
      </c>
      <c r="AG409" s="160">
        <v>-17054178.680890203</v>
      </c>
    </row>
    <row r="410" spans="16:33" ht="15.75" customHeight="1">
      <c r="P410" s="159"/>
      <c r="Q410" s="159">
        <v>393</v>
      </c>
      <c r="R410" s="160">
        <v>-32760860.102122977</v>
      </c>
      <c r="S410" s="160">
        <v>-27575901.301158369</v>
      </c>
      <c r="T410" s="160">
        <v>-20660667.958290011</v>
      </c>
      <c r="U410" s="160">
        <v>-15505532.600487143</v>
      </c>
      <c r="V410" s="160">
        <v>-443672.95200046897</v>
      </c>
      <c r="W410" s="161">
        <v>12060023.646787435</v>
      </c>
      <c r="X410" s="160">
        <v>7420749.7357114106</v>
      </c>
      <c r="Y410" s="160">
        <v>11268796.524157494</v>
      </c>
      <c r="Z410" s="160">
        <v>2597547.2600534707</v>
      </c>
      <c r="AA410" s="160">
        <v>22908509.722310007</v>
      </c>
      <c r="AB410" s="160">
        <v>20368100.441430911</v>
      </c>
      <c r="AC410" s="160">
        <v>-2977457.0322822183</v>
      </c>
      <c r="AD410" s="160">
        <v>11843290.189678982</v>
      </c>
      <c r="AE410" s="160">
        <v>-4214134.4049508274</v>
      </c>
      <c r="AF410" s="160">
        <v>-3436538.4693816006</v>
      </c>
      <c r="AG410" s="160">
        <v>-23936991.521312714</v>
      </c>
    </row>
    <row r="411" spans="16:33" ht="15.75" customHeight="1">
      <c r="P411" s="159"/>
      <c r="Q411" s="159">
        <v>394</v>
      </c>
      <c r="R411" s="160">
        <v>-36410879.84433642</v>
      </c>
      <c r="S411" s="160">
        <v>-33711043.066651016</v>
      </c>
      <c r="T411" s="160">
        <v>-16773893.440153047</v>
      </c>
      <c r="U411" s="160">
        <v>-8330871.3661888987</v>
      </c>
      <c r="V411" s="160">
        <v>-5607135.9863065481</v>
      </c>
      <c r="W411" s="161">
        <v>-35066.747462898493</v>
      </c>
      <c r="X411" s="160">
        <v>9750773.1466677338</v>
      </c>
      <c r="Y411" s="160">
        <v>9575465.0527436137</v>
      </c>
      <c r="Z411" s="160">
        <v>5214933.6516254693</v>
      </c>
      <c r="AA411" s="160">
        <v>8683644.5146362036</v>
      </c>
      <c r="AB411" s="160">
        <v>7204832.3689631522</v>
      </c>
      <c r="AC411" s="160">
        <v>5784812.9695023447</v>
      </c>
      <c r="AD411" s="160">
        <v>-5109983.1925696582</v>
      </c>
      <c r="AE411" s="160">
        <v>-5270106.8811007887</v>
      </c>
      <c r="AF411" s="160">
        <v>-10574059.449638605</v>
      </c>
      <c r="AG411" s="160">
        <v>-4425050.6334289312</v>
      </c>
    </row>
    <row r="412" spans="16:33" ht="15.75" customHeight="1">
      <c r="P412" s="159"/>
      <c r="Q412" s="159">
        <v>395</v>
      </c>
      <c r="R412" s="160">
        <v>-43056281.049051017</v>
      </c>
      <c r="S412" s="160">
        <v>-21463832.814234614</v>
      </c>
      <c r="T412" s="160">
        <v>-12121637.475343123</v>
      </c>
      <c r="U412" s="160">
        <v>-8588937.9095289707</v>
      </c>
      <c r="V412" s="160">
        <v>6415961.9888591319</v>
      </c>
      <c r="W412" s="161">
        <v>9148209.3507252634</v>
      </c>
      <c r="X412" s="160">
        <v>11569521.339543328</v>
      </c>
      <c r="Y412" s="160">
        <v>-7627217.7956947833</v>
      </c>
      <c r="Z412" s="160">
        <v>17602475.375892237</v>
      </c>
      <c r="AA412" s="160">
        <v>12042034.03401342</v>
      </c>
      <c r="AB412" s="160">
        <v>8739647.4180297256</v>
      </c>
      <c r="AC412" s="160">
        <v>9092680.1042481959</v>
      </c>
      <c r="AD412" s="160">
        <v>4411508.7890560925</v>
      </c>
      <c r="AE412" s="160">
        <v>-438753.90286144614</v>
      </c>
      <c r="AF412" s="160">
        <v>-8198817.5481279492</v>
      </c>
      <c r="AG412" s="160">
        <v>-25301966.917351946</v>
      </c>
    </row>
    <row r="413" spans="16:33" ht="15.75" customHeight="1">
      <c r="P413" s="159"/>
      <c r="Q413" s="159">
        <v>396</v>
      </c>
      <c r="R413" s="160">
        <v>-40897911.364114285</v>
      </c>
      <c r="S413" s="160">
        <v>-27951493.408001617</v>
      </c>
      <c r="T413" s="160">
        <v>-17472469.150643378</v>
      </c>
      <c r="U413" s="160">
        <v>-466121.59760141373</v>
      </c>
      <c r="V413" s="160">
        <v>-5961932.1269404143</v>
      </c>
      <c r="W413" s="161">
        <v>-3951768.198833555</v>
      </c>
      <c r="X413" s="160">
        <v>19582317.466038063</v>
      </c>
      <c r="Y413" s="160">
        <v>19761006.850618914</v>
      </c>
      <c r="Z413" s="160">
        <v>14513419.981789067</v>
      </c>
      <c r="AA413" s="160">
        <v>12631363.868091702</v>
      </c>
      <c r="AB413" s="160">
        <v>19330815.911657304</v>
      </c>
      <c r="AC413" s="160">
        <v>-4389487.1815877855</v>
      </c>
      <c r="AD413" s="160">
        <v>1294092.3086631894</v>
      </c>
      <c r="AE413" s="160">
        <v>-1430038.5364235044</v>
      </c>
      <c r="AF413" s="160">
        <v>-6643461.6854380816</v>
      </c>
      <c r="AG413" s="160">
        <v>-9562699.6954197586</v>
      </c>
    </row>
    <row r="414" spans="16:33" ht="15.75" customHeight="1">
      <c r="P414" s="159"/>
      <c r="Q414" s="159">
        <v>397</v>
      </c>
      <c r="R414" s="160">
        <v>-34148811.055328801</v>
      </c>
      <c r="S414" s="160">
        <v>-20957470.925143108</v>
      </c>
      <c r="T414" s="160">
        <v>-14062534.368925899</v>
      </c>
      <c r="U414" s="160">
        <v>3162946.3852544725</v>
      </c>
      <c r="V414" s="160">
        <v>-7478018.5381144136</v>
      </c>
      <c r="W414" s="161">
        <v>7760606.6777668595</v>
      </c>
      <c r="X414" s="160">
        <v>11860261.100350559</v>
      </c>
      <c r="Y414" s="160">
        <v>15681646.067797229</v>
      </c>
      <c r="Z414" s="160">
        <v>24206491.602764472</v>
      </c>
      <c r="AA414" s="160">
        <v>15155414.201673731</v>
      </c>
      <c r="AB414" s="160">
        <v>11921105.336286262</v>
      </c>
      <c r="AC414" s="160">
        <v>5582886.2053309828</v>
      </c>
      <c r="AD414" s="160">
        <v>2369291.6977527589</v>
      </c>
      <c r="AE414" s="160">
        <v>-844238.03985147178</v>
      </c>
      <c r="AF414" s="160">
        <v>-15757884.376268402</v>
      </c>
      <c r="AG414" s="160">
        <v>-12069263.40793173</v>
      </c>
    </row>
    <row r="415" spans="16:33" ht="15.75" customHeight="1">
      <c r="P415" s="159"/>
      <c r="Q415" s="159">
        <v>398</v>
      </c>
      <c r="R415" s="160">
        <v>-29266529.786193728</v>
      </c>
      <c r="S415" s="160">
        <v>-33212801.699970752</v>
      </c>
      <c r="T415" s="160">
        <v>-19015059.259202555</v>
      </c>
      <c r="U415" s="160">
        <v>-1465359.5145210177</v>
      </c>
      <c r="V415" s="160">
        <v>-2630685.0862745494</v>
      </c>
      <c r="W415" s="161">
        <v>6523083.8803646266</v>
      </c>
      <c r="X415" s="160">
        <v>14158426.87116769</v>
      </c>
      <c r="Y415" s="160">
        <v>7886761.2590256929</v>
      </c>
      <c r="Z415" s="160">
        <v>12356091.480628192</v>
      </c>
      <c r="AA415" s="160">
        <v>13584871.944134459</v>
      </c>
      <c r="AB415" s="160">
        <v>2099068.7796561718</v>
      </c>
      <c r="AC415" s="160">
        <v>-2814806.5752785802</v>
      </c>
      <c r="AD415" s="160">
        <v>4955864.6456710994</v>
      </c>
      <c r="AE415" s="160">
        <v>-4494821.9572159946</v>
      </c>
      <c r="AF415" s="160">
        <v>-13339321.005044341</v>
      </c>
      <c r="AG415" s="160">
        <v>-22160946.983824641</v>
      </c>
    </row>
    <row r="416" spans="16:33" ht="15.75" customHeight="1">
      <c r="P416" s="159"/>
      <c r="Q416" s="159">
        <v>399</v>
      </c>
      <c r="R416" s="160">
        <v>-40699472.173989594</v>
      </c>
      <c r="S416" s="160">
        <v>-21401230.286836818</v>
      </c>
      <c r="T416" s="160">
        <v>-26992735.980717421</v>
      </c>
      <c r="U416" s="160">
        <v>-8054731.4576432854</v>
      </c>
      <c r="V416" s="160">
        <v>1140065.4248671532</v>
      </c>
      <c r="W416" s="161">
        <v>776096.71275231242</v>
      </c>
      <c r="X416" s="160">
        <v>13021789.874557912</v>
      </c>
      <c r="Y416" s="160">
        <v>10782570.201066867</v>
      </c>
      <c r="Z416" s="160">
        <v>25360497.304895565</v>
      </c>
      <c r="AA416" s="160">
        <v>107659.94431450963</v>
      </c>
      <c r="AB416" s="160">
        <v>8840991.0986666083</v>
      </c>
      <c r="AC416" s="160">
        <v>10039552.422947139</v>
      </c>
      <c r="AD416" s="160">
        <v>2157548.0356831402</v>
      </c>
      <c r="AE416" s="160">
        <v>4149350.2001597136</v>
      </c>
      <c r="AF416" s="160">
        <v>-4558195.6638945788</v>
      </c>
      <c r="AG416" s="160">
        <v>-13821589.570019782</v>
      </c>
    </row>
    <row r="417" spans="16:33" ht="15.75" customHeight="1">
      <c r="P417" s="159"/>
      <c r="Q417" s="159">
        <v>400</v>
      </c>
      <c r="R417" s="160">
        <v>-38736844.216766536</v>
      </c>
      <c r="S417" s="160">
        <v>-21378755.871481672</v>
      </c>
      <c r="T417" s="160">
        <v>-16521061.415601924</v>
      </c>
      <c r="U417" s="160">
        <v>-6560888.2570368052</v>
      </c>
      <c r="V417" s="160">
        <v>-2674181.0971651822</v>
      </c>
      <c r="W417" s="161">
        <v>6297343.4615866542</v>
      </c>
      <c r="X417" s="160">
        <v>-2111397.7553406805</v>
      </c>
      <c r="Y417" s="160">
        <v>19368291.852329805</v>
      </c>
      <c r="Z417" s="160">
        <v>9488529.7069362104</v>
      </c>
      <c r="AA417" s="160">
        <v>3355454.9438079</v>
      </c>
      <c r="AB417" s="160">
        <v>11500511.669563949</v>
      </c>
      <c r="AC417" s="160">
        <v>3694334.520486027</v>
      </c>
      <c r="AD417" s="160">
        <v>4177272.182557255</v>
      </c>
      <c r="AE417" s="160">
        <v>-5531616.8952420354</v>
      </c>
      <c r="AF417" s="160">
        <v>-18090067.26565145</v>
      </c>
      <c r="AG417" s="160">
        <v>-13055456.731102273</v>
      </c>
    </row>
    <row r="418" spans="16:33" ht="15.75" customHeight="1">
      <c r="P418" s="159"/>
      <c r="Q418" s="159">
        <v>401</v>
      </c>
      <c r="R418" s="160">
        <v>-41297670.828702226</v>
      </c>
      <c r="S418" s="160">
        <v>-24288893.940831453</v>
      </c>
      <c r="T418" s="160">
        <v>-4547501.3099509478</v>
      </c>
      <c r="U418" s="160">
        <v>-4702399.3671639264</v>
      </c>
      <c r="V418" s="160">
        <v>-1411505.6586934626</v>
      </c>
      <c r="W418" s="161">
        <v>4235566.529911086</v>
      </c>
      <c r="X418" s="160">
        <v>5917021.3262822926</v>
      </c>
      <c r="Y418" s="160">
        <v>7017392.2125188857</v>
      </c>
      <c r="Z418" s="160">
        <v>15972638.922072947</v>
      </c>
      <c r="AA418" s="160">
        <v>19065196.875483528</v>
      </c>
      <c r="AB418" s="160">
        <v>10411535.458255619</v>
      </c>
      <c r="AC418" s="160">
        <v>10013658.313243568</v>
      </c>
      <c r="AD418" s="160">
        <v>-2805903.9202650785</v>
      </c>
      <c r="AE418" s="160">
        <v>-5346329.1249748319</v>
      </c>
      <c r="AF418" s="160">
        <v>-8866021.1802722216</v>
      </c>
      <c r="AG418" s="160">
        <v>-11647082.039134949</v>
      </c>
    </row>
    <row r="419" spans="16:33" ht="15.75" customHeight="1">
      <c r="P419" s="159"/>
      <c r="Q419" s="159">
        <v>402</v>
      </c>
      <c r="R419" s="160">
        <v>-40578256.577021182</v>
      </c>
      <c r="S419" s="160">
        <v>-25891396.792137474</v>
      </c>
      <c r="T419" s="160">
        <v>-10365151.243048385</v>
      </c>
      <c r="U419" s="160">
        <v>-7218102.7305064499</v>
      </c>
      <c r="V419" s="160">
        <v>514538.9033780545</v>
      </c>
      <c r="W419" s="161">
        <v>-4864462.2912833393</v>
      </c>
      <c r="X419" s="160">
        <v>2849485.3624049872</v>
      </c>
      <c r="Y419" s="160">
        <v>9185587.4426575154</v>
      </c>
      <c r="Z419" s="160">
        <v>3108936.8954886496</v>
      </c>
      <c r="AA419" s="160">
        <v>23136574.441425666</v>
      </c>
      <c r="AB419" s="160">
        <v>16234515.054534525</v>
      </c>
      <c r="AC419" s="160">
        <v>618141.0423617661</v>
      </c>
      <c r="AD419" s="160">
        <v>-3998837.9505931586</v>
      </c>
      <c r="AE419" s="160">
        <v>-4774240.0215210915</v>
      </c>
      <c r="AF419" s="160">
        <v>-16637797.568032756</v>
      </c>
      <c r="AG419" s="160">
        <v>-20532465.029398546</v>
      </c>
    </row>
    <row r="420" spans="16:33" ht="15.75" customHeight="1">
      <c r="P420" s="159"/>
      <c r="Q420" s="159">
        <v>403</v>
      </c>
      <c r="R420" s="160">
        <v>-37198783.815600947</v>
      </c>
      <c r="S420" s="160">
        <v>-26232566.446949854</v>
      </c>
      <c r="T420" s="160">
        <v>-3141517.9380331188</v>
      </c>
      <c r="U420" s="160">
        <v>-15371538.267107874</v>
      </c>
      <c r="V420" s="160">
        <v>-8072041.8613546491</v>
      </c>
      <c r="W420" s="161">
        <v>2356581.4196259379</v>
      </c>
      <c r="X420" s="160">
        <v>6052792.0376140773</v>
      </c>
      <c r="Y420" s="160">
        <v>4724448.1932268292</v>
      </c>
      <c r="Z420" s="160">
        <v>17958983.699758202</v>
      </c>
      <c r="AA420" s="160">
        <v>18212885.425130904</v>
      </c>
      <c r="AB420" s="160">
        <v>12649177.743057042</v>
      </c>
      <c r="AC420" s="160">
        <v>4904032.2075002044</v>
      </c>
      <c r="AD420" s="160">
        <v>-479705.31932325661</v>
      </c>
      <c r="AE420" s="160">
        <v>-1252773.4699148685</v>
      </c>
      <c r="AF420" s="160">
        <v>-10905088.092399821</v>
      </c>
      <c r="AG420" s="160">
        <v>-16404632.520787254</v>
      </c>
    </row>
    <row r="421" spans="16:33" ht="15.75" customHeight="1">
      <c r="P421" s="159"/>
      <c r="Q421" s="159">
        <v>404</v>
      </c>
      <c r="R421" s="160">
        <v>-33254902.696698755</v>
      </c>
      <c r="S421" s="160">
        <v>-27614876.928743139</v>
      </c>
      <c r="T421" s="160">
        <v>-24359083.366186842</v>
      </c>
      <c r="U421" s="160">
        <v>-9571807.8023267686</v>
      </c>
      <c r="V421" s="160">
        <v>1206915.1135912538</v>
      </c>
      <c r="W421" s="161">
        <v>3452747.8950697482</v>
      </c>
      <c r="X421" s="160">
        <v>14221925.222202137</v>
      </c>
      <c r="Y421" s="160">
        <v>13952643.615215629</v>
      </c>
      <c r="Z421" s="160">
        <v>9803659.9556791335</v>
      </c>
      <c r="AA421" s="160">
        <v>11684128.558586285</v>
      </c>
      <c r="AB421" s="160">
        <v>8927240.82391572</v>
      </c>
      <c r="AC421" s="160">
        <v>8757028.8553990424</v>
      </c>
      <c r="AD421" s="160">
        <v>6447558.9451512694</v>
      </c>
      <c r="AE421" s="160">
        <v>5658091.9224959016</v>
      </c>
      <c r="AF421" s="160">
        <v>-15800828.480710357</v>
      </c>
      <c r="AG421" s="160">
        <v>-14773033.765801013</v>
      </c>
    </row>
    <row r="422" spans="16:33" ht="15.75" customHeight="1">
      <c r="P422" s="159"/>
      <c r="Q422" s="159">
        <v>405</v>
      </c>
      <c r="R422" s="160">
        <v>-34424666.577015385</v>
      </c>
      <c r="S422" s="160">
        <v>-27330279.423459262</v>
      </c>
      <c r="T422" s="160">
        <v>-13808997.800767317</v>
      </c>
      <c r="U422" s="160">
        <v>-9138429.5598394275</v>
      </c>
      <c r="V422" s="160">
        <v>-11027593.543883666</v>
      </c>
      <c r="W422" s="161">
        <v>-3047404.9647747874</v>
      </c>
      <c r="X422" s="160">
        <v>18243878.516808301</v>
      </c>
      <c r="Y422" s="160">
        <v>20259390.206937045</v>
      </c>
      <c r="Z422" s="160">
        <v>11318356.210631981</v>
      </c>
      <c r="AA422" s="160">
        <v>10455867.55497922</v>
      </c>
      <c r="AB422" s="160">
        <v>14440589.279798776</v>
      </c>
      <c r="AC422" s="160">
        <v>13537228.219603419</v>
      </c>
      <c r="AD422" s="160">
        <v>9472471.838537693</v>
      </c>
      <c r="AE422" s="160">
        <v>-3460690.7556608021</v>
      </c>
      <c r="AF422" s="160">
        <v>-4215073.1507291198</v>
      </c>
      <c r="AG422" s="160">
        <v>-28447252.904576495</v>
      </c>
    </row>
    <row r="423" spans="16:33" ht="15.75" customHeight="1">
      <c r="P423" s="159"/>
      <c r="Q423" s="159">
        <v>406</v>
      </c>
      <c r="R423" s="160">
        <v>-38761725.342828929</v>
      </c>
      <c r="S423" s="160">
        <v>-23041011.158115163</v>
      </c>
      <c r="T423" s="160">
        <v>-12470711.833960429</v>
      </c>
      <c r="U423" s="160">
        <v>-6913208.8883645087</v>
      </c>
      <c r="V423" s="160">
        <v>-3761669.1482103616</v>
      </c>
      <c r="W423" s="161">
        <v>7211262.9294981956</v>
      </c>
      <c r="X423" s="160">
        <v>17851870.923105195</v>
      </c>
      <c r="Y423" s="160">
        <v>12655000.557383135</v>
      </c>
      <c r="Z423" s="160">
        <v>8796713.1867328435</v>
      </c>
      <c r="AA423" s="160">
        <v>12159692.292820573</v>
      </c>
      <c r="AB423" s="160">
        <v>11364036.630143046</v>
      </c>
      <c r="AC423" s="160">
        <v>21454678.170142293</v>
      </c>
      <c r="AD423" s="160">
        <v>4481538.0212871581</v>
      </c>
      <c r="AE423" s="160">
        <v>-10110442.93808718</v>
      </c>
      <c r="AF423" s="160">
        <v>-7829654.1005386561</v>
      </c>
      <c r="AG423" s="160">
        <v>-18987287.688227341</v>
      </c>
    </row>
    <row r="424" spans="16:33" ht="15.75" customHeight="1">
      <c r="P424" s="159"/>
      <c r="Q424" s="159">
        <v>407</v>
      </c>
      <c r="R424" s="160">
        <v>-36022635.964392155</v>
      </c>
      <c r="S424" s="160">
        <v>-31736511.773518994</v>
      </c>
      <c r="T424" s="160">
        <v>-11410973.064095274</v>
      </c>
      <c r="U424" s="160">
        <v>-12996647.315716073</v>
      </c>
      <c r="V424" s="160">
        <v>-206166.00457367301</v>
      </c>
      <c r="W424" s="161">
        <v>-3293389.6425704658</v>
      </c>
      <c r="X424" s="160">
        <v>6866771.2696019858</v>
      </c>
      <c r="Y424" s="160">
        <v>9605301.0453793555</v>
      </c>
      <c r="Z424" s="160">
        <v>13211271.561949521</v>
      </c>
      <c r="AA424" s="160">
        <v>8242583.3066601753</v>
      </c>
      <c r="AB424" s="160">
        <v>-735897.98753619194</v>
      </c>
      <c r="AC424" s="160">
        <v>8489535.0726093948</v>
      </c>
      <c r="AD424" s="160">
        <v>2705359.094617039</v>
      </c>
      <c r="AE424" s="160">
        <v>-6466049.139310807</v>
      </c>
      <c r="AF424" s="160">
        <v>-345381.86901277304</v>
      </c>
      <c r="AG424" s="160">
        <v>-19529560.984346569</v>
      </c>
    </row>
    <row r="425" spans="16:33" ht="15.75" customHeight="1">
      <c r="P425" s="159"/>
      <c r="Q425" s="159">
        <v>408</v>
      </c>
      <c r="R425" s="160">
        <v>-37039769.182963699</v>
      </c>
      <c r="S425" s="160">
        <v>-22747189.256110296</v>
      </c>
      <c r="T425" s="160">
        <v>-15674350.142505944</v>
      </c>
      <c r="U425" s="160">
        <v>599941.74530354142</v>
      </c>
      <c r="V425" s="160">
        <v>5236074.2964354753</v>
      </c>
      <c r="W425" s="161">
        <v>4002794.9236609936</v>
      </c>
      <c r="X425" s="160">
        <v>13668459.30128026</v>
      </c>
      <c r="Y425" s="160">
        <v>5999423.6031579673</v>
      </c>
      <c r="Z425" s="160">
        <v>12906853.021353856</v>
      </c>
      <c r="AA425" s="160">
        <v>11221918.984516725</v>
      </c>
      <c r="AB425" s="160">
        <v>12576065.067315936</v>
      </c>
      <c r="AC425" s="160">
        <v>2271498.0690871775</v>
      </c>
      <c r="AD425" s="160">
        <v>-4068179.1096413881</v>
      </c>
      <c r="AE425" s="160">
        <v>-4249123.2995087206</v>
      </c>
      <c r="AF425" s="160">
        <v>-4078320.5587282628</v>
      </c>
      <c r="AG425" s="160">
        <v>-18270958.392365545</v>
      </c>
    </row>
    <row r="426" spans="16:33" ht="15.75" customHeight="1">
      <c r="P426" s="159"/>
      <c r="Q426" s="159">
        <v>409</v>
      </c>
      <c r="R426" s="160">
        <v>-37436120.007098794</v>
      </c>
      <c r="S426" s="160">
        <v>-34442491.491682038</v>
      </c>
      <c r="T426" s="160">
        <v>-9915318.8107919395</v>
      </c>
      <c r="U426" s="160">
        <v>-279357.15188582242</v>
      </c>
      <c r="V426" s="160">
        <v>-7302693.1425057501</v>
      </c>
      <c r="W426" s="161">
        <v>10477916.024533123</v>
      </c>
      <c r="X426" s="160">
        <v>14879138.319801211</v>
      </c>
      <c r="Y426" s="160">
        <v>12323823.531187385</v>
      </c>
      <c r="Z426" s="160">
        <v>15895258.975425869</v>
      </c>
      <c r="AA426" s="160">
        <v>4126327.4900429994</v>
      </c>
      <c r="AB426" s="160">
        <v>2400725.5676281899</v>
      </c>
      <c r="AC426" s="160">
        <v>7970577.6379387379</v>
      </c>
      <c r="AD426" s="160">
        <v>6708627.4055216759</v>
      </c>
      <c r="AE426" s="160">
        <v>-1127811.2969178408</v>
      </c>
      <c r="AF426" s="160">
        <v>-18691001.355758592</v>
      </c>
      <c r="AG426" s="160">
        <v>-12481771.314632177</v>
      </c>
    </row>
    <row r="427" spans="16:33" ht="15.75" customHeight="1">
      <c r="P427" s="159"/>
      <c r="Q427" s="159">
        <v>410</v>
      </c>
      <c r="R427" s="160">
        <v>-42276398.34262754</v>
      </c>
      <c r="S427" s="160">
        <v>-28148686.703768507</v>
      </c>
      <c r="T427" s="160">
        <v>-12768139.063909292</v>
      </c>
      <c r="U427" s="160">
        <v>-9359174.6333694756</v>
      </c>
      <c r="V427" s="160">
        <v>-10501576.44934158</v>
      </c>
      <c r="W427" s="161">
        <v>-5891160.1750551313</v>
      </c>
      <c r="X427" s="160">
        <v>18644881.603253305</v>
      </c>
      <c r="Y427" s="160">
        <v>17659941.050389394</v>
      </c>
      <c r="Z427" s="160">
        <v>13089132.474010408</v>
      </c>
      <c r="AA427" s="160">
        <v>18026008.202710778</v>
      </c>
      <c r="AB427" s="160">
        <v>8546013.8376998156</v>
      </c>
      <c r="AC427" s="160">
        <v>10501196.924084887</v>
      </c>
      <c r="AD427" s="160">
        <v>-3342011.1106626093</v>
      </c>
      <c r="AE427" s="160">
        <v>-599587.47784505785</v>
      </c>
      <c r="AF427" s="160">
        <v>-19956221.197584301</v>
      </c>
      <c r="AG427" s="160">
        <v>-13582810.622246146</v>
      </c>
    </row>
    <row r="428" spans="16:33" ht="15.75" customHeight="1">
      <c r="P428" s="159"/>
      <c r="Q428" s="159">
        <v>411</v>
      </c>
      <c r="R428" s="160">
        <v>-36534099.350985885</v>
      </c>
      <c r="S428" s="160">
        <v>-25206688.34201476</v>
      </c>
      <c r="T428" s="160">
        <v>-16267904.717741102</v>
      </c>
      <c r="U428" s="160">
        <v>-15638043.416033</v>
      </c>
      <c r="V428" s="160">
        <v>2914074.6611597985</v>
      </c>
      <c r="W428" s="161">
        <v>15476631.058650032</v>
      </c>
      <c r="X428" s="160">
        <v>8228770.778014347</v>
      </c>
      <c r="Y428" s="160">
        <v>11460643.07901004</v>
      </c>
      <c r="Z428" s="160">
        <v>9301992.044955954</v>
      </c>
      <c r="AA428" s="160">
        <v>11767810.300419822</v>
      </c>
      <c r="AB428" s="160">
        <v>11596732.19395934</v>
      </c>
      <c r="AC428" s="160">
        <v>-5626899.6199605614</v>
      </c>
      <c r="AD428" s="160">
        <v>5659958.7712830156</v>
      </c>
      <c r="AE428" s="160">
        <v>-4310422.609178558</v>
      </c>
      <c r="AF428" s="160">
        <v>-9405517.258750692</v>
      </c>
      <c r="AG428" s="160">
        <v>-25631385.656108275</v>
      </c>
    </row>
    <row r="429" spans="16:33" ht="15.75" customHeight="1">
      <c r="P429" s="159"/>
      <c r="Q429" s="159">
        <v>412</v>
      </c>
      <c r="R429" s="160">
        <v>-34612500.632249981</v>
      </c>
      <c r="S429" s="160">
        <v>-27749392.842045084</v>
      </c>
      <c r="T429" s="160">
        <v>-12280603.326411575</v>
      </c>
      <c r="U429" s="160">
        <v>-11879140.649363801</v>
      </c>
      <c r="V429" s="160">
        <v>-221656.85891997814</v>
      </c>
      <c r="W429" s="161">
        <v>1668904.9062324762</v>
      </c>
      <c r="X429" s="160">
        <v>14167341.128004387</v>
      </c>
      <c r="Y429" s="160">
        <v>11402793.276676923</v>
      </c>
      <c r="Z429" s="160">
        <v>11833070.73182109</v>
      </c>
      <c r="AA429" s="160">
        <v>12055981.057206213</v>
      </c>
      <c r="AB429" s="160">
        <v>15223038.150628895</v>
      </c>
      <c r="AC429" s="160">
        <v>3624157.7043564171</v>
      </c>
      <c r="AD429" s="160">
        <v>3104565.2938325107</v>
      </c>
      <c r="AE429" s="160">
        <v>-237467.45662817359</v>
      </c>
      <c r="AF429" s="160">
        <v>-3454067.7280996889</v>
      </c>
      <c r="AG429" s="160">
        <v>-11271766.36895138</v>
      </c>
    </row>
    <row r="430" spans="16:33" ht="15.75" customHeight="1">
      <c r="P430" s="159"/>
      <c r="Q430" s="159">
        <v>413</v>
      </c>
      <c r="R430" s="160">
        <v>-42694542.407759011</v>
      </c>
      <c r="S430" s="160">
        <v>-19739521.572466567</v>
      </c>
      <c r="T430" s="160">
        <v>-10021310.735840946</v>
      </c>
      <c r="U430" s="160">
        <v>-13212582.400922015</v>
      </c>
      <c r="V430" s="160">
        <v>-6971961.0449469388</v>
      </c>
      <c r="W430" s="161">
        <v>1608410.8585369736</v>
      </c>
      <c r="X430" s="160">
        <v>8066616.4996010363</v>
      </c>
      <c r="Y430" s="160">
        <v>19714928.934217125</v>
      </c>
      <c r="Z430" s="160">
        <v>16448486.882676557</v>
      </c>
      <c r="AA430" s="160">
        <v>17673783.505891398</v>
      </c>
      <c r="AB430" s="160">
        <v>6749542.7457699776</v>
      </c>
      <c r="AC430" s="160">
        <v>3383439.9171712101</v>
      </c>
      <c r="AD430" s="160">
        <v>11745579.328513905</v>
      </c>
      <c r="AE430" s="160">
        <v>-458532.68129323423</v>
      </c>
      <c r="AF430" s="160">
        <v>-6211033.8472264111</v>
      </c>
      <c r="AG430" s="160">
        <v>-22366156.12479566</v>
      </c>
    </row>
    <row r="431" spans="16:33" ht="15.75" customHeight="1">
      <c r="P431" s="159"/>
      <c r="Q431" s="159">
        <v>414</v>
      </c>
      <c r="R431" s="160">
        <v>-33660736.671190917</v>
      </c>
      <c r="S431" s="160">
        <v>-31149124.499152154</v>
      </c>
      <c r="T431" s="160">
        <v>-17778793.169552088</v>
      </c>
      <c r="U431" s="160">
        <v>-11090977.983410984</v>
      </c>
      <c r="V431" s="160">
        <v>-4269941.0624525249</v>
      </c>
      <c r="W431" s="161">
        <v>3063706.5305814743</v>
      </c>
      <c r="X431" s="160">
        <v>8557592.3970547616</v>
      </c>
      <c r="Y431" s="160">
        <v>5690660.4663019478</v>
      </c>
      <c r="Z431" s="160">
        <v>19926465.815802157</v>
      </c>
      <c r="AA431" s="160">
        <v>10640073.280955181</v>
      </c>
      <c r="AB431" s="160">
        <v>12988450.316610113</v>
      </c>
      <c r="AC431" s="160">
        <v>7266299.648879379</v>
      </c>
      <c r="AD431" s="160">
        <v>-1076772.0792536885</v>
      </c>
      <c r="AE431" s="160">
        <v>-16760204.607530862</v>
      </c>
      <c r="AF431" s="160">
        <v>-7342551.9865485132</v>
      </c>
      <c r="AG431" s="160">
        <v>-23436484.955174878</v>
      </c>
    </row>
    <row r="432" spans="16:33" ht="15.75" customHeight="1">
      <c r="P432" s="159"/>
      <c r="Q432" s="159">
        <v>415</v>
      </c>
      <c r="R432" s="160">
        <v>-37273097.725326896</v>
      </c>
      <c r="S432" s="160">
        <v>-12107616.891098022</v>
      </c>
      <c r="T432" s="160">
        <v>-25721178.24117972</v>
      </c>
      <c r="U432" s="160">
        <v>-7567388.8334259987</v>
      </c>
      <c r="V432" s="160">
        <v>-1870325.5613899529</v>
      </c>
      <c r="W432" s="161">
        <v>4806392.7903304994</v>
      </c>
      <c r="X432" s="160">
        <v>10644938.897593111</v>
      </c>
      <c r="Y432" s="160">
        <v>11420895.874701679</v>
      </c>
      <c r="Z432" s="160">
        <v>7996967.8996719271</v>
      </c>
      <c r="AA432" s="160">
        <v>9299573.0096696913</v>
      </c>
      <c r="AB432" s="160">
        <v>-3154951.5779978633</v>
      </c>
      <c r="AC432" s="160">
        <v>-5337376.5770024508</v>
      </c>
      <c r="AD432" s="160">
        <v>5354248.0383837074</v>
      </c>
      <c r="AE432" s="160">
        <v>-5517271.1140607744</v>
      </c>
      <c r="AF432" s="160">
        <v>-3624603.0429597795</v>
      </c>
      <c r="AG432" s="160">
        <v>-19040166.57240513</v>
      </c>
    </row>
    <row r="433" spans="16:33" ht="15.75" customHeight="1">
      <c r="P433" s="159"/>
      <c r="Q433" s="159">
        <v>416</v>
      </c>
      <c r="R433" s="160">
        <v>-39776205.295465827</v>
      </c>
      <c r="S433" s="160">
        <v>-24078374.773271158</v>
      </c>
      <c r="T433" s="160">
        <v>-11931859.017473534</v>
      </c>
      <c r="U433" s="160">
        <v>1614158.7836259604</v>
      </c>
      <c r="V433" s="160">
        <v>-7466976.145500958</v>
      </c>
      <c r="W433" s="161">
        <v>8804495.2666672319</v>
      </c>
      <c r="X433" s="160">
        <v>8391292.9557945877</v>
      </c>
      <c r="Y433" s="160">
        <v>10424859.909447223</v>
      </c>
      <c r="Z433" s="160">
        <v>23990.594222173095</v>
      </c>
      <c r="AA433" s="160">
        <v>19357755.921290725</v>
      </c>
      <c r="AB433" s="160">
        <v>-3537658.9351874739</v>
      </c>
      <c r="AC433" s="160">
        <v>2710662.3711263835</v>
      </c>
      <c r="AD433" s="160">
        <v>9977935.9786248505</v>
      </c>
      <c r="AE433" s="160">
        <v>-1581362.9447897971</v>
      </c>
      <c r="AF433" s="160">
        <v>-12260399.515063286</v>
      </c>
      <c r="AG433" s="160">
        <v>-19484268.248719409</v>
      </c>
    </row>
    <row r="434" spans="16:33" ht="15.75" customHeight="1">
      <c r="P434" s="159"/>
      <c r="Q434" s="159">
        <v>417</v>
      </c>
      <c r="R434" s="160">
        <v>-40406878.841064289</v>
      </c>
      <c r="S434" s="160">
        <v>-29183077.665872023</v>
      </c>
      <c r="T434" s="160">
        <v>-18521565.801530838</v>
      </c>
      <c r="U434" s="160">
        <v>-11454252.086043954</v>
      </c>
      <c r="V434" s="160">
        <v>2840505.4151946455</v>
      </c>
      <c r="W434" s="161">
        <v>5799349.6835987419</v>
      </c>
      <c r="X434" s="160">
        <v>11074113.421173364</v>
      </c>
      <c r="Y434" s="160">
        <v>12035009.421313629</v>
      </c>
      <c r="Z434" s="160">
        <v>14818626.500430897</v>
      </c>
      <c r="AA434" s="160">
        <v>8243118.8583381623</v>
      </c>
      <c r="AB434" s="160">
        <v>17092764.508647233</v>
      </c>
      <c r="AC434" s="160">
        <v>12688170.768848047</v>
      </c>
      <c r="AD434" s="160">
        <v>-1212146.0764618814</v>
      </c>
      <c r="AE434" s="160">
        <v>-11292007.68160072</v>
      </c>
      <c r="AF434" s="160">
        <v>-13384065.307738647</v>
      </c>
      <c r="AG434" s="160">
        <v>-22313015.486419097</v>
      </c>
    </row>
    <row r="435" spans="16:33" ht="15.75" customHeight="1">
      <c r="P435" s="159"/>
      <c r="Q435" s="159">
        <v>418</v>
      </c>
      <c r="R435" s="160">
        <v>-31080353.938402161</v>
      </c>
      <c r="S435" s="160">
        <v>-25290415.108199313</v>
      </c>
      <c r="T435" s="160">
        <v>-17026092.139848679</v>
      </c>
      <c r="U435" s="160">
        <v>-4232244.0833982676</v>
      </c>
      <c r="V435" s="160">
        <v>-4833433.5828077793</v>
      </c>
      <c r="W435" s="161">
        <v>-2032699.4379893839</v>
      </c>
      <c r="X435" s="160">
        <v>1725587.2809773535</v>
      </c>
      <c r="Y435" s="160">
        <v>7700974.2972914129</v>
      </c>
      <c r="Z435" s="160">
        <v>-518981.09425590932</v>
      </c>
      <c r="AA435" s="160">
        <v>17646629.945615485</v>
      </c>
      <c r="AB435" s="160">
        <v>4361956.3069042712</v>
      </c>
      <c r="AC435" s="160">
        <v>861393.76447995007</v>
      </c>
      <c r="AD435" s="160">
        <v>-8193545.1205527931</v>
      </c>
      <c r="AE435" s="160">
        <v>-3065808.1041771173</v>
      </c>
      <c r="AF435" s="160">
        <v>-7915252.4566041529</v>
      </c>
      <c r="AG435" s="160">
        <v>-13447200.430619866</v>
      </c>
    </row>
    <row r="436" spans="16:33" ht="15.75" customHeight="1">
      <c r="P436" s="159"/>
      <c r="Q436" s="159">
        <v>419</v>
      </c>
      <c r="R436" s="160">
        <v>-26526589.486545831</v>
      </c>
      <c r="S436" s="160">
        <v>-21265247.464477479</v>
      </c>
      <c r="T436" s="160">
        <v>-15070164.452892736</v>
      </c>
      <c r="U436" s="160">
        <v>-16764782.918811038</v>
      </c>
      <c r="V436" s="160">
        <v>-10235098.530376911</v>
      </c>
      <c r="W436" s="161">
        <v>181280.22758436203</v>
      </c>
      <c r="X436" s="160">
        <v>13821428.518347815</v>
      </c>
      <c r="Y436" s="160">
        <v>5713570.9340637773</v>
      </c>
      <c r="Z436" s="160">
        <v>4845181.8330522329</v>
      </c>
      <c r="AA436" s="160">
        <v>7304926.9714248627</v>
      </c>
      <c r="AB436" s="160">
        <v>5320751.2027099878</v>
      </c>
      <c r="AC436" s="160">
        <v>8273966.4544330835</v>
      </c>
      <c r="AD436" s="160">
        <v>10831467.400369093</v>
      </c>
      <c r="AE436" s="160">
        <v>-1629915.6698435545</v>
      </c>
      <c r="AF436" s="160">
        <v>-13514953.314283088</v>
      </c>
      <c r="AG436" s="160">
        <v>-16912146.094550699</v>
      </c>
    </row>
    <row r="437" spans="16:33" ht="15.75" customHeight="1">
      <c r="P437" s="159"/>
      <c r="Q437" s="159">
        <v>420</v>
      </c>
      <c r="R437" s="160">
        <v>-37106104.460675016</v>
      </c>
      <c r="S437" s="160">
        <v>-18884941.929661185</v>
      </c>
      <c r="T437" s="160">
        <v>-29538506.173443615</v>
      </c>
      <c r="U437" s="160">
        <v>-7782923.249030605</v>
      </c>
      <c r="V437" s="160">
        <v>1978454.4807038456</v>
      </c>
      <c r="W437" s="161">
        <v>-4872250.2327986062</v>
      </c>
      <c r="X437" s="160">
        <v>19776548.397742748</v>
      </c>
      <c r="Y437" s="160">
        <v>1950383.7017841935</v>
      </c>
      <c r="Z437" s="160">
        <v>13882437.152119294</v>
      </c>
      <c r="AA437" s="160">
        <v>7458635.1508261859</v>
      </c>
      <c r="AB437" s="160">
        <v>2898340.5824981928</v>
      </c>
      <c r="AC437" s="160">
        <v>453327.08101882041</v>
      </c>
      <c r="AD437" s="160">
        <v>6607711.2418760508</v>
      </c>
      <c r="AE437" s="160">
        <v>-630531.16903986037</v>
      </c>
      <c r="AF437" s="160">
        <v>-16690050.947455242</v>
      </c>
      <c r="AG437" s="160">
        <v>-22218618.38371852</v>
      </c>
    </row>
    <row r="438" spans="16:33" ht="15.75" customHeight="1">
      <c r="P438" s="159"/>
      <c r="Q438" s="159">
        <v>421</v>
      </c>
      <c r="R438" s="160">
        <v>-36934680.983011842</v>
      </c>
      <c r="S438" s="160">
        <v>-26462489.13317804</v>
      </c>
      <c r="T438" s="160">
        <v>-18003894.398053467</v>
      </c>
      <c r="U438" s="160">
        <v>-21990363.601357624</v>
      </c>
      <c r="V438" s="160">
        <v>-4061821.3649824709</v>
      </c>
      <c r="W438" s="161">
        <v>11375570.677269101</v>
      </c>
      <c r="X438" s="160">
        <v>7908940.6075351685</v>
      </c>
      <c r="Y438" s="160">
        <v>4921784.2876168638</v>
      </c>
      <c r="Z438" s="160">
        <v>342688.66387712955</v>
      </c>
      <c r="AA438" s="160">
        <v>11049337.822449282</v>
      </c>
      <c r="AB438" s="160">
        <v>17989330.987689167</v>
      </c>
      <c r="AC438" s="160">
        <v>1254331.0116582364</v>
      </c>
      <c r="AD438" s="160">
        <v>3326997.6692441404</v>
      </c>
      <c r="AE438" s="160">
        <v>-4383296.2432318926</v>
      </c>
      <c r="AF438" s="160">
        <v>-685627.47073814273</v>
      </c>
      <c r="AG438" s="160">
        <v>-25384328.614277974</v>
      </c>
    </row>
    <row r="439" spans="16:33" ht="15.75" customHeight="1">
      <c r="P439" s="159"/>
      <c r="Q439" s="159">
        <v>422</v>
      </c>
      <c r="R439" s="160">
        <v>-37003102.739735737</v>
      </c>
      <c r="S439" s="160">
        <v>-19912720.251311004</v>
      </c>
      <c r="T439" s="160">
        <v>-16435824.269463196</v>
      </c>
      <c r="U439" s="160">
        <v>-9200279.2531129271</v>
      </c>
      <c r="V439" s="160">
        <v>-4972985.9563091844</v>
      </c>
      <c r="W439" s="161">
        <v>5918051.8312160224</v>
      </c>
      <c r="X439" s="160">
        <v>6244569.6801820695</v>
      </c>
      <c r="Y439" s="160">
        <v>9955704.5216330588</v>
      </c>
      <c r="Z439" s="160">
        <v>6257616.0219136477</v>
      </c>
      <c r="AA439" s="160">
        <v>7280571.5512678921</v>
      </c>
      <c r="AB439" s="160">
        <v>4194068.871316582</v>
      </c>
      <c r="AC439" s="160">
        <v>11195152.66416882</v>
      </c>
      <c r="AD439" s="160">
        <v>-6762839.5244541317</v>
      </c>
      <c r="AE439" s="160">
        <v>-3944424.4170603603</v>
      </c>
      <c r="AF439" s="160">
        <v>-7438963.6256594211</v>
      </c>
      <c r="AG439" s="160">
        <v>-17112710.751098499</v>
      </c>
    </row>
    <row r="440" spans="16:33" ht="15.75" customHeight="1">
      <c r="P440" s="159"/>
      <c r="Q440" s="159">
        <v>423</v>
      </c>
      <c r="R440" s="160">
        <v>-34796134.100696295</v>
      </c>
      <c r="S440" s="160">
        <v>-25126796.004337549</v>
      </c>
      <c r="T440" s="160">
        <v>-17980134.336495444</v>
      </c>
      <c r="U440" s="160">
        <v>-5287608.5715650469</v>
      </c>
      <c r="V440" s="160">
        <v>-1697181.2053184509</v>
      </c>
      <c r="W440" s="161">
        <v>3515725.9632171988</v>
      </c>
      <c r="X440" s="160">
        <v>6889676.7758671343</v>
      </c>
      <c r="Y440" s="160">
        <v>12458850.534329146</v>
      </c>
      <c r="Z440" s="160">
        <v>17578716.873114079</v>
      </c>
      <c r="AA440" s="160">
        <v>-5894337.5253403485</v>
      </c>
      <c r="AB440" s="160">
        <v>9124078.8237884939</v>
      </c>
      <c r="AC440" s="160">
        <v>-3775786.3759451509</v>
      </c>
      <c r="AD440" s="160">
        <v>-4011297.2627782971</v>
      </c>
      <c r="AE440" s="160">
        <v>-14679459.89944604</v>
      </c>
      <c r="AF440" s="160">
        <v>-11427892.038572192</v>
      </c>
      <c r="AG440" s="160">
        <v>-16228835.134174183</v>
      </c>
    </row>
    <row r="441" spans="16:33" ht="15.75" customHeight="1">
      <c r="P441" s="159"/>
      <c r="Q441" s="159">
        <v>424</v>
      </c>
      <c r="R441" s="160">
        <v>-39332309.221324176</v>
      </c>
      <c r="S441" s="160">
        <v>-24541748.711374074</v>
      </c>
      <c r="T441" s="160">
        <v>-12256374.908970267</v>
      </c>
      <c r="U441" s="160">
        <v>-5947636.3352711797</v>
      </c>
      <c r="V441" s="160">
        <v>-4821754.9309692681</v>
      </c>
      <c r="W441" s="161">
        <v>12386198.011615083</v>
      </c>
      <c r="X441" s="160">
        <v>5979479.9818384349</v>
      </c>
      <c r="Y441" s="160">
        <v>17037498.283664539</v>
      </c>
      <c r="Z441" s="160">
        <v>23179732.424970612</v>
      </c>
      <c r="AA441" s="160">
        <v>11364703.290555298</v>
      </c>
      <c r="AB441" s="160">
        <v>1377405.6939229518</v>
      </c>
      <c r="AC441" s="160">
        <v>2145218.3371362537</v>
      </c>
      <c r="AD441" s="160">
        <v>-519293.02545496821</v>
      </c>
      <c r="AE441" s="160">
        <v>2035083.6543879807</v>
      </c>
      <c r="AF441" s="160">
        <v>-5028405.5904640406</v>
      </c>
      <c r="AG441" s="160">
        <v>-21117528.327060595</v>
      </c>
    </row>
    <row r="442" spans="16:33" ht="15.75" customHeight="1">
      <c r="P442" s="159"/>
      <c r="Q442" s="159">
        <v>425</v>
      </c>
      <c r="R442" s="160">
        <v>-32949011.95212087</v>
      </c>
      <c r="S442" s="160">
        <v>-22703721.095062017</v>
      </c>
      <c r="T442" s="160">
        <v>-20969500.026391894</v>
      </c>
      <c r="U442" s="160">
        <v>-13086341.85274601</v>
      </c>
      <c r="V442" s="160">
        <v>-6761965.7660976648</v>
      </c>
      <c r="W442" s="161">
        <v>-604040.76995669305</v>
      </c>
      <c r="X442" s="160">
        <v>7998282.0288418382</v>
      </c>
      <c r="Y442" s="160">
        <v>21774396.031920761</v>
      </c>
      <c r="Z442" s="160">
        <v>18813644.447731227</v>
      </c>
      <c r="AA442" s="160">
        <v>20301301.685431689</v>
      </c>
      <c r="AB442" s="160">
        <v>-6821404.4385732859</v>
      </c>
      <c r="AC442" s="160">
        <v>4797634.1701192856</v>
      </c>
      <c r="AD442" s="160">
        <v>7566664.9145911485</v>
      </c>
      <c r="AE442" s="160">
        <v>1495032.2237489671</v>
      </c>
      <c r="AF442" s="160">
        <v>-11028262.501904294</v>
      </c>
      <c r="AG442" s="160">
        <v>-11820345.597744882</v>
      </c>
    </row>
    <row r="443" spans="16:33" ht="15.75" customHeight="1">
      <c r="P443" s="159"/>
      <c r="Q443" s="159">
        <v>426</v>
      </c>
      <c r="R443" s="160">
        <v>-39419286.265102059</v>
      </c>
      <c r="S443" s="160">
        <v>-27836266.662810385</v>
      </c>
      <c r="T443" s="160">
        <v>-19019911.529265553</v>
      </c>
      <c r="U443" s="160">
        <v>-5439182.1085967869</v>
      </c>
      <c r="V443" s="160">
        <v>1425873.3787292093</v>
      </c>
      <c r="W443" s="161">
        <v>-1549503.8246263117</v>
      </c>
      <c r="X443" s="160">
        <v>16012397.660374001</v>
      </c>
      <c r="Y443" s="160">
        <v>3392501.9500033557</v>
      </c>
      <c r="Z443" s="160">
        <v>14582033.556999072</v>
      </c>
      <c r="AA443" s="160">
        <v>1233019.2535924613</v>
      </c>
      <c r="AB443" s="160">
        <v>11302554.298983812</v>
      </c>
      <c r="AC443" s="160">
        <v>13116941.107036531</v>
      </c>
      <c r="AD443" s="160">
        <v>2325042.0223889947</v>
      </c>
      <c r="AE443" s="160">
        <v>-3958539.6477756947</v>
      </c>
      <c r="AF443" s="160">
        <v>-9242838.9215236455</v>
      </c>
      <c r="AG443" s="160">
        <v>-28733074.830829933</v>
      </c>
    </row>
    <row r="444" spans="16:33" ht="15.75" customHeight="1">
      <c r="P444" s="159"/>
      <c r="Q444" s="159">
        <v>427</v>
      </c>
      <c r="R444" s="160">
        <v>-30996984.505347133</v>
      </c>
      <c r="S444" s="160">
        <v>-22688627.727223784</v>
      </c>
      <c r="T444" s="160">
        <v>-20435434.576878935</v>
      </c>
      <c r="U444" s="160">
        <v>-3601692.9427229613</v>
      </c>
      <c r="V444" s="160">
        <v>-1745528.0598798692</v>
      </c>
      <c r="W444" s="161">
        <v>-8062509.7835170031</v>
      </c>
      <c r="X444" s="160">
        <v>3435832.8965388238</v>
      </c>
      <c r="Y444" s="160">
        <v>12183627.406253204</v>
      </c>
      <c r="Z444" s="160">
        <v>5342643.8513840139</v>
      </c>
      <c r="AA444" s="160">
        <v>5491986.1146322638</v>
      </c>
      <c r="AB444" s="160">
        <v>8044154.5582905114</v>
      </c>
      <c r="AC444" s="160">
        <v>-4747949.9985947162</v>
      </c>
      <c r="AD444" s="160">
        <v>149439.18470220268</v>
      </c>
      <c r="AE444" s="160">
        <v>-4076164.0946842879</v>
      </c>
      <c r="AF444" s="160">
        <v>-22122594.694343373</v>
      </c>
      <c r="AG444" s="160">
        <v>-28344813.295590669</v>
      </c>
    </row>
    <row r="445" spans="16:33" ht="15.75" customHeight="1">
      <c r="P445" s="159"/>
      <c r="Q445" s="159">
        <v>428</v>
      </c>
      <c r="R445" s="160">
        <v>-28536208.199100643</v>
      </c>
      <c r="S445" s="160">
        <v>-19431788.64595066</v>
      </c>
      <c r="T445" s="160">
        <v>-17129765.287291169</v>
      </c>
      <c r="U445" s="160">
        <v>576822.23180192709</v>
      </c>
      <c r="V445" s="160">
        <v>-2385954.1849182695</v>
      </c>
      <c r="W445" s="161">
        <v>1092758.7240351886</v>
      </c>
      <c r="X445" s="160">
        <v>-4224654.5595686287</v>
      </c>
      <c r="Y445" s="160">
        <v>7835464.3119365126</v>
      </c>
      <c r="Z445" s="160">
        <v>15887628.602775365</v>
      </c>
      <c r="AA445" s="160">
        <v>12503448.02846466</v>
      </c>
      <c r="AB445" s="160">
        <v>7055223.9702459574</v>
      </c>
      <c r="AC445" s="160">
        <v>17725761.706693962</v>
      </c>
      <c r="AD445" s="160">
        <v>-5818263.1445409656</v>
      </c>
      <c r="AE445" s="160">
        <v>5169310.356157884</v>
      </c>
      <c r="AF445" s="160">
        <v>-15816198.650859311</v>
      </c>
      <c r="AG445" s="160">
        <v>-11214933.715702772</v>
      </c>
    </row>
    <row r="446" spans="16:33" ht="15.75" customHeight="1">
      <c r="P446" s="159"/>
      <c r="Q446" s="159">
        <v>429</v>
      </c>
      <c r="R446" s="160">
        <v>-36631569.097890124</v>
      </c>
      <c r="S446" s="160">
        <v>-21633141.740257666</v>
      </c>
      <c r="T446" s="160">
        <v>-17241265.861103594</v>
      </c>
      <c r="U446" s="160">
        <v>-1250883.8113536388</v>
      </c>
      <c r="V446" s="160">
        <v>1137775.8514858335</v>
      </c>
      <c r="W446" s="161">
        <v>11018524.386912361</v>
      </c>
      <c r="X446" s="160">
        <v>10402882.729626253</v>
      </c>
      <c r="Y446" s="160">
        <v>17630378.934470266</v>
      </c>
      <c r="Z446" s="160">
        <v>13262851.255851507</v>
      </c>
      <c r="AA446" s="160">
        <v>4884109.3811776489</v>
      </c>
      <c r="AB446" s="160">
        <v>7359055.4862543195</v>
      </c>
      <c r="AC446" s="160">
        <v>9953384.7262563705</v>
      </c>
      <c r="AD446" s="160">
        <v>3047110.3723169267</v>
      </c>
      <c r="AE446" s="160">
        <v>-852663.49827383459</v>
      </c>
      <c r="AF446" s="160">
        <v>-5171761.28806898</v>
      </c>
      <c r="AG446" s="160">
        <v>-13595070.156242266</v>
      </c>
    </row>
    <row r="447" spans="16:33" ht="15.75" customHeight="1">
      <c r="P447" s="159"/>
      <c r="Q447" s="159">
        <v>430</v>
      </c>
      <c r="R447" s="160">
        <v>-30579407.161538422</v>
      </c>
      <c r="S447" s="160">
        <v>-22635361.185353369</v>
      </c>
      <c r="T447" s="160">
        <v>-8117499.2693744749</v>
      </c>
      <c r="U447" s="160">
        <v>-6877850.2289838791</v>
      </c>
      <c r="V447" s="160">
        <v>-1932838.9744084328</v>
      </c>
      <c r="W447" s="161">
        <v>15376529.623394206</v>
      </c>
      <c r="X447" s="160">
        <v>14041273.092377529</v>
      </c>
      <c r="Y447" s="160">
        <v>9991474.3905348927</v>
      </c>
      <c r="Z447" s="160">
        <v>13477053.984898895</v>
      </c>
      <c r="AA447" s="160">
        <v>11481066.760408401</v>
      </c>
      <c r="AB447" s="160">
        <v>10080983.10640347</v>
      </c>
      <c r="AC447" s="160">
        <v>9949969.8629265428</v>
      </c>
      <c r="AD447" s="160">
        <v>-3474192.0900921971</v>
      </c>
      <c r="AE447" s="160">
        <v>5055338.9489221424</v>
      </c>
      <c r="AF447" s="160">
        <v>-14479510.978248656</v>
      </c>
      <c r="AG447" s="160">
        <v>-28836782.652998284</v>
      </c>
    </row>
    <row r="448" spans="16:33" ht="15.75" customHeight="1">
      <c r="P448" s="159"/>
      <c r="Q448" s="159">
        <v>431</v>
      </c>
      <c r="R448" s="160">
        <v>-31592423.967577338</v>
      </c>
      <c r="S448" s="160">
        <v>-18055472.985153869</v>
      </c>
      <c r="T448" s="160">
        <v>-17546066.678909212</v>
      </c>
      <c r="U448" s="160">
        <v>-7174411.5929606557</v>
      </c>
      <c r="V448" s="160">
        <v>2128032.6870980561</v>
      </c>
      <c r="W448" s="161">
        <v>607546.59828795493</v>
      </c>
      <c r="X448" s="160">
        <v>-6825532.7236934751</v>
      </c>
      <c r="Y448" s="160">
        <v>15027957.511792228</v>
      </c>
      <c r="Z448" s="160">
        <v>16288946.240162462</v>
      </c>
      <c r="AA448" s="160">
        <v>7137998.7870322466</v>
      </c>
      <c r="AB448" s="160">
        <v>4565512.2998915613</v>
      </c>
      <c r="AC448" s="160">
        <v>-279839.43403352797</v>
      </c>
      <c r="AD448" s="160">
        <v>5267021.466290012</v>
      </c>
      <c r="AE448" s="160">
        <v>6742658.2651528418</v>
      </c>
      <c r="AF448" s="160">
        <v>-3512947.2913977206</v>
      </c>
      <c r="AG448" s="160">
        <v>-19437175.928164437</v>
      </c>
    </row>
    <row r="449" spans="16:33" ht="15.75" customHeight="1">
      <c r="P449" s="159"/>
      <c r="Q449" s="159">
        <v>432</v>
      </c>
      <c r="R449" s="160">
        <v>-29349524.859963208</v>
      </c>
      <c r="S449" s="160">
        <v>-27777629.474004552</v>
      </c>
      <c r="T449" s="160">
        <v>-16616483.628981978</v>
      </c>
      <c r="U449" s="160">
        <v>-12173331.911197796</v>
      </c>
      <c r="V449" s="160">
        <v>951046.15723651648</v>
      </c>
      <c r="W449" s="161">
        <v>424524.70662772655</v>
      </c>
      <c r="X449" s="160">
        <v>4977678.0647207648</v>
      </c>
      <c r="Y449" s="160">
        <v>1567938.4327354133</v>
      </c>
      <c r="Z449" s="160">
        <v>6547513.6955088973</v>
      </c>
      <c r="AA449" s="160">
        <v>4956593.5510715693</v>
      </c>
      <c r="AB449" s="160">
        <v>8701008.520952031</v>
      </c>
      <c r="AC449" s="160">
        <v>12608750.94330588</v>
      </c>
      <c r="AD449" s="160">
        <v>5532610.7597087622</v>
      </c>
      <c r="AE449" s="160">
        <v>-8768891.3443728387</v>
      </c>
      <c r="AF449" s="160">
        <v>-3189973.5531606227</v>
      </c>
      <c r="AG449" s="160">
        <v>-19527084.254726708</v>
      </c>
    </row>
    <row r="450" spans="16:33" ht="15.75" customHeight="1">
      <c r="P450" s="159"/>
      <c r="Q450" s="159">
        <v>433</v>
      </c>
      <c r="R450" s="160">
        <v>-28545790.631494462</v>
      </c>
      <c r="S450" s="160">
        <v>-31584766.955175027</v>
      </c>
      <c r="T450" s="160">
        <v>-13572278.398428574</v>
      </c>
      <c r="U450" s="160">
        <v>6095499.6269034594</v>
      </c>
      <c r="V450" s="160">
        <v>-130882.09253738821</v>
      </c>
      <c r="W450" s="161">
        <v>3002729.8768691421</v>
      </c>
      <c r="X450" s="160">
        <v>13052490.240163609</v>
      </c>
      <c r="Y450" s="160">
        <v>18283917.192518726</v>
      </c>
      <c r="Z450" s="160">
        <v>1295464.6781835407</v>
      </c>
      <c r="AA450" s="160">
        <v>5856521.2037436068</v>
      </c>
      <c r="AB450" s="160">
        <v>7484303.347209394</v>
      </c>
      <c r="AC450" s="160">
        <v>-7212725.8270242363</v>
      </c>
      <c r="AD450" s="160">
        <v>9940277.8342578262</v>
      </c>
      <c r="AE450" s="160">
        <v>2467718.9525604546</v>
      </c>
      <c r="AF450" s="160">
        <v>-16170717.096106946</v>
      </c>
      <c r="AG450" s="160">
        <v>-22809063.855252996</v>
      </c>
    </row>
    <row r="451" spans="16:33" ht="15.75" customHeight="1">
      <c r="P451" s="159"/>
      <c r="Q451" s="159">
        <v>434</v>
      </c>
      <c r="R451" s="160">
        <v>-38713257.02573131</v>
      </c>
      <c r="S451" s="160">
        <v>-25593188.986973882</v>
      </c>
      <c r="T451" s="160">
        <v>-7895579.3904040456</v>
      </c>
      <c r="U451" s="160">
        <v>-11455898.044525713</v>
      </c>
      <c r="V451" s="160">
        <v>-1095794.4521061331</v>
      </c>
      <c r="W451" s="161">
        <v>-9575530.7502833456</v>
      </c>
      <c r="X451" s="160">
        <v>12131414.878527224</v>
      </c>
      <c r="Y451" s="160">
        <v>11464055.556448564</v>
      </c>
      <c r="Z451" s="160">
        <v>5909966.8062356263</v>
      </c>
      <c r="AA451" s="160">
        <v>5813968.2373404801</v>
      </c>
      <c r="AB451" s="160">
        <v>9284442.5260934234</v>
      </c>
      <c r="AC451" s="160">
        <v>6995579.8845303506</v>
      </c>
      <c r="AD451" s="160">
        <v>9791057.3771070242</v>
      </c>
      <c r="AE451" s="160">
        <v>-4900048.459642157</v>
      </c>
      <c r="AF451" s="160">
        <v>-11672144.066297799</v>
      </c>
      <c r="AG451" s="160">
        <v>-16305017.790435359</v>
      </c>
    </row>
    <row r="452" spans="16:33" ht="15.75" customHeight="1">
      <c r="P452" s="159"/>
      <c r="Q452" s="159">
        <v>435</v>
      </c>
      <c r="R452" s="160">
        <v>-38151518.303177238</v>
      </c>
      <c r="S452" s="160">
        <v>-25158457.553922921</v>
      </c>
      <c r="T452" s="160">
        <v>-19488509.739304796</v>
      </c>
      <c r="U452" s="160">
        <v>-443391.46107499301</v>
      </c>
      <c r="V452" s="160">
        <v>1491569.6613046825</v>
      </c>
      <c r="W452" s="161">
        <v>2880764.9488991201</v>
      </c>
      <c r="X452" s="160">
        <v>19031860.327020317</v>
      </c>
      <c r="Y452" s="160">
        <v>12245749.892753825</v>
      </c>
      <c r="Z452" s="160">
        <v>11919042.956113338</v>
      </c>
      <c r="AA452" s="160">
        <v>17592579.543186665</v>
      </c>
      <c r="AB452" s="160">
        <v>3707564.9649994373</v>
      </c>
      <c r="AC452" s="160">
        <v>-2595910.9724815637</v>
      </c>
      <c r="AD452" s="160">
        <v>5913723.028668806</v>
      </c>
      <c r="AE452" s="160">
        <v>-4002409.8629952073</v>
      </c>
      <c r="AF452" s="160">
        <v>-6991269.2790378332</v>
      </c>
      <c r="AG452" s="160">
        <v>-14326730.484899968</v>
      </c>
    </row>
    <row r="453" spans="16:33" ht="15.75" customHeight="1">
      <c r="P453" s="159"/>
      <c r="Q453" s="159">
        <v>436</v>
      </c>
      <c r="R453" s="160">
        <v>-39063148.617115468</v>
      </c>
      <c r="S453" s="160">
        <v>-27688912.216571778</v>
      </c>
      <c r="T453" s="160">
        <v>-14636327.307896629</v>
      </c>
      <c r="U453" s="160">
        <v>-15295133.008389249</v>
      </c>
      <c r="V453" s="160">
        <v>-652904.17176805437</v>
      </c>
      <c r="W453" s="161">
        <v>-611825.31031797826</v>
      </c>
      <c r="X453" s="160">
        <v>10730368.420867383</v>
      </c>
      <c r="Y453" s="160">
        <v>12097000.133551985</v>
      </c>
      <c r="Z453" s="160">
        <v>-3153378.3441805989</v>
      </c>
      <c r="AA453" s="160">
        <v>18869579.949338689</v>
      </c>
      <c r="AB453" s="160">
        <v>8426190.1339432001</v>
      </c>
      <c r="AC453" s="160">
        <v>16148186.777370796</v>
      </c>
      <c r="AD453" s="160">
        <v>6027013.596221745</v>
      </c>
      <c r="AE453" s="160">
        <v>7190366.5063049197</v>
      </c>
      <c r="AF453" s="160">
        <v>-19809068.808957621</v>
      </c>
      <c r="AG453" s="160">
        <v>-19577000.5962677</v>
      </c>
    </row>
    <row r="454" spans="16:33" ht="15.75" customHeight="1">
      <c r="P454" s="159"/>
      <c r="Q454" s="159">
        <v>437</v>
      </c>
      <c r="R454" s="160">
        <v>-30557205.5832818</v>
      </c>
      <c r="S454" s="160">
        <v>-21251733.089115605</v>
      </c>
      <c r="T454" s="160">
        <v>-12078511.978237465</v>
      </c>
      <c r="U454" s="160">
        <v>-7464098.8475631624</v>
      </c>
      <c r="V454" s="160">
        <v>-9396444.949174881</v>
      </c>
      <c r="W454" s="161">
        <v>251700.92298971117</v>
      </c>
      <c r="X454" s="160">
        <v>11494937.831779033</v>
      </c>
      <c r="Y454" s="160">
        <v>5758259.0456613302</v>
      </c>
      <c r="Z454" s="160">
        <v>16157639.376718387</v>
      </c>
      <c r="AA454" s="160">
        <v>11588599.187055558</v>
      </c>
      <c r="AB454" s="160">
        <v>3216945.1192764938</v>
      </c>
      <c r="AC454" s="160">
        <v>6307261.1360907853</v>
      </c>
      <c r="AD454" s="160">
        <v>7379985.2023595572</v>
      </c>
      <c r="AE454" s="160">
        <v>3539085.4715101719</v>
      </c>
      <c r="AF454" s="160">
        <v>-10949985.050717011</v>
      </c>
      <c r="AG454" s="160">
        <v>-10935729.715422601</v>
      </c>
    </row>
    <row r="455" spans="16:33" ht="15.75" customHeight="1">
      <c r="P455" s="159"/>
      <c r="Q455" s="159">
        <v>438</v>
      </c>
      <c r="R455" s="160">
        <v>-34063485.278768152</v>
      </c>
      <c r="S455" s="160">
        <v>-25951366.576362595</v>
      </c>
      <c r="T455" s="160">
        <v>-21458798.625546217</v>
      </c>
      <c r="U455" s="160">
        <v>770833.64687269926</v>
      </c>
      <c r="V455" s="160">
        <v>-2598756.3617492765</v>
      </c>
      <c r="W455" s="161">
        <v>-1470930.5535151362</v>
      </c>
      <c r="X455" s="160">
        <v>14379123.542625248</v>
      </c>
      <c r="Y455" s="160">
        <v>7914961.5835278183</v>
      </c>
      <c r="Z455" s="160">
        <v>13978581.921470657</v>
      </c>
      <c r="AA455" s="160">
        <v>16188197.161550194</v>
      </c>
      <c r="AB455" s="160">
        <v>19606233.587926522</v>
      </c>
      <c r="AC455" s="160">
        <v>5578714.095361039</v>
      </c>
      <c r="AD455" s="160">
        <v>3417158.7009507865</v>
      </c>
      <c r="AE455" s="160">
        <v>-4817261.3877288699</v>
      </c>
      <c r="AF455" s="160">
        <v>-12866643.48274149</v>
      </c>
      <c r="AG455" s="160">
        <v>-19261254.950050235</v>
      </c>
    </row>
    <row r="456" spans="16:33" ht="15.75" customHeight="1">
      <c r="P456" s="159"/>
      <c r="Q456" s="159">
        <v>439</v>
      </c>
      <c r="R456" s="160">
        <v>-40823708.26710543</v>
      </c>
      <c r="S456" s="160">
        <v>-26677984.818038046</v>
      </c>
      <c r="T456" s="160">
        <v>-15966494.876124933</v>
      </c>
      <c r="U456" s="160">
        <v>-14014508.74711144</v>
      </c>
      <c r="V456" s="160">
        <v>891345.96833269298</v>
      </c>
      <c r="W456" s="161">
        <v>7078539.2843738049</v>
      </c>
      <c r="X456" s="160">
        <v>13952545.470479906</v>
      </c>
      <c r="Y456" s="160">
        <v>9348097.7316745371</v>
      </c>
      <c r="Z456" s="160">
        <v>10977137.830180913</v>
      </c>
      <c r="AA456" s="160">
        <v>4919615.2292569727</v>
      </c>
      <c r="AB456" s="160">
        <v>8909610.7141893059</v>
      </c>
      <c r="AC456" s="160">
        <v>-3080993.854281202</v>
      </c>
      <c r="AD456" s="160">
        <v>1734344.3419874161</v>
      </c>
      <c r="AE456" s="160">
        <v>-11419211.183793947</v>
      </c>
      <c r="AF456" s="160">
        <v>-10655323.867903978</v>
      </c>
      <c r="AG456" s="160">
        <v>-20227759.417569429</v>
      </c>
    </row>
    <row r="457" spans="16:33" ht="15.75" customHeight="1">
      <c r="P457" s="159"/>
      <c r="Q457" s="159">
        <v>440</v>
      </c>
      <c r="R457" s="160">
        <v>-30485105.718640715</v>
      </c>
      <c r="S457" s="160">
        <v>-18631421.514583156</v>
      </c>
      <c r="T457" s="160">
        <v>-10225060.732012406</v>
      </c>
      <c r="U457" s="160">
        <v>-6940580.2580782175</v>
      </c>
      <c r="V457" s="160">
        <v>5720154.8594669998</v>
      </c>
      <c r="W457" s="161">
        <v>-1137895.0409310311</v>
      </c>
      <c r="X457" s="160">
        <v>14101577.949849308</v>
      </c>
      <c r="Y457" s="160">
        <v>7802196.8618339598</v>
      </c>
      <c r="Z457" s="160">
        <v>7645508.5836539716</v>
      </c>
      <c r="AA457" s="160">
        <v>7690886.7915203124</v>
      </c>
      <c r="AB457" s="160">
        <v>4283367.6130913198</v>
      </c>
      <c r="AC457" s="160">
        <v>18488164.651911095</v>
      </c>
      <c r="AD457" s="160">
        <v>-2334408.9531100094</v>
      </c>
      <c r="AE457" s="160">
        <v>-1891844.3427034467</v>
      </c>
      <c r="AF457" s="160">
        <v>-7039039.7839741707</v>
      </c>
      <c r="AG457" s="160">
        <v>-21101834.440301821</v>
      </c>
    </row>
    <row r="458" spans="16:33" ht="15.75" customHeight="1">
      <c r="P458" s="159"/>
      <c r="Q458" s="159">
        <v>441</v>
      </c>
      <c r="R458" s="160">
        <v>-37584980.557410926</v>
      </c>
      <c r="S458" s="160">
        <v>-27863200.543498918</v>
      </c>
      <c r="T458" s="160">
        <v>-9633719.5471441448</v>
      </c>
      <c r="U458" s="160">
        <v>464214.20227175951</v>
      </c>
      <c r="V458" s="160">
        <v>5238904.809509322</v>
      </c>
      <c r="W458" s="161">
        <v>6937523.7473914474</v>
      </c>
      <c r="X458" s="160">
        <v>16622776.348009944</v>
      </c>
      <c r="Y458" s="160">
        <v>19884466.504733935</v>
      </c>
      <c r="Z458" s="160">
        <v>10656700.556507349</v>
      </c>
      <c r="AA458" s="160">
        <v>14974575.402057514</v>
      </c>
      <c r="AB458" s="160">
        <v>17601608.551198632</v>
      </c>
      <c r="AC458" s="160">
        <v>3340840.0433301479</v>
      </c>
      <c r="AD458" s="160">
        <v>9464598.4364934713</v>
      </c>
      <c r="AE458" s="160">
        <v>1644247.8121070117</v>
      </c>
      <c r="AF458" s="160">
        <v>-4077777.4026087373</v>
      </c>
      <c r="AG458" s="160">
        <v>-17272342.901284158</v>
      </c>
    </row>
    <row r="459" spans="16:33" ht="15.75" customHeight="1">
      <c r="P459" s="159"/>
      <c r="Q459" s="159">
        <v>442</v>
      </c>
      <c r="R459" s="160">
        <v>-35766484.285719931</v>
      </c>
      <c r="S459" s="160">
        <v>-28707327.22962147</v>
      </c>
      <c r="T459" s="160">
        <v>-17497150.36666812</v>
      </c>
      <c r="U459" s="160">
        <v>-8582770.5120979249</v>
      </c>
      <c r="V459" s="160">
        <v>3712596.5926467776</v>
      </c>
      <c r="W459" s="161">
        <v>7122039.8306220472</v>
      </c>
      <c r="X459" s="160">
        <v>3787495.9270539135</v>
      </c>
      <c r="Y459" s="160">
        <v>2347713.4672657251</v>
      </c>
      <c r="Z459" s="160">
        <v>1344155.6564202458</v>
      </c>
      <c r="AA459" s="160">
        <v>8949709.8784885854</v>
      </c>
      <c r="AB459" s="160">
        <v>18192193.719077393</v>
      </c>
      <c r="AC459" s="160">
        <v>10942760.341292813</v>
      </c>
      <c r="AD459" s="160">
        <v>4684256.4271715134</v>
      </c>
      <c r="AE459" s="160">
        <v>-8806881.6454482079</v>
      </c>
      <c r="AF459" s="160">
        <v>-3164337.0464640707</v>
      </c>
      <c r="AG459" s="160">
        <v>-10022651.491259545</v>
      </c>
    </row>
    <row r="460" spans="16:33" ht="15.75" customHeight="1">
      <c r="P460" s="159"/>
      <c r="Q460" s="159">
        <v>443</v>
      </c>
      <c r="R460" s="160">
        <v>-38014184.704601079</v>
      </c>
      <c r="S460" s="160">
        <v>-22829573.177031323</v>
      </c>
      <c r="T460" s="160">
        <v>-12474834.607566312</v>
      </c>
      <c r="U460" s="160">
        <v>-5787226.3032851964</v>
      </c>
      <c r="V460" s="160">
        <v>-5839669.4966423213</v>
      </c>
      <c r="W460" s="161">
        <v>4845538.7739998698</v>
      </c>
      <c r="X460" s="160">
        <v>12744971.804172292</v>
      </c>
      <c r="Y460" s="160">
        <v>11018499.77466616</v>
      </c>
      <c r="Z460" s="160">
        <v>5205834.527239427</v>
      </c>
      <c r="AA460" s="160">
        <v>14062451.721986592</v>
      </c>
      <c r="AB460" s="160">
        <v>10652462.995319664</v>
      </c>
      <c r="AC460" s="160">
        <v>5347717.5294009447</v>
      </c>
      <c r="AD460" s="160">
        <v>165624.23550236225</v>
      </c>
      <c r="AE460" s="160">
        <v>-6288016.6395272911</v>
      </c>
      <c r="AF460" s="160">
        <v>-7768249.1789034605</v>
      </c>
      <c r="AG460" s="160">
        <v>-15239089.156341597</v>
      </c>
    </row>
    <row r="461" spans="16:33" ht="15.75" customHeight="1">
      <c r="P461" s="159"/>
      <c r="Q461" s="159">
        <v>444</v>
      </c>
      <c r="R461" s="160">
        <v>-39447700.129527435</v>
      </c>
      <c r="S461" s="160">
        <v>-24263800.694944292</v>
      </c>
      <c r="T461" s="160">
        <v>-17623962.778034061</v>
      </c>
      <c r="U461" s="160">
        <v>-5393715.8002491295</v>
      </c>
      <c r="V461" s="160">
        <v>-2833932.6969625354</v>
      </c>
      <c r="W461" s="161">
        <v>5089657.9407488704</v>
      </c>
      <c r="X461" s="160">
        <v>4337487.901266396</v>
      </c>
      <c r="Y461" s="160">
        <v>7451094.607832849</v>
      </c>
      <c r="Z461" s="160">
        <v>11044311.383770496</v>
      </c>
      <c r="AA461" s="160">
        <v>5833112.3950055242</v>
      </c>
      <c r="AB461" s="160">
        <v>18076606.27248463</v>
      </c>
      <c r="AC461" s="160">
        <v>-2204973.0458161235</v>
      </c>
      <c r="AD461" s="160">
        <v>-1025330.1470692605</v>
      </c>
      <c r="AE461" s="160">
        <v>-4581696.8624450862</v>
      </c>
      <c r="AF461" s="160">
        <v>-10155836.12409924</v>
      </c>
      <c r="AG461" s="160">
        <v>-23689516.161969543</v>
      </c>
    </row>
    <row r="462" spans="16:33" ht="15.75" customHeight="1">
      <c r="P462" s="159"/>
      <c r="Q462" s="159">
        <v>445</v>
      </c>
      <c r="R462" s="160">
        <v>-40164430.561207265</v>
      </c>
      <c r="S462" s="160">
        <v>-18661949.649442911</v>
      </c>
      <c r="T462" s="160">
        <v>-15459183.649742588</v>
      </c>
      <c r="U462" s="160">
        <v>-7635492.9130443931</v>
      </c>
      <c r="V462" s="160">
        <v>4905161.7685396522</v>
      </c>
      <c r="W462" s="161">
        <v>6966508.8441021591</v>
      </c>
      <c r="X462" s="160">
        <v>9543750.5353411734</v>
      </c>
      <c r="Y462" s="160">
        <v>5530449.1781298965</v>
      </c>
      <c r="Z462" s="160">
        <v>10641328.542184502</v>
      </c>
      <c r="AA462" s="160">
        <v>15773566.012943655</v>
      </c>
      <c r="AB462" s="160">
        <v>-3134002.1445963085</v>
      </c>
      <c r="AC462" s="160">
        <v>15666003.538728714</v>
      </c>
      <c r="AD462" s="160">
        <v>668773.6447827667</v>
      </c>
      <c r="AE462" s="160">
        <v>-11590569.79423219</v>
      </c>
      <c r="AF462" s="160">
        <v>-8029758.4312169254</v>
      </c>
      <c r="AG462" s="160">
        <v>-23928468.219447985</v>
      </c>
    </row>
    <row r="463" spans="16:33" ht="15.75" customHeight="1">
      <c r="P463" s="159"/>
      <c r="Q463" s="159">
        <v>446</v>
      </c>
      <c r="R463" s="160">
        <v>-29977765.051699549</v>
      </c>
      <c r="S463" s="160">
        <v>-18339354.919697806</v>
      </c>
      <c r="T463" s="160">
        <v>-12969881.115238681</v>
      </c>
      <c r="U463" s="160">
        <v>-8988773.2604079545</v>
      </c>
      <c r="V463" s="160">
        <v>4346286.7470919937</v>
      </c>
      <c r="W463" s="161">
        <v>640282.21762390435</v>
      </c>
      <c r="X463" s="160">
        <v>14748211.363704592</v>
      </c>
      <c r="Y463" s="160">
        <v>3711640.5048605353</v>
      </c>
      <c r="Z463" s="160">
        <v>23136069.347583875</v>
      </c>
      <c r="AA463" s="160">
        <v>13631020.67266795</v>
      </c>
      <c r="AB463" s="160">
        <v>3068607.3803063482</v>
      </c>
      <c r="AC463" s="160">
        <v>2400271.975203231</v>
      </c>
      <c r="AD463" s="160">
        <v>895535.39218717813</v>
      </c>
      <c r="AE463" s="160">
        <v>-3218158.7588336468</v>
      </c>
      <c r="AF463" s="160">
        <v>-15343762.624964043</v>
      </c>
      <c r="AG463" s="160">
        <v>-19752946.542284682</v>
      </c>
    </row>
    <row r="464" spans="16:33" ht="15.75" customHeight="1">
      <c r="P464" s="159"/>
      <c r="Q464" s="159">
        <v>447</v>
      </c>
      <c r="R464" s="160">
        <v>-38656491.93907854</v>
      </c>
      <c r="S464" s="160">
        <v>-24788005.089058474</v>
      </c>
      <c r="T464" s="160">
        <v>-20394158.710698292</v>
      </c>
      <c r="U464" s="160">
        <v>-66576.343096986413</v>
      </c>
      <c r="V464" s="160">
        <v>-7412078.7729535401</v>
      </c>
      <c r="W464" s="161">
        <v>3576314.3186050504</v>
      </c>
      <c r="X464" s="160">
        <v>5660104.8677624166</v>
      </c>
      <c r="Y464" s="160">
        <v>11232835.330072552</v>
      </c>
      <c r="Z464" s="160">
        <v>13564260.317224205</v>
      </c>
      <c r="AA464" s="160">
        <v>3456509.9920113981</v>
      </c>
      <c r="AB464" s="160">
        <v>10626467.451069281</v>
      </c>
      <c r="AC464" s="160">
        <v>3161611.9780320376</v>
      </c>
      <c r="AD464" s="160">
        <v>5764903.7914722562</v>
      </c>
      <c r="AE464" s="160">
        <v>-3957170.5639063418</v>
      </c>
      <c r="AF464" s="160">
        <v>-5514332.2368103862</v>
      </c>
      <c r="AG464" s="160">
        <v>-18769566.618085846</v>
      </c>
    </row>
    <row r="465" spans="16:33" ht="15.75" customHeight="1">
      <c r="P465" s="159"/>
      <c r="Q465" s="159">
        <v>448</v>
      </c>
      <c r="R465" s="160">
        <v>-37366829.978027016</v>
      </c>
      <c r="S465" s="160">
        <v>-17140377.36297518</v>
      </c>
      <c r="T465" s="160">
        <v>-14319618.94880794</v>
      </c>
      <c r="U465" s="160">
        <v>-4511072.0449612886</v>
      </c>
      <c r="V465" s="160">
        <v>-1575939.000745073</v>
      </c>
      <c r="W465" s="161">
        <v>3039770.2911401093</v>
      </c>
      <c r="X465" s="160">
        <v>13200500.361204192</v>
      </c>
      <c r="Y465" s="160">
        <v>15906966.345001653</v>
      </c>
      <c r="Z465" s="160">
        <v>12285907.009518459</v>
      </c>
      <c r="AA465" s="160">
        <v>-296720.48919443786</v>
      </c>
      <c r="AB465" s="160">
        <v>24065138.988132372</v>
      </c>
      <c r="AC465" s="160">
        <v>2016112.6490535885</v>
      </c>
      <c r="AD465" s="160">
        <v>2286011.7956269085</v>
      </c>
      <c r="AE465" s="160">
        <v>3078531.252455458</v>
      </c>
      <c r="AF465" s="160">
        <v>-11369883.56538938</v>
      </c>
      <c r="AG465" s="160">
        <v>-13869310.944351509</v>
      </c>
    </row>
    <row r="466" spans="16:33" ht="15.75" customHeight="1">
      <c r="P466" s="159"/>
      <c r="Q466" s="159">
        <v>449</v>
      </c>
      <c r="R466" s="160">
        <v>-34510986.894702345</v>
      </c>
      <c r="S466" s="160">
        <v>-18009580.96468775</v>
      </c>
      <c r="T466" s="160">
        <v>-11140079.856644303</v>
      </c>
      <c r="U466" s="160">
        <v>-3470460.090061143</v>
      </c>
      <c r="V466" s="160">
        <v>-2413895.5247943103</v>
      </c>
      <c r="W466" s="161">
        <v>7404011.1858245134</v>
      </c>
      <c r="X466" s="160">
        <v>10174628.845985889</v>
      </c>
      <c r="Y466" s="160">
        <v>14441186.496480614</v>
      </c>
      <c r="Z466" s="160">
        <v>-1316994.9290003628</v>
      </c>
      <c r="AA466" s="160">
        <v>10210129.791912958</v>
      </c>
      <c r="AB466" s="160">
        <v>12129978.185883731</v>
      </c>
      <c r="AC466" s="160">
        <v>-4503430.7616734058</v>
      </c>
      <c r="AD466" s="160">
        <v>5214336.0628416538</v>
      </c>
      <c r="AE466" s="160">
        <v>-2068502.4230963886</v>
      </c>
      <c r="AF466" s="160">
        <v>-11570173.608879849</v>
      </c>
      <c r="AG466" s="160">
        <v>-22629485.724490568</v>
      </c>
    </row>
    <row r="467" spans="16:33" ht="15.75" customHeight="1">
      <c r="P467" s="159"/>
      <c r="Q467" s="159">
        <v>450</v>
      </c>
      <c r="R467" s="160">
        <v>-37623190.644540295</v>
      </c>
      <c r="S467" s="160">
        <v>-22011954.187056109</v>
      </c>
      <c r="T467" s="160">
        <v>-19438566.751221508</v>
      </c>
      <c r="U467" s="160">
        <v>-14447474.667379081</v>
      </c>
      <c r="V467" s="160">
        <v>3259036.0479115099</v>
      </c>
      <c r="W467" s="161">
        <v>9622561.2261421084</v>
      </c>
      <c r="X467" s="160">
        <v>-71805.163095712662</v>
      </c>
      <c r="Y467" s="160">
        <v>15365253.389042884</v>
      </c>
      <c r="Z467" s="160">
        <v>13224728.894503787</v>
      </c>
      <c r="AA467" s="160">
        <v>17560358.325847432</v>
      </c>
      <c r="AB467" s="160">
        <v>7046377.273377344</v>
      </c>
      <c r="AC467" s="160">
        <v>3608326.4682995528</v>
      </c>
      <c r="AD467" s="160">
        <v>5360.6407486498356</v>
      </c>
      <c r="AE467" s="160">
        <v>-11185064.332326055</v>
      </c>
      <c r="AF467" s="160">
        <v>-13470687.819430262</v>
      </c>
      <c r="AG467" s="160">
        <v>-18822582.054068357</v>
      </c>
    </row>
    <row r="468" spans="16:33" ht="15.75" customHeight="1">
      <c r="P468" s="159"/>
      <c r="Q468" s="159">
        <v>451</v>
      </c>
      <c r="R468" s="160">
        <v>-32066416.510420755</v>
      </c>
      <c r="S468" s="160">
        <v>-28374051.340392753</v>
      </c>
      <c r="T468" s="160">
        <v>-16807249.329424515</v>
      </c>
      <c r="U468" s="160">
        <v>-7107732.1945601702</v>
      </c>
      <c r="V468" s="160">
        <v>-10514476.389589086</v>
      </c>
      <c r="W468" s="161">
        <v>4279657.4213257879</v>
      </c>
      <c r="X468" s="160">
        <v>10820585.528852463</v>
      </c>
      <c r="Y468" s="160">
        <v>7729280.3212872446</v>
      </c>
      <c r="Z468" s="160">
        <v>16116436.145444781</v>
      </c>
      <c r="AA468" s="160">
        <v>13695620.945405915</v>
      </c>
      <c r="AB468" s="160">
        <v>8117776.2158901691</v>
      </c>
      <c r="AC468" s="160">
        <v>10655530.234934598</v>
      </c>
      <c r="AD468" s="160">
        <v>1254626.1594624817</v>
      </c>
      <c r="AE468" s="160">
        <v>5630753.8645967245</v>
      </c>
      <c r="AF468" s="160">
        <v>-14982473.318254873</v>
      </c>
      <c r="AG468" s="160">
        <v>-19228444.511425242</v>
      </c>
    </row>
    <row r="469" spans="16:33" ht="15.75" customHeight="1">
      <c r="P469" s="159"/>
      <c r="Q469" s="159">
        <v>452</v>
      </c>
      <c r="R469" s="160">
        <v>-35178508.458972454</v>
      </c>
      <c r="S469" s="160">
        <v>-30477470.450572714</v>
      </c>
      <c r="T469" s="160">
        <v>-12866965.925903007</v>
      </c>
      <c r="U469" s="160">
        <v>-17359514.23741062</v>
      </c>
      <c r="V469" s="160">
        <v>-10930736.098409995</v>
      </c>
      <c r="W469" s="161">
        <v>4843599.6738385856</v>
      </c>
      <c r="X469" s="160">
        <v>5321029.0466573387</v>
      </c>
      <c r="Y469" s="160">
        <v>18528006.49569276</v>
      </c>
      <c r="Z469" s="160">
        <v>16207927.090353027</v>
      </c>
      <c r="AA469" s="160">
        <v>7341423.4030575603</v>
      </c>
      <c r="AB469" s="160">
        <v>2931989.2640541196</v>
      </c>
      <c r="AC469" s="160">
        <v>-6469316.3125399798</v>
      </c>
      <c r="AD469" s="160">
        <v>4053465.393916443</v>
      </c>
      <c r="AE469" s="160">
        <v>-5123562.6859288216</v>
      </c>
      <c r="AF469" s="160">
        <v>-9503146.7970150113</v>
      </c>
      <c r="AG469" s="160">
        <v>-19950600.62512143</v>
      </c>
    </row>
    <row r="470" spans="16:33" ht="15.75" customHeight="1">
      <c r="P470" s="159"/>
      <c r="Q470" s="159">
        <v>453</v>
      </c>
      <c r="R470" s="160">
        <v>-37360803.918933764</v>
      </c>
      <c r="S470" s="160">
        <v>-24897401.888338968</v>
      </c>
      <c r="T470" s="160">
        <v>-20013455.099868327</v>
      </c>
      <c r="U470" s="160">
        <v>-3784854.0960326195</v>
      </c>
      <c r="V470" s="160">
        <v>5045888.7181036472</v>
      </c>
      <c r="W470" s="161">
        <v>-8538006.7224081159</v>
      </c>
      <c r="X470" s="160">
        <v>12258950.992864102</v>
      </c>
      <c r="Y470" s="160">
        <v>17409188.084974214</v>
      </c>
      <c r="Z470" s="160">
        <v>13583790.954777688</v>
      </c>
      <c r="AA470" s="160">
        <v>14813148.252736896</v>
      </c>
      <c r="AB470" s="160">
        <v>19525760.698560163</v>
      </c>
      <c r="AC470" s="160">
        <v>5830697.8567974269</v>
      </c>
      <c r="AD470" s="160">
        <v>703616.95461173356</v>
      </c>
      <c r="AE470" s="160">
        <v>-8037482.845061481</v>
      </c>
      <c r="AF470" s="160">
        <v>-14422557.532446757</v>
      </c>
      <c r="AG470" s="160">
        <v>-13299982.510528326</v>
      </c>
    </row>
    <row r="471" spans="16:33" ht="15.75" customHeight="1">
      <c r="P471" s="159"/>
      <c r="Q471" s="159">
        <v>454</v>
      </c>
      <c r="R471" s="160">
        <v>-39323482.770295113</v>
      </c>
      <c r="S471" s="160">
        <v>-24603823.475050002</v>
      </c>
      <c r="T471" s="160">
        <v>-10803110.815690681</v>
      </c>
      <c r="U471" s="160">
        <v>10324110.411606267</v>
      </c>
      <c r="V471" s="160">
        <v>2528967.6544905603</v>
      </c>
      <c r="W471" s="161">
        <v>-4541841.537365675</v>
      </c>
      <c r="X471" s="160">
        <v>-2886665.3935789466</v>
      </c>
      <c r="Y471" s="160">
        <v>25848637.40939118</v>
      </c>
      <c r="Z471" s="160">
        <v>3883477.3583555818</v>
      </c>
      <c r="AA471" s="160">
        <v>3396903.5934509486</v>
      </c>
      <c r="AB471" s="160">
        <v>12901942.191672087</v>
      </c>
      <c r="AC471" s="160">
        <v>4922914.8802024275</v>
      </c>
      <c r="AD471" s="160">
        <v>-4622512.257806614</v>
      </c>
      <c r="AE471" s="160">
        <v>-3035900.937130332</v>
      </c>
      <c r="AF471" s="160">
        <v>-16903463.015082955</v>
      </c>
      <c r="AG471" s="160">
        <v>-12423784.94115746</v>
      </c>
    </row>
    <row r="472" spans="16:33" ht="15.75" customHeight="1">
      <c r="P472" s="159"/>
      <c r="Q472" s="159">
        <v>455</v>
      </c>
      <c r="R472" s="160">
        <v>-31443308.538609639</v>
      </c>
      <c r="S472" s="160">
        <v>-24917932.812275901</v>
      </c>
      <c r="T472" s="160">
        <v>-22230341.617314011</v>
      </c>
      <c r="U472" s="160">
        <v>-8380142.0122117847</v>
      </c>
      <c r="V472" s="160">
        <v>-7516458.6775275767</v>
      </c>
      <c r="W472" s="161">
        <v>6015592.8872444034</v>
      </c>
      <c r="X472" s="160">
        <v>10684913.591924295</v>
      </c>
      <c r="Y472" s="160">
        <v>14278686.801173627</v>
      </c>
      <c r="Z472" s="160">
        <v>11456505.970226005</v>
      </c>
      <c r="AA472" s="160">
        <v>11818319.971724212</v>
      </c>
      <c r="AB472" s="160">
        <v>11260773.068233162</v>
      </c>
      <c r="AC472" s="160">
        <v>14169099.330654755</v>
      </c>
      <c r="AD472" s="160">
        <v>4737061.8165084273</v>
      </c>
      <c r="AE472" s="160">
        <v>780086.8962405324</v>
      </c>
      <c r="AF472" s="160">
        <v>-16302605.885186911</v>
      </c>
      <c r="AG472" s="160">
        <v>-17434861.851197198</v>
      </c>
    </row>
    <row r="473" spans="16:33" ht="15.75" customHeight="1">
      <c r="P473" s="159"/>
      <c r="Q473" s="159">
        <v>456</v>
      </c>
      <c r="R473" s="160">
        <v>-33807884.014015749</v>
      </c>
      <c r="S473" s="160">
        <v>-29176506.56183216</v>
      </c>
      <c r="T473" s="160">
        <v>-16675688.015990019</v>
      </c>
      <c r="U473" s="160">
        <v>-6385414.2525586486</v>
      </c>
      <c r="V473" s="160">
        <v>-7393599.1633561254</v>
      </c>
      <c r="W473" s="161">
        <v>5299371.5111330748</v>
      </c>
      <c r="X473" s="160">
        <v>8814743.373255372</v>
      </c>
      <c r="Y473" s="160">
        <v>15944640.603852764</v>
      </c>
      <c r="Z473" s="160">
        <v>10442524.233510152</v>
      </c>
      <c r="AA473" s="160">
        <v>13533505.858527198</v>
      </c>
      <c r="AB473" s="160">
        <v>10722645.936508864</v>
      </c>
      <c r="AC473" s="160">
        <v>2126781.3439406753</v>
      </c>
      <c r="AD473" s="160">
        <v>-6623943.837487191</v>
      </c>
      <c r="AE473" s="160">
        <v>3764111.3671159446</v>
      </c>
      <c r="AF473" s="160">
        <v>-10122043.08990629</v>
      </c>
      <c r="AG473" s="160">
        <v>-27242288.532671809</v>
      </c>
    </row>
    <row r="474" spans="16:33" ht="15.75" customHeight="1">
      <c r="P474" s="159"/>
      <c r="Q474" s="159">
        <v>457</v>
      </c>
      <c r="R474" s="160">
        <v>-34392739.265363649</v>
      </c>
      <c r="S474" s="160">
        <v>-27561355.661823556</v>
      </c>
      <c r="T474" s="160">
        <v>-18547057.687425569</v>
      </c>
      <c r="U474" s="160">
        <v>-2504792.4191218168</v>
      </c>
      <c r="V474" s="160">
        <v>-3201726.7430980504</v>
      </c>
      <c r="W474" s="161">
        <v>2546313.6033160537</v>
      </c>
      <c r="X474" s="160">
        <v>-3147229.5342802852</v>
      </c>
      <c r="Y474" s="160">
        <v>11583757.16172488</v>
      </c>
      <c r="Z474" s="160">
        <v>20403398.857657745</v>
      </c>
      <c r="AA474" s="160">
        <v>18395617.232786849</v>
      </c>
      <c r="AB474" s="160">
        <v>3915305.5253965557</v>
      </c>
      <c r="AC474" s="160">
        <v>1764613.5826976895</v>
      </c>
      <c r="AD474" s="160">
        <v>-3427895.6906205416</v>
      </c>
      <c r="AE474" s="160">
        <v>-996616.94511830807</v>
      </c>
      <c r="AF474" s="160">
        <v>-14538882.476598874</v>
      </c>
      <c r="AG474" s="160">
        <v>-17241777.691411197</v>
      </c>
    </row>
    <row r="475" spans="16:33" ht="15.75" customHeight="1">
      <c r="P475" s="159"/>
      <c r="Q475" s="159">
        <v>458</v>
      </c>
      <c r="R475" s="160">
        <v>-33837753.557668135</v>
      </c>
      <c r="S475" s="160">
        <v>-23832771.406176776</v>
      </c>
      <c r="T475" s="160">
        <v>-24985426.719616726</v>
      </c>
      <c r="U475" s="160">
        <v>-338544.54290598631</v>
      </c>
      <c r="V475" s="160">
        <v>-2562591.0590895116</v>
      </c>
      <c r="W475" s="161">
        <v>7422392.9197327793</v>
      </c>
      <c r="X475" s="160">
        <v>3281451.6435581446</v>
      </c>
      <c r="Y475" s="160">
        <v>10942757.72775133</v>
      </c>
      <c r="Z475" s="160">
        <v>7942409.5958347619</v>
      </c>
      <c r="AA475" s="160">
        <v>9565276.5102857053</v>
      </c>
      <c r="AB475" s="160">
        <v>13285869.080150947</v>
      </c>
      <c r="AC475" s="160">
        <v>3500771.1122035384</v>
      </c>
      <c r="AD475" s="160">
        <v>-1033420.248376146</v>
      </c>
      <c r="AE475" s="160">
        <v>76088.884673014283</v>
      </c>
      <c r="AF475" s="160">
        <v>-18210353.013558045</v>
      </c>
      <c r="AG475" s="160">
        <v>-13763403.10931921</v>
      </c>
    </row>
    <row r="476" spans="16:33" ht="15.75" customHeight="1">
      <c r="P476" s="159"/>
      <c r="Q476" s="159">
        <v>459</v>
      </c>
      <c r="R476" s="160">
        <v>-39119808.137189269</v>
      </c>
      <c r="S476" s="160">
        <v>-24384905.459500402</v>
      </c>
      <c r="T476" s="160">
        <v>-19724031.496890813</v>
      </c>
      <c r="U476" s="160">
        <v>-8052631.6560305208</v>
      </c>
      <c r="V476" s="160">
        <v>923940.39308589697</v>
      </c>
      <c r="W476" s="161">
        <v>9003009.0377898067</v>
      </c>
      <c r="X476" s="160">
        <v>10640287.713271797</v>
      </c>
      <c r="Y476" s="160">
        <v>2091121.0674249232</v>
      </c>
      <c r="Z476" s="160">
        <v>16578277.56910798</v>
      </c>
      <c r="AA476" s="160">
        <v>15638203.916204154</v>
      </c>
      <c r="AB476" s="160">
        <v>8807193.0462310165</v>
      </c>
      <c r="AC476" s="160">
        <v>-3405738.0102595836</v>
      </c>
      <c r="AD476" s="160">
        <v>815069.34444022179</v>
      </c>
      <c r="AE476" s="160">
        <v>-4360597.9259071052</v>
      </c>
      <c r="AF476" s="160">
        <v>-15342534.73889108</v>
      </c>
      <c r="AG476" s="160">
        <v>-22980356.584026128</v>
      </c>
    </row>
    <row r="477" spans="16:33" ht="15.75" customHeight="1">
      <c r="P477" s="159"/>
      <c r="Q477" s="159">
        <v>460</v>
      </c>
      <c r="R477" s="160">
        <v>-39399143.879775763</v>
      </c>
      <c r="S477" s="160">
        <v>-31074219.087432429</v>
      </c>
      <c r="T477" s="160">
        <v>-8928873.1368741244</v>
      </c>
      <c r="U477" s="160">
        <v>-1801532.2177312374</v>
      </c>
      <c r="V477" s="160">
        <v>-6496910.7769993097</v>
      </c>
      <c r="W477" s="161">
        <v>-8107192.1762899458</v>
      </c>
      <c r="X477" s="160">
        <v>12482050.659674764</v>
      </c>
      <c r="Y477" s="160">
        <v>9761783.3936180174</v>
      </c>
      <c r="Z477" s="160">
        <v>26229379.25486812</v>
      </c>
      <c r="AA477" s="160">
        <v>18166942.605826393</v>
      </c>
      <c r="AB477" s="160">
        <v>14044466.603723705</v>
      </c>
      <c r="AC477" s="160">
        <v>6725310.9043611735</v>
      </c>
      <c r="AD477" s="160">
        <v>1773047.1422971636</v>
      </c>
      <c r="AE477" s="160">
        <v>-10884972.213695124</v>
      </c>
      <c r="AF477" s="160">
        <v>-14603264.915727466</v>
      </c>
      <c r="AG477" s="160">
        <v>-14980067.599147379</v>
      </c>
    </row>
    <row r="478" spans="16:33" ht="15.75" customHeight="1">
      <c r="P478" s="159"/>
      <c r="Q478" s="159">
        <v>461</v>
      </c>
      <c r="R478" s="160">
        <v>-32038924.177861959</v>
      </c>
      <c r="S478" s="160">
        <v>-25206780.961448848</v>
      </c>
      <c r="T478" s="160">
        <v>-17893338.692734987</v>
      </c>
      <c r="U478" s="160">
        <v>-7588017.8455600142</v>
      </c>
      <c r="V478" s="160">
        <v>10819526.061216936</v>
      </c>
      <c r="W478" s="161">
        <v>2833307.1783749163</v>
      </c>
      <c r="X478" s="160">
        <v>8172047.0082263201</v>
      </c>
      <c r="Y478" s="160">
        <v>6976777.0623080879</v>
      </c>
      <c r="Z478" s="160">
        <v>14050538.57893993</v>
      </c>
      <c r="AA478" s="160">
        <v>19558736.957653269</v>
      </c>
      <c r="AB478" s="160">
        <v>15466912.533915341</v>
      </c>
      <c r="AC478" s="160">
        <v>9418085.3051530123</v>
      </c>
      <c r="AD478" s="160">
        <v>3801682.2640995085</v>
      </c>
      <c r="AE478" s="160">
        <v>-7023757.8600027114</v>
      </c>
      <c r="AF478" s="160">
        <v>-4947725.6228616089</v>
      </c>
      <c r="AG478" s="160">
        <v>-19491021.46150583</v>
      </c>
    </row>
    <row r="479" spans="16:33" ht="15.75" customHeight="1">
      <c r="P479" s="159"/>
      <c r="Q479" s="159">
        <v>462</v>
      </c>
      <c r="R479" s="160">
        <v>-36806275.952937126</v>
      </c>
      <c r="S479" s="160">
        <v>-24334793.24352105</v>
      </c>
      <c r="T479" s="160">
        <v>-12261114.871444866</v>
      </c>
      <c r="U479" s="160">
        <v>-4616220.0952790529</v>
      </c>
      <c r="V479" s="160">
        <v>606083.42514184117</v>
      </c>
      <c r="W479" s="161">
        <v>8694437.6881143451</v>
      </c>
      <c r="X479" s="160">
        <v>2136719.4124126285</v>
      </c>
      <c r="Y479" s="160">
        <v>6517411.2080041319</v>
      </c>
      <c r="Z479" s="160">
        <v>16782680.320315748</v>
      </c>
      <c r="AA479" s="160">
        <v>5610007.18593207</v>
      </c>
      <c r="AB479" s="160">
        <v>-3030330.4203656018</v>
      </c>
      <c r="AC479" s="160">
        <v>12493217.389972076</v>
      </c>
      <c r="AD479" s="160">
        <v>5718866.91447559</v>
      </c>
      <c r="AE479" s="160">
        <v>-13574843.515555516</v>
      </c>
      <c r="AF479" s="160">
        <v>-8749508.8241396546</v>
      </c>
      <c r="AG479" s="160">
        <v>-31000583.390470207</v>
      </c>
    </row>
    <row r="480" spans="16:33" ht="15.75" customHeight="1">
      <c r="P480" s="159"/>
      <c r="Q480" s="159">
        <v>463</v>
      </c>
      <c r="R480" s="160">
        <v>-40063119.79899244</v>
      </c>
      <c r="S480" s="160">
        <v>-28152881.914285198</v>
      </c>
      <c r="T480" s="160">
        <v>-14209529.014575422</v>
      </c>
      <c r="U480" s="160">
        <v>-2526618.9002287686</v>
      </c>
      <c r="V480" s="160">
        <v>-3428598.4253943413</v>
      </c>
      <c r="W480" s="161">
        <v>331244.99180296063</v>
      </c>
      <c r="X480" s="160">
        <v>11357117.576472163</v>
      </c>
      <c r="Y480" s="160">
        <v>9058483.8448442072</v>
      </c>
      <c r="Z480" s="160">
        <v>8355199.2869702429</v>
      </c>
      <c r="AA480" s="160">
        <v>17057128.399792597</v>
      </c>
      <c r="AB480" s="160">
        <v>21082823.564761668</v>
      </c>
      <c r="AC480" s="160">
        <v>-241372.36124068499</v>
      </c>
      <c r="AD480" s="160">
        <v>6796629.6975008994</v>
      </c>
      <c r="AE480" s="160">
        <v>-7817256.2663581967</v>
      </c>
      <c r="AF480" s="160">
        <v>-4865805.0643507242</v>
      </c>
      <c r="AG480" s="160">
        <v>-26508182.581208572</v>
      </c>
    </row>
    <row r="481" spans="16:33" ht="15.75" customHeight="1">
      <c r="P481" s="159"/>
      <c r="Q481" s="159">
        <v>464</v>
      </c>
      <c r="R481" s="160">
        <v>-30108419.928765208</v>
      </c>
      <c r="S481" s="160">
        <v>-25371220.034161255</v>
      </c>
      <c r="T481" s="160">
        <v>-14202146.005732208</v>
      </c>
      <c r="U481" s="160">
        <v>-15881165.989398733</v>
      </c>
      <c r="V481" s="160">
        <v>1554564.5663597733</v>
      </c>
      <c r="W481" s="161">
        <v>6827709.7126164138</v>
      </c>
      <c r="X481" s="160">
        <v>-1625069.6864464581</v>
      </c>
      <c r="Y481" s="160">
        <v>10568015.599512488</v>
      </c>
      <c r="Z481" s="160">
        <v>7022633.5221300125</v>
      </c>
      <c r="AA481" s="160">
        <v>13185359.647053197</v>
      </c>
      <c r="AB481" s="160">
        <v>15385005.976039797</v>
      </c>
      <c r="AC481" s="160">
        <v>5379189.2907574773</v>
      </c>
      <c r="AD481" s="160">
        <v>-1354748.1738728583</v>
      </c>
      <c r="AE481" s="160">
        <v>-8108308.0962255001</v>
      </c>
      <c r="AF481" s="160">
        <v>-5559978.0588377714</v>
      </c>
      <c r="AG481" s="160">
        <v>-14664319.099146679</v>
      </c>
    </row>
    <row r="482" spans="16:33" ht="15.75" customHeight="1">
      <c r="P482" s="159"/>
      <c r="Q482" s="159">
        <v>465</v>
      </c>
      <c r="R482" s="160">
        <v>-30514126.835440055</v>
      </c>
      <c r="S482" s="160">
        <v>-28677241.173440084</v>
      </c>
      <c r="T482" s="160">
        <v>-11415618.504526392</v>
      </c>
      <c r="U482" s="160">
        <v>-15928644.92211698</v>
      </c>
      <c r="V482" s="160">
        <v>-7494508.7809666842</v>
      </c>
      <c r="W482" s="161">
        <v>1752617.6282140315</v>
      </c>
      <c r="X482" s="160">
        <v>13130647.061779439</v>
      </c>
      <c r="Y482" s="160">
        <v>-11750529.617602944</v>
      </c>
      <c r="Z482" s="160">
        <v>12046104.949194759</v>
      </c>
      <c r="AA482" s="160">
        <v>1527866.1245404035</v>
      </c>
      <c r="AB482" s="160">
        <v>12755486.390769273</v>
      </c>
      <c r="AC482" s="160">
        <v>14168492.883909091</v>
      </c>
      <c r="AD482" s="160">
        <v>10849863.719164446</v>
      </c>
      <c r="AE482" s="160">
        <v>-9682974.4274783731</v>
      </c>
      <c r="AF482" s="160">
        <v>-10512016.29767634</v>
      </c>
      <c r="AG482" s="160">
        <v>-11560012.713137969</v>
      </c>
    </row>
    <row r="483" spans="16:33" ht="15.75" customHeight="1">
      <c r="P483" s="159"/>
      <c r="Q483" s="159">
        <v>466</v>
      </c>
      <c r="R483" s="160">
        <v>-37545146.383004546</v>
      </c>
      <c r="S483" s="160">
        <v>-20350708.962133586</v>
      </c>
      <c r="T483" s="160">
        <v>-22296939.009628117</v>
      </c>
      <c r="U483" s="160">
        <v>-15929990.714009315</v>
      </c>
      <c r="V483" s="160">
        <v>-3831818.823522076</v>
      </c>
      <c r="W483" s="161">
        <v>5776597.2687799186</v>
      </c>
      <c r="X483" s="160">
        <v>2823777.2795113325</v>
      </c>
      <c r="Y483" s="160">
        <v>11816425.276197731</v>
      </c>
      <c r="Z483" s="160">
        <v>16430961.823420435</v>
      </c>
      <c r="AA483" s="160">
        <v>9385956.4571792185</v>
      </c>
      <c r="AB483" s="160">
        <v>17525835.052447289</v>
      </c>
      <c r="AC483" s="160">
        <v>6430732.0856653899</v>
      </c>
      <c r="AD483" s="160">
        <v>6125731.6139728278</v>
      </c>
      <c r="AE483" s="160">
        <v>1345250.0020467192</v>
      </c>
      <c r="AF483" s="160">
        <v>-10910923.615951061</v>
      </c>
      <c r="AG483" s="160">
        <v>-18904056.422188953</v>
      </c>
    </row>
    <row r="484" spans="16:33" ht="15.75" customHeight="1">
      <c r="P484" s="159"/>
      <c r="Q484" s="159">
        <v>467</v>
      </c>
      <c r="R484" s="160">
        <v>-32844694.401680201</v>
      </c>
      <c r="S484" s="160">
        <v>-25884554.817308009</v>
      </c>
      <c r="T484" s="160">
        <v>-16289501.852450192</v>
      </c>
      <c r="U484" s="160">
        <v>3586070.8735848367</v>
      </c>
      <c r="V484" s="160">
        <v>4878536.2375410497</v>
      </c>
      <c r="W484" s="161">
        <v>415579.92301149666</v>
      </c>
      <c r="X484" s="160">
        <v>8869809.046091795</v>
      </c>
      <c r="Y484" s="160">
        <v>10154505.301797867</v>
      </c>
      <c r="Z484" s="160">
        <v>15842794.237913772</v>
      </c>
      <c r="AA484" s="160">
        <v>6406599.9515496194</v>
      </c>
      <c r="AB484" s="160">
        <v>11400307.487908214</v>
      </c>
      <c r="AC484" s="160">
        <v>5742680.9277918637</v>
      </c>
      <c r="AD484" s="160">
        <v>13173126.094165415</v>
      </c>
      <c r="AE484" s="160">
        <v>-8067664.8062912971</v>
      </c>
      <c r="AF484" s="160">
        <v>-13281070.015715033</v>
      </c>
      <c r="AG484" s="160">
        <v>-21204263.937113345</v>
      </c>
    </row>
    <row r="485" spans="16:33" ht="15.75" customHeight="1">
      <c r="P485" s="159"/>
      <c r="Q485" s="159">
        <v>468</v>
      </c>
      <c r="R485" s="160">
        <v>-38448000.836409763</v>
      </c>
      <c r="S485" s="160">
        <v>-27142337.756320044</v>
      </c>
      <c r="T485" s="160">
        <v>-19701524.825076163</v>
      </c>
      <c r="U485" s="160">
        <v>-5769366.3658886701</v>
      </c>
      <c r="V485" s="160">
        <v>-1300767.4681632668</v>
      </c>
      <c r="W485" s="161">
        <v>90106.304977729917</v>
      </c>
      <c r="X485" s="160">
        <v>9503373.1060167998</v>
      </c>
      <c r="Y485" s="160">
        <v>10585459.779550582</v>
      </c>
      <c r="Z485" s="160">
        <v>9973420.0038074255</v>
      </c>
      <c r="AA485" s="160">
        <v>13820066.404580966</v>
      </c>
      <c r="AB485" s="160">
        <v>8633915.3281242847</v>
      </c>
      <c r="AC485" s="160">
        <v>6707078.1176026464</v>
      </c>
      <c r="AD485" s="160">
        <v>2034543.7059644163</v>
      </c>
      <c r="AE485" s="160">
        <v>-9135433.7736884058</v>
      </c>
      <c r="AF485" s="160">
        <v>-6604064.7256129086</v>
      </c>
      <c r="AG485" s="160">
        <v>-15850244.012764901</v>
      </c>
    </row>
    <row r="486" spans="16:33" ht="15.75" customHeight="1">
      <c r="P486" s="159"/>
      <c r="Q486" s="159">
        <v>469</v>
      </c>
      <c r="R486" s="160">
        <v>-39934212.21877189</v>
      </c>
      <c r="S486" s="160">
        <v>-29407538.538944155</v>
      </c>
      <c r="T486" s="160">
        <v>-20036548.997479707</v>
      </c>
      <c r="U486" s="160">
        <v>-5366277.0767671317</v>
      </c>
      <c r="V486" s="160">
        <v>1104177.327057898</v>
      </c>
      <c r="W486" s="161">
        <v>14173279.890434593</v>
      </c>
      <c r="X486" s="160">
        <v>2250894.510632515</v>
      </c>
      <c r="Y486" s="160">
        <v>12307194.218657449</v>
      </c>
      <c r="Z486" s="160">
        <v>7649793.7547088116</v>
      </c>
      <c r="AA486" s="160">
        <v>2581652.462931022</v>
      </c>
      <c r="AB486" s="160">
        <v>13050785.705291092</v>
      </c>
      <c r="AC486" s="160">
        <v>6188922.1995127797</v>
      </c>
      <c r="AD486" s="160">
        <v>11885760.8442031</v>
      </c>
      <c r="AE486" s="160">
        <v>-12569221.47879377</v>
      </c>
      <c r="AF486" s="160">
        <v>-5634895.6440094709</v>
      </c>
      <c r="AG486" s="160">
        <v>-10780217.32754828</v>
      </c>
    </row>
    <row r="487" spans="16:33" ht="15.75" customHeight="1">
      <c r="P487" s="159"/>
      <c r="Q487" s="159">
        <v>470</v>
      </c>
      <c r="R487" s="160">
        <v>-35393617.289157629</v>
      </c>
      <c r="S487" s="160">
        <v>-22169810.856877625</v>
      </c>
      <c r="T487" s="160">
        <v>-15353536.440137446</v>
      </c>
      <c r="U487" s="160">
        <v>-11568716.796100914</v>
      </c>
      <c r="V487" s="160">
        <v>-2217217.9215798825</v>
      </c>
      <c r="W487" s="161">
        <v>13220380.998515099</v>
      </c>
      <c r="X487" s="160">
        <v>9646304.6038308293</v>
      </c>
      <c r="Y487" s="160">
        <v>22230772.135039732</v>
      </c>
      <c r="Z487" s="160">
        <v>19787510.600534946</v>
      </c>
      <c r="AA487" s="160">
        <v>6973442.858766675</v>
      </c>
      <c r="AB487" s="160">
        <v>3746926.4462034255</v>
      </c>
      <c r="AC487" s="160">
        <v>3337774.8638415486</v>
      </c>
      <c r="AD487" s="160">
        <v>842315.86127534509</v>
      </c>
      <c r="AE487" s="160">
        <v>1021761.3598567694</v>
      </c>
      <c r="AF487" s="160">
        <v>-15283332.558689713</v>
      </c>
      <c r="AG487" s="160">
        <v>-16141268.956636652</v>
      </c>
    </row>
    <row r="488" spans="16:33" ht="15.75" customHeight="1">
      <c r="P488" s="159"/>
      <c r="Q488" s="159">
        <v>471</v>
      </c>
      <c r="R488" s="160">
        <v>-42288184.232920498</v>
      </c>
      <c r="S488" s="160">
        <v>-20766362.365275651</v>
      </c>
      <c r="T488" s="160">
        <v>-23896555.566217929</v>
      </c>
      <c r="U488" s="160">
        <v>-12916881.648546204</v>
      </c>
      <c r="V488" s="160">
        <v>2729846.6254094988</v>
      </c>
      <c r="W488" s="161">
        <v>-1260403.0554210693</v>
      </c>
      <c r="X488" s="160">
        <v>8378946.06319879</v>
      </c>
      <c r="Y488" s="160">
        <v>14672978.277836204</v>
      </c>
      <c r="Z488" s="160">
        <v>6903731.1443991512</v>
      </c>
      <c r="AA488" s="160">
        <v>21404328.368972629</v>
      </c>
      <c r="AB488" s="160">
        <v>14085510.61937736</v>
      </c>
      <c r="AC488" s="160">
        <v>7338244.9066050649</v>
      </c>
      <c r="AD488" s="160">
        <v>-1238040.8148995042</v>
      </c>
      <c r="AE488" s="160">
        <v>-2774063.7798110545</v>
      </c>
      <c r="AF488" s="160">
        <v>-6519188.3133988231</v>
      </c>
      <c r="AG488" s="160">
        <v>-17554530.559820175</v>
      </c>
    </row>
    <row r="489" spans="16:33" ht="15.75" customHeight="1">
      <c r="P489" s="159"/>
      <c r="Q489" s="159">
        <v>472</v>
      </c>
      <c r="R489" s="160">
        <v>-36528598.222809494</v>
      </c>
      <c r="S489" s="160">
        <v>-26294645.363881394</v>
      </c>
      <c r="T489" s="160">
        <v>-21472047.869605556</v>
      </c>
      <c r="U489" s="160">
        <v>-17249494.540138066</v>
      </c>
      <c r="V489" s="160">
        <v>5153517.2705071419</v>
      </c>
      <c r="W489" s="161">
        <v>1938047.4757083505</v>
      </c>
      <c r="X489" s="160">
        <v>7650366.7811115235</v>
      </c>
      <c r="Y489" s="160">
        <v>15515111.165849477</v>
      </c>
      <c r="Z489" s="160">
        <v>9893183.9533225</v>
      </c>
      <c r="AA489" s="160">
        <v>2579221.3493986726</v>
      </c>
      <c r="AB489" s="160">
        <v>13746169.62768659</v>
      </c>
      <c r="AC489" s="160">
        <v>-6440605.1148510575</v>
      </c>
      <c r="AD489" s="160">
        <v>7169922.5641233772</v>
      </c>
      <c r="AE489" s="160">
        <v>-1125562.3694215268</v>
      </c>
      <c r="AF489" s="160">
        <v>-1563255.4906205386</v>
      </c>
      <c r="AG489" s="160">
        <v>-3831354.1368288249</v>
      </c>
    </row>
    <row r="490" spans="16:33" ht="15.75" customHeight="1">
      <c r="P490" s="159"/>
      <c r="Q490" s="159">
        <v>473</v>
      </c>
      <c r="R490" s="160">
        <v>-34151747.284784958</v>
      </c>
      <c r="S490" s="160">
        <v>-23278566.63256073</v>
      </c>
      <c r="T490" s="160">
        <v>-11153724.758566216</v>
      </c>
      <c r="U490" s="160">
        <v>-8225126.8616792709</v>
      </c>
      <c r="V490" s="160">
        <v>1976693.18235147</v>
      </c>
      <c r="W490" s="161">
        <v>5034895.3786872327</v>
      </c>
      <c r="X490" s="160">
        <v>-7270903.8454373032</v>
      </c>
      <c r="Y490" s="160">
        <v>9607657.3194206655</v>
      </c>
      <c r="Z490" s="160">
        <v>15738132.886318251</v>
      </c>
      <c r="AA490" s="160">
        <v>17630652.009893268</v>
      </c>
      <c r="AB490" s="160">
        <v>12545182.601235121</v>
      </c>
      <c r="AC490" s="160">
        <v>6977577.1831642538</v>
      </c>
      <c r="AD490" s="160">
        <v>1922476.857076779</v>
      </c>
      <c r="AE490" s="160">
        <v>-2297707.1052991003</v>
      </c>
      <c r="AF490" s="160">
        <v>-9413883.0411079079</v>
      </c>
      <c r="AG490" s="160">
        <v>-16877726.180281609</v>
      </c>
    </row>
    <row r="491" spans="16:33" ht="15.75" customHeight="1">
      <c r="P491" s="159"/>
      <c r="Q491" s="159">
        <v>474</v>
      </c>
      <c r="R491" s="160">
        <v>-36907976.186833605</v>
      </c>
      <c r="S491" s="160">
        <v>-25580027.85243167</v>
      </c>
      <c r="T491" s="160">
        <v>-19399693.755291</v>
      </c>
      <c r="U491" s="160">
        <v>-3760768.3928722143</v>
      </c>
      <c r="V491" s="160">
        <v>-4541014.675376758</v>
      </c>
      <c r="W491" s="161">
        <v>6781952.9993412793</v>
      </c>
      <c r="X491" s="160">
        <v>14376583.020045787</v>
      </c>
      <c r="Y491" s="160">
        <v>20671078.570410207</v>
      </c>
      <c r="Z491" s="160">
        <v>14142790.718484148</v>
      </c>
      <c r="AA491" s="160">
        <v>11989097.323514655</v>
      </c>
      <c r="AB491" s="160">
        <v>14030529.130853564</v>
      </c>
      <c r="AC491" s="160">
        <v>-3742123.8167182356</v>
      </c>
      <c r="AD491" s="160">
        <v>619938.61727322638</v>
      </c>
      <c r="AE491" s="160">
        <v>-5284503.9907305092</v>
      </c>
      <c r="AF491" s="160">
        <v>-6280774.4058641344</v>
      </c>
      <c r="AG491" s="160">
        <v>-25249358.968321234</v>
      </c>
    </row>
    <row r="492" spans="16:33" ht="15.75" customHeight="1">
      <c r="P492" s="159"/>
      <c r="Q492" s="159">
        <v>475</v>
      </c>
      <c r="R492" s="160">
        <v>-40115550.647564411</v>
      </c>
      <c r="S492" s="160">
        <v>-17596601.023494989</v>
      </c>
      <c r="T492" s="160">
        <v>-7599997.904310599</v>
      </c>
      <c r="U492" s="160">
        <v>-13952934.158540279</v>
      </c>
      <c r="V492" s="160">
        <v>7759195.8713439703</v>
      </c>
      <c r="W492" s="161">
        <v>9346214.9155189097</v>
      </c>
      <c r="X492" s="160">
        <v>9636581.956302613</v>
      </c>
      <c r="Y492" s="160">
        <v>6335352.5776131302</v>
      </c>
      <c r="Z492" s="160">
        <v>17515308.433670744</v>
      </c>
      <c r="AA492" s="160">
        <v>18918352.297020957</v>
      </c>
      <c r="AB492" s="160">
        <v>7706737.4259243608</v>
      </c>
      <c r="AC492" s="160">
        <v>11314776.225821778</v>
      </c>
      <c r="AD492" s="160">
        <v>-13371522.056002289</v>
      </c>
      <c r="AE492" s="160">
        <v>-5570611.5158270299</v>
      </c>
      <c r="AF492" s="160">
        <v>-14028206.283001274</v>
      </c>
      <c r="AG492" s="160">
        <v>-15477024.663889676</v>
      </c>
    </row>
    <row r="493" spans="16:33" ht="15.75" customHeight="1">
      <c r="P493" s="159"/>
      <c r="Q493" s="159">
        <v>476</v>
      </c>
      <c r="R493" s="160">
        <v>-37930977.847367749</v>
      </c>
      <c r="S493" s="160">
        <v>-31095151.692878872</v>
      </c>
      <c r="T493" s="160">
        <v>-17913538.679033369</v>
      </c>
      <c r="U493" s="160">
        <v>3638280.8637654781</v>
      </c>
      <c r="V493" s="160">
        <v>-3728773.7926700711</v>
      </c>
      <c r="W493" s="161">
        <v>-2495708.3213949651</v>
      </c>
      <c r="X493" s="160">
        <v>2879452.9239917099</v>
      </c>
      <c r="Y493" s="160">
        <v>6752100.757155776</v>
      </c>
      <c r="Z493" s="160">
        <v>6002338.2995421588</v>
      </c>
      <c r="AA493" s="160">
        <v>10814039.435143784</v>
      </c>
      <c r="AB493" s="160">
        <v>815202.34155327082</v>
      </c>
      <c r="AC493" s="160">
        <v>17181141.537336275</v>
      </c>
      <c r="AD493" s="160">
        <v>9813085.4578711838</v>
      </c>
      <c r="AE493" s="160">
        <v>73419.71692173183</v>
      </c>
      <c r="AF493" s="160">
        <v>395893.90055543184</v>
      </c>
      <c r="AG493" s="160">
        <v>-17008422.020286247</v>
      </c>
    </row>
    <row r="494" spans="16:33" ht="15.75" customHeight="1">
      <c r="P494" s="159"/>
      <c r="Q494" s="159">
        <v>477</v>
      </c>
      <c r="R494" s="160">
        <v>-32671699.787629426</v>
      </c>
      <c r="S494" s="160">
        <v>-20681437.917882696</v>
      </c>
      <c r="T494" s="160">
        <v>-16971630.582704082</v>
      </c>
      <c r="U494" s="160">
        <v>-15803636.991117582</v>
      </c>
      <c r="V494" s="160">
        <v>-3096583.2557241023</v>
      </c>
      <c r="W494" s="161">
        <v>-8093355.744148016</v>
      </c>
      <c r="X494" s="160">
        <v>9224132.8901462853</v>
      </c>
      <c r="Y494" s="160">
        <v>10564556.59862633</v>
      </c>
      <c r="Z494" s="160">
        <v>7889483.4786876291</v>
      </c>
      <c r="AA494" s="160">
        <v>12757055.601913214</v>
      </c>
      <c r="AB494" s="160">
        <v>12991592.813692167</v>
      </c>
      <c r="AC494" s="160">
        <v>6931210.8355788141</v>
      </c>
      <c r="AD494" s="160">
        <v>-1864890.7257064432</v>
      </c>
      <c r="AE494" s="160">
        <v>-6419170.8267583102</v>
      </c>
      <c r="AF494" s="160">
        <v>-2825395.1441971809</v>
      </c>
      <c r="AG494" s="160">
        <v>-21139082.388193667</v>
      </c>
    </row>
    <row r="495" spans="16:33" ht="15.75" customHeight="1">
      <c r="P495" s="159"/>
      <c r="Q495" s="159">
        <v>478</v>
      </c>
      <c r="R495" s="160">
        <v>-41046302.503239721</v>
      </c>
      <c r="S495" s="160">
        <v>-34120942.170283452</v>
      </c>
      <c r="T495" s="160">
        <v>-14979239.31317395</v>
      </c>
      <c r="U495" s="160">
        <v>-6072325.3763134181</v>
      </c>
      <c r="V495" s="160">
        <v>-6337356.6733794063</v>
      </c>
      <c r="W495" s="161">
        <v>-169423.26749940217</v>
      </c>
      <c r="X495" s="160">
        <v>8628343.1200845838</v>
      </c>
      <c r="Y495" s="160">
        <v>6896651.17361857</v>
      </c>
      <c r="Z495" s="160">
        <v>12329013.011839554</v>
      </c>
      <c r="AA495" s="160">
        <v>12744672.718498364</v>
      </c>
      <c r="AB495" s="160">
        <v>-1153112.8691452742</v>
      </c>
      <c r="AC495" s="160">
        <v>2020792.1179704517</v>
      </c>
      <c r="AD495" s="160">
        <v>10356947.81854941</v>
      </c>
      <c r="AE495" s="160">
        <v>-6895014.6558970958</v>
      </c>
      <c r="AF495" s="160">
        <v>439539.44383199513</v>
      </c>
      <c r="AG495" s="160">
        <v>-21449245.542597219</v>
      </c>
    </row>
    <row r="496" spans="16:33" ht="15.75" customHeight="1">
      <c r="P496" s="159"/>
      <c r="Q496" s="159">
        <v>479</v>
      </c>
      <c r="R496" s="160">
        <v>-32281716.105195478</v>
      </c>
      <c r="S496" s="160">
        <v>-23336754.216083407</v>
      </c>
      <c r="T496" s="160">
        <v>-16021672.566192567</v>
      </c>
      <c r="U496" s="160">
        <v>-4089857.1685480028</v>
      </c>
      <c r="V496" s="160">
        <v>-3082278.0908723325</v>
      </c>
      <c r="W496" s="161">
        <v>5026268.8156540096</v>
      </c>
      <c r="X496" s="160">
        <v>11844845.333736613</v>
      </c>
      <c r="Y496" s="160">
        <v>10254691.94947046</v>
      </c>
      <c r="Z496" s="160">
        <v>19965709.126690954</v>
      </c>
      <c r="AA496" s="160">
        <v>15254059.576256752</v>
      </c>
      <c r="AB496" s="160">
        <v>22514291.35591498</v>
      </c>
      <c r="AC496" s="160">
        <v>7497628.3955753744</v>
      </c>
      <c r="AD496" s="160">
        <v>-3085872.7099400163</v>
      </c>
      <c r="AE496" s="160">
        <v>-3157026.0107437819</v>
      </c>
      <c r="AF496" s="160">
        <v>-12713950.545218319</v>
      </c>
      <c r="AG496" s="160">
        <v>-21054184.903864637</v>
      </c>
    </row>
    <row r="497" spans="16:33" ht="15.75" customHeight="1">
      <c r="P497" s="159"/>
      <c r="Q497" s="159">
        <v>480</v>
      </c>
      <c r="R497" s="160">
        <v>-30608039.20666039</v>
      </c>
      <c r="S497" s="160">
        <v>-21276333.747963578</v>
      </c>
      <c r="T497" s="160">
        <v>-22737343.189839706</v>
      </c>
      <c r="U497" s="160">
        <v>-11309133.390569746</v>
      </c>
      <c r="V497" s="160">
        <v>-5662706.9350668341</v>
      </c>
      <c r="W497" s="161">
        <v>-84869.740273684263</v>
      </c>
      <c r="X497" s="160">
        <v>13028824.186574817</v>
      </c>
      <c r="Y497" s="160">
        <v>3824692.3704081625</v>
      </c>
      <c r="Z497" s="160">
        <v>10465348.600677863</v>
      </c>
      <c r="AA497" s="160">
        <v>11257133.384679765</v>
      </c>
      <c r="AB497" s="160">
        <v>7989385.7648619115</v>
      </c>
      <c r="AC497" s="160">
        <v>8172824.9536861181</v>
      </c>
      <c r="AD497" s="160">
        <v>9673357.3172542751</v>
      </c>
      <c r="AE497" s="160">
        <v>-14240588.285664946</v>
      </c>
      <c r="AF497" s="160">
        <v>-11018547.642873943</v>
      </c>
      <c r="AG497" s="160">
        <v>-22169491.246398926</v>
      </c>
    </row>
    <row r="498" spans="16:33" ht="15.75" customHeight="1">
      <c r="P498" s="159"/>
      <c r="Q498" s="159">
        <v>481</v>
      </c>
      <c r="R498" s="160">
        <v>-32775387.750513583</v>
      </c>
      <c r="S498" s="160">
        <v>-17446237.302561179</v>
      </c>
      <c r="T498" s="160">
        <v>-19122323.198263675</v>
      </c>
      <c r="U498" s="160">
        <v>-17584452.408257455</v>
      </c>
      <c r="V498" s="160">
        <v>-8019021.799235791</v>
      </c>
      <c r="W498" s="161">
        <v>13169881.938135773</v>
      </c>
      <c r="X498" s="160">
        <v>7512751.1247604489</v>
      </c>
      <c r="Y498" s="160">
        <v>4801516.7256727815</v>
      </c>
      <c r="Z498" s="160">
        <v>7150360.1770058274</v>
      </c>
      <c r="AA498" s="160">
        <v>6461042.5295274109</v>
      </c>
      <c r="AB498" s="160">
        <v>14808104.714491308</v>
      </c>
      <c r="AC498" s="160">
        <v>20545378.938274175</v>
      </c>
      <c r="AD498" s="160">
        <v>12140019.897465587</v>
      </c>
      <c r="AE498" s="160">
        <v>-1269762.2650014609</v>
      </c>
      <c r="AF498" s="160">
        <v>-6975502.2205790281</v>
      </c>
      <c r="AG498" s="160">
        <v>-25238073.97715342</v>
      </c>
    </row>
    <row r="499" spans="16:33" ht="15.75" customHeight="1">
      <c r="P499" s="159"/>
      <c r="Q499" s="159">
        <v>482</v>
      </c>
      <c r="R499" s="160">
        <v>-31531550.091024205</v>
      </c>
      <c r="S499" s="160">
        <v>-27626476.488235936</v>
      </c>
      <c r="T499" s="160">
        <v>-18319829.530127943</v>
      </c>
      <c r="U499" s="160">
        <v>-3701294.3780046999</v>
      </c>
      <c r="V499" s="160">
        <v>-4146965.229613632</v>
      </c>
      <c r="W499" s="161">
        <v>-1627682.0096302629</v>
      </c>
      <c r="X499" s="160">
        <v>11855507.47726275</v>
      </c>
      <c r="Y499" s="160">
        <v>9608244.8098201156</v>
      </c>
      <c r="Z499" s="160">
        <v>6153042.413750723</v>
      </c>
      <c r="AA499" s="160">
        <v>8859067.9197839648</v>
      </c>
      <c r="AB499" s="160">
        <v>14439275.569445595</v>
      </c>
      <c r="AC499" s="160">
        <v>11324132.646099612</v>
      </c>
      <c r="AD499" s="160">
        <v>922225.91777841747</v>
      </c>
      <c r="AE499" s="160">
        <v>1860084.7441565841</v>
      </c>
      <c r="AF499" s="160">
        <v>-3255463.000292033</v>
      </c>
      <c r="AG499" s="160">
        <v>-21468458.455959707</v>
      </c>
    </row>
    <row r="500" spans="16:33" ht="15.75" customHeight="1">
      <c r="P500" s="159"/>
      <c r="Q500" s="159">
        <v>483</v>
      </c>
      <c r="R500" s="160">
        <v>-40610200.259512067</v>
      </c>
      <c r="S500" s="160">
        <v>-28851881.286077946</v>
      </c>
      <c r="T500" s="160">
        <v>-14622560.29225193</v>
      </c>
      <c r="U500" s="160">
        <v>-2544755.5539758205</v>
      </c>
      <c r="V500" s="160">
        <v>-796457.9944576174</v>
      </c>
      <c r="W500" s="161">
        <v>-1994884.3812436908</v>
      </c>
      <c r="X500" s="160">
        <v>11850823.619883776</v>
      </c>
      <c r="Y500" s="160">
        <v>8293638.2637127489</v>
      </c>
      <c r="Z500" s="160">
        <v>3015975.7337282896</v>
      </c>
      <c r="AA500" s="160">
        <v>13459563.619884491</v>
      </c>
      <c r="AB500" s="160">
        <v>1242969.7074567378</v>
      </c>
      <c r="AC500" s="160">
        <v>11850543.338046193</v>
      </c>
      <c r="AD500" s="160">
        <v>1694813.765470162</v>
      </c>
      <c r="AE500" s="160">
        <v>-1450340.7231838554</v>
      </c>
      <c r="AF500" s="160">
        <v>-6549475.9331793934</v>
      </c>
      <c r="AG500" s="160">
        <v>-13946984.00895302</v>
      </c>
    </row>
    <row r="501" spans="16:33" ht="15.75" customHeight="1">
      <c r="P501" s="159"/>
      <c r="Q501" s="159">
        <v>484</v>
      </c>
      <c r="R501" s="160">
        <v>-27037664.583809555</v>
      </c>
      <c r="S501" s="160">
        <v>-22526392.398763418</v>
      </c>
      <c r="T501" s="160">
        <v>-20043085.040119261</v>
      </c>
      <c r="U501" s="160">
        <v>-814467.71266740561</v>
      </c>
      <c r="V501" s="160">
        <v>-2541231.7749105543</v>
      </c>
      <c r="W501" s="161">
        <v>4966980.8259319067</v>
      </c>
      <c r="X501" s="160">
        <v>7416447.499079749</v>
      </c>
      <c r="Y501" s="160">
        <v>9771816.1744640023</v>
      </c>
      <c r="Z501" s="160">
        <v>2508415.9514827877</v>
      </c>
      <c r="AA501" s="160">
        <v>18026053.352348149</v>
      </c>
      <c r="AB501" s="160">
        <v>11251652.688709483</v>
      </c>
      <c r="AC501" s="160">
        <v>6280601.7731037289</v>
      </c>
      <c r="AD501" s="160">
        <v>13803110.002358899</v>
      </c>
      <c r="AE501" s="160">
        <v>479609.14527320862</v>
      </c>
      <c r="AF501" s="160">
        <v>-17980582.246562138</v>
      </c>
      <c r="AG501" s="160">
        <v>-20111110.151719287</v>
      </c>
    </row>
    <row r="502" spans="16:33" ht="15.75" customHeight="1">
      <c r="P502" s="159"/>
      <c r="Q502" s="159">
        <v>485</v>
      </c>
      <c r="R502" s="160">
        <v>-31237574.239455178</v>
      </c>
      <c r="S502" s="160">
        <v>-22423059.989193857</v>
      </c>
      <c r="T502" s="160">
        <v>-24682719.545933217</v>
      </c>
      <c r="U502" s="160">
        <v>-7638320.0098357052</v>
      </c>
      <c r="V502" s="160">
        <v>-5847038.8222808242</v>
      </c>
      <c r="W502" s="161">
        <v>814406.12302163243</v>
      </c>
      <c r="X502" s="160">
        <v>8685877.3541252017</v>
      </c>
      <c r="Y502" s="160">
        <v>2887474.4210581332</v>
      </c>
      <c r="Z502" s="160">
        <v>13553797.125778943</v>
      </c>
      <c r="AA502" s="160">
        <v>19998239.388020247</v>
      </c>
      <c r="AB502" s="160">
        <v>122720.74660857022</v>
      </c>
      <c r="AC502" s="160">
        <v>-1997547.9470867813</v>
      </c>
      <c r="AD502" s="160">
        <v>3311922.1435830593</v>
      </c>
      <c r="AE502" s="160">
        <v>-2627433.5257484466</v>
      </c>
      <c r="AF502" s="160">
        <v>-5684911.3310270905</v>
      </c>
      <c r="AG502" s="160">
        <v>-19102026.084167704</v>
      </c>
    </row>
    <row r="503" spans="16:33" ht="15.75" customHeight="1">
      <c r="P503" s="159"/>
      <c r="Q503" s="159">
        <v>486</v>
      </c>
      <c r="R503" s="160">
        <v>-38519049.818063796</v>
      </c>
      <c r="S503" s="160">
        <v>-28419485.268417269</v>
      </c>
      <c r="T503" s="160">
        <v>-20016967.661676109</v>
      </c>
      <c r="U503" s="160">
        <v>-2941817.2459060848</v>
      </c>
      <c r="V503" s="160">
        <v>3247792.3890406936</v>
      </c>
      <c r="W503" s="161">
        <v>3166718.9520626664</v>
      </c>
      <c r="X503" s="160">
        <v>4200724.3746663034</v>
      </c>
      <c r="Y503" s="160">
        <v>20004729.495367423</v>
      </c>
      <c r="Z503" s="160">
        <v>2365925.9033648968</v>
      </c>
      <c r="AA503" s="160">
        <v>15679832.305576921</v>
      </c>
      <c r="AB503" s="160">
        <v>5132323.1974693984</v>
      </c>
      <c r="AC503" s="160">
        <v>11216183.269813284</v>
      </c>
      <c r="AD503" s="160">
        <v>-3073944.198694706</v>
      </c>
      <c r="AE503" s="160">
        <v>2272557.0127583295</v>
      </c>
      <c r="AF503" s="160">
        <v>353838.37126770616</v>
      </c>
      <c r="AG503" s="160">
        <v>-24568786.157570511</v>
      </c>
    </row>
    <row r="504" spans="16:33" ht="15.75" customHeight="1">
      <c r="P504" s="159"/>
      <c r="Q504" s="159">
        <v>487</v>
      </c>
      <c r="R504" s="160">
        <v>-39701573.797895566</v>
      </c>
      <c r="S504" s="160">
        <v>-26084322.167865768</v>
      </c>
      <c r="T504" s="160">
        <v>-16408921.757380873</v>
      </c>
      <c r="U504" s="160">
        <v>-5707443.4095645398</v>
      </c>
      <c r="V504" s="160">
        <v>-5508188.6175351888</v>
      </c>
      <c r="W504" s="161">
        <v>6899909.6777311265</v>
      </c>
      <c r="X504" s="160">
        <v>-7285697.5585223883</v>
      </c>
      <c r="Y504" s="160">
        <v>24054123.880883276</v>
      </c>
      <c r="Z504" s="160">
        <v>6800914.364265129</v>
      </c>
      <c r="AA504" s="160">
        <v>10859000.949719086</v>
      </c>
      <c r="AB504" s="160">
        <v>2488600.9791876972</v>
      </c>
      <c r="AC504" s="160">
        <v>-4884090.4593182951</v>
      </c>
      <c r="AD504" s="160">
        <v>12221086.216369465</v>
      </c>
      <c r="AE504" s="160">
        <v>-4996910.2760914117</v>
      </c>
      <c r="AF504" s="160">
        <v>-12501642.139144704</v>
      </c>
      <c r="AG504" s="160">
        <v>-12777160.244807452</v>
      </c>
    </row>
    <row r="505" spans="16:33" ht="15.75" customHeight="1">
      <c r="P505" s="159"/>
      <c r="Q505" s="159">
        <v>488</v>
      </c>
      <c r="R505" s="160">
        <v>-29270976.276124209</v>
      </c>
      <c r="S505" s="160">
        <v>-19345790.445425421</v>
      </c>
      <c r="T505" s="160">
        <v>-14754868.864784047</v>
      </c>
      <c r="U505" s="160">
        <v>-7287207.1520507187</v>
      </c>
      <c r="V505" s="160">
        <v>-10227393.034586102</v>
      </c>
      <c r="W505" s="161">
        <v>13256847.309348062</v>
      </c>
      <c r="X505" s="160">
        <v>4478133.9550494701</v>
      </c>
      <c r="Y505" s="160">
        <v>14882604.812717497</v>
      </c>
      <c r="Z505" s="160">
        <v>15276438.611105129</v>
      </c>
      <c r="AA505" s="160">
        <v>6650231.1169100255</v>
      </c>
      <c r="AB505" s="160">
        <v>15263850.744508088</v>
      </c>
      <c r="AC505" s="160">
        <v>-3367771.5024867505</v>
      </c>
      <c r="AD505" s="160">
        <v>4948719.1417791992</v>
      </c>
      <c r="AE505" s="160">
        <v>-6534290.862588048</v>
      </c>
      <c r="AF505" s="160">
        <v>-9434473.9768071473</v>
      </c>
      <c r="AG505" s="160">
        <v>-12278868.154244557</v>
      </c>
    </row>
    <row r="506" spans="16:33" ht="15.75" customHeight="1">
      <c r="P506" s="159"/>
      <c r="Q506" s="159">
        <v>489</v>
      </c>
      <c r="R506" s="160">
        <v>-28265007.790292025</v>
      </c>
      <c r="S506" s="160">
        <v>-25280447.125708625</v>
      </c>
      <c r="T506" s="160">
        <v>-15640599.727356136</v>
      </c>
      <c r="U506" s="160">
        <v>1715506.0341927111</v>
      </c>
      <c r="V506" s="160">
        <v>-4404710.1392621249</v>
      </c>
      <c r="W506" s="161">
        <v>-3279126.0028886795</v>
      </c>
      <c r="X506" s="160">
        <v>-3850095.6594372243</v>
      </c>
      <c r="Y506" s="160">
        <v>2532522.0068735927</v>
      </c>
      <c r="Z506" s="160">
        <v>12866402.794624344</v>
      </c>
      <c r="AA506" s="160">
        <v>11923899.552076027</v>
      </c>
      <c r="AB506" s="160">
        <v>11333257.760942936</v>
      </c>
      <c r="AC506" s="160">
        <v>9856247.5643038452</v>
      </c>
      <c r="AD506" s="160">
        <v>638552.97087728977</v>
      </c>
      <c r="AE506" s="160">
        <v>-4923894.3194678575</v>
      </c>
      <c r="AF506" s="160">
        <v>-10173348.607158154</v>
      </c>
      <c r="AG506" s="160">
        <v>-21271521.064642951</v>
      </c>
    </row>
    <row r="507" spans="16:33" ht="15.75" customHeight="1">
      <c r="P507" s="159"/>
      <c r="Q507" s="159">
        <v>490</v>
      </c>
      <c r="R507" s="160">
        <v>-34322776.294643328</v>
      </c>
      <c r="S507" s="160">
        <v>-29808616.262027696</v>
      </c>
      <c r="T507" s="160">
        <v>-19292040.457921535</v>
      </c>
      <c r="U507" s="160">
        <v>-1802149.6247871816</v>
      </c>
      <c r="V507" s="160">
        <v>8999400.259541899</v>
      </c>
      <c r="W507" s="161">
        <v>-2345011.8722729385</v>
      </c>
      <c r="X507" s="160">
        <v>4401608.9313825369</v>
      </c>
      <c r="Y507" s="160">
        <v>11849750.524087027</v>
      </c>
      <c r="Z507" s="160">
        <v>16501840.217650473</v>
      </c>
      <c r="AA507" s="160">
        <v>7770956.4942001104</v>
      </c>
      <c r="AB507" s="160">
        <v>-97575.974550649524</v>
      </c>
      <c r="AC507" s="160">
        <v>-368041.4410469532</v>
      </c>
      <c r="AD507" s="160">
        <v>193476.60727347434</v>
      </c>
      <c r="AE507" s="160">
        <v>4268858.1442612112</v>
      </c>
      <c r="AF507" s="160">
        <v>-8588479.5832398087</v>
      </c>
      <c r="AG507" s="160">
        <v>-19749110.106942579</v>
      </c>
    </row>
    <row r="508" spans="16:33" ht="15.75" customHeight="1">
      <c r="P508" s="159"/>
      <c r="Q508" s="159">
        <v>491</v>
      </c>
      <c r="R508" s="160">
        <v>-37360560.102952212</v>
      </c>
      <c r="S508" s="160">
        <v>-26135565.687000245</v>
      </c>
      <c r="T508" s="160">
        <v>-18059481.290805191</v>
      </c>
      <c r="U508" s="160">
        <v>-12084187.657326281</v>
      </c>
      <c r="V508" s="160">
        <v>-8907350.2063559443</v>
      </c>
      <c r="W508" s="161">
        <v>16672755.688055098</v>
      </c>
      <c r="X508" s="160">
        <v>14150426.687266245</v>
      </c>
      <c r="Y508" s="160">
        <v>7808952.1741859019</v>
      </c>
      <c r="Z508" s="160">
        <v>5740549.308247298</v>
      </c>
      <c r="AA508" s="160">
        <v>16062720.420664236</v>
      </c>
      <c r="AB508" s="160">
        <v>22401579.265683964</v>
      </c>
      <c r="AC508" s="160">
        <v>2146217.2863320708</v>
      </c>
      <c r="AD508" s="160">
        <v>2998722.1871167421</v>
      </c>
      <c r="AE508" s="160">
        <v>-7237035.1902377307</v>
      </c>
      <c r="AF508" s="160">
        <v>-9894413.4522026181</v>
      </c>
      <c r="AG508" s="160">
        <v>-11764548.64463006</v>
      </c>
    </row>
    <row r="509" spans="16:33" ht="15.75" customHeight="1">
      <c r="P509" s="159"/>
      <c r="Q509" s="159">
        <v>492</v>
      </c>
      <c r="R509" s="160">
        <v>-39567444.691379637</v>
      </c>
      <c r="S509" s="160">
        <v>-20382310.377138019</v>
      </c>
      <c r="T509" s="160">
        <v>-14947834.790569052</v>
      </c>
      <c r="U509" s="160">
        <v>-7247565.7381605059</v>
      </c>
      <c r="V509" s="160">
        <v>-4743375.2156368047</v>
      </c>
      <c r="W509" s="161">
        <v>9933690.5588162392</v>
      </c>
      <c r="X509" s="160">
        <v>12723074.475128308</v>
      </c>
      <c r="Y509" s="160">
        <v>-3724343.9680560976</v>
      </c>
      <c r="Z509" s="160">
        <v>2154161.4186192751</v>
      </c>
      <c r="AA509" s="160">
        <v>16940411.730131969</v>
      </c>
      <c r="AB509" s="160">
        <v>12181398.69075188</v>
      </c>
      <c r="AC509" s="160">
        <v>20207412.130936339</v>
      </c>
      <c r="AD509" s="160">
        <v>5722273.2722987831</v>
      </c>
      <c r="AE509" s="160">
        <v>-3386836.9328991622</v>
      </c>
      <c r="AF509" s="160">
        <v>-10096317.074579537</v>
      </c>
      <c r="AG509" s="160">
        <v>-13443602.319588035</v>
      </c>
    </row>
    <row r="510" spans="16:33" ht="15.75" customHeight="1">
      <c r="P510" s="159"/>
      <c r="Q510" s="159">
        <v>493</v>
      </c>
      <c r="R510" s="160">
        <v>-34061878.429280847</v>
      </c>
      <c r="S510" s="160">
        <v>-19323234.581964761</v>
      </c>
      <c r="T510" s="160">
        <v>-11347493.379590422</v>
      </c>
      <c r="U510" s="160">
        <v>-3401397.6038492471</v>
      </c>
      <c r="V510" s="160">
        <v>2470747.8821349442</v>
      </c>
      <c r="W510" s="161">
        <v>5758366.4516246468</v>
      </c>
      <c r="X510" s="160">
        <v>473775.36501021683</v>
      </c>
      <c r="Y510" s="160">
        <v>13519436.961124614</v>
      </c>
      <c r="Z510" s="160">
        <v>3382180.3255009502</v>
      </c>
      <c r="AA510" s="160">
        <v>11670758.966495544</v>
      </c>
      <c r="AB510" s="160">
        <v>17429408.756155297</v>
      </c>
      <c r="AC510" s="160">
        <v>24831.562928766012</v>
      </c>
      <c r="AD510" s="160">
        <v>11367573.092615351</v>
      </c>
      <c r="AE510" s="160">
        <v>1774529.0601164848</v>
      </c>
      <c r="AF510" s="160">
        <v>-12765308.240124643</v>
      </c>
      <c r="AG510" s="160">
        <v>-12618088.804597467</v>
      </c>
    </row>
    <row r="511" spans="16:33" ht="15.75" customHeight="1">
      <c r="P511" s="159"/>
      <c r="Q511" s="159">
        <v>494</v>
      </c>
      <c r="R511" s="160">
        <v>-27669802.746714532</v>
      </c>
      <c r="S511" s="160">
        <v>-25159670.369630054</v>
      </c>
      <c r="T511" s="160">
        <v>-19355046.046038017</v>
      </c>
      <c r="U511" s="160">
        <v>-5263900.9609675407</v>
      </c>
      <c r="V511" s="160">
        <v>-9711243.6790611893</v>
      </c>
      <c r="W511" s="161">
        <v>10849495.332420573</v>
      </c>
      <c r="X511" s="160">
        <v>5482657.5465003252</v>
      </c>
      <c r="Y511" s="160">
        <v>10979344.470189199</v>
      </c>
      <c r="Z511" s="160">
        <v>11484311.707705125</v>
      </c>
      <c r="AA511" s="160">
        <v>11346144.28671737</v>
      </c>
      <c r="AB511" s="160">
        <v>-4929741.5438930988</v>
      </c>
      <c r="AC511" s="160">
        <v>20551580.871528938</v>
      </c>
      <c r="AD511" s="160">
        <v>7041333.144502148</v>
      </c>
      <c r="AE511" s="160">
        <v>5680364.0417947918</v>
      </c>
      <c r="AF511" s="160">
        <v>-14750050.640695214</v>
      </c>
      <c r="AG511" s="160">
        <v>-14756011.941695824</v>
      </c>
    </row>
    <row r="512" spans="16:33" ht="15.75" customHeight="1">
      <c r="P512" s="159"/>
      <c r="Q512" s="159">
        <v>495</v>
      </c>
      <c r="R512" s="160">
        <v>-36239908.492683381</v>
      </c>
      <c r="S512" s="160">
        <v>-27684687.988263711</v>
      </c>
      <c r="T512" s="160">
        <v>-13359653.419388384</v>
      </c>
      <c r="U512" s="160">
        <v>-8091156.0460504591</v>
      </c>
      <c r="V512" s="160">
        <v>4452921.1528324634</v>
      </c>
      <c r="W512" s="161">
        <v>-2046130.5508186668</v>
      </c>
      <c r="X512" s="160">
        <v>7971769.5297473222</v>
      </c>
      <c r="Y512" s="160">
        <v>10449142.820552975</v>
      </c>
      <c r="Z512" s="160">
        <v>2715028.2644853741</v>
      </c>
      <c r="AA512" s="160">
        <v>4402858.8581762016</v>
      </c>
      <c r="AB512" s="160">
        <v>8702247.1048644632</v>
      </c>
      <c r="AC512" s="160">
        <v>14644854.136049882</v>
      </c>
      <c r="AD512" s="160">
        <v>-2593741.6655555665</v>
      </c>
      <c r="AE512" s="160">
        <v>-4783182.8373647183</v>
      </c>
      <c r="AF512" s="160">
        <v>-10822427.147190794</v>
      </c>
      <c r="AG512" s="160">
        <v>-21455657.41798611</v>
      </c>
    </row>
    <row r="513" spans="16:33" ht="15.75" customHeight="1">
      <c r="P513" s="159"/>
      <c r="Q513" s="159">
        <v>496</v>
      </c>
      <c r="R513" s="160">
        <v>-33038926.697886795</v>
      </c>
      <c r="S513" s="160">
        <v>-21030539.974110097</v>
      </c>
      <c r="T513" s="160">
        <v>-9948639.101272881</v>
      </c>
      <c r="U513" s="160">
        <v>-5784559.9874651134</v>
      </c>
      <c r="V513" s="160">
        <v>-6342838.4077255279</v>
      </c>
      <c r="W513" s="161">
        <v>-4611464.7948116213</v>
      </c>
      <c r="X513" s="160">
        <v>12912745.84770748</v>
      </c>
      <c r="Y513" s="160">
        <v>6773976.1898652464</v>
      </c>
      <c r="Z513" s="160">
        <v>11042718.534710512</v>
      </c>
      <c r="AA513" s="160">
        <v>6083682.1061096489</v>
      </c>
      <c r="AB513" s="160">
        <v>12437044.432388097</v>
      </c>
      <c r="AC513" s="160">
        <v>8177145.0189362466</v>
      </c>
      <c r="AD513" s="160">
        <v>5518417.4767912328</v>
      </c>
      <c r="AE513" s="160">
        <v>-9156757.3652865142</v>
      </c>
      <c r="AF513" s="160">
        <v>-21258458.956017226</v>
      </c>
      <c r="AG513" s="160">
        <v>-7747462.5261857063</v>
      </c>
    </row>
    <row r="514" spans="16:33" ht="15.75" customHeight="1">
      <c r="P514" s="159"/>
      <c r="Q514" s="159">
        <v>497</v>
      </c>
      <c r="R514" s="160">
        <v>-38623538.003236562</v>
      </c>
      <c r="S514" s="160">
        <v>-24288701.676478848</v>
      </c>
      <c r="T514" s="160">
        <v>-13014773.117861778</v>
      </c>
      <c r="U514" s="160">
        <v>-8043932.4835825861</v>
      </c>
      <c r="V514" s="160">
        <v>-8373752.4890808165</v>
      </c>
      <c r="W514" s="161">
        <v>3226943.4543795884</v>
      </c>
      <c r="X514" s="160">
        <v>3753844.8633027375</v>
      </c>
      <c r="Y514" s="160">
        <v>1702248.8454781473</v>
      </c>
      <c r="Z514" s="160">
        <v>14125108.007093549</v>
      </c>
      <c r="AA514" s="160">
        <v>11013400.426660821</v>
      </c>
      <c r="AB514" s="160">
        <v>21969496.056885317</v>
      </c>
      <c r="AC514" s="160">
        <v>7348350.4089251906</v>
      </c>
      <c r="AD514" s="160">
        <v>6061691.5110967159</v>
      </c>
      <c r="AE514" s="160">
        <v>-12053497.060592175</v>
      </c>
      <c r="AF514" s="160">
        <v>-16739844.657380357</v>
      </c>
      <c r="AG514" s="160">
        <v>-22505804.634844258</v>
      </c>
    </row>
    <row r="515" spans="16:33" ht="15.75" customHeight="1">
      <c r="P515" s="159"/>
      <c r="Q515" s="159">
        <v>498</v>
      </c>
      <c r="R515" s="160">
        <v>-42090176.304834619</v>
      </c>
      <c r="S515" s="160">
        <v>-27839386.036239743</v>
      </c>
      <c r="T515" s="160">
        <v>-13939925.040451422</v>
      </c>
      <c r="U515" s="160">
        <v>-13309257.704158932</v>
      </c>
      <c r="V515" s="160">
        <v>1625486.293166399</v>
      </c>
      <c r="W515" s="161">
        <v>-3759029.1857377887</v>
      </c>
      <c r="X515" s="160">
        <v>13895061.172953486</v>
      </c>
      <c r="Y515" s="160">
        <v>9978478.5873167217</v>
      </c>
      <c r="Z515" s="160">
        <v>4049422.6463250965</v>
      </c>
      <c r="AA515" s="160">
        <v>5425190.2087405324</v>
      </c>
      <c r="AB515" s="160">
        <v>8778105.7477986813</v>
      </c>
      <c r="AC515" s="160">
        <v>-5057279.4035293311</v>
      </c>
      <c r="AD515" s="160">
        <v>3776357.2088519484</v>
      </c>
      <c r="AE515" s="160">
        <v>5111848.4385499656</v>
      </c>
      <c r="AF515" s="160">
        <v>-11200855.862817273</v>
      </c>
      <c r="AG515" s="160">
        <v>-21586938.066141814</v>
      </c>
    </row>
    <row r="516" spans="16:33" ht="15.75" customHeight="1">
      <c r="P516" s="159"/>
      <c r="Q516" s="159">
        <v>499</v>
      </c>
      <c r="R516" s="160">
        <v>-35523417.839233205</v>
      </c>
      <c r="S516" s="160">
        <v>-22100269.795867518</v>
      </c>
      <c r="T516" s="160">
        <v>-14618843.403272331</v>
      </c>
      <c r="U516" s="160">
        <v>-10009695.185169697</v>
      </c>
      <c r="V516" s="160">
        <v>-9988204.6958963722</v>
      </c>
      <c r="W516" s="161">
        <v>2934470.768670857</v>
      </c>
      <c r="X516" s="160">
        <v>11382324.114718989</v>
      </c>
      <c r="Y516" s="160">
        <v>15200365.492668793</v>
      </c>
      <c r="Z516" s="160">
        <v>16924908.837561041</v>
      </c>
      <c r="AA516" s="160">
        <v>62133.073000594974</v>
      </c>
      <c r="AB516" s="160">
        <v>4247408.650690347</v>
      </c>
      <c r="AC516" s="160">
        <v>-572261.27217000723</v>
      </c>
      <c r="AD516" s="160">
        <v>-350711.05338434875</v>
      </c>
      <c r="AE516" s="160">
        <v>-17411340.482869834</v>
      </c>
      <c r="AF516" s="160">
        <v>-15674501.434581116</v>
      </c>
      <c r="AG516" s="160">
        <v>-17605990.143674284</v>
      </c>
    </row>
    <row r="517" spans="16:33" ht="15.75" customHeight="1">
      <c r="P517" s="159"/>
      <c r="Q517" s="159">
        <v>500</v>
      </c>
      <c r="R517" s="160">
        <v>-42440687.854882941</v>
      </c>
      <c r="S517" s="160">
        <v>-28937142.461949468</v>
      </c>
      <c r="T517" s="160">
        <v>-11747782.668297723</v>
      </c>
      <c r="U517" s="160">
        <v>-13867996.318652645</v>
      </c>
      <c r="V517" s="160">
        <v>1235635.5257214606</v>
      </c>
      <c r="W517" s="161">
        <v>4411054.8279181719</v>
      </c>
      <c r="X517" s="160">
        <v>7520777.7145731747</v>
      </c>
      <c r="Y517" s="160">
        <v>15086147.212607592</v>
      </c>
      <c r="Z517" s="160">
        <v>8878574.1813650876</v>
      </c>
      <c r="AA517" s="160">
        <v>7258384.4106948674</v>
      </c>
      <c r="AB517" s="160">
        <v>7843646.2996725142</v>
      </c>
      <c r="AC517" s="160">
        <v>12382773.689446166</v>
      </c>
      <c r="AD517" s="160">
        <v>8906226.4007527083</v>
      </c>
      <c r="AE517" s="160">
        <v>-7618372.2916801721</v>
      </c>
      <c r="AF517" s="160">
        <v>-22178058.625766858</v>
      </c>
      <c r="AG517" s="160">
        <v>-21039669.468283549</v>
      </c>
    </row>
  </sheetData>
  <mergeCells count="5">
    <mergeCell ref="B20:F20"/>
    <mergeCell ref="B12:F12"/>
    <mergeCell ref="B4:F4"/>
    <mergeCell ref="H4:L4"/>
    <mergeCell ref="H12:L12"/>
  </mergeCells>
  <conditionalFormatting sqref="R13:AG1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0833B-69FF-4A1F-9647-203A630E93FD}">
  <sheetPr>
    <tabColor theme="4" tint="-0.249977111117893"/>
  </sheetPr>
  <dimension ref="A1:I18"/>
  <sheetViews>
    <sheetView topLeftCell="A5" workbookViewId="0">
      <selection activeCell="F43" sqref="F43"/>
    </sheetView>
  </sheetViews>
  <sheetFormatPr defaultColWidth="11.5546875" defaultRowHeight="13.2"/>
  <cols>
    <col min="1" max="1" width="19.44140625" bestFit="1" customWidth="1"/>
  </cols>
  <sheetData>
    <row r="1" spans="1:9">
      <c r="A1" t="s">
        <v>169</v>
      </c>
      <c r="B1">
        <v>0.78211358116662066</v>
      </c>
    </row>
    <row r="2" spans="1:9">
      <c r="A2" t="s">
        <v>170</v>
      </c>
      <c r="B2">
        <v>0.61170165384527608</v>
      </c>
    </row>
    <row r="3" spans="1:9">
      <c r="A3" t="s">
        <v>171</v>
      </c>
      <c r="B3">
        <v>0.56159864143821503</v>
      </c>
    </row>
    <row r="4" spans="1:9">
      <c r="A4" t="s">
        <v>172</v>
      </c>
      <c r="B4">
        <v>13818786.10198142</v>
      </c>
    </row>
    <row r="5" spans="1:9" ht="13.8" thickBot="1">
      <c r="A5" s="202" t="s">
        <v>173</v>
      </c>
      <c r="B5" s="202">
        <v>36</v>
      </c>
    </row>
    <row r="7" spans="1:9" ht="13.8" thickBot="1">
      <c r="A7" t="s">
        <v>174</v>
      </c>
      <c r="I7" s="204" t="s">
        <v>195</v>
      </c>
    </row>
    <row r="8" spans="1:9">
      <c r="A8" s="203"/>
      <c r="B8" s="203" t="s">
        <v>175</v>
      </c>
      <c r="C8" s="203" t="s">
        <v>176</v>
      </c>
      <c r="D8" s="203" t="s">
        <v>177</v>
      </c>
      <c r="E8" s="203" t="s">
        <v>178</v>
      </c>
      <c r="F8" s="203" t="s">
        <v>179</v>
      </c>
    </row>
    <row r="9" spans="1:9">
      <c r="A9" t="s">
        <v>180</v>
      </c>
      <c r="B9">
        <v>4</v>
      </c>
      <c r="C9">
        <v>9325574518669506</v>
      </c>
      <c r="D9">
        <v>2331393629667376.5</v>
      </c>
      <c r="E9">
        <v>12.208879755083696</v>
      </c>
      <c r="F9">
        <v>4.4924594731770651E-6</v>
      </c>
    </row>
    <row r="10" spans="1:9">
      <c r="A10" t="s">
        <v>181</v>
      </c>
      <c r="B10">
        <v>31</v>
      </c>
      <c r="C10">
        <v>5919724329301760</v>
      </c>
      <c r="D10">
        <v>190958849332314.84</v>
      </c>
    </row>
    <row r="11" spans="1:9" ht="13.8" thickBot="1">
      <c r="A11" s="202" t="s">
        <v>182</v>
      </c>
      <c r="B11" s="202">
        <v>35</v>
      </c>
      <c r="C11" s="202">
        <v>1.5245298847971266E+16</v>
      </c>
      <c r="D11" s="202"/>
      <c r="E11" s="202"/>
      <c r="F11" s="202"/>
    </row>
    <row r="12" spans="1:9" ht="13.8" thickBot="1"/>
    <row r="13" spans="1:9">
      <c r="A13" s="203"/>
      <c r="B13" s="203" t="s">
        <v>183</v>
      </c>
      <c r="C13" s="203" t="s">
        <v>172</v>
      </c>
      <c r="D13" s="203" t="s">
        <v>184</v>
      </c>
      <c r="E13" s="203" t="s">
        <v>185</v>
      </c>
      <c r="F13" s="203" t="s">
        <v>186</v>
      </c>
      <c r="G13" s="203" t="s">
        <v>187</v>
      </c>
      <c r="H13" s="203" t="s">
        <v>188</v>
      </c>
      <c r="I13" s="203" t="s">
        <v>189</v>
      </c>
    </row>
    <row r="14" spans="1:9">
      <c r="A14" t="s">
        <v>190</v>
      </c>
      <c r="B14">
        <v>17939831.767728154</v>
      </c>
      <c r="C14">
        <v>16175767.458894806</v>
      </c>
      <c r="D14">
        <v>1.109055988429366</v>
      </c>
      <c r="E14">
        <v>0.27593607087067384</v>
      </c>
      <c r="F14">
        <v>-15050863.470469262</v>
      </c>
      <c r="G14">
        <v>50930527.005925566</v>
      </c>
      <c r="H14">
        <v>-15050863.470469262</v>
      </c>
      <c r="I14">
        <v>50930527.005925566</v>
      </c>
    </row>
    <row r="15" spans="1:9">
      <c r="A15" t="s">
        <v>191</v>
      </c>
      <c r="B15">
        <v>-2954939.2406408447</v>
      </c>
      <c r="C15">
        <v>1099735.9030788215</v>
      </c>
      <c r="D15">
        <v>-2.6869535061719767</v>
      </c>
      <c r="E15">
        <v>1.1487528728336515E-2</v>
      </c>
      <c r="F15">
        <v>-5197865.4024549983</v>
      </c>
      <c r="G15">
        <v>-712013.07882669102</v>
      </c>
      <c r="H15">
        <v>-5197865.4024549983</v>
      </c>
      <c r="I15">
        <v>-712013.07882669102</v>
      </c>
    </row>
    <row r="16" spans="1:9">
      <c r="A16" t="s">
        <v>192</v>
      </c>
      <c r="B16">
        <v>-19337641.497230638</v>
      </c>
      <c r="C16">
        <v>8039101.4188060425</v>
      </c>
      <c r="D16">
        <v>-2.4054481327967423</v>
      </c>
      <c r="E16">
        <v>2.2308800678037203E-2</v>
      </c>
      <c r="F16">
        <v>-35733496.937830001</v>
      </c>
      <c r="G16">
        <v>-2941786.0566312708</v>
      </c>
      <c r="H16">
        <v>-35733496.937830001</v>
      </c>
      <c r="I16">
        <v>-2941786.0566312708</v>
      </c>
    </row>
    <row r="17" spans="1:9">
      <c r="A17" t="s">
        <v>193</v>
      </c>
      <c r="B17">
        <v>39597014.113243721</v>
      </c>
      <c r="C17">
        <v>7375222.9003875433</v>
      </c>
      <c r="D17">
        <v>5.3689243902259589</v>
      </c>
      <c r="E17">
        <v>7.4557361945243391E-6</v>
      </c>
      <c r="F17">
        <v>24555147.837732609</v>
      </c>
      <c r="G17">
        <v>54638880.38875483</v>
      </c>
      <c r="H17">
        <v>24555147.837732609</v>
      </c>
      <c r="I17">
        <v>54638880.38875483</v>
      </c>
    </row>
    <row r="18" spans="1:9" ht="13.8" thickBot="1">
      <c r="A18" s="202" t="s">
        <v>194</v>
      </c>
      <c r="B18" s="202">
        <v>-26773569.646007184</v>
      </c>
      <c r="C18" s="202">
        <v>7960918.372798603</v>
      </c>
      <c r="D18" s="202">
        <v>-3.3631257591446864</v>
      </c>
      <c r="E18" s="202">
        <v>2.0633070753223589E-3</v>
      </c>
      <c r="F18" s="202">
        <v>-43009969.712994151</v>
      </c>
      <c r="G18" s="202">
        <v>-10537169.579020219</v>
      </c>
      <c r="H18" s="202">
        <v>-43009969.712994151</v>
      </c>
      <c r="I18" s="202">
        <v>-10537169.579020219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58D36F-F60F-4ED1-A746-E467F0C034CC}">
  <sheetPr codeName="Arkusz5">
    <tabColor rgb="FFCC0000"/>
    <outlinePr summaryBelow="0" summaryRight="0"/>
  </sheetPr>
  <dimension ref="A1:AS274"/>
  <sheetViews>
    <sheetView tabSelected="1" topLeftCell="AB88" zoomScale="70" zoomScaleNormal="70" workbookViewId="0">
      <selection activeCell="AR115" sqref="AR115"/>
    </sheetView>
  </sheetViews>
  <sheetFormatPr defaultColWidth="12.6640625" defaultRowHeight="15.75" customHeight="1"/>
  <cols>
    <col min="1" max="1" width="13.109375" style="47" customWidth="1"/>
    <col min="2" max="2" width="23" style="33" bestFit="1" customWidth="1"/>
    <col min="3" max="3" width="23" style="33" customWidth="1"/>
    <col min="4" max="4" width="14.6640625" style="33" customWidth="1"/>
    <col min="5" max="5" width="15.33203125" style="33" customWidth="1"/>
    <col min="6" max="6" width="12.6640625" style="33" bestFit="1"/>
    <col min="7" max="15" width="15.33203125" style="33" bestFit="1" customWidth="1"/>
    <col min="16" max="16" width="15.33203125" style="33" customWidth="1"/>
    <col min="17" max="17" width="16.33203125" style="33" bestFit="1" customWidth="1"/>
    <col min="18" max="18" width="12.6640625" style="33" bestFit="1"/>
    <col min="19" max="28" width="17" style="33" customWidth="1"/>
    <col min="29" max="29" width="20.6640625" style="33" bestFit="1" customWidth="1"/>
    <col min="30" max="30" width="15.77734375" style="33" customWidth="1"/>
    <col min="31" max="31" width="12.6640625" style="33" bestFit="1"/>
    <col min="32" max="32" width="12.6640625" style="33"/>
    <col min="33" max="33" width="12.6640625" style="33" bestFit="1"/>
    <col min="34" max="35" width="12.6640625" style="33"/>
    <col min="36" max="37" width="12.6640625" style="33" bestFit="1"/>
    <col min="38" max="38" width="14.44140625" style="33" bestFit="1" customWidth="1"/>
    <col min="39" max="39" width="26" style="33" bestFit="1" customWidth="1"/>
    <col min="40" max="40" width="26.109375" style="33" bestFit="1" customWidth="1"/>
    <col min="41" max="41" width="26.44140625" style="33" customWidth="1"/>
    <col min="42" max="16384" width="12.6640625" style="33"/>
  </cols>
  <sheetData>
    <row r="1" spans="1:45" s="164" customFormat="1" ht="15.75" customHeight="1">
      <c r="A1" s="29" t="s">
        <v>30</v>
      </c>
      <c r="B1" s="25" t="s">
        <v>31</v>
      </c>
      <c r="C1" s="42"/>
      <c r="D1" s="31" t="s">
        <v>32</v>
      </c>
      <c r="E1" s="34" t="s">
        <v>142</v>
      </c>
      <c r="F1" s="36" t="s">
        <v>33</v>
      </c>
      <c r="G1" s="36" t="s">
        <v>34</v>
      </c>
      <c r="H1" s="36" t="s">
        <v>35</v>
      </c>
      <c r="I1" s="36" t="s">
        <v>36</v>
      </c>
      <c r="J1" s="36" t="s">
        <v>37</v>
      </c>
      <c r="K1" s="36" t="s">
        <v>38</v>
      </c>
      <c r="L1" s="36" t="s">
        <v>39</v>
      </c>
      <c r="M1" s="36" t="s">
        <v>40</v>
      </c>
      <c r="N1" s="36" t="s">
        <v>41</v>
      </c>
      <c r="O1" s="36" t="s">
        <v>42</v>
      </c>
      <c r="P1" s="38"/>
      <c r="Q1" s="26" t="s">
        <v>43</v>
      </c>
      <c r="R1" s="26" t="s">
        <v>44</v>
      </c>
      <c r="S1" s="26" t="s">
        <v>45</v>
      </c>
      <c r="T1" s="26" t="s">
        <v>46</v>
      </c>
      <c r="U1" s="26" t="s">
        <v>47</v>
      </c>
      <c r="V1" s="26" t="s">
        <v>48</v>
      </c>
      <c r="W1" s="26" t="s">
        <v>49</v>
      </c>
      <c r="X1" s="26" t="s">
        <v>50</v>
      </c>
      <c r="Y1" s="26" t="s">
        <v>51</v>
      </c>
      <c r="Z1" s="26" t="s">
        <v>52</v>
      </c>
      <c r="AA1" s="40" t="s">
        <v>53</v>
      </c>
      <c r="AB1" s="31"/>
      <c r="AE1" s="163"/>
      <c r="AF1" s="163"/>
      <c r="AG1" s="168" t="s">
        <v>144</v>
      </c>
      <c r="AH1" s="168" t="s">
        <v>147</v>
      </c>
      <c r="AI1" s="168" t="s">
        <v>54</v>
      </c>
      <c r="AJ1" s="171" t="s">
        <v>145</v>
      </c>
      <c r="AK1" s="172" t="s">
        <v>146</v>
      </c>
      <c r="AL1" s="168" t="s">
        <v>143</v>
      </c>
      <c r="AM1" s="165" t="s">
        <v>141</v>
      </c>
    </row>
    <row r="2" spans="1:45" ht="15.75" customHeight="1">
      <c r="A2" s="30">
        <v>1</v>
      </c>
      <c r="B2" s="27">
        <v>40000</v>
      </c>
      <c r="C2" s="43"/>
      <c r="D2" s="32">
        <f t="shared" ref="D2:D33" ca="1" si="0">RAND()</f>
        <v>5.853522036438974E-2</v>
      </c>
      <c r="E2" s="35">
        <f ca="1">VLOOKUP(D2,$AH$2:$AL$12, 5, TRUE)</f>
        <v>0</v>
      </c>
      <c r="F2" s="37">
        <f t="shared" ref="F2:F33" ca="1" si="1">IF(E2&gt;=1,1,0)</f>
        <v>0</v>
      </c>
      <c r="G2" s="37">
        <f t="shared" ref="G2:G33" ca="1" si="2">IF(E2&gt;=2,1,0)</f>
        <v>0</v>
      </c>
      <c r="H2" s="37">
        <f t="shared" ref="H2:H33" ca="1" si="3">IF(E2&gt;=3,1,0)</f>
        <v>0</v>
      </c>
      <c r="I2" s="37">
        <f t="shared" ref="I2:I33" ca="1" si="4">IF(E2&gt;=4,1,0)</f>
        <v>0</v>
      </c>
      <c r="J2" s="37">
        <f t="shared" ref="J2:J33" ca="1" si="5">IF(E2&gt;=5,1,0)</f>
        <v>0</v>
      </c>
      <c r="K2" s="37">
        <f t="shared" ref="K2:K33" ca="1" si="6">IF(E2&gt;=6,1,0)</f>
        <v>0</v>
      </c>
      <c r="L2" s="37">
        <f t="shared" ref="L2:L38" ca="1" si="7">IF(E2&gt;=7,1,0)</f>
        <v>0</v>
      </c>
      <c r="M2" s="37">
        <f t="shared" ref="M2:M33" ca="1" si="8">IF(E2&gt;=8,1,0)</f>
        <v>0</v>
      </c>
      <c r="N2" s="37">
        <f t="shared" ref="N2:N33" ca="1" si="9">IF(E2&gt;=9,1,0)</f>
        <v>0</v>
      </c>
      <c r="O2" s="37">
        <f t="shared" ref="O2:O33" ca="1" si="10">IF(E2&gt;=10,1,0)</f>
        <v>0</v>
      </c>
      <c r="P2" s="39"/>
      <c r="Q2" s="28">
        <f t="shared" ref="Q2:Q33" ca="1" si="11">_xlfn.CHISQ.INV(RAND(),2)*$AO$4 *F2</f>
        <v>0</v>
      </c>
      <c r="R2" s="28">
        <f t="shared" ref="R2:R33" ca="1" si="12">_xlfn.CHISQ.INV(RAND(),2)*$AO$4 *G2</f>
        <v>0</v>
      </c>
      <c r="S2" s="28">
        <f t="shared" ref="S2:S33" ca="1" si="13">_xlfn.CHISQ.INV(RAND(),2)*$AO$4 *H2</f>
        <v>0</v>
      </c>
      <c r="T2" s="28">
        <f t="shared" ref="T2:T33" ca="1" si="14">_xlfn.CHISQ.INV(RAND(),2)*$AO$4 *I2</f>
        <v>0</v>
      </c>
      <c r="U2" s="28">
        <f t="shared" ref="U2:U33" ca="1" si="15">_xlfn.CHISQ.INV(RAND(),2)*$AO$4 *J2</f>
        <v>0</v>
      </c>
      <c r="V2" s="28">
        <f t="shared" ref="V2:V33" ca="1" si="16">_xlfn.CHISQ.INV(RAND(),2)*$AO$4 *K2</f>
        <v>0</v>
      </c>
      <c r="W2" s="28">
        <f t="shared" ref="W2:W33" ca="1" si="17">_xlfn.CHISQ.INV(RAND(),2)*$AO$4 *L2</f>
        <v>0</v>
      </c>
      <c r="X2" s="28">
        <f t="shared" ref="X2:X33" ca="1" si="18">_xlfn.CHISQ.INV(RAND(),2)*$AO$4 *M2</f>
        <v>0</v>
      </c>
      <c r="Y2" s="28">
        <f t="shared" ref="Y2:Y33" ca="1" si="19">_xlfn.CHISQ.INV(RAND(),2)*$AO$4 *N2</f>
        <v>0</v>
      </c>
      <c r="Z2" s="28">
        <f t="shared" ref="Z2:Z33" ca="1" si="20">_xlfn.CHISQ.INV(RAND(),2)*$AO$4 *O2</f>
        <v>0</v>
      </c>
      <c r="AA2" s="41">
        <f t="shared" ref="AA2:AA33" ca="1" si="21">SUM(Q2:Z2)</f>
        <v>0</v>
      </c>
      <c r="AB2" s="162"/>
      <c r="AC2" s="44" t="s">
        <v>55</v>
      </c>
      <c r="AD2" s="45">
        <f ca="1">SUM(R2:AA141) + 140 * 40000</f>
        <v>25324656.65315108</v>
      </c>
      <c r="AE2" s="163"/>
      <c r="AF2" s="163"/>
      <c r="AG2" s="169">
        <f>AI2</f>
        <v>7.0000000000000007E-2</v>
      </c>
      <c r="AH2" s="169">
        <v>0</v>
      </c>
      <c r="AI2" s="169">
        <f>POWER(AJ2,$AN$7)</f>
        <v>7.0000000000000007E-2</v>
      </c>
      <c r="AJ2" s="173">
        <f>AK2</f>
        <v>7.0000000000000007E-2</v>
      </c>
      <c r="AK2" s="173">
        <v>7.0000000000000007E-2</v>
      </c>
      <c r="AL2" s="169">
        <v>0</v>
      </c>
      <c r="AM2" s="166">
        <f ca="1">COUNTIF(E:E, "=0")</f>
        <v>11</v>
      </c>
      <c r="AN2" s="92"/>
      <c r="AO2" s="5" t="s">
        <v>56</v>
      </c>
    </row>
    <row r="3" spans="1:45" ht="15.75" customHeight="1">
      <c r="A3" s="30">
        <v>2</v>
      </c>
      <c r="B3" s="27">
        <v>40000</v>
      </c>
      <c r="C3" s="43"/>
      <c r="D3" s="32">
        <f t="shared" ca="1" si="0"/>
        <v>0.65513537368373864</v>
      </c>
      <c r="E3" s="35">
        <f t="shared" ref="E3:E66" ca="1" si="22">VLOOKUP(D3,$AH$2:$AL$12, 5, TRUE)</f>
        <v>5</v>
      </c>
      <c r="F3" s="37">
        <f t="shared" ca="1" si="1"/>
        <v>1</v>
      </c>
      <c r="G3" s="37">
        <f t="shared" ca="1" si="2"/>
        <v>1</v>
      </c>
      <c r="H3" s="37">
        <f t="shared" ca="1" si="3"/>
        <v>1</v>
      </c>
      <c r="I3" s="37">
        <f t="shared" ca="1" si="4"/>
        <v>1</v>
      </c>
      <c r="J3" s="37">
        <f t="shared" ca="1" si="5"/>
        <v>1</v>
      </c>
      <c r="K3" s="37">
        <f t="shared" ca="1" si="6"/>
        <v>0</v>
      </c>
      <c r="L3" s="37">
        <f t="shared" ca="1" si="7"/>
        <v>0</v>
      </c>
      <c r="M3" s="37">
        <f t="shared" ca="1" si="8"/>
        <v>0</v>
      </c>
      <c r="N3" s="37">
        <f t="shared" ca="1" si="9"/>
        <v>0</v>
      </c>
      <c r="O3" s="37">
        <f t="shared" ca="1" si="10"/>
        <v>0</v>
      </c>
      <c r="P3" s="39"/>
      <c r="Q3" s="28">
        <f t="shared" ca="1" si="11"/>
        <v>13624.331981998839</v>
      </c>
      <c r="R3" s="28">
        <f t="shared" ca="1" si="12"/>
        <v>8731.6895761288251</v>
      </c>
      <c r="S3" s="28">
        <f t="shared" ca="1" si="13"/>
        <v>2499.7449574914099</v>
      </c>
      <c r="T3" s="28">
        <f t="shared" ca="1" si="14"/>
        <v>1844.3875497361234</v>
      </c>
      <c r="U3" s="28">
        <f t="shared" ca="1" si="15"/>
        <v>12102.041803559645</v>
      </c>
      <c r="V3" s="28">
        <f t="shared" ca="1" si="16"/>
        <v>0</v>
      </c>
      <c r="W3" s="28">
        <f t="shared" ca="1" si="17"/>
        <v>0</v>
      </c>
      <c r="X3" s="28">
        <f t="shared" ca="1" si="18"/>
        <v>0</v>
      </c>
      <c r="Y3" s="28">
        <f t="shared" ca="1" si="19"/>
        <v>0</v>
      </c>
      <c r="Z3" s="28">
        <f t="shared" ca="1" si="20"/>
        <v>0</v>
      </c>
      <c r="AA3" s="41">
        <f t="shared" ca="1" si="21"/>
        <v>38802.195868914845</v>
      </c>
      <c r="AB3" s="162"/>
      <c r="AC3" s="44" t="s">
        <v>57</v>
      </c>
      <c r="AD3" s="45">
        <f ca="1">AVERAGE(AA2:AA141)</f>
        <v>78723.300652581034</v>
      </c>
      <c r="AE3" s="163"/>
      <c r="AF3" s="163"/>
      <c r="AG3" s="169">
        <f>AI3-AI2</f>
        <v>0.09</v>
      </c>
      <c r="AH3" s="169">
        <f>AI2</f>
        <v>7.0000000000000007E-2</v>
      </c>
      <c r="AI3" s="169">
        <f t="shared" ref="AI3:AI12" si="23">POWER(AJ3,$AN$7)</f>
        <v>0.16</v>
      </c>
      <c r="AJ3" s="173">
        <f>AJ2+AK3</f>
        <v>0.16</v>
      </c>
      <c r="AK3" s="173">
        <v>0.09</v>
      </c>
      <c r="AL3" s="169">
        <v>1</v>
      </c>
      <c r="AM3" s="166">
        <f ca="1">COUNTIF(E:E, "=1")</f>
        <v>15</v>
      </c>
      <c r="AN3" s="5" t="s">
        <v>58</v>
      </c>
      <c r="AO3" s="5">
        <f ca="1">_xlfn.CHISQ.INV(RAND(),2)</f>
        <v>0.83521262945736641</v>
      </c>
      <c r="AS3" s="67"/>
    </row>
    <row r="4" spans="1:45" ht="15.75" customHeight="1">
      <c r="A4" s="30">
        <v>3</v>
      </c>
      <c r="B4" s="27">
        <v>40000</v>
      </c>
      <c r="C4" s="43"/>
      <c r="D4" s="32">
        <f t="shared" ca="1" si="0"/>
        <v>0.98713952895971135</v>
      </c>
      <c r="E4" s="35">
        <f t="shared" ca="1" si="22"/>
        <v>10</v>
      </c>
      <c r="F4" s="37">
        <f t="shared" ca="1" si="1"/>
        <v>1</v>
      </c>
      <c r="G4" s="37">
        <f t="shared" ca="1" si="2"/>
        <v>1</v>
      </c>
      <c r="H4" s="37">
        <f t="shared" ca="1" si="3"/>
        <v>1</v>
      </c>
      <c r="I4" s="37">
        <f t="shared" ca="1" si="4"/>
        <v>1</v>
      </c>
      <c r="J4" s="37">
        <f t="shared" ca="1" si="5"/>
        <v>1</v>
      </c>
      <c r="K4" s="37">
        <f t="shared" ca="1" si="6"/>
        <v>1</v>
      </c>
      <c r="L4" s="37">
        <f t="shared" ca="1" si="7"/>
        <v>1</v>
      </c>
      <c r="M4" s="37">
        <f t="shared" ca="1" si="8"/>
        <v>1</v>
      </c>
      <c r="N4" s="37">
        <f t="shared" ca="1" si="9"/>
        <v>1</v>
      </c>
      <c r="O4" s="37">
        <f t="shared" ca="1" si="10"/>
        <v>1</v>
      </c>
      <c r="P4" s="39"/>
      <c r="Q4" s="28">
        <f t="shared" ca="1" si="11"/>
        <v>9070.9911016651604</v>
      </c>
      <c r="R4" s="28">
        <f t="shared" ca="1" si="12"/>
        <v>62228.077887628948</v>
      </c>
      <c r="S4" s="28">
        <f t="shared" ca="1" si="13"/>
        <v>3607.7675975307234</v>
      </c>
      <c r="T4" s="28">
        <f t="shared" ca="1" si="14"/>
        <v>22937.809426727348</v>
      </c>
      <c r="U4" s="28">
        <f t="shared" ca="1" si="15"/>
        <v>32412.476703307137</v>
      </c>
      <c r="V4" s="28">
        <f t="shared" ca="1" si="16"/>
        <v>1984.0115538027378</v>
      </c>
      <c r="W4" s="28">
        <f t="shared" ca="1" si="17"/>
        <v>27285.188336064752</v>
      </c>
      <c r="X4" s="28">
        <f t="shared" ca="1" si="18"/>
        <v>8462.214558748683</v>
      </c>
      <c r="Y4" s="28">
        <f t="shared" ca="1" si="19"/>
        <v>7084.6436564734649</v>
      </c>
      <c r="Z4" s="28">
        <f t="shared" ca="1" si="20"/>
        <v>16087.840988097711</v>
      </c>
      <c r="AA4" s="41">
        <f t="shared" ca="1" si="21"/>
        <v>191161.02181004666</v>
      </c>
      <c r="AB4" s="162"/>
      <c r="AC4" s="163" t="s">
        <v>10</v>
      </c>
      <c r="AD4" s="163" t="s">
        <v>10</v>
      </c>
      <c r="AE4" s="163"/>
      <c r="AF4" s="163"/>
      <c r="AG4" s="169">
        <f t="shared" ref="AG4:AG12" si="24">AI4-AI3</f>
        <v>0.11000000000000001</v>
      </c>
      <c r="AH4" s="169">
        <f t="shared" ref="AH4:AH12" si="25">AI3</f>
        <v>0.16</v>
      </c>
      <c r="AI4" s="169">
        <f t="shared" si="23"/>
        <v>0.27</v>
      </c>
      <c r="AJ4" s="173">
        <f t="shared" ref="AJ4:AJ12" si="26">AJ3+AK4</f>
        <v>0.27</v>
      </c>
      <c r="AK4" s="173">
        <v>0.11</v>
      </c>
      <c r="AL4" s="169">
        <v>2</v>
      </c>
      <c r="AM4" s="166">
        <f ca="1">COUNTIF(E:E, "=2")</f>
        <v>19</v>
      </c>
      <c r="AN4" s="5" t="s">
        <v>59</v>
      </c>
      <c r="AO4" s="5">
        <v>10000</v>
      </c>
    </row>
    <row r="5" spans="1:45" ht="15.75" customHeight="1">
      <c r="A5" s="30">
        <v>4</v>
      </c>
      <c r="B5" s="27">
        <v>40000</v>
      </c>
      <c r="C5" s="43"/>
      <c r="D5" s="32">
        <f t="shared" ca="1" si="0"/>
        <v>0.39114933281556485</v>
      </c>
      <c r="E5" s="35">
        <f t="shared" ca="1" si="22"/>
        <v>3</v>
      </c>
      <c r="F5" s="37">
        <f t="shared" ca="1" si="1"/>
        <v>1</v>
      </c>
      <c r="G5" s="37">
        <f t="shared" ca="1" si="2"/>
        <v>1</v>
      </c>
      <c r="H5" s="37">
        <f t="shared" ca="1" si="3"/>
        <v>1</v>
      </c>
      <c r="I5" s="37">
        <f t="shared" ca="1" si="4"/>
        <v>0</v>
      </c>
      <c r="J5" s="37">
        <f t="shared" ca="1" si="5"/>
        <v>0</v>
      </c>
      <c r="K5" s="37">
        <f t="shared" ca="1" si="6"/>
        <v>0</v>
      </c>
      <c r="L5" s="37">
        <f t="shared" ca="1" si="7"/>
        <v>0</v>
      </c>
      <c r="M5" s="37">
        <f t="shared" ca="1" si="8"/>
        <v>0</v>
      </c>
      <c r="N5" s="37">
        <f t="shared" ca="1" si="9"/>
        <v>0</v>
      </c>
      <c r="O5" s="37">
        <f t="shared" ca="1" si="10"/>
        <v>0</v>
      </c>
      <c r="P5" s="39"/>
      <c r="Q5" s="28">
        <f t="shared" ca="1" si="11"/>
        <v>23550.712455710905</v>
      </c>
      <c r="R5" s="28">
        <f t="shared" ca="1" si="12"/>
        <v>7081.6021590144137</v>
      </c>
      <c r="S5" s="28">
        <f t="shared" ca="1" si="13"/>
        <v>6838.597742340964</v>
      </c>
      <c r="T5" s="28">
        <f t="shared" ca="1" si="14"/>
        <v>0</v>
      </c>
      <c r="U5" s="28">
        <f t="shared" ca="1" si="15"/>
        <v>0</v>
      </c>
      <c r="V5" s="28">
        <f t="shared" ca="1" si="16"/>
        <v>0</v>
      </c>
      <c r="W5" s="28">
        <f t="shared" ca="1" si="17"/>
        <v>0</v>
      </c>
      <c r="X5" s="28">
        <f t="shared" ca="1" si="18"/>
        <v>0</v>
      </c>
      <c r="Y5" s="28">
        <f t="shared" ca="1" si="19"/>
        <v>0</v>
      </c>
      <c r="Z5" s="28">
        <f t="shared" ca="1" si="20"/>
        <v>0</v>
      </c>
      <c r="AA5" s="41">
        <f t="shared" ca="1" si="21"/>
        <v>37470.912357066285</v>
      </c>
      <c r="AB5" s="162"/>
      <c r="AC5" s="163" t="s">
        <v>150</v>
      </c>
      <c r="AD5" s="163">
        <f ca="1">Podsumowanie!J9</f>
        <v>6887229.3562903702</v>
      </c>
      <c r="AE5" s="163"/>
      <c r="AF5" s="163"/>
      <c r="AG5" s="169">
        <f t="shared" si="24"/>
        <v>0.13</v>
      </c>
      <c r="AH5" s="169">
        <f t="shared" si="25"/>
        <v>0.27</v>
      </c>
      <c r="AI5" s="169">
        <f t="shared" si="23"/>
        <v>0.4</v>
      </c>
      <c r="AJ5" s="173">
        <f t="shared" si="26"/>
        <v>0.4</v>
      </c>
      <c r="AK5" s="173">
        <v>0.13</v>
      </c>
      <c r="AL5" s="169">
        <v>3</v>
      </c>
      <c r="AM5" s="166">
        <f ca="1">COUNTIF(E:E, "=3")</f>
        <v>21</v>
      </c>
      <c r="AN5" s="92"/>
      <c r="AO5" s="92"/>
    </row>
    <row r="6" spans="1:45" ht="15.75" customHeight="1">
      <c r="A6" s="30">
        <v>5</v>
      </c>
      <c r="B6" s="27">
        <v>40000</v>
      </c>
      <c r="C6" s="43"/>
      <c r="D6" s="32">
        <f t="shared" ca="1" si="0"/>
        <v>0.63105265869183647</v>
      </c>
      <c r="E6" s="35">
        <f t="shared" ca="1" si="22"/>
        <v>5</v>
      </c>
      <c r="F6" s="37">
        <f t="shared" ca="1" si="1"/>
        <v>1</v>
      </c>
      <c r="G6" s="37">
        <f t="shared" ca="1" si="2"/>
        <v>1</v>
      </c>
      <c r="H6" s="37">
        <f t="shared" ca="1" si="3"/>
        <v>1</v>
      </c>
      <c r="I6" s="37">
        <f t="shared" ca="1" si="4"/>
        <v>1</v>
      </c>
      <c r="J6" s="37">
        <f t="shared" ca="1" si="5"/>
        <v>1</v>
      </c>
      <c r="K6" s="37">
        <f t="shared" ca="1" si="6"/>
        <v>0</v>
      </c>
      <c r="L6" s="37">
        <f t="shared" ca="1" si="7"/>
        <v>0</v>
      </c>
      <c r="M6" s="37">
        <f t="shared" ca="1" si="8"/>
        <v>0</v>
      </c>
      <c r="N6" s="37">
        <f t="shared" ca="1" si="9"/>
        <v>0</v>
      </c>
      <c r="O6" s="37">
        <f t="shared" ca="1" si="10"/>
        <v>0</v>
      </c>
      <c r="P6" s="39"/>
      <c r="Q6" s="28">
        <f t="shared" ca="1" si="11"/>
        <v>40588.872303282464</v>
      </c>
      <c r="R6" s="28">
        <f t="shared" ca="1" si="12"/>
        <v>905.79575351152312</v>
      </c>
      <c r="S6" s="28">
        <f t="shared" ca="1" si="13"/>
        <v>5179.2050546206783</v>
      </c>
      <c r="T6" s="28">
        <f t="shared" ca="1" si="14"/>
        <v>12060.818015551775</v>
      </c>
      <c r="U6" s="28">
        <f t="shared" ca="1" si="15"/>
        <v>18267.990175871015</v>
      </c>
      <c r="V6" s="28">
        <f t="shared" ca="1" si="16"/>
        <v>0</v>
      </c>
      <c r="W6" s="28">
        <f t="shared" ca="1" si="17"/>
        <v>0</v>
      </c>
      <c r="X6" s="28">
        <f t="shared" ca="1" si="18"/>
        <v>0</v>
      </c>
      <c r="Y6" s="28">
        <f t="shared" ca="1" si="19"/>
        <v>0</v>
      </c>
      <c r="Z6" s="28">
        <f t="shared" ca="1" si="20"/>
        <v>0</v>
      </c>
      <c r="AA6" s="41">
        <f t="shared" ca="1" si="21"/>
        <v>77002.68130283746</v>
      </c>
      <c r="AB6" s="162"/>
      <c r="AC6" s="163" t="s">
        <v>10</v>
      </c>
      <c r="AD6" s="163" t="s">
        <v>10</v>
      </c>
      <c r="AE6" s="163"/>
      <c r="AF6" s="163"/>
      <c r="AG6" s="169">
        <f t="shared" si="24"/>
        <v>0.15000000000000002</v>
      </c>
      <c r="AH6" s="169">
        <f t="shared" si="25"/>
        <v>0.4</v>
      </c>
      <c r="AI6" s="169">
        <f t="shared" si="23"/>
        <v>0.55000000000000004</v>
      </c>
      <c r="AJ6" s="173">
        <f t="shared" si="26"/>
        <v>0.55000000000000004</v>
      </c>
      <c r="AK6" s="173">
        <v>0.15</v>
      </c>
      <c r="AL6" s="169">
        <v>4</v>
      </c>
      <c r="AM6" s="166">
        <f ca="1">COUNTIF(E:E, "=4")</f>
        <v>20</v>
      </c>
      <c r="AN6" s="3" t="s">
        <v>140</v>
      </c>
      <c r="AO6" s="92"/>
    </row>
    <row r="7" spans="1:45" ht="15.75" customHeight="1">
      <c r="A7" s="30">
        <v>6</v>
      </c>
      <c r="B7" s="27">
        <v>40000</v>
      </c>
      <c r="C7" s="43"/>
      <c r="D7" s="32">
        <f t="shared" ca="1" si="0"/>
        <v>0.26759297307525376</v>
      </c>
      <c r="E7" s="35">
        <f t="shared" ca="1" si="22"/>
        <v>2</v>
      </c>
      <c r="F7" s="37">
        <f t="shared" ca="1" si="1"/>
        <v>1</v>
      </c>
      <c r="G7" s="37">
        <f t="shared" ca="1" si="2"/>
        <v>1</v>
      </c>
      <c r="H7" s="37">
        <f t="shared" ca="1" si="3"/>
        <v>0</v>
      </c>
      <c r="I7" s="37">
        <f t="shared" ca="1" si="4"/>
        <v>0</v>
      </c>
      <c r="J7" s="37">
        <f t="shared" ca="1" si="5"/>
        <v>0</v>
      </c>
      <c r="K7" s="37">
        <f t="shared" ca="1" si="6"/>
        <v>0</v>
      </c>
      <c r="L7" s="37">
        <f t="shared" ca="1" si="7"/>
        <v>0</v>
      </c>
      <c r="M7" s="37">
        <f t="shared" ca="1" si="8"/>
        <v>0</v>
      </c>
      <c r="N7" s="37">
        <f t="shared" ca="1" si="9"/>
        <v>0</v>
      </c>
      <c r="O7" s="37">
        <f t="shared" ca="1" si="10"/>
        <v>0</v>
      </c>
      <c r="P7" s="39"/>
      <c r="Q7" s="28">
        <f t="shared" ca="1" si="11"/>
        <v>1163.5101441402703</v>
      </c>
      <c r="R7" s="28">
        <f t="shared" ca="1" si="12"/>
        <v>51706.101315871048</v>
      </c>
      <c r="S7" s="28">
        <f t="shared" ca="1" si="13"/>
        <v>0</v>
      </c>
      <c r="T7" s="28">
        <f t="shared" ca="1" si="14"/>
        <v>0</v>
      </c>
      <c r="U7" s="28">
        <f t="shared" ca="1" si="15"/>
        <v>0</v>
      </c>
      <c r="V7" s="28">
        <f t="shared" ca="1" si="16"/>
        <v>0</v>
      </c>
      <c r="W7" s="28">
        <f t="shared" ca="1" si="17"/>
        <v>0</v>
      </c>
      <c r="X7" s="28">
        <f t="shared" ca="1" si="18"/>
        <v>0</v>
      </c>
      <c r="Y7" s="28">
        <f t="shared" ca="1" si="19"/>
        <v>0</v>
      </c>
      <c r="Z7" s="28">
        <f t="shared" ca="1" si="20"/>
        <v>0</v>
      </c>
      <c r="AA7" s="41">
        <f t="shared" ca="1" si="21"/>
        <v>52869.611460011321</v>
      </c>
      <c r="AB7" s="162"/>
      <c r="AC7" s="163" t="s">
        <v>10</v>
      </c>
      <c r="AD7" s="163" t="s">
        <v>10</v>
      </c>
      <c r="AE7" s="163"/>
      <c r="AF7" s="163"/>
      <c r="AG7" s="169">
        <f t="shared" si="24"/>
        <v>0.13</v>
      </c>
      <c r="AH7" s="169">
        <f t="shared" si="25"/>
        <v>0.55000000000000004</v>
      </c>
      <c r="AI7" s="169">
        <f t="shared" si="23"/>
        <v>0.68</v>
      </c>
      <c r="AJ7" s="173">
        <f t="shared" si="26"/>
        <v>0.68</v>
      </c>
      <c r="AK7" s="173">
        <v>0.13</v>
      </c>
      <c r="AL7" s="169">
        <v>5</v>
      </c>
      <c r="AM7" s="166">
        <f ca="1">COUNTIF(E:E, "=5")</f>
        <v>18</v>
      </c>
      <c r="AN7" s="4">
        <v>1</v>
      </c>
      <c r="AO7" s="92"/>
    </row>
    <row r="8" spans="1:45" ht="15.75" customHeight="1">
      <c r="A8" s="30">
        <v>7</v>
      </c>
      <c r="B8" s="27">
        <v>40000</v>
      </c>
      <c r="C8" s="43"/>
      <c r="D8" s="32">
        <f t="shared" ca="1" si="0"/>
        <v>1.3566125465730106E-2</v>
      </c>
      <c r="E8" s="35">
        <f t="shared" ca="1" si="22"/>
        <v>0</v>
      </c>
      <c r="F8" s="37">
        <f t="shared" ca="1" si="1"/>
        <v>0</v>
      </c>
      <c r="G8" s="37">
        <f t="shared" ca="1" si="2"/>
        <v>0</v>
      </c>
      <c r="H8" s="37">
        <f t="shared" ca="1" si="3"/>
        <v>0</v>
      </c>
      <c r="I8" s="37">
        <f t="shared" ca="1" si="4"/>
        <v>0</v>
      </c>
      <c r="J8" s="37">
        <f t="shared" ca="1" si="5"/>
        <v>0</v>
      </c>
      <c r="K8" s="37">
        <f t="shared" ca="1" si="6"/>
        <v>0</v>
      </c>
      <c r="L8" s="37">
        <f t="shared" ca="1" si="7"/>
        <v>0</v>
      </c>
      <c r="M8" s="37">
        <f t="shared" ca="1" si="8"/>
        <v>0</v>
      </c>
      <c r="N8" s="37">
        <f t="shared" ca="1" si="9"/>
        <v>0</v>
      </c>
      <c r="O8" s="37">
        <f t="shared" ca="1" si="10"/>
        <v>0</v>
      </c>
      <c r="P8" s="39"/>
      <c r="Q8" s="28">
        <f t="shared" ca="1" si="11"/>
        <v>0</v>
      </c>
      <c r="R8" s="28">
        <f t="shared" ca="1" si="12"/>
        <v>0</v>
      </c>
      <c r="S8" s="28">
        <f t="shared" ca="1" si="13"/>
        <v>0</v>
      </c>
      <c r="T8" s="28">
        <f t="shared" ca="1" si="14"/>
        <v>0</v>
      </c>
      <c r="U8" s="28">
        <f t="shared" ca="1" si="15"/>
        <v>0</v>
      </c>
      <c r="V8" s="28">
        <f t="shared" ca="1" si="16"/>
        <v>0</v>
      </c>
      <c r="W8" s="28">
        <f t="shared" ca="1" si="17"/>
        <v>0</v>
      </c>
      <c r="X8" s="28">
        <f t="shared" ca="1" si="18"/>
        <v>0</v>
      </c>
      <c r="Y8" s="28">
        <f t="shared" ca="1" si="19"/>
        <v>0</v>
      </c>
      <c r="Z8" s="28">
        <f t="shared" ca="1" si="20"/>
        <v>0</v>
      </c>
      <c r="AA8" s="41">
        <f t="shared" ca="1" si="21"/>
        <v>0</v>
      </c>
      <c r="AB8" s="162"/>
      <c r="AC8" s="163" t="s">
        <v>10</v>
      </c>
      <c r="AD8" s="163" t="s">
        <v>10</v>
      </c>
      <c r="AE8" s="163"/>
      <c r="AF8" s="163"/>
      <c r="AG8" s="169">
        <f t="shared" si="24"/>
        <v>0.10999999999999999</v>
      </c>
      <c r="AH8" s="169">
        <f t="shared" si="25"/>
        <v>0.68</v>
      </c>
      <c r="AI8" s="169">
        <f t="shared" si="23"/>
        <v>0.79</v>
      </c>
      <c r="AJ8" s="173">
        <f t="shared" si="26"/>
        <v>0.79</v>
      </c>
      <c r="AK8" s="173">
        <v>0.11</v>
      </c>
      <c r="AL8" s="169">
        <v>6</v>
      </c>
      <c r="AM8" s="166">
        <f ca="1">COUNTIF(E:E, "=6")</f>
        <v>11</v>
      </c>
      <c r="AN8" s="92"/>
      <c r="AO8" s="92"/>
    </row>
    <row r="9" spans="1:45" ht="15.75" customHeight="1">
      <c r="A9" s="30">
        <v>8</v>
      </c>
      <c r="B9" s="27">
        <v>40000</v>
      </c>
      <c r="C9" s="43"/>
      <c r="D9" s="32">
        <f t="shared" ca="1" si="0"/>
        <v>0.98254811608312487</v>
      </c>
      <c r="E9" s="35">
        <f t="shared" ca="1" si="22"/>
        <v>10</v>
      </c>
      <c r="F9" s="37">
        <f t="shared" ca="1" si="1"/>
        <v>1</v>
      </c>
      <c r="G9" s="37">
        <f t="shared" ca="1" si="2"/>
        <v>1</v>
      </c>
      <c r="H9" s="37">
        <f t="shared" ca="1" si="3"/>
        <v>1</v>
      </c>
      <c r="I9" s="37">
        <f t="shared" ca="1" si="4"/>
        <v>1</v>
      </c>
      <c r="J9" s="37">
        <f t="shared" ca="1" si="5"/>
        <v>1</v>
      </c>
      <c r="K9" s="37">
        <f t="shared" ca="1" si="6"/>
        <v>1</v>
      </c>
      <c r="L9" s="37">
        <f t="shared" ca="1" si="7"/>
        <v>1</v>
      </c>
      <c r="M9" s="37">
        <f t="shared" ca="1" si="8"/>
        <v>1</v>
      </c>
      <c r="N9" s="37">
        <f t="shared" ca="1" si="9"/>
        <v>1</v>
      </c>
      <c r="O9" s="37">
        <f t="shared" ca="1" si="10"/>
        <v>1</v>
      </c>
      <c r="P9" s="39"/>
      <c r="Q9" s="28">
        <f t="shared" ca="1" si="11"/>
        <v>15103.068374868202</v>
      </c>
      <c r="R9" s="28">
        <f t="shared" ca="1" si="12"/>
        <v>34392.417561316135</v>
      </c>
      <c r="S9" s="28">
        <f t="shared" ca="1" si="13"/>
        <v>5797.3703683184722</v>
      </c>
      <c r="T9" s="28">
        <f t="shared" ca="1" si="14"/>
        <v>5944.1975306397107</v>
      </c>
      <c r="U9" s="28">
        <f t="shared" ca="1" si="15"/>
        <v>2256.3191749364873</v>
      </c>
      <c r="V9" s="28">
        <f t="shared" ca="1" si="16"/>
        <v>6925.3333415330653</v>
      </c>
      <c r="W9" s="28">
        <f t="shared" ca="1" si="17"/>
        <v>47412.321636865294</v>
      </c>
      <c r="X9" s="28">
        <f t="shared" ca="1" si="18"/>
        <v>40668.507496847975</v>
      </c>
      <c r="Y9" s="28">
        <f t="shared" ca="1" si="19"/>
        <v>10942.519593070077</v>
      </c>
      <c r="Z9" s="28">
        <f t="shared" ca="1" si="20"/>
        <v>28370.678927852088</v>
      </c>
      <c r="AA9" s="41">
        <f t="shared" ca="1" si="21"/>
        <v>197812.73400624748</v>
      </c>
      <c r="AB9" s="162"/>
      <c r="AC9" s="163" t="s">
        <v>10</v>
      </c>
      <c r="AD9" s="163" t="s">
        <v>10</v>
      </c>
      <c r="AE9" s="163"/>
      <c r="AF9" s="163"/>
      <c r="AG9" s="169">
        <f t="shared" si="24"/>
        <v>7.0000000000000062E-2</v>
      </c>
      <c r="AH9" s="169">
        <f t="shared" si="25"/>
        <v>0.79</v>
      </c>
      <c r="AI9" s="169">
        <f>POWER(AJ9,$AN$7)</f>
        <v>0.8600000000000001</v>
      </c>
      <c r="AJ9" s="173">
        <f t="shared" si="26"/>
        <v>0.8600000000000001</v>
      </c>
      <c r="AK9" s="173">
        <v>7.0000000000000007E-2</v>
      </c>
      <c r="AL9" s="169">
        <v>7</v>
      </c>
      <c r="AM9" s="166">
        <f ca="1">COUNTIF(E:E, "=7")</f>
        <v>5</v>
      </c>
      <c r="AN9" s="92"/>
      <c r="AO9" s="92" t="s">
        <v>10</v>
      </c>
    </row>
    <row r="10" spans="1:45" ht="15.75" customHeight="1">
      <c r="A10" s="30">
        <v>9</v>
      </c>
      <c r="B10" s="27">
        <v>40000</v>
      </c>
      <c r="C10" s="43"/>
      <c r="D10" s="32">
        <f t="shared" ca="1" si="0"/>
        <v>0.51317308225363134</v>
      </c>
      <c r="E10" s="35">
        <f t="shared" ca="1" si="22"/>
        <v>4</v>
      </c>
      <c r="F10" s="37">
        <f t="shared" ca="1" si="1"/>
        <v>1</v>
      </c>
      <c r="G10" s="37">
        <f t="shared" ca="1" si="2"/>
        <v>1</v>
      </c>
      <c r="H10" s="37">
        <f t="shared" ca="1" si="3"/>
        <v>1</v>
      </c>
      <c r="I10" s="37">
        <f t="shared" ca="1" si="4"/>
        <v>1</v>
      </c>
      <c r="J10" s="37">
        <f t="shared" ca="1" si="5"/>
        <v>0</v>
      </c>
      <c r="K10" s="37">
        <f t="shared" ca="1" si="6"/>
        <v>0</v>
      </c>
      <c r="L10" s="37">
        <f t="shared" ca="1" si="7"/>
        <v>0</v>
      </c>
      <c r="M10" s="37">
        <f t="shared" ca="1" si="8"/>
        <v>0</v>
      </c>
      <c r="N10" s="37">
        <f t="shared" ca="1" si="9"/>
        <v>0</v>
      </c>
      <c r="O10" s="37">
        <f t="shared" ca="1" si="10"/>
        <v>0</v>
      </c>
      <c r="P10" s="39"/>
      <c r="Q10" s="28">
        <f t="shared" ca="1" si="11"/>
        <v>8075.5903135610461</v>
      </c>
      <c r="R10" s="28">
        <f t="shared" ca="1" si="12"/>
        <v>16884.073798159854</v>
      </c>
      <c r="S10" s="28">
        <f t="shared" ca="1" si="13"/>
        <v>57015.890276569917</v>
      </c>
      <c r="T10" s="28">
        <f t="shared" ca="1" si="14"/>
        <v>13064.876597221317</v>
      </c>
      <c r="U10" s="28">
        <f t="shared" ca="1" si="15"/>
        <v>0</v>
      </c>
      <c r="V10" s="28">
        <f t="shared" ca="1" si="16"/>
        <v>0</v>
      </c>
      <c r="W10" s="28">
        <f t="shared" ca="1" si="17"/>
        <v>0</v>
      </c>
      <c r="X10" s="28">
        <f t="shared" ca="1" si="18"/>
        <v>0</v>
      </c>
      <c r="Y10" s="28">
        <f t="shared" ca="1" si="19"/>
        <v>0</v>
      </c>
      <c r="Z10" s="28">
        <f t="shared" ca="1" si="20"/>
        <v>0</v>
      </c>
      <c r="AA10" s="41">
        <f t="shared" ca="1" si="21"/>
        <v>95040.430985512139</v>
      </c>
      <c r="AB10" s="162"/>
      <c r="AC10" s="163" t="s">
        <v>10</v>
      </c>
      <c r="AD10" s="163" t="s">
        <v>10</v>
      </c>
      <c r="AE10" s="163"/>
      <c r="AF10" s="163"/>
      <c r="AG10" s="169">
        <f t="shared" si="24"/>
        <v>6.0000000000000053E-2</v>
      </c>
      <c r="AH10" s="169">
        <f t="shared" si="25"/>
        <v>0.8600000000000001</v>
      </c>
      <c r="AI10" s="169">
        <f t="shared" si="23"/>
        <v>0.92000000000000015</v>
      </c>
      <c r="AJ10" s="173">
        <f t="shared" si="26"/>
        <v>0.92000000000000015</v>
      </c>
      <c r="AK10" s="173">
        <v>0.06</v>
      </c>
      <c r="AL10" s="169">
        <v>8</v>
      </c>
      <c r="AM10" s="166">
        <f ca="1">COUNTIF(E:E, "=8")</f>
        <v>10</v>
      </c>
      <c r="AN10" s="93" t="s">
        <v>10</v>
      </c>
      <c r="AO10" s="92" t="s">
        <v>10</v>
      </c>
    </row>
    <row r="11" spans="1:45" ht="15.75" customHeight="1">
      <c r="A11" s="30">
        <v>10</v>
      </c>
      <c r="B11" s="27">
        <v>40000</v>
      </c>
      <c r="C11" s="43"/>
      <c r="D11" s="32">
        <f t="shared" ca="1" si="0"/>
        <v>0.17120619179691121</v>
      </c>
      <c r="E11" s="35">
        <f t="shared" ca="1" si="22"/>
        <v>2</v>
      </c>
      <c r="F11" s="37">
        <f t="shared" ca="1" si="1"/>
        <v>1</v>
      </c>
      <c r="G11" s="37">
        <f t="shared" ca="1" si="2"/>
        <v>1</v>
      </c>
      <c r="H11" s="37">
        <f t="shared" ca="1" si="3"/>
        <v>0</v>
      </c>
      <c r="I11" s="37">
        <f t="shared" ca="1" si="4"/>
        <v>0</v>
      </c>
      <c r="J11" s="37">
        <f t="shared" ca="1" si="5"/>
        <v>0</v>
      </c>
      <c r="K11" s="37">
        <f t="shared" ca="1" si="6"/>
        <v>0</v>
      </c>
      <c r="L11" s="37">
        <f t="shared" ca="1" si="7"/>
        <v>0</v>
      </c>
      <c r="M11" s="37">
        <f t="shared" ca="1" si="8"/>
        <v>0</v>
      </c>
      <c r="N11" s="37">
        <f t="shared" ca="1" si="9"/>
        <v>0</v>
      </c>
      <c r="O11" s="37">
        <f t="shared" ca="1" si="10"/>
        <v>0</v>
      </c>
      <c r="P11" s="39"/>
      <c r="Q11" s="28">
        <f t="shared" ca="1" si="11"/>
        <v>894.45564472885189</v>
      </c>
      <c r="R11" s="28">
        <f t="shared" ca="1" si="12"/>
        <v>10055.552313697073</v>
      </c>
      <c r="S11" s="28">
        <f t="shared" ca="1" si="13"/>
        <v>0</v>
      </c>
      <c r="T11" s="28">
        <f t="shared" ca="1" si="14"/>
        <v>0</v>
      </c>
      <c r="U11" s="28">
        <f t="shared" ca="1" si="15"/>
        <v>0</v>
      </c>
      <c r="V11" s="28">
        <f t="shared" ca="1" si="16"/>
        <v>0</v>
      </c>
      <c r="W11" s="28">
        <f t="shared" ca="1" si="17"/>
        <v>0</v>
      </c>
      <c r="X11" s="28">
        <f t="shared" ca="1" si="18"/>
        <v>0</v>
      </c>
      <c r="Y11" s="28">
        <f t="shared" ca="1" si="19"/>
        <v>0</v>
      </c>
      <c r="Z11" s="28">
        <f t="shared" ca="1" si="20"/>
        <v>0</v>
      </c>
      <c r="AA11" s="41">
        <f t="shared" ca="1" si="21"/>
        <v>10950.007958425926</v>
      </c>
      <c r="AB11" s="162"/>
      <c r="AC11" s="163" t="s">
        <v>10</v>
      </c>
      <c r="AD11" s="163" t="s">
        <v>10</v>
      </c>
      <c r="AE11" s="163"/>
      <c r="AF11" s="163"/>
      <c r="AG11" s="169">
        <f t="shared" si="24"/>
        <v>5.0000000000000044E-2</v>
      </c>
      <c r="AH11" s="169">
        <f t="shared" si="25"/>
        <v>0.92000000000000015</v>
      </c>
      <c r="AI11" s="169">
        <f t="shared" si="23"/>
        <v>0.9700000000000002</v>
      </c>
      <c r="AJ11" s="173">
        <f t="shared" si="26"/>
        <v>0.9700000000000002</v>
      </c>
      <c r="AK11" s="173">
        <v>0.05</v>
      </c>
      <c r="AL11" s="169">
        <v>9</v>
      </c>
      <c r="AM11" s="166">
        <f ca="1">COUNTIF(E:E, "=9")</f>
        <v>5</v>
      </c>
      <c r="AN11" s="93" t="s">
        <v>10</v>
      </c>
      <c r="AO11" s="92" t="s">
        <v>10</v>
      </c>
    </row>
    <row r="12" spans="1:45" ht="15.75" customHeight="1">
      <c r="A12" s="30">
        <v>11</v>
      </c>
      <c r="B12" s="27">
        <v>40000</v>
      </c>
      <c r="C12" s="43"/>
      <c r="D12" s="32">
        <f t="shared" ca="1" si="0"/>
        <v>0.26001606536008737</v>
      </c>
      <c r="E12" s="35">
        <f t="shared" ca="1" si="22"/>
        <v>2</v>
      </c>
      <c r="F12" s="37">
        <f t="shared" ca="1" si="1"/>
        <v>1</v>
      </c>
      <c r="G12" s="37">
        <f t="shared" ca="1" si="2"/>
        <v>1</v>
      </c>
      <c r="H12" s="37">
        <f t="shared" ca="1" si="3"/>
        <v>0</v>
      </c>
      <c r="I12" s="37">
        <f t="shared" ca="1" si="4"/>
        <v>0</v>
      </c>
      <c r="J12" s="37">
        <f t="shared" ca="1" si="5"/>
        <v>0</v>
      </c>
      <c r="K12" s="37">
        <f t="shared" ca="1" si="6"/>
        <v>0</v>
      </c>
      <c r="L12" s="37">
        <f t="shared" ca="1" si="7"/>
        <v>0</v>
      </c>
      <c r="M12" s="37">
        <f t="shared" ca="1" si="8"/>
        <v>0</v>
      </c>
      <c r="N12" s="37">
        <f t="shared" ca="1" si="9"/>
        <v>0</v>
      </c>
      <c r="O12" s="37">
        <f t="shared" ca="1" si="10"/>
        <v>0</v>
      </c>
      <c r="P12" s="39"/>
      <c r="Q12" s="28">
        <f t="shared" ca="1" si="11"/>
        <v>49063.604112362686</v>
      </c>
      <c r="R12" s="28">
        <f t="shared" ca="1" si="12"/>
        <v>40761.64637299443</v>
      </c>
      <c r="S12" s="28">
        <f t="shared" ca="1" si="13"/>
        <v>0</v>
      </c>
      <c r="T12" s="28">
        <f t="shared" ca="1" si="14"/>
        <v>0</v>
      </c>
      <c r="U12" s="28">
        <f t="shared" ca="1" si="15"/>
        <v>0</v>
      </c>
      <c r="V12" s="28">
        <f t="shared" ca="1" si="16"/>
        <v>0</v>
      </c>
      <c r="W12" s="28">
        <f t="shared" ca="1" si="17"/>
        <v>0</v>
      </c>
      <c r="X12" s="28">
        <f t="shared" ca="1" si="18"/>
        <v>0</v>
      </c>
      <c r="Y12" s="28">
        <f t="shared" ca="1" si="19"/>
        <v>0</v>
      </c>
      <c r="Z12" s="28">
        <f t="shared" ca="1" si="20"/>
        <v>0</v>
      </c>
      <c r="AA12" s="41">
        <f t="shared" ca="1" si="21"/>
        <v>89825.250485357115</v>
      </c>
      <c r="AB12" s="162"/>
      <c r="AC12" s="163" t="s">
        <v>10</v>
      </c>
      <c r="AD12" s="163" t="s">
        <v>10</v>
      </c>
      <c r="AE12" s="163"/>
      <c r="AF12" s="163"/>
      <c r="AG12" s="169">
        <f t="shared" si="24"/>
        <v>3.0000000000000027E-2</v>
      </c>
      <c r="AH12" s="169">
        <f t="shared" si="25"/>
        <v>0.9700000000000002</v>
      </c>
      <c r="AI12" s="169">
        <f t="shared" si="23"/>
        <v>1.0000000000000002</v>
      </c>
      <c r="AJ12" s="173">
        <f t="shared" si="26"/>
        <v>1.0000000000000002</v>
      </c>
      <c r="AK12" s="173">
        <v>0.03</v>
      </c>
      <c r="AL12" s="169">
        <v>10</v>
      </c>
      <c r="AM12" s="166">
        <f ca="1">COUNTIF(E:E, "=10")</f>
        <v>5</v>
      </c>
      <c r="AN12" s="93" t="s">
        <v>10</v>
      </c>
      <c r="AO12" s="92" t="s">
        <v>10</v>
      </c>
    </row>
    <row r="13" spans="1:45" ht="15.75" customHeight="1">
      <c r="A13" s="30">
        <v>12</v>
      </c>
      <c r="B13" s="27">
        <v>40000</v>
      </c>
      <c r="C13" s="43"/>
      <c r="D13" s="32">
        <f t="shared" ca="1" si="0"/>
        <v>0.82195321040143421</v>
      </c>
      <c r="E13" s="35">
        <f t="shared" ca="1" si="22"/>
        <v>7</v>
      </c>
      <c r="F13" s="37">
        <f t="shared" ca="1" si="1"/>
        <v>1</v>
      </c>
      <c r="G13" s="37">
        <f t="shared" ca="1" si="2"/>
        <v>1</v>
      </c>
      <c r="H13" s="37">
        <f t="shared" ca="1" si="3"/>
        <v>1</v>
      </c>
      <c r="I13" s="37">
        <f t="shared" ca="1" si="4"/>
        <v>1</v>
      </c>
      <c r="J13" s="37">
        <f t="shared" ca="1" si="5"/>
        <v>1</v>
      </c>
      <c r="K13" s="37">
        <f t="shared" ca="1" si="6"/>
        <v>1</v>
      </c>
      <c r="L13" s="37">
        <f t="shared" ca="1" si="7"/>
        <v>1</v>
      </c>
      <c r="M13" s="37">
        <f t="shared" ca="1" si="8"/>
        <v>0</v>
      </c>
      <c r="N13" s="37">
        <f t="shared" ca="1" si="9"/>
        <v>0</v>
      </c>
      <c r="O13" s="37">
        <f t="shared" ca="1" si="10"/>
        <v>0</v>
      </c>
      <c r="P13" s="39"/>
      <c r="Q13" s="28">
        <f t="shared" ca="1" si="11"/>
        <v>6258.3848964586477</v>
      </c>
      <c r="R13" s="28">
        <f t="shared" ca="1" si="12"/>
        <v>51548.361134348081</v>
      </c>
      <c r="S13" s="28">
        <f t="shared" ca="1" si="13"/>
        <v>19440.695839194654</v>
      </c>
      <c r="T13" s="28">
        <f t="shared" ca="1" si="14"/>
        <v>10372.207536834478</v>
      </c>
      <c r="U13" s="28">
        <f t="shared" ca="1" si="15"/>
        <v>14036.69034818918</v>
      </c>
      <c r="V13" s="28">
        <f t="shared" ca="1" si="16"/>
        <v>20214.311304104405</v>
      </c>
      <c r="W13" s="28">
        <f t="shared" ca="1" si="17"/>
        <v>26582.797709439979</v>
      </c>
      <c r="X13" s="28">
        <f t="shared" ca="1" si="18"/>
        <v>0</v>
      </c>
      <c r="Y13" s="28">
        <f t="shared" ca="1" si="19"/>
        <v>0</v>
      </c>
      <c r="Z13" s="28">
        <f t="shared" ca="1" si="20"/>
        <v>0</v>
      </c>
      <c r="AA13" s="41">
        <f t="shared" ca="1" si="21"/>
        <v>148453.44876856942</v>
      </c>
      <c r="AB13" s="162"/>
      <c r="AC13" s="163" t="s">
        <v>10</v>
      </c>
      <c r="AD13" s="163" t="s">
        <v>10</v>
      </c>
      <c r="AE13" s="163"/>
      <c r="AF13" s="163"/>
      <c r="AG13" s="169"/>
      <c r="AH13" s="169"/>
      <c r="AI13" s="169"/>
      <c r="AJ13" s="173"/>
      <c r="AK13" s="173">
        <f ca="1">SUM(AK2:AK13)</f>
        <v>1.0000000000000002</v>
      </c>
      <c r="AL13" s="169"/>
      <c r="AM13" s="167"/>
      <c r="AN13" s="93" t="s">
        <v>10</v>
      </c>
      <c r="AO13" s="72" t="s">
        <v>196</v>
      </c>
    </row>
    <row r="14" spans="1:45" ht="15.75" customHeight="1">
      <c r="A14" s="30">
        <v>13</v>
      </c>
      <c r="B14" s="27">
        <v>40000</v>
      </c>
      <c r="C14" s="43"/>
      <c r="D14" s="32">
        <f t="shared" ca="1" si="0"/>
        <v>5.6621569934968141E-3</v>
      </c>
      <c r="E14" s="35">
        <f t="shared" ca="1" si="22"/>
        <v>0</v>
      </c>
      <c r="F14" s="37">
        <f t="shared" ca="1" si="1"/>
        <v>0</v>
      </c>
      <c r="G14" s="37">
        <f t="shared" ca="1" si="2"/>
        <v>0</v>
      </c>
      <c r="H14" s="37">
        <f t="shared" ca="1" si="3"/>
        <v>0</v>
      </c>
      <c r="I14" s="37">
        <f t="shared" ca="1" si="4"/>
        <v>0</v>
      </c>
      <c r="J14" s="37">
        <f t="shared" ca="1" si="5"/>
        <v>0</v>
      </c>
      <c r="K14" s="37">
        <f t="shared" ca="1" si="6"/>
        <v>0</v>
      </c>
      <c r="L14" s="37">
        <f t="shared" ca="1" si="7"/>
        <v>0</v>
      </c>
      <c r="M14" s="37">
        <f t="shared" ca="1" si="8"/>
        <v>0</v>
      </c>
      <c r="N14" s="37">
        <f t="shared" ca="1" si="9"/>
        <v>0</v>
      </c>
      <c r="O14" s="37">
        <f t="shared" ca="1" si="10"/>
        <v>0</v>
      </c>
      <c r="P14" s="39" t="s">
        <v>10</v>
      </c>
      <c r="Q14" s="28">
        <f t="shared" ca="1" si="11"/>
        <v>0</v>
      </c>
      <c r="R14" s="28">
        <f t="shared" ca="1" si="12"/>
        <v>0</v>
      </c>
      <c r="S14" s="28">
        <f t="shared" ca="1" si="13"/>
        <v>0</v>
      </c>
      <c r="T14" s="28">
        <f t="shared" ca="1" si="14"/>
        <v>0</v>
      </c>
      <c r="U14" s="28">
        <f t="shared" ca="1" si="15"/>
        <v>0</v>
      </c>
      <c r="V14" s="28">
        <f t="shared" ca="1" si="16"/>
        <v>0</v>
      </c>
      <c r="W14" s="28">
        <f t="shared" ca="1" si="17"/>
        <v>0</v>
      </c>
      <c r="X14" s="28">
        <f t="shared" ca="1" si="18"/>
        <v>0</v>
      </c>
      <c r="Y14" s="28">
        <f t="shared" ca="1" si="19"/>
        <v>0</v>
      </c>
      <c r="Z14" s="28">
        <f t="shared" ca="1" si="20"/>
        <v>0</v>
      </c>
      <c r="AA14" s="41">
        <f t="shared" ca="1" si="21"/>
        <v>0</v>
      </c>
      <c r="AB14" s="162"/>
      <c r="AC14" s="163" t="s">
        <v>10</v>
      </c>
      <c r="AD14" s="163"/>
      <c r="AE14" s="163"/>
      <c r="AF14" s="163"/>
      <c r="AG14" s="163"/>
      <c r="AH14" s="163"/>
      <c r="AI14" s="163"/>
      <c r="AJ14" s="169"/>
      <c r="AK14" s="127"/>
      <c r="AL14" s="169"/>
      <c r="AM14" s="166"/>
      <c r="AN14" s="163"/>
      <c r="AR14" s="33">
        <f ca="1">SUMPRODUCT(AL2:AL12,AM2:AM12)/140</f>
        <v>4.0142857142857142</v>
      </c>
    </row>
    <row r="15" spans="1:45" ht="15.75" customHeight="1">
      <c r="A15" s="30">
        <v>14</v>
      </c>
      <c r="B15" s="27">
        <v>40000</v>
      </c>
      <c r="C15" s="43"/>
      <c r="D15" s="32">
        <f t="shared" ca="1" si="0"/>
        <v>0.72085845963621109</v>
      </c>
      <c r="E15" s="35">
        <f t="shared" ca="1" si="22"/>
        <v>6</v>
      </c>
      <c r="F15" s="37">
        <f t="shared" ca="1" si="1"/>
        <v>1</v>
      </c>
      <c r="G15" s="37">
        <f t="shared" ca="1" si="2"/>
        <v>1</v>
      </c>
      <c r="H15" s="37">
        <f t="shared" ca="1" si="3"/>
        <v>1</v>
      </c>
      <c r="I15" s="37">
        <f t="shared" ca="1" si="4"/>
        <v>1</v>
      </c>
      <c r="J15" s="37">
        <f t="shared" ca="1" si="5"/>
        <v>1</v>
      </c>
      <c r="K15" s="37">
        <f t="shared" ca="1" si="6"/>
        <v>1</v>
      </c>
      <c r="L15" s="37">
        <f t="shared" ca="1" si="7"/>
        <v>0</v>
      </c>
      <c r="M15" s="37">
        <f t="shared" ca="1" si="8"/>
        <v>0</v>
      </c>
      <c r="N15" s="37">
        <f t="shared" ca="1" si="9"/>
        <v>0</v>
      </c>
      <c r="O15" s="37">
        <f t="shared" ca="1" si="10"/>
        <v>0</v>
      </c>
      <c r="P15" s="39"/>
      <c r="Q15" s="28">
        <f t="shared" ca="1" si="11"/>
        <v>4091.36524678039</v>
      </c>
      <c r="R15" s="28">
        <f t="shared" ca="1" si="12"/>
        <v>225.54982737706646</v>
      </c>
      <c r="S15" s="28">
        <f t="shared" ca="1" si="13"/>
        <v>24244.908966211508</v>
      </c>
      <c r="T15" s="28">
        <f t="shared" ca="1" si="14"/>
        <v>24042.462213069157</v>
      </c>
      <c r="U15" s="28">
        <f t="shared" ca="1" si="15"/>
        <v>9635.9375725690297</v>
      </c>
      <c r="V15" s="28">
        <f t="shared" ca="1" si="16"/>
        <v>20739.442282813972</v>
      </c>
      <c r="W15" s="28">
        <f t="shared" ca="1" si="17"/>
        <v>0</v>
      </c>
      <c r="X15" s="28">
        <f t="shared" ca="1" si="18"/>
        <v>0</v>
      </c>
      <c r="Y15" s="28">
        <f t="shared" ca="1" si="19"/>
        <v>0</v>
      </c>
      <c r="Z15" s="28">
        <f t="shared" ca="1" si="20"/>
        <v>0</v>
      </c>
      <c r="AA15" s="41">
        <f t="shared" ca="1" si="21"/>
        <v>82979.666108821111</v>
      </c>
      <c r="AB15" s="162"/>
      <c r="AC15" s="163" t="s">
        <v>10</v>
      </c>
      <c r="AD15" s="163" t="s">
        <v>10</v>
      </c>
      <c r="AE15" s="92"/>
      <c r="AF15" s="92"/>
      <c r="AG15" s="92"/>
      <c r="AH15" s="92"/>
      <c r="AI15" s="92"/>
      <c r="AJ15" s="92"/>
      <c r="AK15" s="92"/>
      <c r="AL15" s="92"/>
      <c r="AM15" s="163" t="s">
        <v>10</v>
      </c>
      <c r="AN15" s="213"/>
      <c r="AO15" s="214"/>
      <c r="AQ15" s="212">
        <v>1</v>
      </c>
      <c r="AR15" s="33">
        <f t="dataTable" ref="AR15:AR114" dt2D="0" dtr="0" r1="AR6" ca="1"/>
        <v>4.0142857142857142</v>
      </c>
    </row>
    <row r="16" spans="1:45" ht="15.75" customHeight="1">
      <c r="A16" s="30">
        <v>15</v>
      </c>
      <c r="B16" s="27">
        <v>40000</v>
      </c>
      <c r="C16" s="43"/>
      <c r="D16" s="32">
        <f t="shared" ca="1" si="0"/>
        <v>0.65862586616315788</v>
      </c>
      <c r="E16" s="35">
        <f t="shared" ca="1" si="22"/>
        <v>5</v>
      </c>
      <c r="F16" s="37">
        <f t="shared" ca="1" si="1"/>
        <v>1</v>
      </c>
      <c r="G16" s="37">
        <f t="shared" ca="1" si="2"/>
        <v>1</v>
      </c>
      <c r="H16" s="37">
        <f t="shared" ca="1" si="3"/>
        <v>1</v>
      </c>
      <c r="I16" s="37">
        <f t="shared" ca="1" si="4"/>
        <v>1</v>
      </c>
      <c r="J16" s="37">
        <f t="shared" ca="1" si="5"/>
        <v>1</v>
      </c>
      <c r="K16" s="37">
        <f t="shared" ca="1" si="6"/>
        <v>0</v>
      </c>
      <c r="L16" s="37">
        <f t="shared" ca="1" si="7"/>
        <v>0</v>
      </c>
      <c r="M16" s="37">
        <f t="shared" ca="1" si="8"/>
        <v>0</v>
      </c>
      <c r="N16" s="37">
        <f t="shared" ca="1" si="9"/>
        <v>0</v>
      </c>
      <c r="O16" s="37">
        <f t="shared" ca="1" si="10"/>
        <v>0</v>
      </c>
      <c r="P16" s="39"/>
      <c r="Q16" s="28">
        <f t="shared" ca="1" si="11"/>
        <v>9215.8718661545154</v>
      </c>
      <c r="R16" s="28">
        <f t="shared" ca="1" si="12"/>
        <v>60813.602989419625</v>
      </c>
      <c r="S16" s="28">
        <f t="shared" ca="1" si="13"/>
        <v>18065.044712148228</v>
      </c>
      <c r="T16" s="28">
        <f t="shared" ca="1" si="14"/>
        <v>567.50056468090168</v>
      </c>
      <c r="U16" s="28">
        <f t="shared" ca="1" si="15"/>
        <v>23311.467881277014</v>
      </c>
      <c r="V16" s="28">
        <f t="shared" ca="1" si="16"/>
        <v>0</v>
      </c>
      <c r="W16" s="28">
        <f t="shared" ca="1" si="17"/>
        <v>0</v>
      </c>
      <c r="X16" s="28">
        <f t="shared" ca="1" si="18"/>
        <v>0</v>
      </c>
      <c r="Y16" s="28">
        <f t="shared" ca="1" si="19"/>
        <v>0</v>
      </c>
      <c r="Z16" s="28">
        <f t="shared" ca="1" si="20"/>
        <v>0</v>
      </c>
      <c r="AA16" s="41">
        <f t="shared" ca="1" si="21"/>
        <v>111973.48801368028</v>
      </c>
      <c r="AB16" s="162"/>
      <c r="AC16" s="163" t="s">
        <v>11</v>
      </c>
      <c r="AD16" s="163" t="s">
        <v>10</v>
      </c>
      <c r="AE16" s="163" t="s">
        <v>10</v>
      </c>
      <c r="AF16" s="163"/>
      <c r="AG16" s="163"/>
      <c r="AH16" s="163"/>
      <c r="AI16" s="163"/>
      <c r="AJ16" s="92"/>
      <c r="AK16" s="92"/>
      <c r="AL16" s="92"/>
      <c r="AM16" s="163" t="s">
        <v>10</v>
      </c>
      <c r="AN16" s="213"/>
      <c r="AO16" s="214"/>
      <c r="AQ16" s="212">
        <v>2</v>
      </c>
      <c r="AR16" s="33">
        <v>4.5071428571428571</v>
      </c>
    </row>
    <row r="17" spans="1:44" ht="15.75" customHeight="1">
      <c r="A17" s="30">
        <v>16</v>
      </c>
      <c r="B17" s="27">
        <v>40000</v>
      </c>
      <c r="C17" s="43"/>
      <c r="D17" s="32">
        <f t="shared" ca="1" si="0"/>
        <v>0.59523230034525676</v>
      </c>
      <c r="E17" s="35">
        <f t="shared" ca="1" si="22"/>
        <v>5</v>
      </c>
      <c r="F17" s="37">
        <f t="shared" ca="1" si="1"/>
        <v>1</v>
      </c>
      <c r="G17" s="37">
        <f t="shared" ca="1" si="2"/>
        <v>1</v>
      </c>
      <c r="H17" s="37">
        <f t="shared" ca="1" si="3"/>
        <v>1</v>
      </c>
      <c r="I17" s="37">
        <f t="shared" ca="1" si="4"/>
        <v>1</v>
      </c>
      <c r="J17" s="37">
        <f t="shared" ca="1" si="5"/>
        <v>1</v>
      </c>
      <c r="K17" s="37">
        <f t="shared" ca="1" si="6"/>
        <v>0</v>
      </c>
      <c r="L17" s="37">
        <f t="shared" ca="1" si="7"/>
        <v>0</v>
      </c>
      <c r="M17" s="37">
        <f t="shared" ca="1" si="8"/>
        <v>0</v>
      </c>
      <c r="N17" s="37">
        <f t="shared" ca="1" si="9"/>
        <v>0</v>
      </c>
      <c r="O17" s="37">
        <f t="shared" ca="1" si="10"/>
        <v>0</v>
      </c>
      <c r="P17" s="39"/>
      <c r="Q17" s="28">
        <f t="shared" ca="1" si="11"/>
        <v>3840.953363290555</v>
      </c>
      <c r="R17" s="28">
        <f t="shared" ca="1" si="12"/>
        <v>9832.4960293714521</v>
      </c>
      <c r="S17" s="28">
        <f t="shared" ca="1" si="13"/>
        <v>1114.4615232783055</v>
      </c>
      <c r="T17" s="28">
        <f t="shared" ca="1" si="14"/>
        <v>40052.274577280747</v>
      </c>
      <c r="U17" s="28">
        <f t="shared" ca="1" si="15"/>
        <v>10765.643313101285</v>
      </c>
      <c r="V17" s="28">
        <f t="shared" ca="1" si="16"/>
        <v>0</v>
      </c>
      <c r="W17" s="28">
        <f t="shared" ca="1" si="17"/>
        <v>0</v>
      </c>
      <c r="X17" s="28">
        <f t="shared" ca="1" si="18"/>
        <v>0</v>
      </c>
      <c r="Y17" s="28">
        <f t="shared" ca="1" si="19"/>
        <v>0</v>
      </c>
      <c r="Z17" s="28">
        <f t="shared" ca="1" si="20"/>
        <v>0</v>
      </c>
      <c r="AA17" s="41">
        <f t="shared" ca="1" si="21"/>
        <v>65605.828806322344</v>
      </c>
      <c r="AB17" s="162"/>
      <c r="AC17" s="163" t="s">
        <v>10</v>
      </c>
      <c r="AD17" s="163" t="s">
        <v>10</v>
      </c>
      <c r="AE17" s="163" t="s">
        <v>10</v>
      </c>
      <c r="AF17" s="163"/>
      <c r="AG17" s="163"/>
      <c r="AH17" s="163"/>
      <c r="AI17" s="163"/>
      <c r="AJ17" s="92"/>
      <c r="AK17" s="92"/>
      <c r="AL17" s="92"/>
      <c r="AM17" s="163" t="s">
        <v>10</v>
      </c>
      <c r="AN17" s="213"/>
      <c r="AO17" s="214"/>
      <c r="AQ17" s="212">
        <v>3</v>
      </c>
      <c r="AR17" s="33">
        <v>4.4428571428571431</v>
      </c>
    </row>
    <row r="18" spans="1:44" ht="15.75" customHeight="1">
      <c r="A18" s="30">
        <v>17</v>
      </c>
      <c r="B18" s="27">
        <v>40000</v>
      </c>
      <c r="C18" s="43"/>
      <c r="D18" s="32">
        <f t="shared" ca="1" si="0"/>
        <v>0.82902469846500193</v>
      </c>
      <c r="E18" s="35">
        <f t="shared" ca="1" si="22"/>
        <v>7</v>
      </c>
      <c r="F18" s="37">
        <f t="shared" ca="1" si="1"/>
        <v>1</v>
      </c>
      <c r="G18" s="37">
        <f t="shared" ca="1" si="2"/>
        <v>1</v>
      </c>
      <c r="H18" s="37">
        <f t="shared" ca="1" si="3"/>
        <v>1</v>
      </c>
      <c r="I18" s="37">
        <f t="shared" ca="1" si="4"/>
        <v>1</v>
      </c>
      <c r="J18" s="37">
        <f t="shared" ca="1" si="5"/>
        <v>1</v>
      </c>
      <c r="K18" s="37">
        <f t="shared" ca="1" si="6"/>
        <v>1</v>
      </c>
      <c r="L18" s="37">
        <f t="shared" ca="1" si="7"/>
        <v>1</v>
      </c>
      <c r="M18" s="37">
        <f t="shared" ca="1" si="8"/>
        <v>0</v>
      </c>
      <c r="N18" s="37">
        <f t="shared" ca="1" si="9"/>
        <v>0</v>
      </c>
      <c r="O18" s="37">
        <f t="shared" ca="1" si="10"/>
        <v>0</v>
      </c>
      <c r="P18" s="39"/>
      <c r="Q18" s="28">
        <f t="shared" ca="1" si="11"/>
        <v>4753.0019448379317</v>
      </c>
      <c r="R18" s="28">
        <f t="shared" ca="1" si="12"/>
        <v>22645.113139149515</v>
      </c>
      <c r="S18" s="28">
        <f t="shared" ca="1" si="13"/>
        <v>2625.7633644824759</v>
      </c>
      <c r="T18" s="28">
        <f t="shared" ca="1" si="14"/>
        <v>36116.399896340539</v>
      </c>
      <c r="U18" s="28">
        <f t="shared" ca="1" si="15"/>
        <v>21991.321247910339</v>
      </c>
      <c r="V18" s="28">
        <f t="shared" ca="1" si="16"/>
        <v>18123.103661875262</v>
      </c>
      <c r="W18" s="28">
        <f t="shared" ca="1" si="17"/>
        <v>32080.119914334187</v>
      </c>
      <c r="X18" s="28">
        <f t="shared" ca="1" si="18"/>
        <v>0</v>
      </c>
      <c r="Y18" s="28">
        <f t="shared" ca="1" si="19"/>
        <v>0</v>
      </c>
      <c r="Z18" s="28">
        <f t="shared" ca="1" si="20"/>
        <v>0</v>
      </c>
      <c r="AA18" s="41">
        <f t="shared" ca="1" si="21"/>
        <v>138334.82316893025</v>
      </c>
      <c r="AB18" s="162"/>
      <c r="AC18" s="163" t="s">
        <v>10</v>
      </c>
      <c r="AD18" s="163" t="s">
        <v>10</v>
      </c>
      <c r="AE18" s="92"/>
      <c r="AF18" s="92"/>
      <c r="AG18" s="92"/>
      <c r="AH18" s="92"/>
      <c r="AI18" s="92"/>
      <c r="AJ18" s="92"/>
      <c r="AK18" s="92"/>
      <c r="AL18" s="92"/>
      <c r="AM18" s="163" t="s">
        <v>10</v>
      </c>
      <c r="AN18" s="213"/>
      <c r="AO18" s="214"/>
      <c r="AQ18" s="212">
        <v>4</v>
      </c>
      <c r="AR18" s="33">
        <v>3.9642857142857144</v>
      </c>
    </row>
    <row r="19" spans="1:44" ht="15.75" customHeight="1">
      <c r="A19" s="30">
        <v>18</v>
      </c>
      <c r="B19" s="27">
        <v>40000</v>
      </c>
      <c r="C19" s="43"/>
      <c r="D19" s="32">
        <f t="shared" ca="1" si="0"/>
        <v>0.94892721245327993</v>
      </c>
      <c r="E19" s="35">
        <f t="shared" ca="1" si="22"/>
        <v>9</v>
      </c>
      <c r="F19" s="37">
        <f t="shared" ca="1" si="1"/>
        <v>1</v>
      </c>
      <c r="G19" s="37">
        <f t="shared" ca="1" si="2"/>
        <v>1</v>
      </c>
      <c r="H19" s="37">
        <f t="shared" ca="1" si="3"/>
        <v>1</v>
      </c>
      <c r="I19" s="37">
        <f t="shared" ca="1" si="4"/>
        <v>1</v>
      </c>
      <c r="J19" s="37">
        <f t="shared" ca="1" si="5"/>
        <v>1</v>
      </c>
      <c r="K19" s="37">
        <f t="shared" ca="1" si="6"/>
        <v>1</v>
      </c>
      <c r="L19" s="37">
        <f t="shared" ca="1" si="7"/>
        <v>1</v>
      </c>
      <c r="M19" s="37">
        <f t="shared" ca="1" si="8"/>
        <v>1</v>
      </c>
      <c r="N19" s="37">
        <f t="shared" ca="1" si="9"/>
        <v>1</v>
      </c>
      <c r="O19" s="37">
        <f t="shared" ca="1" si="10"/>
        <v>0</v>
      </c>
      <c r="P19" s="39"/>
      <c r="Q19" s="28">
        <f t="shared" ca="1" si="11"/>
        <v>308.17820357220461</v>
      </c>
      <c r="R19" s="28">
        <f t="shared" ca="1" si="12"/>
        <v>47087.182249139012</v>
      </c>
      <c r="S19" s="28">
        <f t="shared" ca="1" si="13"/>
        <v>1156.0102538818182</v>
      </c>
      <c r="T19" s="28">
        <f t="shared" ca="1" si="14"/>
        <v>10197.877403139424</v>
      </c>
      <c r="U19" s="28">
        <f t="shared" ca="1" si="15"/>
        <v>9509.8942306093722</v>
      </c>
      <c r="V19" s="28">
        <f t="shared" ca="1" si="16"/>
        <v>44802.879268108947</v>
      </c>
      <c r="W19" s="28">
        <f t="shared" ca="1" si="17"/>
        <v>14933.22838017629</v>
      </c>
      <c r="X19" s="28">
        <f t="shared" ca="1" si="18"/>
        <v>4460.9892447963593</v>
      </c>
      <c r="Y19" s="28">
        <f t="shared" ca="1" si="19"/>
        <v>32255.423919956309</v>
      </c>
      <c r="Z19" s="28">
        <f t="shared" ca="1" si="20"/>
        <v>0</v>
      </c>
      <c r="AA19" s="41">
        <f t="shared" ca="1" si="21"/>
        <v>164711.66315337975</v>
      </c>
      <c r="AB19" s="162"/>
      <c r="AC19" s="163" t="s">
        <v>10</v>
      </c>
      <c r="AD19" s="163" t="s">
        <v>10</v>
      </c>
      <c r="AE19" s="92"/>
      <c r="AF19" s="92"/>
      <c r="AG19" s="92"/>
      <c r="AH19" s="92"/>
      <c r="AI19" s="92"/>
      <c r="AJ19" s="92"/>
      <c r="AK19" s="92"/>
      <c r="AL19" s="92"/>
      <c r="AM19" s="163" t="s">
        <v>10</v>
      </c>
      <c r="AN19" s="213"/>
      <c r="AO19" s="213"/>
      <c r="AQ19" s="212">
        <v>5</v>
      </c>
      <c r="AR19" s="33">
        <v>4.2642857142857142</v>
      </c>
    </row>
    <row r="20" spans="1:44" ht="15.75" customHeight="1">
      <c r="A20" s="30">
        <v>19</v>
      </c>
      <c r="B20" s="27">
        <v>40000</v>
      </c>
      <c r="C20" s="43"/>
      <c r="D20" s="32">
        <f t="shared" ca="1" si="0"/>
        <v>0.21328488714452831</v>
      </c>
      <c r="E20" s="35">
        <f t="shared" ca="1" si="22"/>
        <v>2</v>
      </c>
      <c r="F20" s="37">
        <f t="shared" ca="1" si="1"/>
        <v>1</v>
      </c>
      <c r="G20" s="37">
        <f t="shared" ca="1" si="2"/>
        <v>1</v>
      </c>
      <c r="H20" s="37">
        <f t="shared" ca="1" si="3"/>
        <v>0</v>
      </c>
      <c r="I20" s="37">
        <f t="shared" ca="1" si="4"/>
        <v>0</v>
      </c>
      <c r="J20" s="37">
        <f t="shared" ca="1" si="5"/>
        <v>0</v>
      </c>
      <c r="K20" s="37">
        <f t="shared" ca="1" si="6"/>
        <v>0</v>
      </c>
      <c r="L20" s="37">
        <f t="shared" ca="1" si="7"/>
        <v>0</v>
      </c>
      <c r="M20" s="37">
        <f t="shared" ca="1" si="8"/>
        <v>0</v>
      </c>
      <c r="N20" s="37">
        <f t="shared" ca="1" si="9"/>
        <v>0</v>
      </c>
      <c r="O20" s="37">
        <f t="shared" ca="1" si="10"/>
        <v>0</v>
      </c>
      <c r="P20" s="39" t="s">
        <v>10</v>
      </c>
      <c r="Q20" s="28">
        <f t="shared" ca="1" si="11"/>
        <v>24720.206375669466</v>
      </c>
      <c r="R20" s="28">
        <f t="shared" ca="1" si="12"/>
        <v>17994.448225495253</v>
      </c>
      <c r="S20" s="28">
        <f t="shared" ca="1" si="13"/>
        <v>0</v>
      </c>
      <c r="T20" s="28">
        <f t="shared" ca="1" si="14"/>
        <v>0</v>
      </c>
      <c r="U20" s="28">
        <f t="shared" ca="1" si="15"/>
        <v>0</v>
      </c>
      <c r="V20" s="28">
        <f t="shared" ca="1" si="16"/>
        <v>0</v>
      </c>
      <c r="W20" s="28">
        <f t="shared" ca="1" si="17"/>
        <v>0</v>
      </c>
      <c r="X20" s="28">
        <f t="shared" ca="1" si="18"/>
        <v>0</v>
      </c>
      <c r="Y20" s="28">
        <f t="shared" ca="1" si="19"/>
        <v>0</v>
      </c>
      <c r="Z20" s="28">
        <f t="shared" ca="1" si="20"/>
        <v>0</v>
      </c>
      <c r="AA20" s="41">
        <f t="shared" ca="1" si="21"/>
        <v>42714.654601164715</v>
      </c>
      <c r="AB20" s="162"/>
      <c r="AC20" s="163" t="s">
        <v>10</v>
      </c>
      <c r="AD20" s="93" t="s">
        <v>10</v>
      </c>
      <c r="AE20" s="92"/>
      <c r="AF20" s="92"/>
      <c r="AG20" s="92"/>
      <c r="AH20" s="92"/>
      <c r="AI20" s="92"/>
      <c r="AJ20" s="92"/>
      <c r="AK20" s="92"/>
      <c r="AL20" s="92"/>
      <c r="AM20" s="163" t="s">
        <v>10</v>
      </c>
      <c r="AN20" s="213"/>
      <c r="AO20" s="214"/>
      <c r="AQ20" s="212">
        <v>6</v>
      </c>
      <c r="AR20" s="33">
        <v>4.3071428571428569</v>
      </c>
    </row>
    <row r="21" spans="1:44" ht="15.75" customHeight="1">
      <c r="A21" s="30">
        <v>20</v>
      </c>
      <c r="B21" s="27">
        <v>40000</v>
      </c>
      <c r="C21" s="43"/>
      <c r="D21" s="32">
        <f t="shared" ca="1" si="0"/>
        <v>2.858826266705794E-2</v>
      </c>
      <c r="E21" s="35">
        <f t="shared" ca="1" si="22"/>
        <v>0</v>
      </c>
      <c r="F21" s="37">
        <f t="shared" ca="1" si="1"/>
        <v>0</v>
      </c>
      <c r="G21" s="37">
        <f t="shared" ca="1" si="2"/>
        <v>0</v>
      </c>
      <c r="H21" s="37">
        <f t="shared" ca="1" si="3"/>
        <v>0</v>
      </c>
      <c r="I21" s="37">
        <f t="shared" ca="1" si="4"/>
        <v>0</v>
      </c>
      <c r="J21" s="37">
        <f t="shared" ca="1" si="5"/>
        <v>0</v>
      </c>
      <c r="K21" s="37">
        <f t="shared" ca="1" si="6"/>
        <v>0</v>
      </c>
      <c r="L21" s="37">
        <f t="shared" ca="1" si="7"/>
        <v>0</v>
      </c>
      <c r="M21" s="37">
        <f t="shared" ca="1" si="8"/>
        <v>0</v>
      </c>
      <c r="N21" s="37">
        <f t="shared" ca="1" si="9"/>
        <v>0</v>
      </c>
      <c r="O21" s="37">
        <f t="shared" ca="1" si="10"/>
        <v>0</v>
      </c>
      <c r="P21" s="39" t="s">
        <v>10</v>
      </c>
      <c r="Q21" s="28">
        <f t="shared" ca="1" si="11"/>
        <v>0</v>
      </c>
      <c r="R21" s="28">
        <f t="shared" ca="1" si="12"/>
        <v>0</v>
      </c>
      <c r="S21" s="28">
        <f t="shared" ca="1" si="13"/>
        <v>0</v>
      </c>
      <c r="T21" s="28">
        <f t="shared" ca="1" si="14"/>
        <v>0</v>
      </c>
      <c r="U21" s="28">
        <f t="shared" ca="1" si="15"/>
        <v>0</v>
      </c>
      <c r="V21" s="28">
        <f t="shared" ca="1" si="16"/>
        <v>0</v>
      </c>
      <c r="W21" s="28">
        <f t="shared" ca="1" si="17"/>
        <v>0</v>
      </c>
      <c r="X21" s="28">
        <f t="shared" ca="1" si="18"/>
        <v>0</v>
      </c>
      <c r="Y21" s="28">
        <f t="shared" ca="1" si="19"/>
        <v>0</v>
      </c>
      <c r="Z21" s="28">
        <f t="shared" ca="1" si="20"/>
        <v>0</v>
      </c>
      <c r="AA21" s="41">
        <f t="shared" ca="1" si="21"/>
        <v>0</v>
      </c>
      <c r="AB21" s="162"/>
      <c r="AC21" s="163" t="s">
        <v>10</v>
      </c>
      <c r="AD21" s="92"/>
      <c r="AE21" s="92"/>
      <c r="AF21" s="92"/>
      <c r="AG21" s="92"/>
      <c r="AH21" s="92"/>
      <c r="AI21" s="92"/>
      <c r="AJ21" s="92"/>
      <c r="AK21" s="163" t="s">
        <v>10</v>
      </c>
      <c r="AL21" t="s">
        <v>10</v>
      </c>
      <c r="AM21" s="163" t="s">
        <v>10</v>
      </c>
      <c r="AN21" s="213"/>
      <c r="AO21" s="214"/>
      <c r="AQ21" s="212">
        <v>7</v>
      </c>
      <c r="AR21" s="33">
        <v>4.1071428571428568</v>
      </c>
    </row>
    <row r="22" spans="1:44" ht="15.75" customHeight="1">
      <c r="A22" s="30">
        <v>21</v>
      </c>
      <c r="B22" s="27">
        <v>40000</v>
      </c>
      <c r="C22" s="43"/>
      <c r="D22" s="32">
        <f t="shared" ca="1" si="0"/>
        <v>0.53902978898300025</v>
      </c>
      <c r="E22" s="35">
        <f t="shared" ca="1" si="22"/>
        <v>4</v>
      </c>
      <c r="F22" s="37">
        <f t="shared" ca="1" si="1"/>
        <v>1</v>
      </c>
      <c r="G22" s="37">
        <f t="shared" ca="1" si="2"/>
        <v>1</v>
      </c>
      <c r="H22" s="37">
        <f t="shared" ca="1" si="3"/>
        <v>1</v>
      </c>
      <c r="I22" s="37">
        <f t="shared" ca="1" si="4"/>
        <v>1</v>
      </c>
      <c r="J22" s="37">
        <f t="shared" ca="1" si="5"/>
        <v>0</v>
      </c>
      <c r="K22" s="37">
        <f t="shared" ca="1" si="6"/>
        <v>0</v>
      </c>
      <c r="L22" s="37">
        <f t="shared" ca="1" si="7"/>
        <v>0</v>
      </c>
      <c r="M22" s="37">
        <f t="shared" ca="1" si="8"/>
        <v>0</v>
      </c>
      <c r="N22" s="37">
        <f t="shared" ca="1" si="9"/>
        <v>0</v>
      </c>
      <c r="O22" s="37">
        <f t="shared" ca="1" si="10"/>
        <v>0</v>
      </c>
      <c r="P22" s="39" t="s">
        <v>10</v>
      </c>
      <c r="Q22" s="28">
        <f t="shared" ca="1" si="11"/>
        <v>19866.75753700628</v>
      </c>
      <c r="R22" s="28">
        <f t="shared" ca="1" si="12"/>
        <v>13074.270338723651</v>
      </c>
      <c r="S22" s="28">
        <f t="shared" ca="1" si="13"/>
        <v>2105.8618749644197</v>
      </c>
      <c r="T22" s="28">
        <f t="shared" ca="1" si="14"/>
        <v>15562.997962481917</v>
      </c>
      <c r="U22" s="28">
        <f t="shared" ca="1" si="15"/>
        <v>0</v>
      </c>
      <c r="V22" s="28">
        <f t="shared" ca="1" si="16"/>
        <v>0</v>
      </c>
      <c r="W22" s="28">
        <f t="shared" ca="1" si="17"/>
        <v>0</v>
      </c>
      <c r="X22" s="28">
        <f t="shared" ca="1" si="18"/>
        <v>0</v>
      </c>
      <c r="Y22" s="28">
        <f t="shared" ca="1" si="19"/>
        <v>0</v>
      </c>
      <c r="Z22" s="28">
        <f t="shared" ca="1" si="20"/>
        <v>0</v>
      </c>
      <c r="AA22" s="41">
        <f t="shared" ca="1" si="21"/>
        <v>50609.887713176271</v>
      </c>
      <c r="AB22" s="162"/>
      <c r="AC22" s="163" t="s">
        <v>10</v>
      </c>
      <c r="AD22" s="92"/>
      <c r="AE22" s="92"/>
      <c r="AF22" s="92"/>
      <c r="AG22" s="92"/>
      <c r="AH22" s="92"/>
      <c r="AI22" s="92"/>
      <c r="AJ22" s="92"/>
      <c r="AK22" s="92"/>
      <c r="AL22" s="92"/>
      <c r="AM22" s="163" t="s">
        <v>10</v>
      </c>
      <c r="AN22" s="213"/>
      <c r="AO22" s="214"/>
      <c r="AQ22" s="212">
        <v>8</v>
      </c>
      <c r="AR22" s="33">
        <v>4.4000000000000004</v>
      </c>
    </row>
    <row r="23" spans="1:44" ht="15.75" customHeight="1">
      <c r="A23" s="30">
        <v>22</v>
      </c>
      <c r="B23" s="27">
        <v>40000</v>
      </c>
      <c r="C23" s="43"/>
      <c r="D23" s="32">
        <f t="shared" ca="1" si="0"/>
        <v>0.72828149208945436</v>
      </c>
      <c r="E23" s="35">
        <f t="shared" ca="1" si="22"/>
        <v>6</v>
      </c>
      <c r="F23" s="37">
        <f t="shared" ca="1" si="1"/>
        <v>1</v>
      </c>
      <c r="G23" s="37">
        <f t="shared" ca="1" si="2"/>
        <v>1</v>
      </c>
      <c r="H23" s="37">
        <f t="shared" ca="1" si="3"/>
        <v>1</v>
      </c>
      <c r="I23" s="37">
        <f t="shared" ca="1" si="4"/>
        <v>1</v>
      </c>
      <c r="J23" s="37">
        <f t="shared" ca="1" si="5"/>
        <v>1</v>
      </c>
      <c r="K23" s="37">
        <f t="shared" ca="1" si="6"/>
        <v>1</v>
      </c>
      <c r="L23" s="37">
        <f t="shared" ca="1" si="7"/>
        <v>0</v>
      </c>
      <c r="M23" s="37">
        <f t="shared" ca="1" si="8"/>
        <v>0</v>
      </c>
      <c r="N23" s="37">
        <f t="shared" ca="1" si="9"/>
        <v>0</v>
      </c>
      <c r="O23" s="37">
        <f t="shared" ca="1" si="10"/>
        <v>0</v>
      </c>
      <c r="P23" s="39" t="s">
        <v>10</v>
      </c>
      <c r="Q23" s="28">
        <f t="shared" ca="1" si="11"/>
        <v>30974.742072153778</v>
      </c>
      <c r="R23" s="28">
        <f t="shared" ca="1" si="12"/>
        <v>4975.6142511520757</v>
      </c>
      <c r="S23" s="28">
        <f t="shared" ca="1" si="13"/>
        <v>23574.257026653093</v>
      </c>
      <c r="T23" s="28">
        <f t="shared" ca="1" si="14"/>
        <v>6857.8674855841527</v>
      </c>
      <c r="U23" s="28">
        <f t="shared" ca="1" si="15"/>
        <v>17070.613100489925</v>
      </c>
      <c r="V23" s="28">
        <f t="shared" ca="1" si="16"/>
        <v>43709.297063397491</v>
      </c>
      <c r="W23" s="28">
        <f t="shared" ca="1" si="17"/>
        <v>0</v>
      </c>
      <c r="X23" s="28">
        <f t="shared" ca="1" si="18"/>
        <v>0</v>
      </c>
      <c r="Y23" s="28">
        <f t="shared" ca="1" si="19"/>
        <v>0</v>
      </c>
      <c r="Z23" s="28">
        <f t="shared" ca="1" si="20"/>
        <v>0</v>
      </c>
      <c r="AA23" s="41">
        <f t="shared" ca="1" si="21"/>
        <v>127162.39099943051</v>
      </c>
      <c r="AB23" s="162"/>
      <c r="AC23" s="163" t="s">
        <v>10</v>
      </c>
      <c r="AD23" s="92"/>
      <c r="AE23" s="92"/>
      <c r="AF23" s="92"/>
      <c r="AG23" s="92"/>
      <c r="AH23" s="92"/>
      <c r="AI23" s="92"/>
      <c r="AJ23" s="92"/>
      <c r="AK23" s="163" t="s">
        <v>10</v>
      </c>
      <c r="AL23" s="92"/>
      <c r="AM23" s="163" t="s">
        <v>10</v>
      </c>
      <c r="AN23" s="213"/>
      <c r="AO23" s="214"/>
      <c r="AQ23" s="212">
        <v>9</v>
      </c>
      <c r="AR23" s="33">
        <v>4.4071428571428575</v>
      </c>
    </row>
    <row r="24" spans="1:44" ht="15.75" customHeight="1">
      <c r="A24" s="30">
        <v>23</v>
      </c>
      <c r="B24" s="27">
        <v>40000</v>
      </c>
      <c r="C24" s="43"/>
      <c r="D24" s="32">
        <f t="shared" ca="1" si="0"/>
        <v>0.61601454781764298</v>
      </c>
      <c r="E24" s="35">
        <f t="shared" ca="1" si="22"/>
        <v>5</v>
      </c>
      <c r="F24" s="37">
        <f t="shared" ca="1" si="1"/>
        <v>1</v>
      </c>
      <c r="G24" s="37">
        <f t="shared" ca="1" si="2"/>
        <v>1</v>
      </c>
      <c r="H24" s="37">
        <f t="shared" ca="1" si="3"/>
        <v>1</v>
      </c>
      <c r="I24" s="37">
        <f t="shared" ca="1" si="4"/>
        <v>1</v>
      </c>
      <c r="J24" s="37">
        <f t="shared" ca="1" si="5"/>
        <v>1</v>
      </c>
      <c r="K24" s="37">
        <f t="shared" ca="1" si="6"/>
        <v>0</v>
      </c>
      <c r="L24" s="37">
        <f t="shared" ca="1" si="7"/>
        <v>0</v>
      </c>
      <c r="M24" s="37">
        <f t="shared" ca="1" si="8"/>
        <v>0</v>
      </c>
      <c r="N24" s="37">
        <f t="shared" ca="1" si="9"/>
        <v>0</v>
      </c>
      <c r="O24" s="37">
        <f t="shared" ca="1" si="10"/>
        <v>0</v>
      </c>
      <c r="P24" s="39" t="s">
        <v>10</v>
      </c>
      <c r="Q24" s="28">
        <f t="shared" ca="1" si="11"/>
        <v>32987.397251142553</v>
      </c>
      <c r="R24" s="28">
        <f t="shared" ca="1" si="12"/>
        <v>77141.747471378272</v>
      </c>
      <c r="S24" s="28">
        <f t="shared" ca="1" si="13"/>
        <v>11402.441642968168</v>
      </c>
      <c r="T24" s="28">
        <f t="shared" ca="1" si="14"/>
        <v>1661.5155304964405</v>
      </c>
      <c r="U24" s="28">
        <f t="shared" ca="1" si="15"/>
        <v>2993.6819073109032</v>
      </c>
      <c r="V24" s="28">
        <f t="shared" ca="1" si="16"/>
        <v>0</v>
      </c>
      <c r="W24" s="28">
        <f t="shared" ca="1" si="17"/>
        <v>0</v>
      </c>
      <c r="X24" s="28">
        <f t="shared" ca="1" si="18"/>
        <v>0</v>
      </c>
      <c r="Y24" s="28">
        <f t="shared" ca="1" si="19"/>
        <v>0</v>
      </c>
      <c r="Z24" s="28">
        <f t="shared" ca="1" si="20"/>
        <v>0</v>
      </c>
      <c r="AA24" s="41">
        <f t="shared" ca="1" si="21"/>
        <v>126186.78380329635</v>
      </c>
      <c r="AB24" s="162"/>
      <c r="AC24" s="163" t="s">
        <v>10</v>
      </c>
      <c r="AD24" s="163" t="s">
        <v>10</v>
      </c>
      <c r="AE24" s="92"/>
      <c r="AF24" s="92"/>
      <c r="AG24" s="92"/>
      <c r="AH24" s="92"/>
      <c r="AI24" s="92"/>
      <c r="AJ24" s="92"/>
      <c r="AK24" s="163" t="s">
        <v>10</v>
      </c>
      <c r="AL24" s="92"/>
      <c r="AM24" s="163" t="s">
        <v>10</v>
      </c>
      <c r="AN24" s="213"/>
      <c r="AO24" s="214"/>
      <c r="AQ24" s="212">
        <v>10</v>
      </c>
      <c r="AR24" s="33">
        <v>4.7285714285714286</v>
      </c>
    </row>
    <row r="25" spans="1:44" ht="15.75" customHeight="1">
      <c r="A25" s="30">
        <v>24</v>
      </c>
      <c r="B25" s="27">
        <v>40000</v>
      </c>
      <c r="C25" s="43"/>
      <c r="D25" s="32">
        <f t="shared" ca="1" si="0"/>
        <v>0.72194564375135484</v>
      </c>
      <c r="E25" s="35">
        <f t="shared" ca="1" si="22"/>
        <v>6</v>
      </c>
      <c r="F25" s="37">
        <f t="shared" ca="1" si="1"/>
        <v>1</v>
      </c>
      <c r="G25" s="37">
        <f t="shared" ca="1" si="2"/>
        <v>1</v>
      </c>
      <c r="H25" s="37">
        <f t="shared" ca="1" si="3"/>
        <v>1</v>
      </c>
      <c r="I25" s="37">
        <f t="shared" ca="1" si="4"/>
        <v>1</v>
      </c>
      <c r="J25" s="37">
        <f t="shared" ca="1" si="5"/>
        <v>1</v>
      </c>
      <c r="K25" s="37">
        <f t="shared" ca="1" si="6"/>
        <v>1</v>
      </c>
      <c r="L25" s="37">
        <f t="shared" ca="1" si="7"/>
        <v>0</v>
      </c>
      <c r="M25" s="37">
        <f t="shared" ca="1" si="8"/>
        <v>0</v>
      </c>
      <c r="N25" s="37">
        <f t="shared" ca="1" si="9"/>
        <v>0</v>
      </c>
      <c r="O25" s="37">
        <f t="shared" ca="1" si="10"/>
        <v>0</v>
      </c>
      <c r="P25" s="39" t="s">
        <v>10</v>
      </c>
      <c r="Q25" s="28">
        <f t="shared" ca="1" si="11"/>
        <v>34593.674990105115</v>
      </c>
      <c r="R25" s="28">
        <f t="shared" ca="1" si="12"/>
        <v>16429.299264810841</v>
      </c>
      <c r="S25" s="28">
        <f t="shared" ca="1" si="13"/>
        <v>15093.248272960851</v>
      </c>
      <c r="T25" s="28">
        <f t="shared" ca="1" si="14"/>
        <v>22336.446131575442</v>
      </c>
      <c r="U25" s="28">
        <f t="shared" ca="1" si="15"/>
        <v>39489.361053370063</v>
      </c>
      <c r="V25" s="28">
        <f t="shared" ca="1" si="16"/>
        <v>45685.125120064673</v>
      </c>
      <c r="W25" s="28">
        <f t="shared" ca="1" si="17"/>
        <v>0</v>
      </c>
      <c r="X25" s="28">
        <f t="shared" ca="1" si="18"/>
        <v>0</v>
      </c>
      <c r="Y25" s="28">
        <f t="shared" ca="1" si="19"/>
        <v>0</v>
      </c>
      <c r="Z25" s="28">
        <f t="shared" ca="1" si="20"/>
        <v>0</v>
      </c>
      <c r="AA25" s="41">
        <f t="shared" ca="1" si="21"/>
        <v>173627.154832887</v>
      </c>
      <c r="AB25" s="162"/>
      <c r="AC25" s="70" t="s">
        <v>10</v>
      </c>
      <c r="AD25" s="163" t="s">
        <v>10</v>
      </c>
      <c r="AE25" s="92"/>
      <c r="AF25" s="92"/>
      <c r="AG25" s="92"/>
      <c r="AH25" s="92"/>
      <c r="AI25" s="92"/>
      <c r="AJ25" s="92"/>
      <c r="AK25" s="163" t="s">
        <v>10</v>
      </c>
      <c r="AL25" t="s">
        <v>10</v>
      </c>
      <c r="AM25" s="163" t="s">
        <v>10</v>
      </c>
      <c r="AN25" s="213"/>
      <c r="AO25" s="214"/>
      <c r="AQ25" s="212">
        <v>11</v>
      </c>
      <c r="AR25" s="33">
        <v>4.5285714285714285</v>
      </c>
    </row>
    <row r="26" spans="1:44" ht="15.75" customHeight="1">
      <c r="A26" s="30">
        <v>25</v>
      </c>
      <c r="B26" s="27">
        <v>40000</v>
      </c>
      <c r="C26" s="43"/>
      <c r="D26" s="32">
        <f t="shared" ca="1" si="0"/>
        <v>0.62985772424419273</v>
      </c>
      <c r="E26" s="35">
        <f t="shared" ca="1" si="22"/>
        <v>5</v>
      </c>
      <c r="F26" s="37">
        <f t="shared" ca="1" si="1"/>
        <v>1</v>
      </c>
      <c r="G26" s="37">
        <f t="shared" ca="1" si="2"/>
        <v>1</v>
      </c>
      <c r="H26" s="37">
        <f t="shared" ca="1" si="3"/>
        <v>1</v>
      </c>
      <c r="I26" s="37">
        <f t="shared" ca="1" si="4"/>
        <v>1</v>
      </c>
      <c r="J26" s="37">
        <f t="shared" ca="1" si="5"/>
        <v>1</v>
      </c>
      <c r="K26" s="37">
        <f t="shared" ca="1" si="6"/>
        <v>0</v>
      </c>
      <c r="L26" s="37">
        <f t="shared" ca="1" si="7"/>
        <v>0</v>
      </c>
      <c r="M26" s="37">
        <f t="shared" ca="1" si="8"/>
        <v>0</v>
      </c>
      <c r="N26" s="37">
        <f t="shared" ca="1" si="9"/>
        <v>0</v>
      </c>
      <c r="O26" s="37">
        <f t="shared" ca="1" si="10"/>
        <v>0</v>
      </c>
      <c r="P26" s="39" t="s">
        <v>10</v>
      </c>
      <c r="Q26" s="28">
        <f t="shared" ca="1" si="11"/>
        <v>24574.687765857274</v>
      </c>
      <c r="R26" s="28">
        <f t="shared" ca="1" si="12"/>
        <v>9375.7376583661826</v>
      </c>
      <c r="S26" s="28">
        <f t="shared" ca="1" si="13"/>
        <v>15633.435369876886</v>
      </c>
      <c r="T26" s="28">
        <f t="shared" ca="1" si="14"/>
        <v>139528.34791239729</v>
      </c>
      <c r="U26" s="28">
        <f t="shared" ca="1" si="15"/>
        <v>27510.83322493056</v>
      </c>
      <c r="V26" s="28">
        <f t="shared" ca="1" si="16"/>
        <v>0</v>
      </c>
      <c r="W26" s="28">
        <f t="shared" ca="1" si="17"/>
        <v>0</v>
      </c>
      <c r="X26" s="28">
        <f t="shared" ca="1" si="18"/>
        <v>0</v>
      </c>
      <c r="Y26" s="28">
        <f t="shared" ca="1" si="19"/>
        <v>0</v>
      </c>
      <c r="Z26" s="28">
        <f t="shared" ca="1" si="20"/>
        <v>0</v>
      </c>
      <c r="AA26" s="41">
        <f t="shared" ca="1" si="21"/>
        <v>216623.04193142819</v>
      </c>
      <c r="AB26" s="162"/>
      <c r="AC26" s="70" t="s">
        <v>10</v>
      </c>
      <c r="AD26" s="163" t="s">
        <v>10</v>
      </c>
      <c r="AE26" s="92"/>
      <c r="AF26" s="92"/>
      <c r="AG26" s="92"/>
      <c r="AH26" s="92"/>
      <c r="AI26" s="92"/>
      <c r="AJ26" s="92"/>
      <c r="AK26" s="163" t="s">
        <v>10</v>
      </c>
      <c r="AL26" t="s">
        <v>10</v>
      </c>
      <c r="AM26" s="163" t="s">
        <v>10</v>
      </c>
      <c r="AN26" s="213"/>
      <c r="AO26" s="214"/>
      <c r="AQ26" s="212">
        <v>12</v>
      </c>
      <c r="AR26" s="33">
        <v>4.2642857142857142</v>
      </c>
    </row>
    <row r="27" spans="1:44" ht="15.75" customHeight="1">
      <c r="A27" s="30">
        <v>26</v>
      </c>
      <c r="B27" s="27">
        <v>40000</v>
      </c>
      <c r="C27" s="43"/>
      <c r="D27" s="32">
        <f t="shared" ca="1" si="0"/>
        <v>0.60535677761170814</v>
      </c>
      <c r="E27" s="35">
        <f t="shared" ca="1" si="22"/>
        <v>5</v>
      </c>
      <c r="F27" s="37">
        <f t="shared" ca="1" si="1"/>
        <v>1</v>
      </c>
      <c r="G27" s="37">
        <f t="shared" ca="1" si="2"/>
        <v>1</v>
      </c>
      <c r="H27" s="37">
        <f t="shared" ca="1" si="3"/>
        <v>1</v>
      </c>
      <c r="I27" s="37">
        <f t="shared" ca="1" si="4"/>
        <v>1</v>
      </c>
      <c r="J27" s="37">
        <f t="shared" ca="1" si="5"/>
        <v>1</v>
      </c>
      <c r="K27" s="37">
        <f t="shared" ca="1" si="6"/>
        <v>0</v>
      </c>
      <c r="L27" s="37">
        <f t="shared" ca="1" si="7"/>
        <v>0</v>
      </c>
      <c r="M27" s="37">
        <f t="shared" ca="1" si="8"/>
        <v>0</v>
      </c>
      <c r="N27" s="37">
        <f t="shared" ca="1" si="9"/>
        <v>0</v>
      </c>
      <c r="O27" s="37">
        <f t="shared" ca="1" si="10"/>
        <v>0</v>
      </c>
      <c r="P27" s="39" t="s">
        <v>10</v>
      </c>
      <c r="Q27" s="28">
        <f t="shared" ca="1" si="11"/>
        <v>34628.926390880246</v>
      </c>
      <c r="R27" s="28">
        <f t="shared" ca="1" si="12"/>
        <v>3454.1641683979119</v>
      </c>
      <c r="S27" s="28">
        <f t="shared" ca="1" si="13"/>
        <v>7479.3770664953227</v>
      </c>
      <c r="T27" s="28">
        <f t="shared" ca="1" si="14"/>
        <v>92035.841036316342</v>
      </c>
      <c r="U27" s="28">
        <f t="shared" ca="1" si="15"/>
        <v>42313.957466312459</v>
      </c>
      <c r="V27" s="28">
        <f t="shared" ca="1" si="16"/>
        <v>0</v>
      </c>
      <c r="W27" s="28">
        <f t="shared" ca="1" si="17"/>
        <v>0</v>
      </c>
      <c r="X27" s="28">
        <f t="shared" ca="1" si="18"/>
        <v>0</v>
      </c>
      <c r="Y27" s="28">
        <f t="shared" ca="1" si="19"/>
        <v>0</v>
      </c>
      <c r="Z27" s="28">
        <f t="shared" ca="1" si="20"/>
        <v>0</v>
      </c>
      <c r="AA27" s="41">
        <f t="shared" ca="1" si="21"/>
        <v>179912.26612840226</v>
      </c>
      <c r="AB27" s="162"/>
      <c r="AC27" s="70" t="s">
        <v>10</v>
      </c>
      <c r="AD27" s="163" t="s">
        <v>10</v>
      </c>
      <c r="AE27" s="92"/>
      <c r="AF27" s="92"/>
      <c r="AG27" s="92"/>
      <c r="AH27" s="92"/>
      <c r="AI27" s="92"/>
      <c r="AJ27" s="92"/>
      <c r="AK27" s="163" t="s">
        <v>10</v>
      </c>
      <c r="AL27" s="92"/>
      <c r="AM27" s="163" t="s">
        <v>10</v>
      </c>
      <c r="AN27" s="213"/>
      <c r="AO27" s="214"/>
      <c r="AQ27" s="212">
        <v>13</v>
      </c>
      <c r="AR27" s="33">
        <v>4.3928571428571432</v>
      </c>
    </row>
    <row r="28" spans="1:44" ht="15.75" customHeight="1">
      <c r="A28" s="30">
        <v>27</v>
      </c>
      <c r="B28" s="27">
        <v>40000</v>
      </c>
      <c r="C28" s="43"/>
      <c r="D28" s="32">
        <f t="shared" ca="1" si="0"/>
        <v>0.59224700880461945</v>
      </c>
      <c r="E28" s="35">
        <f t="shared" ca="1" si="22"/>
        <v>5</v>
      </c>
      <c r="F28" s="37">
        <f t="shared" ca="1" si="1"/>
        <v>1</v>
      </c>
      <c r="G28" s="37">
        <f t="shared" ca="1" si="2"/>
        <v>1</v>
      </c>
      <c r="H28" s="37">
        <f t="shared" ca="1" si="3"/>
        <v>1</v>
      </c>
      <c r="I28" s="37">
        <f t="shared" ca="1" si="4"/>
        <v>1</v>
      </c>
      <c r="J28" s="37">
        <f t="shared" ca="1" si="5"/>
        <v>1</v>
      </c>
      <c r="K28" s="37">
        <f t="shared" ca="1" si="6"/>
        <v>0</v>
      </c>
      <c r="L28" s="37">
        <f ca="1">IF(E28&gt;=7,1,0)</f>
        <v>0</v>
      </c>
      <c r="M28" s="37">
        <f t="shared" ca="1" si="8"/>
        <v>0</v>
      </c>
      <c r="N28" s="37">
        <f t="shared" ca="1" si="9"/>
        <v>0</v>
      </c>
      <c r="O28" s="37">
        <f t="shared" ca="1" si="10"/>
        <v>0</v>
      </c>
      <c r="P28" s="39"/>
      <c r="Q28" s="28">
        <f t="shared" ca="1" si="11"/>
        <v>54260.76468375876</v>
      </c>
      <c r="R28" s="28">
        <f t="shared" ca="1" si="12"/>
        <v>5724.2138882448389</v>
      </c>
      <c r="S28" s="28">
        <f t="shared" ca="1" si="13"/>
        <v>4881.5370723032311</v>
      </c>
      <c r="T28" s="28">
        <f t="shared" ca="1" si="14"/>
        <v>10772.260322295886</v>
      </c>
      <c r="U28" s="28">
        <f t="shared" ca="1" si="15"/>
        <v>100500.2131739398</v>
      </c>
      <c r="V28" s="28">
        <f t="shared" ca="1" si="16"/>
        <v>0</v>
      </c>
      <c r="W28" s="28">
        <f t="shared" ca="1" si="17"/>
        <v>0</v>
      </c>
      <c r="X28" s="28">
        <f t="shared" ca="1" si="18"/>
        <v>0</v>
      </c>
      <c r="Y28" s="28">
        <f t="shared" ca="1" si="19"/>
        <v>0</v>
      </c>
      <c r="Z28" s="28">
        <f t="shared" ca="1" si="20"/>
        <v>0</v>
      </c>
      <c r="AA28" s="41">
        <f t="shared" ca="1" si="21"/>
        <v>176138.98914054252</v>
      </c>
      <c r="AB28" s="162"/>
      <c r="AC28" s="70" t="s">
        <v>10</v>
      </c>
      <c r="AD28" s="163" t="s">
        <v>10</v>
      </c>
      <c r="AE28" s="92"/>
      <c r="AF28" s="92"/>
      <c r="AG28" s="92"/>
      <c r="AH28" s="92"/>
      <c r="AI28" s="92"/>
      <c r="AJ28" s="92"/>
      <c r="AK28" s="163" t="s">
        <v>10</v>
      </c>
      <c r="AL28" s="92"/>
      <c r="AM28" s="163" t="s">
        <v>10</v>
      </c>
      <c r="AN28" s="213"/>
      <c r="AO28" s="214"/>
      <c r="AQ28" s="212">
        <v>14</v>
      </c>
      <c r="AR28" s="33">
        <v>4.3</v>
      </c>
    </row>
    <row r="29" spans="1:44" ht="15.75" customHeight="1">
      <c r="A29" s="30">
        <v>28</v>
      </c>
      <c r="B29" s="27">
        <v>40000</v>
      </c>
      <c r="C29" s="43"/>
      <c r="D29" s="32">
        <f t="shared" ca="1" si="0"/>
        <v>0.90170146893654801</v>
      </c>
      <c r="E29" s="35">
        <f t="shared" ca="1" si="22"/>
        <v>8</v>
      </c>
      <c r="F29" s="37">
        <f t="shared" ca="1" si="1"/>
        <v>1</v>
      </c>
      <c r="G29" s="37">
        <f t="shared" ca="1" si="2"/>
        <v>1</v>
      </c>
      <c r="H29" s="37">
        <f t="shared" ca="1" si="3"/>
        <v>1</v>
      </c>
      <c r="I29" s="37">
        <f t="shared" ca="1" si="4"/>
        <v>1</v>
      </c>
      <c r="J29" s="37">
        <f t="shared" ca="1" si="5"/>
        <v>1</v>
      </c>
      <c r="K29" s="37">
        <f t="shared" ca="1" si="6"/>
        <v>1</v>
      </c>
      <c r="L29" s="37">
        <f t="shared" ca="1" si="7"/>
        <v>1</v>
      </c>
      <c r="M29" s="37">
        <f t="shared" ca="1" si="8"/>
        <v>1</v>
      </c>
      <c r="N29" s="37">
        <f t="shared" ca="1" si="9"/>
        <v>0</v>
      </c>
      <c r="O29" s="37">
        <f t="shared" ca="1" si="10"/>
        <v>0</v>
      </c>
      <c r="P29" s="39"/>
      <c r="Q29" s="28">
        <f t="shared" ca="1" si="11"/>
        <v>37021.375079093152</v>
      </c>
      <c r="R29" s="28">
        <f t="shared" ca="1" si="12"/>
        <v>69622.164774413803</v>
      </c>
      <c r="S29" s="28">
        <f t="shared" ca="1" si="13"/>
        <v>3823.1001065158694</v>
      </c>
      <c r="T29" s="28">
        <f t="shared" ca="1" si="14"/>
        <v>10838.515053207306</v>
      </c>
      <c r="U29" s="28">
        <f t="shared" ca="1" si="15"/>
        <v>5492.200441608099</v>
      </c>
      <c r="V29" s="28">
        <f t="shared" ca="1" si="16"/>
        <v>39050.737047542039</v>
      </c>
      <c r="W29" s="28">
        <f t="shared" ca="1" si="17"/>
        <v>28659.73492350577</v>
      </c>
      <c r="X29" s="28">
        <f t="shared" ca="1" si="18"/>
        <v>5991.8750167047456</v>
      </c>
      <c r="Y29" s="28">
        <f t="shared" ca="1" si="19"/>
        <v>0</v>
      </c>
      <c r="Z29" s="28">
        <f t="shared" ca="1" si="20"/>
        <v>0</v>
      </c>
      <c r="AA29" s="41">
        <f t="shared" ca="1" si="21"/>
        <v>200499.70244259079</v>
      </c>
      <c r="AB29" s="162"/>
      <c r="AC29" s="70" t="s">
        <v>10</v>
      </c>
      <c r="AD29" s="163" t="s">
        <v>10</v>
      </c>
      <c r="AE29" s="92"/>
      <c r="AF29" s="92"/>
      <c r="AG29" s="170" t="s">
        <v>10</v>
      </c>
      <c r="AH29" s="170"/>
      <c r="AI29" s="92"/>
      <c r="AJ29" s="92"/>
      <c r="AK29" s="163" t="s">
        <v>10</v>
      </c>
      <c r="AL29" s="92"/>
      <c r="AM29" s="163" t="s">
        <v>10</v>
      </c>
      <c r="AN29" s="213"/>
      <c r="AO29" s="214"/>
      <c r="AQ29" s="212">
        <v>15</v>
      </c>
      <c r="AR29" s="33">
        <v>4.1142857142857139</v>
      </c>
    </row>
    <row r="30" spans="1:44" ht="15.75" customHeight="1">
      <c r="A30" s="30">
        <v>29</v>
      </c>
      <c r="B30" s="27">
        <v>40000</v>
      </c>
      <c r="C30" s="43"/>
      <c r="D30" s="32">
        <f t="shared" ca="1" si="0"/>
        <v>7.5430850840929153E-2</v>
      </c>
      <c r="E30" s="35">
        <f t="shared" ca="1" si="22"/>
        <v>1</v>
      </c>
      <c r="F30" s="37">
        <f t="shared" ca="1" si="1"/>
        <v>1</v>
      </c>
      <c r="G30" s="37">
        <f t="shared" ca="1" si="2"/>
        <v>0</v>
      </c>
      <c r="H30" s="37">
        <f t="shared" ca="1" si="3"/>
        <v>0</v>
      </c>
      <c r="I30" s="37">
        <f t="shared" ca="1" si="4"/>
        <v>0</v>
      </c>
      <c r="J30" s="37">
        <f t="shared" ca="1" si="5"/>
        <v>0</v>
      </c>
      <c r="K30" s="37">
        <f t="shared" ca="1" si="6"/>
        <v>0</v>
      </c>
      <c r="L30" s="37">
        <f t="shared" ca="1" si="7"/>
        <v>0</v>
      </c>
      <c r="M30" s="37">
        <f t="shared" ca="1" si="8"/>
        <v>0</v>
      </c>
      <c r="N30" s="37">
        <f t="shared" ca="1" si="9"/>
        <v>0</v>
      </c>
      <c r="O30" s="37">
        <f t="shared" ca="1" si="10"/>
        <v>0</v>
      </c>
      <c r="P30" s="39"/>
      <c r="Q30" s="28">
        <f t="shared" ca="1" si="11"/>
        <v>31688.459450718205</v>
      </c>
      <c r="R30" s="28">
        <f t="shared" ca="1" si="12"/>
        <v>0</v>
      </c>
      <c r="S30" s="28">
        <f t="shared" ca="1" si="13"/>
        <v>0</v>
      </c>
      <c r="T30" s="28">
        <f t="shared" ca="1" si="14"/>
        <v>0</v>
      </c>
      <c r="U30" s="28">
        <f t="shared" ca="1" si="15"/>
        <v>0</v>
      </c>
      <c r="V30" s="28">
        <f t="shared" ca="1" si="16"/>
        <v>0</v>
      </c>
      <c r="W30" s="28">
        <f t="shared" ca="1" si="17"/>
        <v>0</v>
      </c>
      <c r="X30" s="28">
        <f t="shared" ca="1" si="18"/>
        <v>0</v>
      </c>
      <c r="Y30" s="28">
        <f t="shared" ca="1" si="19"/>
        <v>0</v>
      </c>
      <c r="Z30" s="28">
        <f t="shared" ca="1" si="20"/>
        <v>0</v>
      </c>
      <c r="AA30" s="41">
        <f t="shared" ca="1" si="21"/>
        <v>31688.459450718205</v>
      </c>
      <c r="AB30" s="162"/>
      <c r="AC30" s="70" t="s">
        <v>10</v>
      </c>
      <c r="AD30" s="163" t="s">
        <v>10</v>
      </c>
      <c r="AE30" s="92"/>
      <c r="AF30" s="92"/>
      <c r="AG30" s="170" t="s">
        <v>10</v>
      </c>
      <c r="AH30" s="170"/>
      <c r="AI30" s="92"/>
      <c r="AJ30" s="92"/>
      <c r="AK30" s="163" t="s">
        <v>10</v>
      </c>
      <c r="AL30" s="92"/>
      <c r="AM30" s="163" t="s">
        <v>10</v>
      </c>
      <c r="AN30" s="213"/>
      <c r="AO30" s="214"/>
      <c r="AQ30" s="212">
        <v>16</v>
      </c>
      <c r="AR30" s="33">
        <v>4.0714285714285712</v>
      </c>
    </row>
    <row r="31" spans="1:44" ht="15.75" customHeight="1">
      <c r="A31" s="30">
        <v>30</v>
      </c>
      <c r="B31" s="27">
        <v>40000</v>
      </c>
      <c r="C31" s="43"/>
      <c r="D31" s="32">
        <f t="shared" ca="1" si="0"/>
        <v>0.93494438144278169</v>
      </c>
      <c r="E31" s="35">
        <f t="shared" ca="1" si="22"/>
        <v>9</v>
      </c>
      <c r="F31" s="37">
        <f t="shared" ca="1" si="1"/>
        <v>1</v>
      </c>
      <c r="G31" s="37">
        <f t="shared" ca="1" si="2"/>
        <v>1</v>
      </c>
      <c r="H31" s="37">
        <f t="shared" ca="1" si="3"/>
        <v>1</v>
      </c>
      <c r="I31" s="37">
        <f t="shared" ca="1" si="4"/>
        <v>1</v>
      </c>
      <c r="J31" s="37">
        <f t="shared" ca="1" si="5"/>
        <v>1</v>
      </c>
      <c r="K31" s="37">
        <f t="shared" ca="1" si="6"/>
        <v>1</v>
      </c>
      <c r="L31" s="37">
        <f t="shared" ca="1" si="7"/>
        <v>1</v>
      </c>
      <c r="M31" s="37">
        <f t="shared" ca="1" si="8"/>
        <v>1</v>
      </c>
      <c r="N31" s="37">
        <f t="shared" ca="1" si="9"/>
        <v>1</v>
      </c>
      <c r="O31" s="37">
        <f t="shared" ca="1" si="10"/>
        <v>0</v>
      </c>
      <c r="P31" s="39"/>
      <c r="Q31" s="28">
        <f t="shared" ca="1" si="11"/>
        <v>14571.285002088714</v>
      </c>
      <c r="R31" s="28">
        <f t="shared" ca="1" si="12"/>
        <v>18856.097560841652</v>
      </c>
      <c r="S31" s="28">
        <f t="shared" ca="1" si="13"/>
        <v>6893.800699672388</v>
      </c>
      <c r="T31" s="28">
        <f t="shared" ca="1" si="14"/>
        <v>54825.190137988597</v>
      </c>
      <c r="U31" s="28">
        <f t="shared" ca="1" si="15"/>
        <v>28722.96402100335</v>
      </c>
      <c r="V31" s="28">
        <f t="shared" ca="1" si="16"/>
        <v>85692.811574887601</v>
      </c>
      <c r="W31" s="28">
        <f t="shared" ca="1" si="17"/>
        <v>7027.181279726844</v>
      </c>
      <c r="X31" s="28">
        <f t="shared" ca="1" si="18"/>
        <v>22517.535008125404</v>
      </c>
      <c r="Y31" s="28">
        <f t="shared" ca="1" si="19"/>
        <v>13454.291866305794</v>
      </c>
      <c r="Z31" s="28">
        <f t="shared" ca="1" si="20"/>
        <v>0</v>
      </c>
      <c r="AA31" s="41">
        <f t="shared" ca="1" si="21"/>
        <v>252561.15715064039</v>
      </c>
      <c r="AB31" s="162"/>
      <c r="AC31" s="93" t="s">
        <v>11</v>
      </c>
      <c r="AD31" s="92"/>
      <c r="AE31" s="92"/>
      <c r="AF31" s="92"/>
      <c r="AG31" s="170" t="s">
        <v>10</v>
      </c>
      <c r="AH31" s="170"/>
      <c r="AI31" s="92"/>
      <c r="AJ31" s="92"/>
      <c r="AK31" s="163" t="s">
        <v>10</v>
      </c>
      <c r="AL31" s="92"/>
      <c r="AM31" s="163" t="s">
        <v>10</v>
      </c>
      <c r="AN31" s="213"/>
      <c r="AO31" s="214"/>
      <c r="AQ31" s="212">
        <v>17</v>
      </c>
      <c r="AR31" s="33">
        <v>4.3</v>
      </c>
    </row>
    <row r="32" spans="1:44" ht="15.75" customHeight="1">
      <c r="A32" s="30">
        <v>31</v>
      </c>
      <c r="B32" s="27">
        <v>40000</v>
      </c>
      <c r="C32" s="43"/>
      <c r="D32" s="32">
        <f t="shared" ca="1" si="0"/>
        <v>7.3333656935528624E-2</v>
      </c>
      <c r="E32" s="35">
        <f t="shared" ca="1" si="22"/>
        <v>1</v>
      </c>
      <c r="F32" s="37">
        <f t="shared" ca="1" si="1"/>
        <v>1</v>
      </c>
      <c r="G32" s="37">
        <f t="shared" ca="1" si="2"/>
        <v>0</v>
      </c>
      <c r="H32" s="37">
        <f t="shared" ca="1" si="3"/>
        <v>0</v>
      </c>
      <c r="I32" s="37">
        <f t="shared" ca="1" si="4"/>
        <v>0</v>
      </c>
      <c r="J32" s="37">
        <f t="shared" ca="1" si="5"/>
        <v>0</v>
      </c>
      <c r="K32" s="37">
        <f t="shared" ca="1" si="6"/>
        <v>0</v>
      </c>
      <c r="L32" s="37">
        <f t="shared" ca="1" si="7"/>
        <v>0</v>
      </c>
      <c r="M32" s="37">
        <f t="shared" ca="1" si="8"/>
        <v>0</v>
      </c>
      <c r="N32" s="37">
        <f t="shared" ca="1" si="9"/>
        <v>0</v>
      </c>
      <c r="O32" s="37">
        <f t="shared" ca="1" si="10"/>
        <v>0</v>
      </c>
      <c r="P32" s="39"/>
      <c r="Q32" s="28">
        <f t="shared" ca="1" si="11"/>
        <v>2982.1153317676085</v>
      </c>
      <c r="R32" s="28">
        <f t="shared" ca="1" si="12"/>
        <v>0</v>
      </c>
      <c r="S32" s="28">
        <f t="shared" ca="1" si="13"/>
        <v>0</v>
      </c>
      <c r="T32" s="28">
        <f t="shared" ca="1" si="14"/>
        <v>0</v>
      </c>
      <c r="U32" s="28">
        <f t="shared" ca="1" si="15"/>
        <v>0</v>
      </c>
      <c r="V32" s="28">
        <f t="shared" ca="1" si="16"/>
        <v>0</v>
      </c>
      <c r="W32" s="28">
        <f t="shared" ca="1" si="17"/>
        <v>0</v>
      </c>
      <c r="X32" s="28">
        <f t="shared" ca="1" si="18"/>
        <v>0</v>
      </c>
      <c r="Y32" s="28">
        <f t="shared" ca="1" si="19"/>
        <v>0</v>
      </c>
      <c r="Z32" s="28">
        <f t="shared" ca="1" si="20"/>
        <v>0</v>
      </c>
      <c r="AA32" s="41">
        <f t="shared" ca="1" si="21"/>
        <v>2982.1153317676085</v>
      </c>
      <c r="AB32" s="162"/>
      <c r="AC32" s="92"/>
      <c r="AD32" s="92"/>
      <c r="AE32" s="92"/>
      <c r="AF32" s="92"/>
      <c r="AG32" s="170" t="s">
        <v>10</v>
      </c>
      <c r="AH32" s="170"/>
      <c r="AI32" s="92"/>
      <c r="AJ32" s="92"/>
      <c r="AK32" s="163" t="s">
        <v>10</v>
      </c>
      <c r="AL32" s="92"/>
      <c r="AM32" s="163" t="s">
        <v>10</v>
      </c>
      <c r="AN32" s="213"/>
      <c r="AO32" s="214"/>
      <c r="AQ32" s="212">
        <v>18</v>
      </c>
      <c r="AR32" s="33">
        <v>4.1357142857142861</v>
      </c>
    </row>
    <row r="33" spans="1:44" ht="15.75" customHeight="1">
      <c r="A33" s="30">
        <v>32</v>
      </c>
      <c r="B33" s="27">
        <v>40000</v>
      </c>
      <c r="C33" s="43"/>
      <c r="D33" s="32">
        <f t="shared" ca="1" si="0"/>
        <v>0.34689528005988146</v>
      </c>
      <c r="E33" s="35">
        <f t="shared" ca="1" si="22"/>
        <v>3</v>
      </c>
      <c r="F33" s="37">
        <f t="shared" ca="1" si="1"/>
        <v>1</v>
      </c>
      <c r="G33" s="37">
        <f t="shared" ca="1" si="2"/>
        <v>1</v>
      </c>
      <c r="H33" s="37">
        <f t="shared" ca="1" si="3"/>
        <v>1</v>
      </c>
      <c r="I33" s="37">
        <f t="shared" ca="1" si="4"/>
        <v>0</v>
      </c>
      <c r="J33" s="37">
        <f t="shared" ca="1" si="5"/>
        <v>0</v>
      </c>
      <c r="K33" s="37">
        <f t="shared" ca="1" si="6"/>
        <v>0</v>
      </c>
      <c r="L33" s="37">
        <f t="shared" ca="1" si="7"/>
        <v>0</v>
      </c>
      <c r="M33" s="37">
        <f t="shared" ca="1" si="8"/>
        <v>0</v>
      </c>
      <c r="N33" s="37">
        <f t="shared" ca="1" si="9"/>
        <v>0</v>
      </c>
      <c r="O33" s="37">
        <f t="shared" ca="1" si="10"/>
        <v>0</v>
      </c>
      <c r="P33" s="39"/>
      <c r="Q33" s="28">
        <f t="shared" ca="1" si="11"/>
        <v>3173.6155561612295</v>
      </c>
      <c r="R33" s="28">
        <f t="shared" ca="1" si="12"/>
        <v>1127.8935117277611</v>
      </c>
      <c r="S33" s="28">
        <f t="shared" ca="1" si="13"/>
        <v>16542.083286185269</v>
      </c>
      <c r="T33" s="28">
        <f t="shared" ca="1" si="14"/>
        <v>0</v>
      </c>
      <c r="U33" s="28">
        <f t="shared" ca="1" si="15"/>
        <v>0</v>
      </c>
      <c r="V33" s="28">
        <f t="shared" ca="1" si="16"/>
        <v>0</v>
      </c>
      <c r="W33" s="28">
        <f t="shared" ca="1" si="17"/>
        <v>0</v>
      </c>
      <c r="X33" s="28">
        <f t="shared" ca="1" si="18"/>
        <v>0</v>
      </c>
      <c r="Y33" s="28">
        <f t="shared" ca="1" si="19"/>
        <v>0</v>
      </c>
      <c r="Z33" s="28">
        <f t="shared" ca="1" si="20"/>
        <v>0</v>
      </c>
      <c r="AA33" s="41">
        <f t="shared" ca="1" si="21"/>
        <v>20843.592354074259</v>
      </c>
      <c r="AB33" s="162"/>
      <c r="AC33" s="93" t="s">
        <v>10</v>
      </c>
      <c r="AD33" s="92"/>
      <c r="AE33" s="92"/>
      <c r="AF33" s="92"/>
      <c r="AG33" s="170" t="s">
        <v>10</v>
      </c>
      <c r="AH33" s="170"/>
      <c r="AI33" s="92"/>
      <c r="AJ33" s="92"/>
      <c r="AK33" s="163" t="s">
        <v>10</v>
      </c>
      <c r="AL33" s="92"/>
      <c r="AM33" s="163" t="s">
        <v>10</v>
      </c>
      <c r="AN33" s="213"/>
      <c r="AO33" s="214"/>
      <c r="AQ33" s="212">
        <v>19</v>
      </c>
      <c r="AR33" s="33">
        <v>4.3142857142857141</v>
      </c>
    </row>
    <row r="34" spans="1:44" ht="15.75" customHeight="1">
      <c r="A34" s="30">
        <v>33</v>
      </c>
      <c r="B34" s="27">
        <v>40000</v>
      </c>
      <c r="C34" s="43"/>
      <c r="D34" s="32">
        <f t="shared" ref="D34:D65" ca="1" si="27">RAND()</f>
        <v>0.43986229276126243</v>
      </c>
      <c r="E34" s="35">
        <f t="shared" ca="1" si="22"/>
        <v>4</v>
      </c>
      <c r="F34" s="37">
        <f t="shared" ref="F34:F65" ca="1" si="28">IF(E34&gt;=1,1,0)</f>
        <v>1</v>
      </c>
      <c r="G34" s="37">
        <f t="shared" ref="G34:G65" ca="1" si="29">IF(E34&gt;=2,1,0)</f>
        <v>1</v>
      </c>
      <c r="H34" s="37">
        <f t="shared" ref="H34:H65" ca="1" si="30">IF(E34&gt;=3,1,0)</f>
        <v>1</v>
      </c>
      <c r="I34" s="37">
        <f t="shared" ref="I34:I65" ca="1" si="31">IF(E34&gt;=4,1,0)</f>
        <v>1</v>
      </c>
      <c r="J34" s="37">
        <f t="shared" ref="J34:J65" ca="1" si="32">IF(E34&gt;=5,1,0)</f>
        <v>0</v>
      </c>
      <c r="K34" s="37">
        <f t="shared" ref="K34:K65" ca="1" si="33">IF(E34&gt;=6,1,0)</f>
        <v>0</v>
      </c>
      <c r="L34" s="37">
        <f t="shared" ca="1" si="7"/>
        <v>0</v>
      </c>
      <c r="M34" s="37">
        <f ca="1">IF(E34&gt;=8,1,0)</f>
        <v>0</v>
      </c>
      <c r="N34" s="37">
        <f t="shared" ref="N34:N65" ca="1" si="34">IF(E34&gt;=9,1,0)</f>
        <v>0</v>
      </c>
      <c r="O34" s="37">
        <f t="shared" ref="O34:O65" ca="1" si="35">IF(E34&gt;=10,1,0)</f>
        <v>0</v>
      </c>
      <c r="P34" s="39"/>
      <c r="Q34" s="28">
        <f t="shared" ref="Q34:Q65" ca="1" si="36">_xlfn.CHISQ.INV(RAND(),2)*$AO$4 *F34</f>
        <v>4243.3183856734986</v>
      </c>
      <c r="R34" s="28">
        <f t="shared" ref="R34:R65" ca="1" si="37">_xlfn.CHISQ.INV(RAND(),2)*$AO$4 *G34</f>
        <v>19898.133509900574</v>
      </c>
      <c r="S34" s="28">
        <f t="shared" ref="S34:S65" ca="1" si="38">_xlfn.CHISQ.INV(RAND(),2)*$AO$4 *H34</f>
        <v>4550.4452159624561</v>
      </c>
      <c r="T34" s="28">
        <f t="shared" ref="T34:T65" ca="1" si="39">_xlfn.CHISQ.INV(RAND(),2)*$AO$4 *I34</f>
        <v>17704.703572381892</v>
      </c>
      <c r="U34" s="28">
        <f t="shared" ref="U34:U65" ca="1" si="40">_xlfn.CHISQ.INV(RAND(),2)*$AO$4 *J34</f>
        <v>0</v>
      </c>
      <c r="V34" s="28">
        <f t="shared" ref="V34:V65" ca="1" si="41">_xlfn.CHISQ.INV(RAND(),2)*$AO$4 *K34</f>
        <v>0</v>
      </c>
      <c r="W34" s="28">
        <f t="shared" ref="W34:W65" ca="1" si="42">_xlfn.CHISQ.INV(RAND(),2)*$AO$4 *L34</f>
        <v>0</v>
      </c>
      <c r="X34" s="28">
        <f t="shared" ref="X34:X65" ca="1" si="43">_xlfn.CHISQ.INV(RAND(),2)*$AO$4 *M34</f>
        <v>0</v>
      </c>
      <c r="Y34" s="28">
        <f t="shared" ref="Y34:Y65" ca="1" si="44">_xlfn.CHISQ.INV(RAND(),2)*$AO$4 *N34</f>
        <v>0</v>
      </c>
      <c r="Z34" s="28">
        <f t="shared" ref="Z34:Z65" ca="1" si="45">_xlfn.CHISQ.INV(RAND(),2)*$AO$4 *O34</f>
        <v>0</v>
      </c>
      <c r="AA34" s="41">
        <f t="shared" ref="AA34:AA65" ca="1" si="46">SUM(Q34:Z34)</f>
        <v>46396.600683918419</v>
      </c>
      <c r="AB34" s="162"/>
      <c r="AC34" s="93" t="s">
        <v>11</v>
      </c>
      <c r="AD34" s="92"/>
      <c r="AE34" s="92"/>
      <c r="AF34" s="92"/>
      <c r="AG34" s="92"/>
      <c r="AH34" s="92"/>
      <c r="AI34" s="92"/>
      <c r="AJ34" s="92"/>
      <c r="AK34" s="163" t="s">
        <v>10</v>
      </c>
      <c r="AL34" s="92"/>
      <c r="AM34" s="163" t="s">
        <v>10</v>
      </c>
      <c r="AN34" s="213"/>
      <c r="AO34" s="214"/>
      <c r="AQ34" s="212">
        <v>20</v>
      </c>
      <c r="AR34" s="33">
        <v>4.3357142857142854</v>
      </c>
    </row>
    <row r="35" spans="1:44" ht="15.75" customHeight="1">
      <c r="A35" s="30">
        <v>34</v>
      </c>
      <c r="B35" s="27">
        <v>40000</v>
      </c>
      <c r="C35" s="43"/>
      <c r="D35" s="32">
        <f t="shared" ca="1" si="27"/>
        <v>0.14675551428245359</v>
      </c>
      <c r="E35" s="35">
        <f t="shared" ca="1" si="22"/>
        <v>1</v>
      </c>
      <c r="F35" s="37">
        <f t="shared" ca="1" si="28"/>
        <v>1</v>
      </c>
      <c r="G35" s="37">
        <f t="shared" ca="1" si="29"/>
        <v>0</v>
      </c>
      <c r="H35" s="37">
        <f t="shared" ca="1" si="30"/>
        <v>0</v>
      </c>
      <c r="I35" s="37">
        <f t="shared" ca="1" si="31"/>
        <v>0</v>
      </c>
      <c r="J35" s="37">
        <f t="shared" ca="1" si="32"/>
        <v>0</v>
      </c>
      <c r="K35" s="37">
        <f t="shared" ca="1" si="33"/>
        <v>0</v>
      </c>
      <c r="L35" s="37">
        <f t="shared" ca="1" si="7"/>
        <v>0</v>
      </c>
      <c r="M35" s="37">
        <f t="shared" ref="M35:M65" ca="1" si="47">IF(E35&gt;=8,1,0)</f>
        <v>0</v>
      </c>
      <c r="N35" s="37">
        <f t="shared" ca="1" si="34"/>
        <v>0</v>
      </c>
      <c r="O35" s="37">
        <f t="shared" ca="1" si="35"/>
        <v>0</v>
      </c>
      <c r="P35" s="39"/>
      <c r="Q35" s="28">
        <f t="shared" ca="1" si="36"/>
        <v>7352.6440937596581</v>
      </c>
      <c r="R35" s="28">
        <f t="shared" ca="1" si="37"/>
        <v>0</v>
      </c>
      <c r="S35" s="28">
        <f t="shared" ca="1" si="38"/>
        <v>0</v>
      </c>
      <c r="T35" s="28">
        <f t="shared" ca="1" si="39"/>
        <v>0</v>
      </c>
      <c r="U35" s="28">
        <f t="shared" ca="1" si="40"/>
        <v>0</v>
      </c>
      <c r="V35" s="28">
        <f t="shared" ca="1" si="41"/>
        <v>0</v>
      </c>
      <c r="W35" s="28">
        <f t="shared" ca="1" si="42"/>
        <v>0</v>
      </c>
      <c r="X35" s="28">
        <f t="shared" ca="1" si="43"/>
        <v>0</v>
      </c>
      <c r="Y35" s="28">
        <f t="shared" ca="1" si="44"/>
        <v>0</v>
      </c>
      <c r="Z35" s="28">
        <f t="shared" ca="1" si="45"/>
        <v>0</v>
      </c>
      <c r="AA35" s="41">
        <f t="shared" ca="1" si="46"/>
        <v>7352.6440937596581</v>
      </c>
      <c r="AB35" s="162"/>
      <c r="AC35" s="93" t="s">
        <v>10</v>
      </c>
      <c r="AD35" s="92"/>
      <c r="AE35" s="92"/>
      <c r="AF35" s="92"/>
      <c r="AG35" s="92"/>
      <c r="AH35" s="92"/>
      <c r="AI35" s="92"/>
      <c r="AJ35" s="92"/>
      <c r="AK35" s="163" t="s">
        <v>10</v>
      </c>
      <c r="AL35" s="92"/>
      <c r="AM35" s="163" t="s">
        <v>10</v>
      </c>
      <c r="AN35" s="213"/>
      <c r="AO35" s="214"/>
      <c r="AQ35" s="212">
        <v>21</v>
      </c>
      <c r="AR35" s="33">
        <v>4.4571428571428573</v>
      </c>
    </row>
    <row r="36" spans="1:44" ht="15.75" customHeight="1">
      <c r="A36" s="30">
        <v>35</v>
      </c>
      <c r="B36" s="27">
        <v>40000</v>
      </c>
      <c r="C36" s="43"/>
      <c r="D36" s="32">
        <f t="shared" ca="1" si="27"/>
        <v>0.22117565432099007</v>
      </c>
      <c r="E36" s="35">
        <f t="shared" ca="1" si="22"/>
        <v>2</v>
      </c>
      <c r="F36" s="37">
        <f t="shared" ca="1" si="28"/>
        <v>1</v>
      </c>
      <c r="G36" s="37">
        <f t="shared" ca="1" si="29"/>
        <v>1</v>
      </c>
      <c r="H36" s="37">
        <f t="shared" ca="1" si="30"/>
        <v>0</v>
      </c>
      <c r="I36" s="37">
        <f t="shared" ca="1" si="31"/>
        <v>0</v>
      </c>
      <c r="J36" s="37">
        <f t="shared" ca="1" si="32"/>
        <v>0</v>
      </c>
      <c r="K36" s="37">
        <f t="shared" ca="1" si="33"/>
        <v>0</v>
      </c>
      <c r="L36" s="37">
        <f t="shared" ca="1" si="7"/>
        <v>0</v>
      </c>
      <c r="M36" s="37">
        <f t="shared" ca="1" si="47"/>
        <v>0</v>
      </c>
      <c r="N36" s="37">
        <f t="shared" ca="1" si="34"/>
        <v>0</v>
      </c>
      <c r="O36" s="37">
        <f t="shared" ca="1" si="35"/>
        <v>0</v>
      </c>
      <c r="P36" s="39"/>
      <c r="Q36" s="28">
        <f t="shared" ca="1" si="36"/>
        <v>49840.200638291455</v>
      </c>
      <c r="R36" s="28">
        <f t="shared" ca="1" si="37"/>
        <v>9645.7239142333729</v>
      </c>
      <c r="S36" s="28">
        <f t="shared" ca="1" si="38"/>
        <v>0</v>
      </c>
      <c r="T36" s="28">
        <f t="shared" ca="1" si="39"/>
        <v>0</v>
      </c>
      <c r="U36" s="28">
        <f t="shared" ca="1" si="40"/>
        <v>0</v>
      </c>
      <c r="V36" s="28">
        <f t="shared" ca="1" si="41"/>
        <v>0</v>
      </c>
      <c r="W36" s="28">
        <f t="shared" ca="1" si="42"/>
        <v>0</v>
      </c>
      <c r="X36" s="28">
        <f t="shared" ca="1" si="43"/>
        <v>0</v>
      </c>
      <c r="Y36" s="28">
        <f t="shared" ca="1" si="44"/>
        <v>0</v>
      </c>
      <c r="Z36" s="28">
        <f t="shared" ca="1" si="45"/>
        <v>0</v>
      </c>
      <c r="AA36" s="41">
        <f t="shared" ca="1" si="46"/>
        <v>59485.924552524826</v>
      </c>
      <c r="AB36" s="162"/>
      <c r="AC36" s="93" t="s">
        <v>10</v>
      </c>
      <c r="AD36" s="92"/>
      <c r="AE36" s="92"/>
      <c r="AF36" s="92"/>
      <c r="AG36" s="92"/>
      <c r="AH36" s="92"/>
      <c r="AI36" s="92"/>
      <c r="AJ36" s="92"/>
      <c r="AK36" s="163" t="s">
        <v>10</v>
      </c>
      <c r="AL36" s="92"/>
      <c r="AM36" s="163" t="s">
        <v>10</v>
      </c>
      <c r="AN36" s="213"/>
      <c r="AO36" s="214"/>
      <c r="AQ36" s="212">
        <v>22</v>
      </c>
      <c r="AR36" s="33">
        <v>4.0214285714285714</v>
      </c>
    </row>
    <row r="37" spans="1:44" ht="15.75" customHeight="1">
      <c r="A37" s="30">
        <v>36</v>
      </c>
      <c r="B37" s="27">
        <v>40000</v>
      </c>
      <c r="C37" s="43"/>
      <c r="D37" s="32">
        <f t="shared" ca="1" si="27"/>
        <v>6.7957093468289154E-2</v>
      </c>
      <c r="E37" s="35">
        <f t="shared" ca="1" si="22"/>
        <v>0</v>
      </c>
      <c r="F37" s="37">
        <f t="shared" ca="1" si="28"/>
        <v>0</v>
      </c>
      <c r="G37" s="37">
        <f t="shared" ca="1" si="29"/>
        <v>0</v>
      </c>
      <c r="H37" s="37">
        <f t="shared" ca="1" si="30"/>
        <v>0</v>
      </c>
      <c r="I37" s="37">
        <f t="shared" ca="1" si="31"/>
        <v>0</v>
      </c>
      <c r="J37" s="37">
        <f t="shared" ca="1" si="32"/>
        <v>0</v>
      </c>
      <c r="K37" s="37">
        <f t="shared" ca="1" si="33"/>
        <v>0</v>
      </c>
      <c r="L37" s="37">
        <f t="shared" ca="1" si="7"/>
        <v>0</v>
      </c>
      <c r="M37" s="37">
        <f t="shared" ca="1" si="47"/>
        <v>0</v>
      </c>
      <c r="N37" s="37">
        <f t="shared" ca="1" si="34"/>
        <v>0</v>
      </c>
      <c r="O37" s="37">
        <f t="shared" ca="1" si="35"/>
        <v>0</v>
      </c>
      <c r="P37" s="39"/>
      <c r="Q37" s="28">
        <f t="shared" ca="1" si="36"/>
        <v>0</v>
      </c>
      <c r="R37" s="28">
        <f t="shared" ca="1" si="37"/>
        <v>0</v>
      </c>
      <c r="S37" s="28">
        <f t="shared" ca="1" si="38"/>
        <v>0</v>
      </c>
      <c r="T37" s="28">
        <f t="shared" ca="1" si="39"/>
        <v>0</v>
      </c>
      <c r="U37" s="28">
        <f t="shared" ca="1" si="40"/>
        <v>0</v>
      </c>
      <c r="V37" s="28">
        <f t="shared" ca="1" si="41"/>
        <v>0</v>
      </c>
      <c r="W37" s="28">
        <f t="shared" ca="1" si="42"/>
        <v>0</v>
      </c>
      <c r="X37" s="28">
        <f t="shared" ca="1" si="43"/>
        <v>0</v>
      </c>
      <c r="Y37" s="28">
        <f t="shared" ca="1" si="44"/>
        <v>0</v>
      </c>
      <c r="Z37" s="28">
        <f t="shared" ca="1" si="45"/>
        <v>0</v>
      </c>
      <c r="AA37" s="41">
        <f t="shared" ca="1" si="46"/>
        <v>0</v>
      </c>
      <c r="AB37" s="162"/>
      <c r="AC37" s="92"/>
      <c r="AD37" s="92"/>
      <c r="AE37" s="92"/>
      <c r="AF37" s="92"/>
      <c r="AG37" s="92"/>
      <c r="AH37" s="92"/>
      <c r="AI37" s="92"/>
      <c r="AJ37" s="92"/>
      <c r="AK37" s="163" t="s">
        <v>10</v>
      </c>
      <c r="AL37" s="92"/>
      <c r="AM37" s="92"/>
      <c r="AN37" s="213"/>
      <c r="AO37" s="214"/>
      <c r="AQ37" s="212">
        <v>23</v>
      </c>
      <c r="AR37" s="33">
        <v>4.5</v>
      </c>
    </row>
    <row r="38" spans="1:44" ht="15.75" customHeight="1">
      <c r="A38" s="30">
        <v>37</v>
      </c>
      <c r="B38" s="27">
        <v>40000</v>
      </c>
      <c r="C38" s="43"/>
      <c r="D38" s="32">
        <f t="shared" ca="1" si="27"/>
        <v>0.44120743212725377</v>
      </c>
      <c r="E38" s="35">
        <f t="shared" ca="1" si="22"/>
        <v>4</v>
      </c>
      <c r="F38" s="37">
        <f t="shared" ca="1" si="28"/>
        <v>1</v>
      </c>
      <c r="G38" s="37">
        <f t="shared" ca="1" si="29"/>
        <v>1</v>
      </c>
      <c r="H38" s="37">
        <f t="shared" ca="1" si="30"/>
        <v>1</v>
      </c>
      <c r="I38" s="37">
        <f t="shared" ca="1" si="31"/>
        <v>1</v>
      </c>
      <c r="J38" s="37">
        <f t="shared" ca="1" si="32"/>
        <v>0</v>
      </c>
      <c r="K38" s="37">
        <f t="shared" ca="1" si="33"/>
        <v>0</v>
      </c>
      <c r="L38" s="37">
        <f t="shared" ca="1" si="7"/>
        <v>0</v>
      </c>
      <c r="M38" s="37">
        <f t="shared" ca="1" si="47"/>
        <v>0</v>
      </c>
      <c r="N38" s="37">
        <f t="shared" ca="1" si="34"/>
        <v>0</v>
      </c>
      <c r="O38" s="37">
        <f t="shared" ca="1" si="35"/>
        <v>0</v>
      </c>
      <c r="P38" s="39"/>
      <c r="Q38" s="28">
        <f t="shared" ca="1" si="36"/>
        <v>8079.4396942665999</v>
      </c>
      <c r="R38" s="28">
        <f t="shared" ca="1" si="37"/>
        <v>5520.9374064185358</v>
      </c>
      <c r="S38" s="28">
        <f t="shared" ca="1" si="38"/>
        <v>12324.426745401266</v>
      </c>
      <c r="T38" s="28">
        <f t="shared" ca="1" si="39"/>
        <v>11017.861154899949</v>
      </c>
      <c r="U38" s="28">
        <f t="shared" ca="1" si="40"/>
        <v>0</v>
      </c>
      <c r="V38" s="28">
        <f t="shared" ca="1" si="41"/>
        <v>0</v>
      </c>
      <c r="W38" s="28">
        <f t="shared" ca="1" si="42"/>
        <v>0</v>
      </c>
      <c r="X38" s="28">
        <f t="shared" ca="1" si="43"/>
        <v>0</v>
      </c>
      <c r="Y38" s="28">
        <f t="shared" ca="1" si="44"/>
        <v>0</v>
      </c>
      <c r="Z38" s="28">
        <f t="shared" ca="1" si="45"/>
        <v>0</v>
      </c>
      <c r="AA38" s="41">
        <f t="shared" ca="1" si="46"/>
        <v>36942.665000986352</v>
      </c>
      <c r="AB38" s="162"/>
      <c r="AC38" s="92"/>
      <c r="AD38" s="92"/>
      <c r="AE38" s="92"/>
      <c r="AF38" s="92"/>
      <c r="AG38" s="92"/>
      <c r="AH38" s="92"/>
      <c r="AI38" s="92"/>
      <c r="AJ38" s="92"/>
      <c r="AK38" s="163" t="s">
        <v>10</v>
      </c>
      <c r="AL38" s="92"/>
      <c r="AM38" s="92"/>
      <c r="AN38" s="213"/>
      <c r="AO38" s="214"/>
      <c r="AQ38" s="212">
        <v>24</v>
      </c>
      <c r="AR38" s="33">
        <v>4.0071428571428571</v>
      </c>
    </row>
    <row r="39" spans="1:44" ht="15.75" customHeight="1">
      <c r="A39" s="30">
        <v>38</v>
      </c>
      <c r="B39" s="27">
        <v>40000</v>
      </c>
      <c r="C39" s="43"/>
      <c r="D39" s="32">
        <f t="shared" ca="1" si="27"/>
        <v>0.35026531175193276</v>
      </c>
      <c r="E39" s="35">
        <f t="shared" ca="1" si="22"/>
        <v>3</v>
      </c>
      <c r="F39" s="37">
        <f t="shared" ca="1" si="28"/>
        <v>1</v>
      </c>
      <c r="G39" s="37">
        <f t="shared" ca="1" si="29"/>
        <v>1</v>
      </c>
      <c r="H39" s="37">
        <f t="shared" ca="1" si="30"/>
        <v>1</v>
      </c>
      <c r="I39" s="37">
        <f t="shared" ca="1" si="31"/>
        <v>0</v>
      </c>
      <c r="J39" s="37">
        <f t="shared" ca="1" si="32"/>
        <v>0</v>
      </c>
      <c r="K39" s="37">
        <f ca="1">IF(E39&gt;=6,1,0)</f>
        <v>0</v>
      </c>
      <c r="L39" s="37">
        <f ca="1">IF(E39&gt;=7,1,0)</f>
        <v>0</v>
      </c>
      <c r="M39" s="37">
        <f t="shared" ca="1" si="47"/>
        <v>0</v>
      </c>
      <c r="N39" s="37">
        <f t="shared" ca="1" si="34"/>
        <v>0</v>
      </c>
      <c r="O39" s="37">
        <f t="shared" ca="1" si="35"/>
        <v>0</v>
      </c>
      <c r="P39" s="39"/>
      <c r="Q39" s="28">
        <f t="shared" ca="1" si="36"/>
        <v>12053.959193902501</v>
      </c>
      <c r="R39" s="28">
        <f t="shared" ca="1" si="37"/>
        <v>20532.971110110568</v>
      </c>
      <c r="S39" s="28">
        <f t="shared" ca="1" si="38"/>
        <v>2026.531509331697</v>
      </c>
      <c r="T39" s="28">
        <f t="shared" ca="1" si="39"/>
        <v>0</v>
      </c>
      <c r="U39" s="28">
        <f t="shared" ca="1" si="40"/>
        <v>0</v>
      </c>
      <c r="V39" s="28">
        <f t="shared" ca="1" si="41"/>
        <v>0</v>
      </c>
      <c r="W39" s="28">
        <f t="shared" ca="1" si="42"/>
        <v>0</v>
      </c>
      <c r="X39" s="28">
        <f t="shared" ca="1" si="43"/>
        <v>0</v>
      </c>
      <c r="Y39" s="28">
        <f t="shared" ca="1" si="44"/>
        <v>0</v>
      </c>
      <c r="Z39" s="28">
        <f t="shared" ca="1" si="45"/>
        <v>0</v>
      </c>
      <c r="AA39" s="41">
        <f t="shared" ca="1" si="46"/>
        <v>34613.461813344766</v>
      </c>
      <c r="AB39" s="162"/>
      <c r="AC39" s="92"/>
      <c r="AD39" s="92"/>
      <c r="AE39" s="92"/>
      <c r="AF39" s="92"/>
      <c r="AG39" s="92"/>
      <c r="AH39" s="92"/>
      <c r="AI39" s="92"/>
      <c r="AJ39" s="92"/>
      <c r="AK39" s="163" t="s">
        <v>10</v>
      </c>
      <c r="AL39" s="92"/>
      <c r="AM39" s="92"/>
      <c r="AN39" s="213"/>
      <c r="AO39" s="214"/>
      <c r="AQ39" s="212">
        <v>25</v>
      </c>
      <c r="AR39" s="33">
        <v>4.4142857142857146</v>
      </c>
    </row>
    <row r="40" spans="1:44" ht="15.75" customHeight="1">
      <c r="A40" s="30">
        <v>39</v>
      </c>
      <c r="B40" s="27">
        <v>40000</v>
      </c>
      <c r="C40" s="43"/>
      <c r="D40" s="32">
        <f t="shared" ca="1" si="27"/>
        <v>0.80454992216680243</v>
      </c>
      <c r="E40" s="35">
        <f t="shared" ca="1" si="22"/>
        <v>7</v>
      </c>
      <c r="F40" s="37">
        <f t="shared" ca="1" si="28"/>
        <v>1</v>
      </c>
      <c r="G40" s="37">
        <f t="shared" ca="1" si="29"/>
        <v>1</v>
      </c>
      <c r="H40" s="37">
        <f t="shared" ca="1" si="30"/>
        <v>1</v>
      </c>
      <c r="I40" s="37">
        <f t="shared" ca="1" si="31"/>
        <v>1</v>
      </c>
      <c r="J40" s="37">
        <f t="shared" ca="1" si="32"/>
        <v>1</v>
      </c>
      <c r="K40" s="37">
        <f t="shared" ca="1" si="33"/>
        <v>1</v>
      </c>
      <c r="L40" s="37">
        <f t="shared" ref="L40:L71" ca="1" si="48">IF(E40&gt;=7,1,0)</f>
        <v>1</v>
      </c>
      <c r="M40" s="37">
        <f t="shared" ca="1" si="47"/>
        <v>0</v>
      </c>
      <c r="N40" s="37">
        <f t="shared" ca="1" si="34"/>
        <v>0</v>
      </c>
      <c r="O40" s="37">
        <f t="shared" ca="1" si="35"/>
        <v>0</v>
      </c>
      <c r="P40" s="39"/>
      <c r="Q40" s="28">
        <f t="shared" ca="1" si="36"/>
        <v>955.29902931419144</v>
      </c>
      <c r="R40" s="28">
        <f t="shared" ca="1" si="37"/>
        <v>12895.72701586941</v>
      </c>
      <c r="S40" s="28">
        <f t="shared" ca="1" si="38"/>
        <v>23509.474890655867</v>
      </c>
      <c r="T40" s="28">
        <f t="shared" ca="1" si="39"/>
        <v>812.15607357474687</v>
      </c>
      <c r="U40" s="28">
        <f t="shared" ca="1" si="40"/>
        <v>15688.717835562262</v>
      </c>
      <c r="V40" s="28">
        <f t="shared" ca="1" si="41"/>
        <v>498.61829988154011</v>
      </c>
      <c r="W40" s="28">
        <f t="shared" ca="1" si="42"/>
        <v>55393.540009577089</v>
      </c>
      <c r="X40" s="28">
        <f t="shared" ca="1" si="43"/>
        <v>0</v>
      </c>
      <c r="Y40" s="28">
        <f t="shared" ca="1" si="44"/>
        <v>0</v>
      </c>
      <c r="Z40" s="28">
        <f t="shared" ca="1" si="45"/>
        <v>0</v>
      </c>
      <c r="AA40" s="41">
        <f t="shared" ca="1" si="46"/>
        <v>109753.53315443511</v>
      </c>
      <c r="AB40" s="162"/>
      <c r="AC40" s="92"/>
      <c r="AD40" s="92"/>
      <c r="AE40" s="92"/>
      <c r="AF40" s="92"/>
      <c r="AG40" s="92"/>
      <c r="AH40" s="92"/>
      <c r="AI40" s="92"/>
      <c r="AJ40" s="92"/>
      <c r="AK40" s="163" t="s">
        <v>10</v>
      </c>
      <c r="AL40" s="92"/>
      <c r="AM40" s="92"/>
      <c r="AN40" s="213"/>
      <c r="AO40" s="214"/>
      <c r="AQ40" s="212">
        <v>26</v>
      </c>
      <c r="AR40" s="33">
        <v>4.3571428571428568</v>
      </c>
    </row>
    <row r="41" spans="1:44" ht="15.75" customHeight="1">
      <c r="A41" s="30">
        <v>40</v>
      </c>
      <c r="B41" s="27">
        <v>40000</v>
      </c>
      <c r="C41" s="43"/>
      <c r="D41" s="32">
        <f t="shared" ca="1" si="27"/>
        <v>0.3023263677023651</v>
      </c>
      <c r="E41" s="35">
        <f t="shared" ca="1" si="22"/>
        <v>3</v>
      </c>
      <c r="F41" s="37">
        <f t="shared" ca="1" si="28"/>
        <v>1</v>
      </c>
      <c r="G41" s="37">
        <f t="shared" ca="1" si="29"/>
        <v>1</v>
      </c>
      <c r="H41" s="37">
        <f t="shared" ca="1" si="30"/>
        <v>1</v>
      </c>
      <c r="I41" s="37">
        <f t="shared" ca="1" si="31"/>
        <v>0</v>
      </c>
      <c r="J41" s="37">
        <f ca="1">IF(E41&gt;=5,1,0)</f>
        <v>0</v>
      </c>
      <c r="K41" s="37">
        <f ca="1">IF(E41&gt;=6,1,0)</f>
        <v>0</v>
      </c>
      <c r="L41" s="37">
        <f t="shared" ca="1" si="48"/>
        <v>0</v>
      </c>
      <c r="M41" s="37">
        <f t="shared" ca="1" si="47"/>
        <v>0</v>
      </c>
      <c r="N41" s="37">
        <f t="shared" ca="1" si="34"/>
        <v>0</v>
      </c>
      <c r="O41" s="37">
        <f t="shared" ca="1" si="35"/>
        <v>0</v>
      </c>
      <c r="P41" s="39"/>
      <c r="Q41" s="28">
        <f t="shared" ca="1" si="36"/>
        <v>19751.597932069664</v>
      </c>
      <c r="R41" s="28">
        <f t="shared" ca="1" si="37"/>
        <v>36680.859713416598</v>
      </c>
      <c r="S41" s="28">
        <f t="shared" ca="1" si="38"/>
        <v>6245.9537838481219</v>
      </c>
      <c r="T41" s="28">
        <f t="shared" ca="1" si="39"/>
        <v>0</v>
      </c>
      <c r="U41" s="28">
        <f t="shared" ca="1" si="40"/>
        <v>0</v>
      </c>
      <c r="V41" s="28">
        <f t="shared" ca="1" si="41"/>
        <v>0</v>
      </c>
      <c r="W41" s="28">
        <f t="shared" ca="1" si="42"/>
        <v>0</v>
      </c>
      <c r="X41" s="28">
        <f t="shared" ca="1" si="43"/>
        <v>0</v>
      </c>
      <c r="Y41" s="28">
        <f t="shared" ca="1" si="44"/>
        <v>0</v>
      </c>
      <c r="Z41" s="28">
        <f t="shared" ca="1" si="45"/>
        <v>0</v>
      </c>
      <c r="AA41" s="41">
        <f t="shared" ca="1" si="46"/>
        <v>62678.411429334381</v>
      </c>
      <c r="AB41" s="162"/>
      <c r="AC41" s="92"/>
      <c r="AD41" s="92"/>
      <c r="AE41" s="92"/>
      <c r="AF41" s="92"/>
      <c r="AG41" s="92"/>
      <c r="AH41" s="92"/>
      <c r="AI41" s="92"/>
      <c r="AJ41" s="92"/>
      <c r="AK41" s="163" t="s">
        <v>10</v>
      </c>
      <c r="AL41" s="92"/>
      <c r="AM41" s="92"/>
      <c r="AN41" s="213"/>
      <c r="AO41" s="215"/>
      <c r="AQ41" s="212">
        <v>27</v>
      </c>
      <c r="AR41" s="33">
        <v>4.3214285714285712</v>
      </c>
    </row>
    <row r="42" spans="1:44" ht="15.75" customHeight="1">
      <c r="A42" s="30">
        <v>41</v>
      </c>
      <c r="B42" s="27">
        <v>40000</v>
      </c>
      <c r="C42" s="43"/>
      <c r="D42" s="32">
        <f t="shared" ca="1" si="27"/>
        <v>0.28146497496781342</v>
      </c>
      <c r="E42" s="35">
        <f t="shared" ca="1" si="22"/>
        <v>3</v>
      </c>
      <c r="F42" s="37">
        <f t="shared" ca="1" si="28"/>
        <v>1</v>
      </c>
      <c r="G42" s="37">
        <f t="shared" ca="1" si="29"/>
        <v>1</v>
      </c>
      <c r="H42" s="37">
        <f t="shared" ca="1" si="30"/>
        <v>1</v>
      </c>
      <c r="I42" s="37">
        <f t="shared" ca="1" si="31"/>
        <v>0</v>
      </c>
      <c r="J42" s="37">
        <f t="shared" ca="1" si="32"/>
        <v>0</v>
      </c>
      <c r="K42" s="37">
        <f t="shared" ca="1" si="33"/>
        <v>0</v>
      </c>
      <c r="L42" s="37">
        <f t="shared" ca="1" si="48"/>
        <v>0</v>
      </c>
      <c r="M42" s="37">
        <f ca="1">IF(E42&gt;=8,1,0)</f>
        <v>0</v>
      </c>
      <c r="N42" s="37">
        <f t="shared" ca="1" si="34"/>
        <v>0</v>
      </c>
      <c r="O42" s="37">
        <f t="shared" ca="1" si="35"/>
        <v>0</v>
      </c>
      <c r="P42" s="39"/>
      <c r="Q42" s="28">
        <f t="shared" ca="1" si="36"/>
        <v>4.3096294734722491</v>
      </c>
      <c r="R42" s="28">
        <f t="shared" ca="1" si="37"/>
        <v>62373.23678551527</v>
      </c>
      <c r="S42" s="28">
        <f t="shared" ca="1" si="38"/>
        <v>19501.007701420247</v>
      </c>
      <c r="T42" s="28">
        <f t="shared" ca="1" si="39"/>
        <v>0</v>
      </c>
      <c r="U42" s="28">
        <f t="shared" ca="1" si="40"/>
        <v>0</v>
      </c>
      <c r="V42" s="28">
        <f t="shared" ca="1" si="41"/>
        <v>0</v>
      </c>
      <c r="W42" s="28">
        <f t="shared" ca="1" si="42"/>
        <v>0</v>
      </c>
      <c r="X42" s="28">
        <f t="shared" ca="1" si="43"/>
        <v>0</v>
      </c>
      <c r="Y42" s="28">
        <f t="shared" ca="1" si="44"/>
        <v>0</v>
      </c>
      <c r="Z42" s="28">
        <f t="shared" ca="1" si="45"/>
        <v>0</v>
      </c>
      <c r="AA42" s="41">
        <f t="shared" ca="1" si="46"/>
        <v>81878.554116408981</v>
      </c>
      <c r="AB42" s="162"/>
      <c r="AC42" s="92"/>
      <c r="AD42" s="92"/>
      <c r="AE42" s="92"/>
      <c r="AF42" s="92"/>
      <c r="AG42" s="92"/>
      <c r="AH42" s="92"/>
      <c r="AI42" s="92"/>
      <c r="AJ42" s="92"/>
      <c r="AK42" s="92"/>
      <c r="AL42" s="92"/>
      <c r="AM42" s="92"/>
      <c r="AN42" s="213"/>
      <c r="AO42" s="215"/>
      <c r="AQ42" s="212">
        <v>28</v>
      </c>
      <c r="AR42" s="33">
        <v>4.378571428571429</v>
      </c>
    </row>
    <row r="43" spans="1:44" ht="15.75" customHeight="1">
      <c r="A43" s="30">
        <v>42</v>
      </c>
      <c r="B43" s="27">
        <v>40000</v>
      </c>
      <c r="C43" s="43"/>
      <c r="D43" s="32">
        <f t="shared" ca="1" si="27"/>
        <v>0.41861139699923655</v>
      </c>
      <c r="E43" s="35">
        <f t="shared" ca="1" si="22"/>
        <v>4</v>
      </c>
      <c r="F43" s="37">
        <f t="shared" ca="1" si="28"/>
        <v>1</v>
      </c>
      <c r="G43" s="37">
        <f t="shared" ca="1" si="29"/>
        <v>1</v>
      </c>
      <c r="H43" s="37">
        <f t="shared" ca="1" si="30"/>
        <v>1</v>
      </c>
      <c r="I43" s="37">
        <f t="shared" ca="1" si="31"/>
        <v>1</v>
      </c>
      <c r="J43" s="37">
        <f t="shared" ca="1" si="32"/>
        <v>0</v>
      </c>
      <c r="K43" s="37">
        <f t="shared" ca="1" si="33"/>
        <v>0</v>
      </c>
      <c r="L43" s="37">
        <f t="shared" ca="1" si="48"/>
        <v>0</v>
      </c>
      <c r="M43" s="37">
        <f t="shared" ca="1" si="47"/>
        <v>0</v>
      </c>
      <c r="N43" s="37">
        <f t="shared" ca="1" si="34"/>
        <v>0</v>
      </c>
      <c r="O43" s="37">
        <f t="shared" ca="1" si="35"/>
        <v>0</v>
      </c>
      <c r="P43" s="39"/>
      <c r="Q43" s="28">
        <f t="shared" ca="1" si="36"/>
        <v>18083.412834698796</v>
      </c>
      <c r="R43" s="28">
        <f t="shared" ca="1" si="37"/>
        <v>13364.031395359671</v>
      </c>
      <c r="S43" s="28">
        <f t="shared" ca="1" si="38"/>
        <v>9613.9445350577898</v>
      </c>
      <c r="T43" s="28">
        <f t="shared" ca="1" si="39"/>
        <v>41825.403430557715</v>
      </c>
      <c r="U43" s="28">
        <f t="shared" ca="1" si="40"/>
        <v>0</v>
      </c>
      <c r="V43" s="28">
        <f t="shared" ca="1" si="41"/>
        <v>0</v>
      </c>
      <c r="W43" s="28">
        <f t="shared" ca="1" si="42"/>
        <v>0</v>
      </c>
      <c r="X43" s="28">
        <f t="shared" ca="1" si="43"/>
        <v>0</v>
      </c>
      <c r="Y43" s="28">
        <f t="shared" ca="1" si="44"/>
        <v>0</v>
      </c>
      <c r="Z43" s="28">
        <f t="shared" ca="1" si="45"/>
        <v>0</v>
      </c>
      <c r="AA43" s="41">
        <f t="shared" ca="1" si="46"/>
        <v>82886.792195673974</v>
      </c>
      <c r="AB43" s="162"/>
      <c r="AC43" s="92"/>
      <c r="AD43" s="92"/>
      <c r="AE43" s="92"/>
      <c r="AF43" s="92"/>
      <c r="AG43" s="92"/>
      <c r="AH43" s="92"/>
      <c r="AI43" s="92"/>
      <c r="AJ43" s="92"/>
      <c r="AK43" s="92"/>
      <c r="AL43" s="92"/>
      <c r="AM43" s="92"/>
      <c r="AN43" s="213"/>
      <c r="AO43" s="215"/>
      <c r="AQ43" s="212">
        <v>29</v>
      </c>
      <c r="AR43" s="33">
        <v>4.2928571428571427</v>
      </c>
    </row>
    <row r="44" spans="1:44" ht="15.75" customHeight="1">
      <c r="A44" s="30">
        <v>43</v>
      </c>
      <c r="B44" s="27">
        <v>40000</v>
      </c>
      <c r="C44" s="43"/>
      <c r="D44" s="32">
        <f t="shared" ca="1" si="27"/>
        <v>0.14289160751776742</v>
      </c>
      <c r="E44" s="35">
        <f t="shared" ca="1" si="22"/>
        <v>1</v>
      </c>
      <c r="F44" s="37">
        <f t="shared" ca="1" si="28"/>
        <v>1</v>
      </c>
      <c r="G44" s="37">
        <f t="shared" ca="1" si="29"/>
        <v>0</v>
      </c>
      <c r="H44" s="37">
        <f t="shared" ca="1" si="30"/>
        <v>0</v>
      </c>
      <c r="I44" s="37">
        <f t="shared" ca="1" si="31"/>
        <v>0</v>
      </c>
      <c r="J44" s="37">
        <f t="shared" ca="1" si="32"/>
        <v>0</v>
      </c>
      <c r="K44" s="37">
        <f t="shared" ca="1" si="33"/>
        <v>0</v>
      </c>
      <c r="L44" s="37">
        <f t="shared" ca="1" si="48"/>
        <v>0</v>
      </c>
      <c r="M44" s="37">
        <f t="shared" ca="1" si="47"/>
        <v>0</v>
      </c>
      <c r="N44" s="37">
        <f t="shared" ca="1" si="34"/>
        <v>0</v>
      </c>
      <c r="O44" s="37">
        <f t="shared" ca="1" si="35"/>
        <v>0</v>
      </c>
      <c r="P44" s="39"/>
      <c r="Q44" s="28">
        <f t="shared" ca="1" si="36"/>
        <v>5174.5796682927903</v>
      </c>
      <c r="R44" s="28">
        <f t="shared" ca="1" si="37"/>
        <v>0</v>
      </c>
      <c r="S44" s="28">
        <f t="shared" ca="1" si="38"/>
        <v>0</v>
      </c>
      <c r="T44" s="28">
        <f t="shared" ca="1" si="39"/>
        <v>0</v>
      </c>
      <c r="U44" s="28">
        <f t="shared" ca="1" si="40"/>
        <v>0</v>
      </c>
      <c r="V44" s="28">
        <f t="shared" ca="1" si="41"/>
        <v>0</v>
      </c>
      <c r="W44" s="28">
        <f t="shared" ca="1" si="42"/>
        <v>0</v>
      </c>
      <c r="X44" s="28">
        <f t="shared" ca="1" si="43"/>
        <v>0</v>
      </c>
      <c r="Y44" s="28">
        <f t="shared" ca="1" si="44"/>
        <v>0</v>
      </c>
      <c r="Z44" s="28">
        <f t="shared" ca="1" si="45"/>
        <v>0</v>
      </c>
      <c r="AA44" s="41">
        <f t="shared" ca="1" si="46"/>
        <v>5174.5796682927903</v>
      </c>
      <c r="AB44" s="162"/>
      <c r="AC44" s="92"/>
      <c r="AD44" s="92"/>
      <c r="AE44" s="92"/>
      <c r="AF44" s="92"/>
      <c r="AG44" s="92"/>
      <c r="AH44" s="92"/>
      <c r="AI44" s="92"/>
      <c r="AJ44" s="92"/>
      <c r="AK44" s="92"/>
      <c r="AL44" s="92"/>
      <c r="AM44" s="92"/>
      <c r="AN44" s="213"/>
      <c r="AO44" s="215"/>
      <c r="AQ44" s="212">
        <v>30</v>
      </c>
      <c r="AR44" s="33">
        <v>4.4357142857142859</v>
      </c>
    </row>
    <row r="45" spans="1:44" ht="15.75" customHeight="1">
      <c r="A45" s="30">
        <v>44</v>
      </c>
      <c r="B45" s="27">
        <v>40000</v>
      </c>
      <c r="C45" s="43"/>
      <c r="D45" s="32">
        <f t="shared" ca="1" si="27"/>
        <v>0.21080738502476903</v>
      </c>
      <c r="E45" s="35">
        <f t="shared" ca="1" si="22"/>
        <v>2</v>
      </c>
      <c r="F45" s="37">
        <f t="shared" ca="1" si="28"/>
        <v>1</v>
      </c>
      <c r="G45" s="37">
        <f t="shared" ca="1" si="29"/>
        <v>1</v>
      </c>
      <c r="H45" s="37">
        <f t="shared" ca="1" si="30"/>
        <v>0</v>
      </c>
      <c r="I45" s="37">
        <f t="shared" ca="1" si="31"/>
        <v>0</v>
      </c>
      <c r="J45" s="37">
        <f t="shared" ca="1" si="32"/>
        <v>0</v>
      </c>
      <c r="K45" s="37">
        <f t="shared" ca="1" si="33"/>
        <v>0</v>
      </c>
      <c r="L45" s="37">
        <f t="shared" ca="1" si="48"/>
        <v>0</v>
      </c>
      <c r="M45" s="37">
        <f t="shared" ca="1" si="47"/>
        <v>0</v>
      </c>
      <c r="N45" s="37">
        <f t="shared" ca="1" si="34"/>
        <v>0</v>
      </c>
      <c r="O45" s="37">
        <f t="shared" ca="1" si="35"/>
        <v>0</v>
      </c>
      <c r="P45" s="39"/>
      <c r="Q45" s="28">
        <f t="shared" ca="1" si="36"/>
        <v>12277.255371814874</v>
      </c>
      <c r="R45" s="28">
        <f t="shared" ca="1" si="37"/>
        <v>21610.103090743774</v>
      </c>
      <c r="S45" s="28">
        <f t="shared" ca="1" si="38"/>
        <v>0</v>
      </c>
      <c r="T45" s="28">
        <f t="shared" ca="1" si="39"/>
        <v>0</v>
      </c>
      <c r="U45" s="28">
        <f t="shared" ca="1" si="40"/>
        <v>0</v>
      </c>
      <c r="V45" s="28">
        <f t="shared" ca="1" si="41"/>
        <v>0</v>
      </c>
      <c r="W45" s="28">
        <f t="shared" ca="1" si="42"/>
        <v>0</v>
      </c>
      <c r="X45" s="28">
        <f t="shared" ca="1" si="43"/>
        <v>0</v>
      </c>
      <c r="Y45" s="28">
        <f t="shared" ca="1" si="44"/>
        <v>0</v>
      </c>
      <c r="Z45" s="28">
        <f t="shared" ca="1" si="45"/>
        <v>0</v>
      </c>
      <c r="AA45" s="41">
        <f t="shared" ca="1" si="46"/>
        <v>33887.358462558652</v>
      </c>
      <c r="AB45" s="162"/>
      <c r="AC45" s="92"/>
      <c r="AD45" s="92"/>
      <c r="AE45" s="92"/>
      <c r="AF45" s="92"/>
      <c r="AG45" s="92"/>
      <c r="AH45" s="92"/>
      <c r="AI45" s="92"/>
      <c r="AJ45" s="92"/>
      <c r="AK45" s="92"/>
      <c r="AL45" s="92"/>
      <c r="AM45" s="92"/>
      <c r="AN45" s="213"/>
      <c r="AO45" s="215"/>
      <c r="AQ45" s="212">
        <v>31</v>
      </c>
      <c r="AR45" s="33">
        <v>4.0999999999999996</v>
      </c>
    </row>
    <row r="46" spans="1:44" ht="15.75" customHeight="1">
      <c r="A46" s="30">
        <v>45</v>
      </c>
      <c r="B46" s="27">
        <v>40000</v>
      </c>
      <c r="C46" s="43"/>
      <c r="D46" s="32">
        <f t="shared" ca="1" si="27"/>
        <v>0.77270646052309255</v>
      </c>
      <c r="E46" s="35">
        <f t="shared" ca="1" si="22"/>
        <v>6</v>
      </c>
      <c r="F46" s="37">
        <f t="shared" ca="1" si="28"/>
        <v>1</v>
      </c>
      <c r="G46" s="37">
        <f t="shared" ca="1" si="29"/>
        <v>1</v>
      </c>
      <c r="H46" s="37">
        <f t="shared" ca="1" si="30"/>
        <v>1</v>
      </c>
      <c r="I46" s="37">
        <f t="shared" ca="1" si="31"/>
        <v>1</v>
      </c>
      <c r="J46" s="37">
        <f t="shared" ca="1" si="32"/>
        <v>1</v>
      </c>
      <c r="K46" s="37">
        <f t="shared" ca="1" si="33"/>
        <v>1</v>
      </c>
      <c r="L46" s="37">
        <f t="shared" ca="1" si="48"/>
        <v>0</v>
      </c>
      <c r="M46" s="37">
        <f t="shared" ca="1" si="47"/>
        <v>0</v>
      </c>
      <c r="N46" s="37">
        <f t="shared" ca="1" si="34"/>
        <v>0</v>
      </c>
      <c r="O46" s="37">
        <f t="shared" ca="1" si="35"/>
        <v>0</v>
      </c>
      <c r="P46" s="39"/>
      <c r="Q46" s="28">
        <f t="shared" ca="1" si="36"/>
        <v>6834.7352938820186</v>
      </c>
      <c r="R46" s="28">
        <f t="shared" ca="1" si="37"/>
        <v>9690.7258162817452</v>
      </c>
      <c r="S46" s="28">
        <f t="shared" ca="1" si="38"/>
        <v>6192.2112197474753</v>
      </c>
      <c r="T46" s="28">
        <f t="shared" ca="1" si="39"/>
        <v>66587.204292826253</v>
      </c>
      <c r="U46" s="28">
        <f t="shared" ca="1" si="40"/>
        <v>29468.657004605458</v>
      </c>
      <c r="V46" s="28">
        <f t="shared" ca="1" si="41"/>
        <v>6532.6987316737332</v>
      </c>
      <c r="W46" s="28">
        <f t="shared" ca="1" si="42"/>
        <v>0</v>
      </c>
      <c r="X46" s="28">
        <f t="shared" ca="1" si="43"/>
        <v>0</v>
      </c>
      <c r="Y46" s="28">
        <f t="shared" ca="1" si="44"/>
        <v>0</v>
      </c>
      <c r="Z46" s="28">
        <f t="shared" ca="1" si="45"/>
        <v>0</v>
      </c>
      <c r="AA46" s="41">
        <f t="shared" ca="1" si="46"/>
        <v>125306.23235901668</v>
      </c>
      <c r="AB46" s="162"/>
      <c r="AC46" s="92"/>
      <c r="AD46" s="92"/>
      <c r="AE46" s="92"/>
      <c r="AF46" s="92"/>
      <c r="AG46" s="92"/>
      <c r="AH46" s="92"/>
      <c r="AI46" s="92"/>
      <c r="AJ46" s="92"/>
      <c r="AK46" s="92"/>
      <c r="AL46" s="92"/>
      <c r="AM46" s="33" t="s">
        <v>10</v>
      </c>
      <c r="AN46" s="213"/>
      <c r="AO46" s="215"/>
      <c r="AQ46" s="212">
        <v>32</v>
      </c>
      <c r="AR46" s="33">
        <v>4.2571428571428571</v>
      </c>
    </row>
    <row r="47" spans="1:44" ht="15.75" customHeight="1">
      <c r="A47" s="30">
        <v>46</v>
      </c>
      <c r="B47" s="27">
        <v>40000</v>
      </c>
      <c r="C47" s="43"/>
      <c r="D47" s="32">
        <f t="shared" ca="1" si="27"/>
        <v>0.18462720279231359</v>
      </c>
      <c r="E47" s="35">
        <f t="shared" ca="1" si="22"/>
        <v>2</v>
      </c>
      <c r="F47" s="37">
        <f t="shared" ca="1" si="28"/>
        <v>1</v>
      </c>
      <c r="G47" s="37">
        <f t="shared" ca="1" si="29"/>
        <v>1</v>
      </c>
      <c r="H47" s="37">
        <f t="shared" ca="1" si="30"/>
        <v>0</v>
      </c>
      <c r="I47" s="37">
        <f t="shared" ca="1" si="31"/>
        <v>0</v>
      </c>
      <c r="J47" s="37">
        <f t="shared" ca="1" si="32"/>
        <v>0</v>
      </c>
      <c r="K47" s="37">
        <f ca="1">IF(E47&gt;=6,1,0)</f>
        <v>0</v>
      </c>
      <c r="L47" s="37">
        <f t="shared" ca="1" si="48"/>
        <v>0</v>
      </c>
      <c r="M47" s="37">
        <f t="shared" ca="1" si="47"/>
        <v>0</v>
      </c>
      <c r="N47" s="37">
        <f t="shared" ca="1" si="34"/>
        <v>0</v>
      </c>
      <c r="O47" s="37">
        <f t="shared" ca="1" si="35"/>
        <v>0</v>
      </c>
      <c r="P47" s="39"/>
      <c r="Q47" s="28">
        <f t="shared" ca="1" si="36"/>
        <v>11147.200911827833</v>
      </c>
      <c r="R47" s="28">
        <f t="shared" ca="1" si="37"/>
        <v>5738.1361984065952</v>
      </c>
      <c r="S47" s="28">
        <f t="shared" ca="1" si="38"/>
        <v>0</v>
      </c>
      <c r="T47" s="28">
        <f t="shared" ca="1" si="39"/>
        <v>0</v>
      </c>
      <c r="U47" s="28">
        <f t="shared" ca="1" si="40"/>
        <v>0</v>
      </c>
      <c r="V47" s="28">
        <f t="shared" ca="1" si="41"/>
        <v>0</v>
      </c>
      <c r="W47" s="28">
        <f t="shared" ca="1" si="42"/>
        <v>0</v>
      </c>
      <c r="X47" s="28">
        <f t="shared" ca="1" si="43"/>
        <v>0</v>
      </c>
      <c r="Y47" s="28">
        <f t="shared" ca="1" si="44"/>
        <v>0</v>
      </c>
      <c r="Z47" s="28">
        <f t="shared" ca="1" si="45"/>
        <v>0</v>
      </c>
      <c r="AA47" s="41">
        <f t="shared" ca="1" si="46"/>
        <v>16885.337110234428</v>
      </c>
      <c r="AB47" s="162"/>
      <c r="AC47" s="92"/>
      <c r="AD47" s="92"/>
      <c r="AE47" s="92"/>
      <c r="AF47" s="92"/>
      <c r="AG47" s="92"/>
      <c r="AH47" s="92"/>
      <c r="AI47" s="92"/>
      <c r="AJ47" s="92"/>
      <c r="AK47" s="92"/>
      <c r="AL47" s="92"/>
      <c r="AM47" s="33" t="s">
        <v>10</v>
      </c>
      <c r="AN47" s="213"/>
      <c r="AO47" s="215"/>
      <c r="AQ47" s="212">
        <v>33</v>
      </c>
      <c r="AR47" s="33">
        <v>4.2928571428571427</v>
      </c>
    </row>
    <row r="48" spans="1:44" ht="15.75" customHeight="1">
      <c r="A48" s="30">
        <v>47</v>
      </c>
      <c r="B48" s="27">
        <v>40000</v>
      </c>
      <c r="C48" s="43"/>
      <c r="D48" s="32">
        <f t="shared" ca="1" si="27"/>
        <v>0.10927155177961501</v>
      </c>
      <c r="E48" s="35">
        <f t="shared" ca="1" si="22"/>
        <v>1</v>
      </c>
      <c r="F48" s="37">
        <f t="shared" ca="1" si="28"/>
        <v>1</v>
      </c>
      <c r="G48" s="37">
        <f t="shared" ca="1" si="29"/>
        <v>0</v>
      </c>
      <c r="H48" s="37">
        <f t="shared" ca="1" si="30"/>
        <v>0</v>
      </c>
      <c r="I48" s="37">
        <f t="shared" ca="1" si="31"/>
        <v>0</v>
      </c>
      <c r="J48" s="37">
        <f t="shared" ca="1" si="32"/>
        <v>0</v>
      </c>
      <c r="K48" s="37">
        <f t="shared" ca="1" si="33"/>
        <v>0</v>
      </c>
      <c r="L48" s="37">
        <f t="shared" ca="1" si="48"/>
        <v>0</v>
      </c>
      <c r="M48" s="37">
        <f t="shared" ca="1" si="47"/>
        <v>0</v>
      </c>
      <c r="N48" s="37">
        <f t="shared" ca="1" si="34"/>
        <v>0</v>
      </c>
      <c r="O48" s="37">
        <f t="shared" ca="1" si="35"/>
        <v>0</v>
      </c>
      <c r="P48" s="39"/>
      <c r="Q48" s="28">
        <f t="shared" ca="1" si="36"/>
        <v>5914.907478725474</v>
      </c>
      <c r="R48" s="28">
        <f t="shared" ca="1" si="37"/>
        <v>0</v>
      </c>
      <c r="S48" s="28">
        <f t="shared" ca="1" si="38"/>
        <v>0</v>
      </c>
      <c r="T48" s="28">
        <f t="shared" ca="1" si="39"/>
        <v>0</v>
      </c>
      <c r="U48" s="28">
        <f t="shared" ca="1" si="40"/>
        <v>0</v>
      </c>
      <c r="V48" s="28">
        <f t="shared" ca="1" si="41"/>
        <v>0</v>
      </c>
      <c r="W48" s="28">
        <f t="shared" ca="1" si="42"/>
        <v>0</v>
      </c>
      <c r="X48" s="28">
        <f t="shared" ca="1" si="43"/>
        <v>0</v>
      </c>
      <c r="Y48" s="28">
        <f t="shared" ca="1" si="44"/>
        <v>0</v>
      </c>
      <c r="Z48" s="28">
        <f t="shared" ca="1" si="45"/>
        <v>0</v>
      </c>
      <c r="AA48" s="41">
        <f t="shared" ca="1" si="46"/>
        <v>5914.907478725474</v>
      </c>
      <c r="AB48" s="162"/>
      <c r="AC48" s="92"/>
      <c r="AD48" s="92"/>
      <c r="AE48" s="92"/>
      <c r="AF48" s="92"/>
      <c r="AG48" s="92"/>
      <c r="AH48" s="92"/>
      <c r="AI48" s="92"/>
      <c r="AJ48" s="92"/>
      <c r="AK48" s="92"/>
      <c r="AL48" s="92"/>
      <c r="AM48" s="33" t="s">
        <v>10</v>
      </c>
      <c r="AN48" s="213"/>
      <c r="AO48" s="215"/>
      <c r="AQ48" s="212">
        <v>34</v>
      </c>
      <c r="AR48" s="33">
        <v>4.4142857142857146</v>
      </c>
    </row>
    <row r="49" spans="1:44" ht="13.2">
      <c r="A49" s="30">
        <v>48</v>
      </c>
      <c r="B49" s="27">
        <v>40000</v>
      </c>
      <c r="C49" s="43"/>
      <c r="D49" s="32">
        <f t="shared" ca="1" si="27"/>
        <v>0.57944835301983211</v>
      </c>
      <c r="E49" s="35">
        <f t="shared" ca="1" si="22"/>
        <v>5</v>
      </c>
      <c r="F49" s="37">
        <f t="shared" ca="1" si="28"/>
        <v>1</v>
      </c>
      <c r="G49" s="37">
        <f t="shared" ca="1" si="29"/>
        <v>1</v>
      </c>
      <c r="H49" s="37">
        <f t="shared" ca="1" si="30"/>
        <v>1</v>
      </c>
      <c r="I49" s="37">
        <f t="shared" ca="1" si="31"/>
        <v>1</v>
      </c>
      <c r="J49" s="37">
        <f t="shared" ca="1" si="32"/>
        <v>1</v>
      </c>
      <c r="K49" s="37">
        <f t="shared" ca="1" si="33"/>
        <v>0</v>
      </c>
      <c r="L49" s="37">
        <f t="shared" ca="1" si="48"/>
        <v>0</v>
      </c>
      <c r="M49" s="37">
        <f t="shared" ca="1" si="47"/>
        <v>0</v>
      </c>
      <c r="N49" s="37">
        <f t="shared" ca="1" si="34"/>
        <v>0</v>
      </c>
      <c r="O49" s="37">
        <f t="shared" ca="1" si="35"/>
        <v>0</v>
      </c>
      <c r="P49" s="39"/>
      <c r="Q49" s="28">
        <f t="shared" ca="1" si="36"/>
        <v>1835.4868181912223</v>
      </c>
      <c r="R49" s="28">
        <f t="shared" ca="1" si="37"/>
        <v>15579.342634367986</v>
      </c>
      <c r="S49" s="28">
        <f t="shared" ca="1" si="38"/>
        <v>7973.4686847914363</v>
      </c>
      <c r="T49" s="28">
        <f t="shared" ca="1" si="39"/>
        <v>25965.53323124742</v>
      </c>
      <c r="U49" s="28">
        <f t="shared" ca="1" si="40"/>
        <v>48416.654535114722</v>
      </c>
      <c r="V49" s="28">
        <f t="shared" ca="1" si="41"/>
        <v>0</v>
      </c>
      <c r="W49" s="28">
        <f t="shared" ca="1" si="42"/>
        <v>0</v>
      </c>
      <c r="X49" s="28">
        <f t="shared" ca="1" si="43"/>
        <v>0</v>
      </c>
      <c r="Y49" s="28">
        <f t="shared" ca="1" si="44"/>
        <v>0</v>
      </c>
      <c r="Z49" s="28">
        <f t="shared" ca="1" si="45"/>
        <v>0</v>
      </c>
      <c r="AA49" s="41">
        <f t="shared" ca="1" si="46"/>
        <v>99770.485903712775</v>
      </c>
      <c r="AB49" s="162"/>
      <c r="AC49" s="92"/>
      <c r="AD49" s="92"/>
      <c r="AE49" s="92"/>
      <c r="AF49" s="92"/>
      <c r="AG49" s="92"/>
      <c r="AH49" s="92"/>
      <c r="AI49" s="92"/>
      <c r="AJ49" s="92"/>
      <c r="AK49" s="92"/>
      <c r="AL49" s="92"/>
      <c r="AM49" s="33" t="s">
        <v>10</v>
      </c>
      <c r="AN49" s="213"/>
      <c r="AO49" s="215"/>
      <c r="AQ49" s="212">
        <v>35</v>
      </c>
      <c r="AR49" s="33">
        <v>4.5714285714285712</v>
      </c>
    </row>
    <row r="50" spans="1:44" ht="13.2">
      <c r="A50" s="30">
        <v>49</v>
      </c>
      <c r="B50" s="27">
        <v>40000</v>
      </c>
      <c r="C50" s="43"/>
      <c r="D50" s="32">
        <f t="shared" ca="1" si="27"/>
        <v>0.71039186225640016</v>
      </c>
      <c r="E50" s="35">
        <f t="shared" ca="1" si="22"/>
        <v>6</v>
      </c>
      <c r="F50" s="37">
        <f t="shared" ca="1" si="28"/>
        <v>1</v>
      </c>
      <c r="G50" s="37">
        <f t="shared" ca="1" si="29"/>
        <v>1</v>
      </c>
      <c r="H50" s="37">
        <f t="shared" ca="1" si="30"/>
        <v>1</v>
      </c>
      <c r="I50" s="37">
        <f t="shared" ca="1" si="31"/>
        <v>1</v>
      </c>
      <c r="J50" s="37">
        <f t="shared" ca="1" si="32"/>
        <v>1</v>
      </c>
      <c r="K50" s="37">
        <f t="shared" ca="1" si="33"/>
        <v>1</v>
      </c>
      <c r="L50" s="37">
        <f t="shared" ca="1" si="48"/>
        <v>0</v>
      </c>
      <c r="M50" s="37">
        <f t="shared" ca="1" si="47"/>
        <v>0</v>
      </c>
      <c r="N50" s="37">
        <f t="shared" ca="1" si="34"/>
        <v>0</v>
      </c>
      <c r="O50" s="37">
        <f t="shared" ca="1" si="35"/>
        <v>0</v>
      </c>
      <c r="P50" s="39"/>
      <c r="Q50" s="28">
        <f t="shared" ca="1" si="36"/>
        <v>4646.7676901409113</v>
      </c>
      <c r="R50" s="28">
        <f t="shared" ca="1" si="37"/>
        <v>9779.1897963555093</v>
      </c>
      <c r="S50" s="28">
        <f t="shared" ca="1" si="38"/>
        <v>27371.03308090457</v>
      </c>
      <c r="T50" s="28">
        <f t="shared" ca="1" si="39"/>
        <v>13102.288450284792</v>
      </c>
      <c r="U50" s="28">
        <f t="shared" ca="1" si="40"/>
        <v>17164.634319979585</v>
      </c>
      <c r="V50" s="28">
        <f t="shared" ca="1" si="41"/>
        <v>62501.804636204091</v>
      </c>
      <c r="W50" s="28">
        <f t="shared" ca="1" si="42"/>
        <v>0</v>
      </c>
      <c r="X50" s="28">
        <f t="shared" ca="1" si="43"/>
        <v>0</v>
      </c>
      <c r="Y50" s="28">
        <f t="shared" ca="1" si="44"/>
        <v>0</v>
      </c>
      <c r="Z50" s="28">
        <f t="shared" ca="1" si="45"/>
        <v>0</v>
      </c>
      <c r="AA50" s="41">
        <f t="shared" ca="1" si="46"/>
        <v>134565.71797386947</v>
      </c>
      <c r="AB50" s="162"/>
      <c r="AC50" s="92"/>
      <c r="AD50" s="92"/>
      <c r="AE50" s="92"/>
      <c r="AF50" s="92"/>
      <c r="AG50" s="92"/>
      <c r="AH50" s="92"/>
      <c r="AI50" s="92"/>
      <c r="AJ50" s="92"/>
      <c r="AK50" s="92"/>
      <c r="AL50" s="92"/>
      <c r="AM50" s="33" t="s">
        <v>10</v>
      </c>
      <c r="AN50" s="213"/>
      <c r="AO50" s="215"/>
      <c r="AQ50" s="212">
        <v>36</v>
      </c>
      <c r="AR50" s="33">
        <v>4.621428571428571</v>
      </c>
    </row>
    <row r="51" spans="1:44" ht="13.2">
      <c r="A51" s="30">
        <v>50</v>
      </c>
      <c r="B51" s="27">
        <v>40000</v>
      </c>
      <c r="C51" s="43"/>
      <c r="D51" s="32">
        <f t="shared" ca="1" si="27"/>
        <v>0.40082612998039902</v>
      </c>
      <c r="E51" s="35">
        <f t="shared" ca="1" si="22"/>
        <v>4</v>
      </c>
      <c r="F51" s="37">
        <f t="shared" ca="1" si="28"/>
        <v>1</v>
      </c>
      <c r="G51" s="37">
        <f t="shared" ca="1" si="29"/>
        <v>1</v>
      </c>
      <c r="H51" s="37">
        <f t="shared" ca="1" si="30"/>
        <v>1</v>
      </c>
      <c r="I51" s="37">
        <f t="shared" ca="1" si="31"/>
        <v>1</v>
      </c>
      <c r="J51" s="37">
        <f t="shared" ca="1" si="32"/>
        <v>0</v>
      </c>
      <c r="K51" s="37">
        <f t="shared" ca="1" si="33"/>
        <v>0</v>
      </c>
      <c r="L51" s="37">
        <f t="shared" ca="1" si="48"/>
        <v>0</v>
      </c>
      <c r="M51" s="37">
        <f t="shared" ca="1" si="47"/>
        <v>0</v>
      </c>
      <c r="N51" s="37">
        <f t="shared" ca="1" si="34"/>
        <v>0</v>
      </c>
      <c r="O51" s="37">
        <f t="shared" ca="1" si="35"/>
        <v>0</v>
      </c>
      <c r="P51" s="39"/>
      <c r="Q51" s="28">
        <f t="shared" ca="1" si="36"/>
        <v>10505.574389311749</v>
      </c>
      <c r="R51" s="28">
        <f t="shared" ca="1" si="37"/>
        <v>4408.3242670964137</v>
      </c>
      <c r="S51" s="28">
        <f t="shared" ca="1" si="38"/>
        <v>11462.4905196893</v>
      </c>
      <c r="T51" s="28">
        <f t="shared" ca="1" si="39"/>
        <v>39935.124338209287</v>
      </c>
      <c r="U51" s="28">
        <f t="shared" ca="1" si="40"/>
        <v>0</v>
      </c>
      <c r="V51" s="28">
        <f t="shared" ca="1" si="41"/>
        <v>0</v>
      </c>
      <c r="W51" s="28">
        <f t="shared" ca="1" si="42"/>
        <v>0</v>
      </c>
      <c r="X51" s="28">
        <f t="shared" ca="1" si="43"/>
        <v>0</v>
      </c>
      <c r="Y51" s="28">
        <f t="shared" ca="1" si="44"/>
        <v>0</v>
      </c>
      <c r="Z51" s="28">
        <f t="shared" ca="1" si="45"/>
        <v>0</v>
      </c>
      <c r="AA51" s="41">
        <f t="shared" ca="1" si="46"/>
        <v>66311.513514306745</v>
      </c>
      <c r="AB51" s="162"/>
      <c r="AC51" s="92"/>
      <c r="AD51" s="92"/>
      <c r="AE51" s="92"/>
      <c r="AF51" s="92"/>
      <c r="AG51" s="92"/>
      <c r="AH51" s="92"/>
      <c r="AI51" s="92"/>
      <c r="AJ51" s="92"/>
      <c r="AK51" s="92"/>
      <c r="AL51" s="92"/>
      <c r="AM51" s="33" t="s">
        <v>10</v>
      </c>
      <c r="AN51" s="213"/>
      <c r="AO51" s="215"/>
      <c r="AQ51" s="212">
        <v>37</v>
      </c>
      <c r="AR51" s="33">
        <v>4.378571428571429</v>
      </c>
    </row>
    <row r="52" spans="1:44" ht="13.2">
      <c r="A52" s="30">
        <v>51</v>
      </c>
      <c r="B52" s="27">
        <v>40000</v>
      </c>
      <c r="C52" s="43"/>
      <c r="D52" s="32">
        <f t="shared" ca="1" si="27"/>
        <v>0.60416034086401516</v>
      </c>
      <c r="E52" s="35">
        <f t="shared" ca="1" si="22"/>
        <v>5</v>
      </c>
      <c r="F52" s="37">
        <f t="shared" ca="1" si="28"/>
        <v>1</v>
      </c>
      <c r="G52" s="37">
        <f t="shared" ca="1" si="29"/>
        <v>1</v>
      </c>
      <c r="H52" s="37">
        <f t="shared" ca="1" si="30"/>
        <v>1</v>
      </c>
      <c r="I52" s="37">
        <f t="shared" ca="1" si="31"/>
        <v>1</v>
      </c>
      <c r="J52" s="37">
        <f t="shared" ca="1" si="32"/>
        <v>1</v>
      </c>
      <c r="K52" s="37">
        <f t="shared" ca="1" si="33"/>
        <v>0</v>
      </c>
      <c r="L52" s="37">
        <f t="shared" ca="1" si="48"/>
        <v>0</v>
      </c>
      <c r="M52" s="37">
        <f t="shared" ca="1" si="47"/>
        <v>0</v>
      </c>
      <c r="N52" s="37">
        <f t="shared" ca="1" si="34"/>
        <v>0</v>
      </c>
      <c r="O52" s="37">
        <f t="shared" ca="1" si="35"/>
        <v>0</v>
      </c>
      <c r="P52" s="39"/>
      <c r="Q52" s="28">
        <f t="shared" ca="1" si="36"/>
        <v>3327.1532678036338</v>
      </c>
      <c r="R52" s="28">
        <f t="shared" ca="1" si="37"/>
        <v>7219.0347890062985</v>
      </c>
      <c r="S52" s="28">
        <f t="shared" ca="1" si="38"/>
        <v>226.17385437639004</v>
      </c>
      <c r="T52" s="28">
        <f t="shared" ca="1" si="39"/>
        <v>2201.4460010342891</v>
      </c>
      <c r="U52" s="28">
        <f t="shared" ca="1" si="40"/>
        <v>5004.7794262015232</v>
      </c>
      <c r="V52" s="28">
        <f t="shared" ca="1" si="41"/>
        <v>0</v>
      </c>
      <c r="W52" s="28">
        <f t="shared" ca="1" si="42"/>
        <v>0</v>
      </c>
      <c r="X52" s="28">
        <f t="shared" ca="1" si="43"/>
        <v>0</v>
      </c>
      <c r="Y52" s="28">
        <f t="shared" ca="1" si="44"/>
        <v>0</v>
      </c>
      <c r="Z52" s="28">
        <f t="shared" ca="1" si="45"/>
        <v>0</v>
      </c>
      <c r="AA52" s="41">
        <f t="shared" ca="1" si="46"/>
        <v>17978.587338422134</v>
      </c>
      <c r="AB52" s="162"/>
      <c r="AC52" s="92"/>
      <c r="AD52" s="92"/>
      <c r="AE52" s="92"/>
      <c r="AF52" s="92"/>
      <c r="AG52" s="92"/>
      <c r="AH52" s="92"/>
      <c r="AI52" s="92"/>
      <c r="AJ52" s="92"/>
      <c r="AK52" s="92"/>
      <c r="AL52" s="92"/>
      <c r="AM52" s="33" t="s">
        <v>10</v>
      </c>
      <c r="AN52" s="213"/>
      <c r="AO52" s="215"/>
      <c r="AQ52" s="212">
        <v>38</v>
      </c>
      <c r="AR52" s="33">
        <v>4.4928571428571429</v>
      </c>
    </row>
    <row r="53" spans="1:44" ht="13.2">
      <c r="A53" s="30">
        <v>52</v>
      </c>
      <c r="B53" s="27">
        <v>40000</v>
      </c>
      <c r="C53" s="43"/>
      <c r="D53" s="32">
        <f t="shared" ca="1" si="27"/>
        <v>0.10454860798596077</v>
      </c>
      <c r="E53" s="35">
        <f t="shared" ca="1" si="22"/>
        <v>1</v>
      </c>
      <c r="F53" s="37">
        <f t="shared" ca="1" si="28"/>
        <v>1</v>
      </c>
      <c r="G53" s="37">
        <f t="shared" ca="1" si="29"/>
        <v>0</v>
      </c>
      <c r="H53" s="37">
        <f t="shared" ca="1" si="30"/>
        <v>0</v>
      </c>
      <c r="I53" s="37">
        <f t="shared" ca="1" si="31"/>
        <v>0</v>
      </c>
      <c r="J53" s="37">
        <f t="shared" ca="1" si="32"/>
        <v>0</v>
      </c>
      <c r="K53" s="37">
        <f t="shared" ca="1" si="33"/>
        <v>0</v>
      </c>
      <c r="L53" s="37">
        <f t="shared" ca="1" si="48"/>
        <v>0</v>
      </c>
      <c r="M53" s="37">
        <f t="shared" ca="1" si="47"/>
        <v>0</v>
      </c>
      <c r="N53" s="37">
        <f t="shared" ca="1" si="34"/>
        <v>0</v>
      </c>
      <c r="O53" s="37">
        <f t="shared" ca="1" si="35"/>
        <v>0</v>
      </c>
      <c r="P53" s="39"/>
      <c r="Q53" s="28">
        <f t="shared" ca="1" si="36"/>
        <v>3547.1533463037863</v>
      </c>
      <c r="R53" s="28">
        <f t="shared" ca="1" si="37"/>
        <v>0</v>
      </c>
      <c r="S53" s="28">
        <f t="shared" ca="1" si="38"/>
        <v>0</v>
      </c>
      <c r="T53" s="28">
        <f t="shared" ca="1" si="39"/>
        <v>0</v>
      </c>
      <c r="U53" s="28">
        <f t="shared" ca="1" si="40"/>
        <v>0</v>
      </c>
      <c r="V53" s="28">
        <f t="shared" ca="1" si="41"/>
        <v>0</v>
      </c>
      <c r="W53" s="28">
        <f t="shared" ca="1" si="42"/>
        <v>0</v>
      </c>
      <c r="X53" s="28">
        <f t="shared" ca="1" si="43"/>
        <v>0</v>
      </c>
      <c r="Y53" s="28">
        <f t="shared" ca="1" si="44"/>
        <v>0</v>
      </c>
      <c r="Z53" s="28">
        <f t="shared" ca="1" si="45"/>
        <v>0</v>
      </c>
      <c r="AA53" s="41">
        <f t="shared" ca="1" si="46"/>
        <v>3547.1533463037863</v>
      </c>
      <c r="AB53" s="162"/>
      <c r="AC53" s="92"/>
      <c r="AD53" s="93" t="s">
        <v>10</v>
      </c>
      <c r="AE53" s="92"/>
      <c r="AF53" s="92"/>
      <c r="AG53" s="92"/>
      <c r="AH53" s="92"/>
      <c r="AI53" s="92"/>
      <c r="AJ53" s="92"/>
      <c r="AK53" s="92"/>
      <c r="AL53" s="92"/>
      <c r="AM53" s="33" t="s">
        <v>10</v>
      </c>
      <c r="AN53" s="213"/>
      <c r="AO53" s="215"/>
      <c r="AQ53" s="212">
        <v>39</v>
      </c>
      <c r="AR53" s="33">
        <v>4.0857142857142854</v>
      </c>
    </row>
    <row r="54" spans="1:44" ht="13.2">
      <c r="A54" s="30">
        <v>53</v>
      </c>
      <c r="B54" s="27">
        <v>40000</v>
      </c>
      <c r="C54" s="43"/>
      <c r="D54" s="32">
        <f t="shared" ca="1" si="27"/>
        <v>0.36838513109633841</v>
      </c>
      <c r="E54" s="35">
        <f t="shared" ca="1" si="22"/>
        <v>3</v>
      </c>
      <c r="F54" s="37">
        <f t="shared" ca="1" si="28"/>
        <v>1</v>
      </c>
      <c r="G54" s="37">
        <f t="shared" ca="1" si="29"/>
        <v>1</v>
      </c>
      <c r="H54" s="37">
        <f t="shared" ca="1" si="30"/>
        <v>1</v>
      </c>
      <c r="I54" s="37">
        <f t="shared" ca="1" si="31"/>
        <v>0</v>
      </c>
      <c r="J54" s="37">
        <f t="shared" ca="1" si="32"/>
        <v>0</v>
      </c>
      <c r="K54" s="37">
        <f t="shared" ca="1" si="33"/>
        <v>0</v>
      </c>
      <c r="L54" s="37">
        <f t="shared" ca="1" si="48"/>
        <v>0</v>
      </c>
      <c r="M54" s="37">
        <f t="shared" ca="1" si="47"/>
        <v>0</v>
      </c>
      <c r="N54" s="37">
        <f t="shared" ca="1" si="34"/>
        <v>0</v>
      </c>
      <c r="O54" s="37">
        <f t="shared" ca="1" si="35"/>
        <v>0</v>
      </c>
      <c r="P54" s="39"/>
      <c r="Q54" s="28">
        <f t="shared" ca="1" si="36"/>
        <v>20615.797403510198</v>
      </c>
      <c r="R54" s="28">
        <f t="shared" ca="1" si="37"/>
        <v>20956.920597316708</v>
      </c>
      <c r="S54" s="28">
        <f t="shared" ca="1" si="38"/>
        <v>14125.200787239472</v>
      </c>
      <c r="T54" s="28">
        <f t="shared" ca="1" si="39"/>
        <v>0</v>
      </c>
      <c r="U54" s="28">
        <f t="shared" ca="1" si="40"/>
        <v>0</v>
      </c>
      <c r="V54" s="28">
        <f t="shared" ca="1" si="41"/>
        <v>0</v>
      </c>
      <c r="W54" s="28">
        <f t="shared" ca="1" si="42"/>
        <v>0</v>
      </c>
      <c r="X54" s="28">
        <f t="shared" ca="1" si="43"/>
        <v>0</v>
      </c>
      <c r="Y54" s="28">
        <f t="shared" ca="1" si="44"/>
        <v>0</v>
      </c>
      <c r="Z54" s="28">
        <f t="shared" ca="1" si="45"/>
        <v>0</v>
      </c>
      <c r="AA54" s="41">
        <f t="shared" ca="1" si="46"/>
        <v>55697.918788066381</v>
      </c>
      <c r="AB54" s="162"/>
      <c r="AC54" s="92"/>
      <c r="AD54" s="93" t="s">
        <v>10</v>
      </c>
      <c r="AE54" s="92"/>
      <c r="AF54" s="92"/>
      <c r="AG54" s="92"/>
      <c r="AH54" s="92"/>
      <c r="AI54" s="92"/>
      <c r="AJ54" s="92"/>
      <c r="AK54" s="92"/>
      <c r="AL54" s="92"/>
      <c r="AM54" s="92"/>
      <c r="AN54" s="213"/>
      <c r="AO54" s="215"/>
      <c r="AQ54" s="212">
        <v>40</v>
      </c>
      <c r="AR54" s="33">
        <v>4.3214285714285712</v>
      </c>
    </row>
    <row r="55" spans="1:44" ht="13.2">
      <c r="A55" s="30">
        <v>54</v>
      </c>
      <c r="B55" s="27">
        <v>40000</v>
      </c>
      <c r="C55" s="43"/>
      <c r="D55" s="32">
        <f t="shared" ca="1" si="27"/>
        <v>0.42562565229998661</v>
      </c>
      <c r="E55" s="35">
        <f t="shared" ca="1" si="22"/>
        <v>4</v>
      </c>
      <c r="F55" s="37">
        <f t="shared" ca="1" si="28"/>
        <v>1</v>
      </c>
      <c r="G55" s="37">
        <f t="shared" ca="1" si="29"/>
        <v>1</v>
      </c>
      <c r="H55" s="37">
        <f t="shared" ca="1" si="30"/>
        <v>1</v>
      </c>
      <c r="I55" s="37">
        <f t="shared" ca="1" si="31"/>
        <v>1</v>
      </c>
      <c r="J55" s="37">
        <f t="shared" ca="1" si="32"/>
        <v>0</v>
      </c>
      <c r="K55" s="37">
        <f t="shared" ca="1" si="33"/>
        <v>0</v>
      </c>
      <c r="L55" s="37">
        <f t="shared" ca="1" si="48"/>
        <v>0</v>
      </c>
      <c r="M55" s="37">
        <f t="shared" ca="1" si="47"/>
        <v>0</v>
      </c>
      <c r="N55" s="37">
        <f t="shared" ca="1" si="34"/>
        <v>0</v>
      </c>
      <c r="O55" s="37">
        <f t="shared" ca="1" si="35"/>
        <v>0</v>
      </c>
      <c r="P55" s="39"/>
      <c r="Q55" s="28">
        <f t="shared" ca="1" si="36"/>
        <v>35625.16146157818</v>
      </c>
      <c r="R55" s="28">
        <f t="shared" ca="1" si="37"/>
        <v>4612.2511443443527</v>
      </c>
      <c r="S55" s="28">
        <f t="shared" ca="1" si="38"/>
        <v>29383.098621620837</v>
      </c>
      <c r="T55" s="28">
        <f t="shared" ca="1" si="39"/>
        <v>2945.3756989333701</v>
      </c>
      <c r="U55" s="28">
        <f t="shared" ca="1" si="40"/>
        <v>0</v>
      </c>
      <c r="V55" s="28">
        <f t="shared" ca="1" si="41"/>
        <v>0</v>
      </c>
      <c r="W55" s="28">
        <f t="shared" ca="1" si="42"/>
        <v>0</v>
      </c>
      <c r="X55" s="28">
        <f t="shared" ca="1" si="43"/>
        <v>0</v>
      </c>
      <c r="Y55" s="28">
        <f t="shared" ca="1" si="44"/>
        <v>0</v>
      </c>
      <c r="Z55" s="28">
        <f t="shared" ca="1" si="45"/>
        <v>0</v>
      </c>
      <c r="AA55" s="41">
        <f t="shared" ca="1" si="46"/>
        <v>72565.886926476727</v>
      </c>
      <c r="AB55" s="162"/>
      <c r="AC55" s="92"/>
      <c r="AD55" s="93" t="s">
        <v>10</v>
      </c>
      <c r="AE55" s="92"/>
      <c r="AF55" s="92"/>
      <c r="AG55" s="92"/>
      <c r="AH55" s="92"/>
      <c r="AI55" s="92"/>
      <c r="AJ55" s="92"/>
      <c r="AK55" s="92"/>
      <c r="AL55" s="92"/>
      <c r="AM55" s="92"/>
      <c r="AN55" s="213"/>
      <c r="AO55" s="215"/>
      <c r="AQ55" s="212">
        <v>41</v>
      </c>
      <c r="AR55" s="33">
        <v>4.4142857142857146</v>
      </c>
    </row>
    <row r="56" spans="1:44" ht="13.2">
      <c r="A56" s="30">
        <v>55</v>
      </c>
      <c r="B56" s="27">
        <v>40000</v>
      </c>
      <c r="C56" s="43"/>
      <c r="D56" s="32">
        <f t="shared" ca="1" si="27"/>
        <v>0.69456941557408514</v>
      </c>
      <c r="E56" s="35">
        <f t="shared" ca="1" si="22"/>
        <v>6</v>
      </c>
      <c r="F56" s="37">
        <f t="shared" ca="1" si="28"/>
        <v>1</v>
      </c>
      <c r="G56" s="37">
        <f t="shared" ca="1" si="29"/>
        <v>1</v>
      </c>
      <c r="H56" s="37">
        <f t="shared" ca="1" si="30"/>
        <v>1</v>
      </c>
      <c r="I56" s="37">
        <f t="shared" ca="1" si="31"/>
        <v>1</v>
      </c>
      <c r="J56" s="37">
        <f t="shared" ca="1" si="32"/>
        <v>1</v>
      </c>
      <c r="K56" s="37">
        <f t="shared" ca="1" si="33"/>
        <v>1</v>
      </c>
      <c r="L56" s="37">
        <f t="shared" ca="1" si="48"/>
        <v>0</v>
      </c>
      <c r="M56" s="37">
        <f t="shared" ca="1" si="47"/>
        <v>0</v>
      </c>
      <c r="N56" s="37">
        <f t="shared" ca="1" si="34"/>
        <v>0</v>
      </c>
      <c r="O56" s="37">
        <f t="shared" ca="1" si="35"/>
        <v>0</v>
      </c>
      <c r="P56" s="39"/>
      <c r="Q56" s="28">
        <f t="shared" ca="1" si="36"/>
        <v>22042.496133886016</v>
      </c>
      <c r="R56" s="28">
        <f t="shared" ca="1" si="37"/>
        <v>17148.027273915672</v>
      </c>
      <c r="S56" s="28">
        <f t="shared" ca="1" si="38"/>
        <v>13323.584145230005</v>
      </c>
      <c r="T56" s="28">
        <f t="shared" ca="1" si="39"/>
        <v>7481.9633843813681</v>
      </c>
      <c r="U56" s="28">
        <f t="shared" ca="1" si="40"/>
        <v>70307.49156149113</v>
      </c>
      <c r="V56" s="28">
        <f t="shared" ca="1" si="41"/>
        <v>12332.93320717496</v>
      </c>
      <c r="W56" s="28">
        <f t="shared" ca="1" si="42"/>
        <v>0</v>
      </c>
      <c r="X56" s="28">
        <f t="shared" ca="1" si="43"/>
        <v>0</v>
      </c>
      <c r="Y56" s="28">
        <f t="shared" ca="1" si="44"/>
        <v>0</v>
      </c>
      <c r="Z56" s="28">
        <f t="shared" ca="1" si="45"/>
        <v>0</v>
      </c>
      <c r="AA56" s="41">
        <f t="shared" ca="1" si="46"/>
        <v>142636.49570607915</v>
      </c>
      <c r="AB56" s="162"/>
      <c r="AC56" s="92"/>
      <c r="AD56" s="93" t="s">
        <v>10</v>
      </c>
      <c r="AE56" s="92"/>
      <c r="AF56" s="92"/>
      <c r="AG56" s="92"/>
      <c r="AH56" s="92"/>
      <c r="AI56" s="92"/>
      <c r="AJ56" s="92"/>
      <c r="AK56" s="92"/>
      <c r="AL56" s="92"/>
      <c r="AM56" s="92"/>
      <c r="AN56" s="213"/>
      <c r="AO56" s="215"/>
      <c r="AQ56" s="212">
        <v>42</v>
      </c>
      <c r="AR56" s="33">
        <v>3.9785714285714286</v>
      </c>
    </row>
    <row r="57" spans="1:44" ht="13.2">
      <c r="A57" s="30">
        <v>56</v>
      </c>
      <c r="B57" s="27">
        <v>40000</v>
      </c>
      <c r="C57" s="43"/>
      <c r="D57" s="32">
        <f t="shared" ca="1" si="27"/>
        <v>0.91989866607404502</v>
      </c>
      <c r="E57" s="35">
        <f t="shared" ca="1" si="22"/>
        <v>8</v>
      </c>
      <c r="F57" s="37">
        <f t="shared" ca="1" si="28"/>
        <v>1</v>
      </c>
      <c r="G57" s="37">
        <f t="shared" ca="1" si="29"/>
        <v>1</v>
      </c>
      <c r="H57" s="37">
        <f t="shared" ca="1" si="30"/>
        <v>1</v>
      </c>
      <c r="I57" s="37">
        <f t="shared" ca="1" si="31"/>
        <v>1</v>
      </c>
      <c r="J57" s="37">
        <f t="shared" ca="1" si="32"/>
        <v>1</v>
      </c>
      <c r="K57" s="37">
        <f t="shared" ca="1" si="33"/>
        <v>1</v>
      </c>
      <c r="L57" s="37">
        <f t="shared" ca="1" si="48"/>
        <v>1</v>
      </c>
      <c r="M57" s="37">
        <f t="shared" ca="1" si="47"/>
        <v>1</v>
      </c>
      <c r="N57" s="37">
        <f t="shared" ca="1" si="34"/>
        <v>0</v>
      </c>
      <c r="O57" s="37">
        <f t="shared" ca="1" si="35"/>
        <v>0</v>
      </c>
      <c r="P57" s="39"/>
      <c r="Q57" s="28">
        <f t="shared" ca="1" si="36"/>
        <v>35884.942572616077</v>
      </c>
      <c r="R57" s="28">
        <f t="shared" ca="1" si="37"/>
        <v>3574.0535432317038</v>
      </c>
      <c r="S57" s="28">
        <f t="shared" ca="1" si="38"/>
        <v>17820.521661050723</v>
      </c>
      <c r="T57" s="28">
        <f t="shared" ca="1" si="39"/>
        <v>13018.575074530678</v>
      </c>
      <c r="U57" s="28">
        <f t="shared" ca="1" si="40"/>
        <v>32050.371454470966</v>
      </c>
      <c r="V57" s="28">
        <f t="shared" ca="1" si="41"/>
        <v>5118.6446628996609</v>
      </c>
      <c r="W57" s="28">
        <f t="shared" ca="1" si="42"/>
        <v>3158.717503680311</v>
      </c>
      <c r="X57" s="28">
        <f t="shared" ca="1" si="43"/>
        <v>42087.274396181732</v>
      </c>
      <c r="Y57" s="28">
        <f t="shared" ca="1" si="44"/>
        <v>0</v>
      </c>
      <c r="Z57" s="28">
        <f t="shared" ca="1" si="45"/>
        <v>0</v>
      </c>
      <c r="AA57" s="41">
        <f t="shared" ca="1" si="46"/>
        <v>152713.10086866183</v>
      </c>
      <c r="AB57" s="162"/>
      <c r="AC57" s="92"/>
      <c r="AD57" s="93" t="s">
        <v>10</v>
      </c>
      <c r="AE57" s="92"/>
      <c r="AF57" s="92"/>
      <c r="AG57" s="92"/>
      <c r="AH57" s="92"/>
      <c r="AI57" s="92"/>
      <c r="AJ57" s="92"/>
      <c r="AK57" s="92"/>
      <c r="AL57" s="92"/>
      <c r="AM57" s="92"/>
      <c r="AN57" s="213"/>
      <c r="AO57" s="215"/>
      <c r="AQ57" s="212">
        <v>43</v>
      </c>
      <c r="AR57" s="33">
        <v>4.25</v>
      </c>
    </row>
    <row r="58" spans="1:44" ht="13.2">
      <c r="A58" s="30">
        <v>57</v>
      </c>
      <c r="B58" s="27">
        <v>40000</v>
      </c>
      <c r="C58" s="43"/>
      <c r="D58" s="32">
        <f t="shared" ca="1" si="27"/>
        <v>0.89568795637108578</v>
      </c>
      <c r="E58" s="35">
        <f t="shared" ca="1" si="22"/>
        <v>8</v>
      </c>
      <c r="F58" s="37">
        <f t="shared" ca="1" si="28"/>
        <v>1</v>
      </c>
      <c r="G58" s="37">
        <f t="shared" ca="1" si="29"/>
        <v>1</v>
      </c>
      <c r="H58" s="37">
        <f t="shared" ca="1" si="30"/>
        <v>1</v>
      </c>
      <c r="I58" s="37">
        <f t="shared" ca="1" si="31"/>
        <v>1</v>
      </c>
      <c r="J58" s="37">
        <f t="shared" ca="1" si="32"/>
        <v>1</v>
      </c>
      <c r="K58" s="37">
        <f t="shared" ca="1" si="33"/>
        <v>1</v>
      </c>
      <c r="L58" s="37">
        <f t="shared" ca="1" si="48"/>
        <v>1</v>
      </c>
      <c r="M58" s="37">
        <f t="shared" ca="1" si="47"/>
        <v>1</v>
      </c>
      <c r="N58" s="37">
        <f t="shared" ca="1" si="34"/>
        <v>0</v>
      </c>
      <c r="O58" s="37">
        <f t="shared" ca="1" si="35"/>
        <v>0</v>
      </c>
      <c r="P58" s="39"/>
      <c r="Q58" s="28">
        <f t="shared" ca="1" si="36"/>
        <v>9937.4396132618112</v>
      </c>
      <c r="R58" s="28">
        <f t="shared" ca="1" si="37"/>
        <v>21040.22060444449</v>
      </c>
      <c r="S58" s="28">
        <f t="shared" ca="1" si="38"/>
        <v>6391.3112432377993</v>
      </c>
      <c r="T58" s="28">
        <f t="shared" ca="1" si="39"/>
        <v>35113.078460939883</v>
      </c>
      <c r="U58" s="28">
        <f t="shared" ca="1" si="40"/>
        <v>10560.277743162829</v>
      </c>
      <c r="V58" s="28">
        <f t="shared" ca="1" si="41"/>
        <v>6862.8677013247634</v>
      </c>
      <c r="W58" s="28">
        <f t="shared" ca="1" si="42"/>
        <v>68788.801971852808</v>
      </c>
      <c r="X58" s="28">
        <f t="shared" ca="1" si="43"/>
        <v>27826.330330037843</v>
      </c>
      <c r="Y58" s="28">
        <f t="shared" ca="1" si="44"/>
        <v>0</v>
      </c>
      <c r="Z58" s="28">
        <f t="shared" ca="1" si="45"/>
        <v>0</v>
      </c>
      <c r="AA58" s="41">
        <f t="shared" ca="1" si="46"/>
        <v>186520.32766826221</v>
      </c>
      <c r="AB58" s="162"/>
      <c r="AC58" s="92"/>
      <c r="AD58" s="93" t="s">
        <v>10</v>
      </c>
      <c r="AE58" s="92"/>
      <c r="AF58" s="92"/>
      <c r="AG58" s="92"/>
      <c r="AH58" s="92"/>
      <c r="AI58" s="92"/>
      <c r="AJ58" s="92"/>
      <c r="AK58" s="92"/>
      <c r="AL58" s="92"/>
      <c r="AM58" s="92"/>
      <c r="AN58" s="213"/>
      <c r="AO58" s="215"/>
      <c r="AQ58" s="212">
        <v>44</v>
      </c>
      <c r="AR58" s="33">
        <v>4</v>
      </c>
    </row>
    <row r="59" spans="1:44" ht="13.2">
      <c r="A59" s="30">
        <v>58</v>
      </c>
      <c r="B59" s="27">
        <v>40000</v>
      </c>
      <c r="C59" s="43"/>
      <c r="D59" s="32">
        <f t="shared" ca="1" si="27"/>
        <v>0.29100479297763659</v>
      </c>
      <c r="E59" s="35">
        <f t="shared" ca="1" si="22"/>
        <v>3</v>
      </c>
      <c r="F59" s="37">
        <f t="shared" ca="1" si="28"/>
        <v>1</v>
      </c>
      <c r="G59" s="37">
        <f t="shared" ca="1" si="29"/>
        <v>1</v>
      </c>
      <c r="H59" s="37">
        <f t="shared" ca="1" si="30"/>
        <v>1</v>
      </c>
      <c r="I59" s="37">
        <f t="shared" ca="1" si="31"/>
        <v>0</v>
      </c>
      <c r="J59" s="37">
        <f t="shared" ca="1" si="32"/>
        <v>0</v>
      </c>
      <c r="K59" s="37">
        <f t="shared" ca="1" si="33"/>
        <v>0</v>
      </c>
      <c r="L59" s="37">
        <f t="shared" ca="1" si="48"/>
        <v>0</v>
      </c>
      <c r="M59" s="37">
        <f t="shared" ca="1" si="47"/>
        <v>0</v>
      </c>
      <c r="N59" s="37">
        <f t="shared" ca="1" si="34"/>
        <v>0</v>
      </c>
      <c r="O59" s="37">
        <f t="shared" ca="1" si="35"/>
        <v>0</v>
      </c>
      <c r="P59" s="39"/>
      <c r="Q59" s="28">
        <f t="shared" ca="1" si="36"/>
        <v>2491.9631992859854</v>
      </c>
      <c r="R59" s="28">
        <f t="shared" ca="1" si="37"/>
        <v>5087.9377520260459</v>
      </c>
      <c r="S59" s="28">
        <f t="shared" ca="1" si="38"/>
        <v>3833.2813872310003</v>
      </c>
      <c r="T59" s="28">
        <f t="shared" ca="1" si="39"/>
        <v>0</v>
      </c>
      <c r="U59" s="28">
        <f t="shared" ca="1" si="40"/>
        <v>0</v>
      </c>
      <c r="V59" s="28">
        <f t="shared" ca="1" si="41"/>
        <v>0</v>
      </c>
      <c r="W59" s="28">
        <f t="shared" ca="1" si="42"/>
        <v>0</v>
      </c>
      <c r="X59" s="28">
        <f t="shared" ca="1" si="43"/>
        <v>0</v>
      </c>
      <c r="Y59" s="28">
        <f t="shared" ca="1" si="44"/>
        <v>0</v>
      </c>
      <c r="Z59" s="28">
        <f t="shared" ca="1" si="45"/>
        <v>0</v>
      </c>
      <c r="AA59" s="41">
        <f t="shared" ca="1" si="46"/>
        <v>11413.182338543031</v>
      </c>
      <c r="AB59" s="162"/>
      <c r="AC59" s="92"/>
      <c r="AD59" s="93" t="s">
        <v>10</v>
      </c>
      <c r="AE59" s="92"/>
      <c r="AF59" s="92"/>
      <c r="AG59" s="92"/>
      <c r="AH59" s="92"/>
      <c r="AI59" s="92"/>
      <c r="AJ59" s="92"/>
      <c r="AK59" s="92"/>
      <c r="AL59" s="92"/>
      <c r="AM59" s="92"/>
      <c r="AN59" s="213"/>
      <c r="AO59" s="215"/>
      <c r="AQ59" s="212">
        <v>45</v>
      </c>
      <c r="AR59" s="33">
        <v>4.75</v>
      </c>
    </row>
    <row r="60" spans="1:44" ht="13.2">
      <c r="A60" s="30">
        <v>59</v>
      </c>
      <c r="B60" s="27">
        <v>40000</v>
      </c>
      <c r="C60" s="43"/>
      <c r="D60" s="32">
        <f t="shared" ca="1" si="27"/>
        <v>0.40710428041235536</v>
      </c>
      <c r="E60" s="35">
        <f t="shared" ca="1" si="22"/>
        <v>4</v>
      </c>
      <c r="F60" s="37">
        <f t="shared" ca="1" si="28"/>
        <v>1</v>
      </c>
      <c r="G60" s="37">
        <f t="shared" ca="1" si="29"/>
        <v>1</v>
      </c>
      <c r="H60" s="37">
        <f t="shared" ca="1" si="30"/>
        <v>1</v>
      </c>
      <c r="I60" s="37">
        <f t="shared" ca="1" si="31"/>
        <v>1</v>
      </c>
      <c r="J60" s="37">
        <f t="shared" ca="1" si="32"/>
        <v>0</v>
      </c>
      <c r="K60" s="37">
        <f t="shared" ca="1" si="33"/>
        <v>0</v>
      </c>
      <c r="L60" s="37">
        <f t="shared" ca="1" si="48"/>
        <v>0</v>
      </c>
      <c r="M60" s="37">
        <f t="shared" ca="1" si="47"/>
        <v>0</v>
      </c>
      <c r="N60" s="37">
        <f t="shared" ca="1" si="34"/>
        <v>0</v>
      </c>
      <c r="O60" s="37">
        <f t="shared" ca="1" si="35"/>
        <v>0</v>
      </c>
      <c r="P60" s="39"/>
      <c r="Q60" s="28">
        <f t="shared" ca="1" si="36"/>
        <v>16541.612402080424</v>
      </c>
      <c r="R60" s="28">
        <f t="shared" ca="1" si="37"/>
        <v>94368.582501612313</v>
      </c>
      <c r="S60" s="28">
        <f t="shared" ca="1" si="38"/>
        <v>17145.107227258053</v>
      </c>
      <c r="T60" s="28">
        <f t="shared" ca="1" si="39"/>
        <v>12241.233492785168</v>
      </c>
      <c r="U60" s="28">
        <f t="shared" ca="1" si="40"/>
        <v>0</v>
      </c>
      <c r="V60" s="28">
        <f t="shared" ca="1" si="41"/>
        <v>0</v>
      </c>
      <c r="W60" s="28">
        <f t="shared" ca="1" si="42"/>
        <v>0</v>
      </c>
      <c r="X60" s="28">
        <f t="shared" ca="1" si="43"/>
        <v>0</v>
      </c>
      <c r="Y60" s="28">
        <f t="shared" ca="1" si="44"/>
        <v>0</v>
      </c>
      <c r="Z60" s="28">
        <f t="shared" ca="1" si="45"/>
        <v>0</v>
      </c>
      <c r="AA60" s="41">
        <f t="shared" ca="1" si="46"/>
        <v>140296.53562373595</v>
      </c>
      <c r="AB60" s="162"/>
      <c r="AC60" s="92"/>
      <c r="AD60" s="93" t="s">
        <v>10</v>
      </c>
      <c r="AE60" s="92"/>
      <c r="AF60" s="92"/>
      <c r="AG60" s="92"/>
      <c r="AH60" s="92"/>
      <c r="AI60" s="92"/>
      <c r="AJ60" s="92"/>
      <c r="AK60" s="92"/>
      <c r="AL60" s="92"/>
      <c r="AM60" s="92"/>
      <c r="AN60" s="213"/>
      <c r="AO60" s="215"/>
      <c r="AQ60" s="212">
        <v>46</v>
      </c>
      <c r="AR60" s="33">
        <v>4.371428571428571</v>
      </c>
    </row>
    <row r="61" spans="1:44" ht="13.2">
      <c r="A61" s="30">
        <v>60</v>
      </c>
      <c r="B61" s="27">
        <v>40000</v>
      </c>
      <c r="C61" s="43"/>
      <c r="D61" s="32">
        <f t="shared" ca="1" si="27"/>
        <v>4.9433326721488036E-2</v>
      </c>
      <c r="E61" s="35">
        <f t="shared" ca="1" si="22"/>
        <v>0</v>
      </c>
      <c r="F61" s="37">
        <f t="shared" ca="1" si="28"/>
        <v>0</v>
      </c>
      <c r="G61" s="37">
        <f t="shared" ca="1" si="29"/>
        <v>0</v>
      </c>
      <c r="H61" s="37">
        <f t="shared" ca="1" si="30"/>
        <v>0</v>
      </c>
      <c r="I61" s="37">
        <f t="shared" ca="1" si="31"/>
        <v>0</v>
      </c>
      <c r="J61" s="37">
        <f t="shared" ca="1" si="32"/>
        <v>0</v>
      </c>
      <c r="K61" s="37">
        <f t="shared" ca="1" si="33"/>
        <v>0</v>
      </c>
      <c r="L61" s="37">
        <f t="shared" ca="1" si="48"/>
        <v>0</v>
      </c>
      <c r="M61" s="37">
        <f t="shared" ca="1" si="47"/>
        <v>0</v>
      </c>
      <c r="N61" s="37">
        <f t="shared" ca="1" si="34"/>
        <v>0</v>
      </c>
      <c r="O61" s="37">
        <f t="shared" ca="1" si="35"/>
        <v>0</v>
      </c>
      <c r="P61" s="39"/>
      <c r="Q61" s="28">
        <f t="shared" ca="1" si="36"/>
        <v>0</v>
      </c>
      <c r="R61" s="28">
        <f t="shared" ca="1" si="37"/>
        <v>0</v>
      </c>
      <c r="S61" s="28">
        <f t="shared" ca="1" si="38"/>
        <v>0</v>
      </c>
      <c r="T61" s="28">
        <f t="shared" ca="1" si="39"/>
        <v>0</v>
      </c>
      <c r="U61" s="28">
        <f t="shared" ca="1" si="40"/>
        <v>0</v>
      </c>
      <c r="V61" s="28">
        <f t="shared" ca="1" si="41"/>
        <v>0</v>
      </c>
      <c r="W61" s="28">
        <f t="shared" ca="1" si="42"/>
        <v>0</v>
      </c>
      <c r="X61" s="28">
        <f t="shared" ca="1" si="43"/>
        <v>0</v>
      </c>
      <c r="Y61" s="28">
        <f t="shared" ca="1" si="44"/>
        <v>0</v>
      </c>
      <c r="Z61" s="28">
        <f t="shared" ca="1" si="45"/>
        <v>0</v>
      </c>
      <c r="AA61" s="41">
        <f t="shared" ca="1" si="46"/>
        <v>0</v>
      </c>
      <c r="AB61" s="162"/>
      <c r="AC61" s="92"/>
      <c r="AD61" s="93" t="s">
        <v>10</v>
      </c>
      <c r="AE61" s="92"/>
      <c r="AF61" s="92"/>
      <c r="AG61" s="92"/>
      <c r="AH61" s="92"/>
      <c r="AI61" s="92"/>
      <c r="AJ61" s="92"/>
      <c r="AK61" s="92"/>
      <c r="AL61" s="92"/>
      <c r="AM61" s="92"/>
      <c r="AN61" s="213"/>
      <c r="AO61" s="215"/>
      <c r="AQ61" s="212">
        <v>47</v>
      </c>
      <c r="AR61" s="33">
        <v>4.5571428571428569</v>
      </c>
    </row>
    <row r="62" spans="1:44" ht="13.2">
      <c r="A62" s="30">
        <v>61</v>
      </c>
      <c r="B62" s="27">
        <v>40000</v>
      </c>
      <c r="C62" s="43"/>
      <c r="D62" s="32">
        <f t="shared" ca="1" si="27"/>
        <v>0.86116041537536092</v>
      </c>
      <c r="E62" s="35">
        <f t="shared" ca="1" si="22"/>
        <v>8</v>
      </c>
      <c r="F62" s="37">
        <f t="shared" ca="1" si="28"/>
        <v>1</v>
      </c>
      <c r="G62" s="37">
        <f t="shared" ca="1" si="29"/>
        <v>1</v>
      </c>
      <c r="H62" s="37">
        <f t="shared" ca="1" si="30"/>
        <v>1</v>
      </c>
      <c r="I62" s="37">
        <f t="shared" ca="1" si="31"/>
        <v>1</v>
      </c>
      <c r="J62" s="37">
        <f t="shared" ca="1" si="32"/>
        <v>1</v>
      </c>
      <c r="K62" s="37">
        <f t="shared" ca="1" si="33"/>
        <v>1</v>
      </c>
      <c r="L62" s="37">
        <f t="shared" ca="1" si="48"/>
        <v>1</v>
      </c>
      <c r="M62" s="37">
        <f t="shared" ca="1" si="47"/>
        <v>1</v>
      </c>
      <c r="N62" s="37">
        <f t="shared" ca="1" si="34"/>
        <v>0</v>
      </c>
      <c r="O62" s="37">
        <f t="shared" ca="1" si="35"/>
        <v>0</v>
      </c>
      <c r="P62" s="39"/>
      <c r="Q62" s="28">
        <f t="shared" ca="1" si="36"/>
        <v>516.87556296792991</v>
      </c>
      <c r="R62" s="28">
        <f t="shared" ca="1" si="37"/>
        <v>41725.108028971466</v>
      </c>
      <c r="S62" s="28">
        <f t="shared" ca="1" si="38"/>
        <v>48252.778797114603</v>
      </c>
      <c r="T62" s="28">
        <f t="shared" ca="1" si="39"/>
        <v>37875.414009139473</v>
      </c>
      <c r="U62" s="28">
        <f t="shared" ca="1" si="40"/>
        <v>3237.1692032814931</v>
      </c>
      <c r="V62" s="28">
        <f t="shared" ca="1" si="41"/>
        <v>39221.278821630483</v>
      </c>
      <c r="W62" s="28">
        <f t="shared" ca="1" si="42"/>
        <v>41916.412039233284</v>
      </c>
      <c r="X62" s="28">
        <f t="shared" ca="1" si="43"/>
        <v>19984.203883802191</v>
      </c>
      <c r="Y62" s="28">
        <f t="shared" ca="1" si="44"/>
        <v>0</v>
      </c>
      <c r="Z62" s="28">
        <f t="shared" ca="1" si="45"/>
        <v>0</v>
      </c>
      <c r="AA62" s="41">
        <f t="shared" ca="1" si="46"/>
        <v>232729.24034614093</v>
      </c>
      <c r="AB62" s="162"/>
      <c r="AC62" s="92"/>
      <c r="AD62" s="93" t="s">
        <v>10</v>
      </c>
      <c r="AE62" s="92"/>
      <c r="AF62" s="92"/>
      <c r="AG62" s="92"/>
      <c r="AH62" s="92"/>
      <c r="AI62" s="92"/>
      <c r="AJ62" s="92"/>
      <c r="AK62" s="92"/>
      <c r="AL62" s="92"/>
      <c r="AM62" s="92"/>
      <c r="AN62" s="213"/>
      <c r="AO62" s="215"/>
      <c r="AQ62" s="212">
        <v>48</v>
      </c>
      <c r="AR62" s="33">
        <v>4.3928571428571432</v>
      </c>
    </row>
    <row r="63" spans="1:44" ht="13.2">
      <c r="A63" s="30">
        <v>62</v>
      </c>
      <c r="B63" s="27">
        <v>40000</v>
      </c>
      <c r="C63" s="43"/>
      <c r="D63" s="32">
        <f t="shared" ca="1" si="27"/>
        <v>7.2787413170375737E-2</v>
      </c>
      <c r="E63" s="35">
        <f t="shared" ca="1" si="22"/>
        <v>1</v>
      </c>
      <c r="F63" s="37">
        <f t="shared" ca="1" si="28"/>
        <v>1</v>
      </c>
      <c r="G63" s="37">
        <f t="shared" ca="1" si="29"/>
        <v>0</v>
      </c>
      <c r="H63" s="37">
        <f t="shared" ca="1" si="30"/>
        <v>0</v>
      </c>
      <c r="I63" s="37">
        <f t="shared" ca="1" si="31"/>
        <v>0</v>
      </c>
      <c r="J63" s="37">
        <f t="shared" ca="1" si="32"/>
        <v>0</v>
      </c>
      <c r="K63" s="37">
        <f t="shared" ca="1" si="33"/>
        <v>0</v>
      </c>
      <c r="L63" s="37">
        <f t="shared" ca="1" si="48"/>
        <v>0</v>
      </c>
      <c r="M63" s="37">
        <f t="shared" ca="1" si="47"/>
        <v>0</v>
      </c>
      <c r="N63" s="37">
        <f t="shared" ca="1" si="34"/>
        <v>0</v>
      </c>
      <c r="O63" s="37">
        <f t="shared" ca="1" si="35"/>
        <v>0</v>
      </c>
      <c r="P63" s="39"/>
      <c r="Q63" s="28">
        <f t="shared" ca="1" si="36"/>
        <v>33144.504468877298</v>
      </c>
      <c r="R63" s="28">
        <f t="shared" ca="1" si="37"/>
        <v>0</v>
      </c>
      <c r="S63" s="28">
        <f t="shared" ca="1" si="38"/>
        <v>0</v>
      </c>
      <c r="T63" s="28">
        <f t="shared" ca="1" si="39"/>
        <v>0</v>
      </c>
      <c r="U63" s="28">
        <f t="shared" ca="1" si="40"/>
        <v>0</v>
      </c>
      <c r="V63" s="28">
        <f t="shared" ca="1" si="41"/>
        <v>0</v>
      </c>
      <c r="W63" s="28">
        <f t="shared" ca="1" si="42"/>
        <v>0</v>
      </c>
      <c r="X63" s="28">
        <f t="shared" ca="1" si="43"/>
        <v>0</v>
      </c>
      <c r="Y63" s="28">
        <f t="shared" ca="1" si="44"/>
        <v>0</v>
      </c>
      <c r="Z63" s="28">
        <f t="shared" ca="1" si="45"/>
        <v>0</v>
      </c>
      <c r="AA63" s="41">
        <f t="shared" ca="1" si="46"/>
        <v>33144.504468877298</v>
      </c>
      <c r="AB63" s="162"/>
      <c r="AC63" s="92"/>
      <c r="AD63" s="93" t="s">
        <v>10</v>
      </c>
      <c r="AE63" s="92"/>
      <c r="AF63" s="92"/>
      <c r="AG63" s="92"/>
      <c r="AH63" s="92"/>
      <c r="AI63" s="92"/>
      <c r="AJ63" s="92"/>
      <c r="AK63" s="92"/>
      <c r="AL63" s="92"/>
      <c r="AM63" s="92"/>
      <c r="AN63" s="213"/>
      <c r="AO63" s="215"/>
      <c r="AQ63" s="212">
        <v>49</v>
      </c>
      <c r="AR63" s="33">
        <v>4.2857142857142856</v>
      </c>
    </row>
    <row r="64" spans="1:44" ht="13.2">
      <c r="A64" s="30">
        <v>63</v>
      </c>
      <c r="B64" s="27">
        <v>40000</v>
      </c>
      <c r="C64" s="43"/>
      <c r="D64" s="32">
        <f t="shared" ca="1" si="27"/>
        <v>0.99227835863562652</v>
      </c>
      <c r="E64" s="35">
        <f t="shared" ca="1" si="22"/>
        <v>10</v>
      </c>
      <c r="F64" s="37">
        <f t="shared" ca="1" si="28"/>
        <v>1</v>
      </c>
      <c r="G64" s="37">
        <f t="shared" ca="1" si="29"/>
        <v>1</v>
      </c>
      <c r="H64" s="37">
        <f t="shared" ca="1" si="30"/>
        <v>1</v>
      </c>
      <c r="I64" s="37">
        <f t="shared" ca="1" si="31"/>
        <v>1</v>
      </c>
      <c r="J64" s="37">
        <f t="shared" ca="1" si="32"/>
        <v>1</v>
      </c>
      <c r="K64" s="37">
        <f t="shared" ca="1" si="33"/>
        <v>1</v>
      </c>
      <c r="L64" s="37">
        <f t="shared" ca="1" si="48"/>
        <v>1</v>
      </c>
      <c r="M64" s="37">
        <f t="shared" ca="1" si="47"/>
        <v>1</v>
      </c>
      <c r="N64" s="37">
        <f t="shared" ca="1" si="34"/>
        <v>1</v>
      </c>
      <c r="O64" s="37">
        <f t="shared" ca="1" si="35"/>
        <v>1</v>
      </c>
      <c r="P64" s="39"/>
      <c r="Q64" s="28">
        <f t="shared" ca="1" si="36"/>
        <v>9853.2438340166555</v>
      </c>
      <c r="R64" s="28">
        <f t="shared" ca="1" si="37"/>
        <v>29941.463583819674</v>
      </c>
      <c r="S64" s="28">
        <f t="shared" ca="1" si="38"/>
        <v>15610.002806145298</v>
      </c>
      <c r="T64" s="28">
        <f t="shared" ca="1" si="39"/>
        <v>23966.665864959221</v>
      </c>
      <c r="U64" s="28">
        <f t="shared" ca="1" si="40"/>
        <v>26297.482481141134</v>
      </c>
      <c r="V64" s="28">
        <f t="shared" ca="1" si="41"/>
        <v>83786.821436088867</v>
      </c>
      <c r="W64" s="28">
        <f t="shared" ca="1" si="42"/>
        <v>10021.290850022688</v>
      </c>
      <c r="X64" s="28">
        <f t="shared" ca="1" si="43"/>
        <v>4354.2277749991663</v>
      </c>
      <c r="Y64" s="28">
        <f t="shared" ca="1" si="44"/>
        <v>6869.9539066803591</v>
      </c>
      <c r="Z64" s="28">
        <f t="shared" ca="1" si="45"/>
        <v>6264.4486590994975</v>
      </c>
      <c r="AA64" s="41">
        <f t="shared" ca="1" si="46"/>
        <v>216965.60119697257</v>
      </c>
      <c r="AB64" s="162"/>
      <c r="AC64" s="92"/>
      <c r="AD64" s="93" t="s">
        <v>10</v>
      </c>
      <c r="AE64" s="92"/>
      <c r="AF64" s="92"/>
      <c r="AG64" s="92"/>
      <c r="AH64" s="92"/>
      <c r="AI64" s="92"/>
      <c r="AJ64" s="92"/>
      <c r="AK64" s="93" t="s">
        <v>10</v>
      </c>
      <c r="AL64" s="92"/>
      <c r="AM64" s="92"/>
      <c r="AN64" s="213"/>
      <c r="AO64" s="215"/>
      <c r="AQ64" s="212">
        <v>50</v>
      </c>
      <c r="AR64" s="33">
        <v>4.5285714285714285</v>
      </c>
    </row>
    <row r="65" spans="1:44" ht="13.2">
      <c r="A65" s="30">
        <v>64</v>
      </c>
      <c r="B65" s="27">
        <v>40000</v>
      </c>
      <c r="C65" s="43"/>
      <c r="D65" s="32">
        <f t="shared" ca="1" si="27"/>
        <v>0.11990119928540754</v>
      </c>
      <c r="E65" s="35">
        <f t="shared" ca="1" si="22"/>
        <v>1</v>
      </c>
      <c r="F65" s="37">
        <f t="shared" ca="1" si="28"/>
        <v>1</v>
      </c>
      <c r="G65" s="37">
        <f t="shared" ca="1" si="29"/>
        <v>0</v>
      </c>
      <c r="H65" s="37">
        <f t="shared" ca="1" si="30"/>
        <v>0</v>
      </c>
      <c r="I65" s="37">
        <f t="shared" ca="1" si="31"/>
        <v>0</v>
      </c>
      <c r="J65" s="37">
        <f t="shared" ca="1" si="32"/>
        <v>0</v>
      </c>
      <c r="K65" s="37">
        <f t="shared" ca="1" si="33"/>
        <v>0</v>
      </c>
      <c r="L65" s="37">
        <f t="shared" ca="1" si="48"/>
        <v>0</v>
      </c>
      <c r="M65" s="37">
        <f t="shared" ca="1" si="47"/>
        <v>0</v>
      </c>
      <c r="N65" s="37">
        <f t="shared" ca="1" si="34"/>
        <v>0</v>
      </c>
      <c r="O65" s="37">
        <f t="shared" ca="1" si="35"/>
        <v>0</v>
      </c>
      <c r="P65" s="39"/>
      <c r="Q65" s="28">
        <f t="shared" ca="1" si="36"/>
        <v>13325.008562450854</v>
      </c>
      <c r="R65" s="28">
        <f t="shared" ca="1" si="37"/>
        <v>0</v>
      </c>
      <c r="S65" s="28">
        <f t="shared" ca="1" si="38"/>
        <v>0</v>
      </c>
      <c r="T65" s="28">
        <f t="shared" ca="1" si="39"/>
        <v>0</v>
      </c>
      <c r="U65" s="28">
        <f t="shared" ca="1" si="40"/>
        <v>0</v>
      </c>
      <c r="V65" s="28">
        <f t="shared" ca="1" si="41"/>
        <v>0</v>
      </c>
      <c r="W65" s="28">
        <f t="shared" ca="1" si="42"/>
        <v>0</v>
      </c>
      <c r="X65" s="28">
        <f t="shared" ca="1" si="43"/>
        <v>0</v>
      </c>
      <c r="Y65" s="28">
        <f t="shared" ca="1" si="44"/>
        <v>0</v>
      </c>
      <c r="Z65" s="28">
        <f t="shared" ca="1" si="45"/>
        <v>0</v>
      </c>
      <c r="AA65" s="41">
        <f t="shared" ca="1" si="46"/>
        <v>13325.008562450854</v>
      </c>
      <c r="AB65" s="162"/>
      <c r="AC65" s="92"/>
      <c r="AD65" s="93" t="s">
        <v>10</v>
      </c>
      <c r="AE65" s="92"/>
      <c r="AF65" s="92"/>
      <c r="AG65" s="92"/>
      <c r="AH65" s="92"/>
      <c r="AI65" s="92"/>
      <c r="AJ65" s="92"/>
      <c r="AK65" s="92"/>
      <c r="AL65" s="92"/>
      <c r="AM65" s="92"/>
      <c r="AN65" s="213"/>
      <c r="AO65" s="216"/>
      <c r="AQ65" s="212">
        <v>51</v>
      </c>
      <c r="AR65" s="33">
        <v>4.3642857142857139</v>
      </c>
    </row>
    <row r="66" spans="1:44" ht="13.2">
      <c r="A66" s="30">
        <v>65</v>
      </c>
      <c r="B66" s="27">
        <v>40000</v>
      </c>
      <c r="C66" s="43"/>
      <c r="D66" s="32">
        <f t="shared" ref="D66:D97" ca="1" si="49">RAND()</f>
        <v>0.97364166459269597</v>
      </c>
      <c r="E66" s="35">
        <f t="shared" ca="1" si="22"/>
        <v>10</v>
      </c>
      <c r="F66" s="37">
        <f t="shared" ref="F66:F97" ca="1" si="50">IF(E66&gt;=1,1,0)</f>
        <v>1</v>
      </c>
      <c r="G66" s="37">
        <f t="shared" ref="G66:G97" ca="1" si="51">IF(E66&gt;=2,1,0)</f>
        <v>1</v>
      </c>
      <c r="H66" s="37">
        <f t="shared" ref="H66:H97" ca="1" si="52">IF(E66&gt;=3,1,0)</f>
        <v>1</v>
      </c>
      <c r="I66" s="37">
        <f t="shared" ref="I66:I97" ca="1" si="53">IF(E66&gt;=4,1,0)</f>
        <v>1</v>
      </c>
      <c r="J66" s="37">
        <f t="shared" ref="J66:J97" ca="1" si="54">IF(E66&gt;=5,1,0)</f>
        <v>1</v>
      </c>
      <c r="K66" s="37">
        <f t="shared" ref="K66:K97" ca="1" si="55">IF(E66&gt;=6,1,0)</f>
        <v>1</v>
      </c>
      <c r="L66" s="37">
        <f t="shared" ca="1" si="48"/>
        <v>1</v>
      </c>
      <c r="M66" s="37">
        <f t="shared" ref="M66:M97" ca="1" si="56">IF(E66&gt;=8,1,0)</f>
        <v>1</v>
      </c>
      <c r="N66" s="37">
        <f t="shared" ref="N66:N97" ca="1" si="57">IF(E66&gt;=9,1,0)</f>
        <v>1</v>
      </c>
      <c r="O66" s="37">
        <f t="shared" ref="O66:O97" ca="1" si="58">IF(E66&gt;=10,1,0)</f>
        <v>1</v>
      </c>
      <c r="P66" s="39"/>
      <c r="Q66" s="28">
        <f t="shared" ref="Q66:Q97" ca="1" si="59">_xlfn.CHISQ.INV(RAND(),2)*$AO$4 *F66</f>
        <v>45740.113227189824</v>
      </c>
      <c r="R66" s="28">
        <f t="shared" ref="R66:R97" ca="1" si="60">_xlfn.CHISQ.INV(RAND(),2)*$AO$4 *G66</f>
        <v>19818.578197588518</v>
      </c>
      <c r="S66" s="28">
        <f t="shared" ref="S66:S97" ca="1" si="61">_xlfn.CHISQ.INV(RAND(),2)*$AO$4 *H66</f>
        <v>60133.418997981935</v>
      </c>
      <c r="T66" s="28">
        <f t="shared" ref="T66:T97" ca="1" si="62">_xlfn.CHISQ.INV(RAND(),2)*$AO$4 *I66</f>
        <v>17980.347406451594</v>
      </c>
      <c r="U66" s="28">
        <f t="shared" ref="U66:U97" ca="1" si="63">_xlfn.CHISQ.INV(RAND(),2)*$AO$4 *J66</f>
        <v>12.552107251123864</v>
      </c>
      <c r="V66" s="28">
        <f t="shared" ref="V66:V97" ca="1" si="64">_xlfn.CHISQ.INV(RAND(),2)*$AO$4 *K66</f>
        <v>24159.834275509133</v>
      </c>
      <c r="W66" s="28">
        <f t="shared" ref="W66:W97" ca="1" si="65">_xlfn.CHISQ.INV(RAND(),2)*$AO$4 *L66</f>
        <v>7193.2382103091895</v>
      </c>
      <c r="X66" s="28">
        <f t="shared" ref="X66:X97" ca="1" si="66">_xlfn.CHISQ.INV(RAND(),2)*$AO$4 *M66</f>
        <v>4509.3178754251758</v>
      </c>
      <c r="Y66" s="28">
        <f t="shared" ref="Y66:Y97" ca="1" si="67">_xlfn.CHISQ.INV(RAND(),2)*$AO$4 *N66</f>
        <v>46761.790806167839</v>
      </c>
      <c r="Z66" s="28">
        <f t="shared" ref="Z66:Z97" ca="1" si="68">_xlfn.CHISQ.INV(RAND(),2)*$AO$4 *O66</f>
        <v>8702.8363751550696</v>
      </c>
      <c r="AA66" s="41">
        <f t="shared" ref="AA66:AA97" ca="1" si="69">SUM(Q66:Z66)</f>
        <v>235012.02747902944</v>
      </c>
      <c r="AB66" s="162"/>
      <c r="AC66" s="92"/>
      <c r="AD66" s="93" t="s">
        <v>10</v>
      </c>
      <c r="AE66" s="92"/>
      <c r="AF66" s="92"/>
      <c r="AG66" s="92"/>
      <c r="AH66" s="92"/>
      <c r="AI66" s="92"/>
      <c r="AJ66" s="92"/>
      <c r="AK66" s="92"/>
      <c r="AL66" s="92"/>
      <c r="AM66" s="92"/>
      <c r="AN66" s="213"/>
      <c r="AO66" s="215"/>
      <c r="AQ66" s="212">
        <v>52</v>
      </c>
      <c r="AR66" s="33">
        <v>4.7285714285714286</v>
      </c>
    </row>
    <row r="67" spans="1:44" ht="13.2">
      <c r="A67" s="30">
        <v>66</v>
      </c>
      <c r="B67" s="27">
        <v>40000</v>
      </c>
      <c r="C67" s="43"/>
      <c r="D67" s="32">
        <f t="shared" ca="1" si="49"/>
        <v>0.17690548452344301</v>
      </c>
      <c r="E67" s="35">
        <f t="shared" ref="E67:E130" ca="1" si="70">VLOOKUP(D67,$AH$2:$AL$12, 5, TRUE)</f>
        <v>2</v>
      </c>
      <c r="F67" s="37">
        <f t="shared" ca="1" si="50"/>
        <v>1</v>
      </c>
      <c r="G67" s="37">
        <f t="shared" ca="1" si="51"/>
        <v>1</v>
      </c>
      <c r="H67" s="37">
        <f t="shared" ca="1" si="52"/>
        <v>0</v>
      </c>
      <c r="I67" s="37">
        <f t="shared" ca="1" si="53"/>
        <v>0</v>
      </c>
      <c r="J67" s="37">
        <f t="shared" ca="1" si="54"/>
        <v>0</v>
      </c>
      <c r="K67" s="37">
        <f t="shared" ca="1" si="55"/>
        <v>0</v>
      </c>
      <c r="L67" s="37">
        <f t="shared" ca="1" si="48"/>
        <v>0</v>
      </c>
      <c r="M67" s="37">
        <f t="shared" ca="1" si="56"/>
        <v>0</v>
      </c>
      <c r="N67" s="37">
        <f t="shared" ca="1" si="57"/>
        <v>0</v>
      </c>
      <c r="O67" s="37">
        <f t="shared" ca="1" si="58"/>
        <v>0</v>
      </c>
      <c r="P67" s="39"/>
      <c r="Q67" s="28">
        <f t="shared" ca="1" si="59"/>
        <v>36212.187775013896</v>
      </c>
      <c r="R67" s="28">
        <f t="shared" ca="1" si="60"/>
        <v>33840.410614488392</v>
      </c>
      <c r="S67" s="28">
        <f t="shared" ca="1" si="61"/>
        <v>0</v>
      </c>
      <c r="T67" s="28">
        <f t="shared" ca="1" si="62"/>
        <v>0</v>
      </c>
      <c r="U67" s="28">
        <f t="shared" ca="1" si="63"/>
        <v>0</v>
      </c>
      <c r="V67" s="28">
        <f t="shared" ca="1" si="64"/>
        <v>0</v>
      </c>
      <c r="W67" s="28">
        <f t="shared" ca="1" si="65"/>
        <v>0</v>
      </c>
      <c r="X67" s="28">
        <f t="shared" ca="1" si="66"/>
        <v>0</v>
      </c>
      <c r="Y67" s="28">
        <f t="shared" ca="1" si="67"/>
        <v>0</v>
      </c>
      <c r="Z67" s="28">
        <f t="shared" ca="1" si="68"/>
        <v>0</v>
      </c>
      <c r="AA67" s="41">
        <f t="shared" ca="1" si="69"/>
        <v>70052.598389502295</v>
      </c>
      <c r="AB67" s="162"/>
      <c r="AC67" s="92"/>
      <c r="AD67" s="92"/>
      <c r="AE67" s="92"/>
      <c r="AF67" s="92"/>
      <c r="AG67" s="92"/>
      <c r="AH67" s="92"/>
      <c r="AI67" s="92"/>
      <c r="AJ67" s="92"/>
      <c r="AK67" s="92"/>
      <c r="AL67" s="92"/>
      <c r="AM67" s="92"/>
      <c r="AN67" s="213"/>
      <c r="AO67" s="215"/>
      <c r="AQ67" s="212">
        <v>53</v>
      </c>
      <c r="AR67" s="33">
        <v>4.6357142857142861</v>
      </c>
    </row>
    <row r="68" spans="1:44" ht="13.2">
      <c r="A68" s="30">
        <v>67</v>
      </c>
      <c r="B68" s="27">
        <v>40000</v>
      </c>
      <c r="C68" s="43"/>
      <c r="D68" s="32">
        <f t="shared" ca="1" si="49"/>
        <v>0.27954961001319334</v>
      </c>
      <c r="E68" s="35">
        <f t="shared" ca="1" si="70"/>
        <v>3</v>
      </c>
      <c r="F68" s="37">
        <f t="shared" ca="1" si="50"/>
        <v>1</v>
      </c>
      <c r="G68" s="37">
        <f t="shared" ca="1" si="51"/>
        <v>1</v>
      </c>
      <c r="H68" s="37">
        <f t="shared" ca="1" si="52"/>
        <v>1</v>
      </c>
      <c r="I68" s="37">
        <f t="shared" ca="1" si="53"/>
        <v>0</v>
      </c>
      <c r="J68" s="37">
        <f t="shared" ca="1" si="54"/>
        <v>0</v>
      </c>
      <c r="K68" s="37">
        <f t="shared" ca="1" si="55"/>
        <v>0</v>
      </c>
      <c r="L68" s="37">
        <f t="shared" ca="1" si="48"/>
        <v>0</v>
      </c>
      <c r="M68" s="37">
        <f t="shared" ca="1" si="56"/>
        <v>0</v>
      </c>
      <c r="N68" s="37">
        <f t="shared" ca="1" si="57"/>
        <v>0</v>
      </c>
      <c r="O68" s="37">
        <f t="shared" ca="1" si="58"/>
        <v>0</v>
      </c>
      <c r="P68" s="39"/>
      <c r="Q68" s="28">
        <f t="shared" ca="1" si="59"/>
        <v>14166.848330309813</v>
      </c>
      <c r="R68" s="28">
        <f t="shared" ca="1" si="60"/>
        <v>13180.958898253632</v>
      </c>
      <c r="S68" s="28">
        <f t="shared" ca="1" si="61"/>
        <v>31253.212862253553</v>
      </c>
      <c r="T68" s="28">
        <f t="shared" ca="1" si="62"/>
        <v>0</v>
      </c>
      <c r="U68" s="28">
        <f t="shared" ca="1" si="63"/>
        <v>0</v>
      </c>
      <c r="V68" s="28">
        <f t="shared" ca="1" si="64"/>
        <v>0</v>
      </c>
      <c r="W68" s="28">
        <f t="shared" ca="1" si="65"/>
        <v>0</v>
      </c>
      <c r="X68" s="28">
        <f t="shared" ca="1" si="66"/>
        <v>0</v>
      </c>
      <c r="Y68" s="28">
        <f t="shared" ca="1" si="67"/>
        <v>0</v>
      </c>
      <c r="Z68" s="28">
        <f t="shared" ca="1" si="68"/>
        <v>0</v>
      </c>
      <c r="AA68" s="41">
        <f t="shared" ca="1" si="69"/>
        <v>58601.020090816994</v>
      </c>
      <c r="AB68" s="162"/>
      <c r="AC68" s="92"/>
      <c r="AD68" s="92"/>
      <c r="AE68" s="92"/>
      <c r="AF68" s="92"/>
      <c r="AG68" s="92"/>
      <c r="AH68" s="92"/>
      <c r="AI68" s="92"/>
      <c r="AJ68" s="92"/>
      <c r="AK68" s="92"/>
      <c r="AL68" s="92"/>
      <c r="AM68" s="92"/>
      <c r="AN68" s="213"/>
      <c r="AO68" s="215"/>
      <c r="AQ68" s="212">
        <v>54</v>
      </c>
      <c r="AR68" s="33">
        <v>4.55</v>
      </c>
    </row>
    <row r="69" spans="1:44" ht="13.2">
      <c r="A69" s="30">
        <v>68</v>
      </c>
      <c r="B69" s="27">
        <v>40000</v>
      </c>
      <c r="C69" s="43"/>
      <c r="D69" s="32">
        <f t="shared" ca="1" si="49"/>
        <v>0.92233899904609085</v>
      </c>
      <c r="E69" s="35">
        <f t="shared" ca="1" si="70"/>
        <v>9</v>
      </c>
      <c r="F69" s="37">
        <f t="shared" ca="1" si="50"/>
        <v>1</v>
      </c>
      <c r="G69" s="37">
        <f t="shared" ca="1" si="51"/>
        <v>1</v>
      </c>
      <c r="H69" s="37">
        <f t="shared" ca="1" si="52"/>
        <v>1</v>
      </c>
      <c r="I69" s="37">
        <f t="shared" ca="1" si="53"/>
        <v>1</v>
      </c>
      <c r="J69" s="37">
        <f t="shared" ca="1" si="54"/>
        <v>1</v>
      </c>
      <c r="K69" s="37">
        <f t="shared" ca="1" si="55"/>
        <v>1</v>
      </c>
      <c r="L69" s="37">
        <f t="shared" ca="1" si="48"/>
        <v>1</v>
      </c>
      <c r="M69" s="37">
        <f t="shared" ca="1" si="56"/>
        <v>1</v>
      </c>
      <c r="N69" s="37">
        <f t="shared" ca="1" si="57"/>
        <v>1</v>
      </c>
      <c r="O69" s="37">
        <f t="shared" ca="1" si="58"/>
        <v>0</v>
      </c>
      <c r="P69" s="39"/>
      <c r="Q69" s="28">
        <f t="shared" ca="1" si="59"/>
        <v>13395.987822995399</v>
      </c>
      <c r="R69" s="28">
        <f t="shared" ca="1" si="60"/>
        <v>25100.082919141474</v>
      </c>
      <c r="S69" s="28">
        <f t="shared" ca="1" si="61"/>
        <v>13228.821272939129</v>
      </c>
      <c r="T69" s="28">
        <f t="shared" ca="1" si="62"/>
        <v>21690.424823385227</v>
      </c>
      <c r="U69" s="28">
        <f t="shared" ca="1" si="63"/>
        <v>48830.559869222248</v>
      </c>
      <c r="V69" s="28">
        <f t="shared" ca="1" si="64"/>
        <v>17459.156173744097</v>
      </c>
      <c r="W69" s="28">
        <f t="shared" ca="1" si="65"/>
        <v>9585.4455435720902</v>
      </c>
      <c r="X69" s="28">
        <f t="shared" ca="1" si="66"/>
        <v>7399.3689464043855</v>
      </c>
      <c r="Y69" s="28">
        <f t="shared" ca="1" si="67"/>
        <v>15724.562325713749</v>
      </c>
      <c r="Z69" s="28">
        <f t="shared" ca="1" si="68"/>
        <v>0</v>
      </c>
      <c r="AA69" s="41">
        <f t="shared" ca="1" si="69"/>
        <v>172414.40969711781</v>
      </c>
      <c r="AB69" s="162"/>
      <c r="AC69" s="92"/>
      <c r="AD69" s="92"/>
      <c r="AE69" s="92"/>
      <c r="AF69" s="92"/>
      <c r="AG69" s="92"/>
      <c r="AH69" s="92"/>
      <c r="AI69" s="92"/>
      <c r="AJ69" s="92"/>
      <c r="AK69" s="92"/>
      <c r="AL69" s="92"/>
      <c r="AM69" s="92"/>
      <c r="AN69" s="213"/>
      <c r="AO69" s="215"/>
      <c r="AQ69" s="212">
        <v>55</v>
      </c>
      <c r="AR69" s="33">
        <v>4.3071428571428569</v>
      </c>
    </row>
    <row r="70" spans="1:44" ht="13.2">
      <c r="A70" s="30">
        <v>69</v>
      </c>
      <c r="B70" s="27">
        <v>40000</v>
      </c>
      <c r="C70" s="43"/>
      <c r="D70" s="32">
        <f t="shared" ca="1" si="49"/>
        <v>0.64895627804448675</v>
      </c>
      <c r="E70" s="35">
        <f t="shared" ca="1" si="70"/>
        <v>5</v>
      </c>
      <c r="F70" s="37">
        <f t="shared" ca="1" si="50"/>
        <v>1</v>
      </c>
      <c r="G70" s="37">
        <f t="shared" ca="1" si="51"/>
        <v>1</v>
      </c>
      <c r="H70" s="37">
        <f t="shared" ca="1" si="52"/>
        <v>1</v>
      </c>
      <c r="I70" s="37">
        <f t="shared" ca="1" si="53"/>
        <v>1</v>
      </c>
      <c r="J70" s="37">
        <f t="shared" ca="1" si="54"/>
        <v>1</v>
      </c>
      <c r="K70" s="37">
        <f t="shared" ca="1" si="55"/>
        <v>0</v>
      </c>
      <c r="L70" s="37">
        <f t="shared" ca="1" si="48"/>
        <v>0</v>
      </c>
      <c r="M70" s="37">
        <f t="shared" ca="1" si="56"/>
        <v>0</v>
      </c>
      <c r="N70" s="37">
        <f t="shared" ca="1" si="57"/>
        <v>0</v>
      </c>
      <c r="O70" s="37">
        <f t="shared" ca="1" si="58"/>
        <v>0</v>
      </c>
      <c r="P70" s="39"/>
      <c r="Q70" s="28">
        <f t="shared" ca="1" si="59"/>
        <v>2641.3177729978343</v>
      </c>
      <c r="R70" s="28">
        <f t="shared" ca="1" si="60"/>
        <v>27488.401270700106</v>
      </c>
      <c r="S70" s="28">
        <f t="shared" ca="1" si="61"/>
        <v>7244.7327988768975</v>
      </c>
      <c r="T70" s="28">
        <f t="shared" ca="1" si="62"/>
        <v>8347.2634902244718</v>
      </c>
      <c r="U70" s="28">
        <f t="shared" ca="1" si="63"/>
        <v>11373.471168967433</v>
      </c>
      <c r="V70" s="28">
        <f t="shared" ca="1" si="64"/>
        <v>0</v>
      </c>
      <c r="W70" s="28">
        <f t="shared" ca="1" si="65"/>
        <v>0</v>
      </c>
      <c r="X70" s="28">
        <f t="shared" ca="1" si="66"/>
        <v>0</v>
      </c>
      <c r="Y70" s="28">
        <f t="shared" ca="1" si="67"/>
        <v>0</v>
      </c>
      <c r="Z70" s="28">
        <f t="shared" ca="1" si="68"/>
        <v>0</v>
      </c>
      <c r="AA70" s="41">
        <f t="shared" ca="1" si="69"/>
        <v>57095.186501766744</v>
      </c>
      <c r="AB70" s="162"/>
      <c r="AC70" s="92"/>
      <c r="AD70" s="93" t="s">
        <v>121</v>
      </c>
      <c r="AE70" s="92">
        <f>AVERAGE(AE75:AE274)</f>
        <v>6963070.4129712675</v>
      </c>
      <c r="AF70" s="92">
        <f t="shared" ref="AF70:AM70" si="71">AVERAGE(AF75:AF274)</f>
        <v>6168330.7667459203</v>
      </c>
      <c r="AG70" s="92">
        <f t="shared" si="71"/>
        <v>5574489.7835338544</v>
      </c>
      <c r="AH70" s="92">
        <f t="shared" si="71"/>
        <v>4463954.5199900409</v>
      </c>
      <c r="AI70" s="92">
        <f t="shared" si="71"/>
        <v>3172868.3840631885</v>
      </c>
      <c r="AJ70" s="92">
        <f t="shared" si="71"/>
        <v>2256687.0590972779</v>
      </c>
      <c r="AK70" s="92">
        <f t="shared" si="71"/>
        <v>1249860.1040894003</v>
      </c>
      <c r="AL70" s="92">
        <f t="shared" si="71"/>
        <v>-132163.21475005991</v>
      </c>
      <c r="AM70" s="92">
        <f t="shared" si="71"/>
        <v>-707076.87732320698</v>
      </c>
      <c r="AN70" s="213"/>
      <c r="AO70" s="215"/>
      <c r="AQ70" s="212">
        <v>56</v>
      </c>
      <c r="AR70" s="33">
        <v>4.0999999999999996</v>
      </c>
    </row>
    <row r="71" spans="1:44" ht="13.2">
      <c r="A71" s="30">
        <v>70</v>
      </c>
      <c r="B71" s="27">
        <v>40000</v>
      </c>
      <c r="C71" s="43"/>
      <c r="D71" s="32">
        <f t="shared" ca="1" si="49"/>
        <v>0.9691098214538385</v>
      </c>
      <c r="E71" s="35">
        <f t="shared" ca="1" si="70"/>
        <v>9</v>
      </c>
      <c r="F71" s="37">
        <f t="shared" ca="1" si="50"/>
        <v>1</v>
      </c>
      <c r="G71" s="37">
        <f t="shared" ca="1" si="51"/>
        <v>1</v>
      </c>
      <c r="H71" s="37">
        <f t="shared" ca="1" si="52"/>
        <v>1</v>
      </c>
      <c r="I71" s="37">
        <f t="shared" ca="1" si="53"/>
        <v>1</v>
      </c>
      <c r="J71" s="37">
        <f t="shared" ca="1" si="54"/>
        <v>1</v>
      </c>
      <c r="K71" s="37">
        <f t="shared" ca="1" si="55"/>
        <v>1</v>
      </c>
      <c r="L71" s="37">
        <f t="shared" ca="1" si="48"/>
        <v>1</v>
      </c>
      <c r="M71" s="37">
        <f t="shared" ca="1" si="56"/>
        <v>1</v>
      </c>
      <c r="N71" s="37">
        <f t="shared" ca="1" si="57"/>
        <v>1</v>
      </c>
      <c r="O71" s="37">
        <f t="shared" ca="1" si="58"/>
        <v>0</v>
      </c>
      <c r="P71" s="39"/>
      <c r="Q71" s="28">
        <f t="shared" ca="1" si="59"/>
        <v>4252.9544626507359</v>
      </c>
      <c r="R71" s="28">
        <f t="shared" ca="1" si="60"/>
        <v>3590.2110185341717</v>
      </c>
      <c r="S71" s="28">
        <f t="shared" ca="1" si="61"/>
        <v>20740.012962891044</v>
      </c>
      <c r="T71" s="28">
        <f t="shared" ca="1" si="62"/>
        <v>58242.814910168388</v>
      </c>
      <c r="U71" s="28">
        <f t="shared" ca="1" si="63"/>
        <v>19377.104686178245</v>
      </c>
      <c r="V71" s="28">
        <f t="shared" ca="1" si="64"/>
        <v>6715.1263263870587</v>
      </c>
      <c r="W71" s="28">
        <f t="shared" ca="1" si="65"/>
        <v>37098.228684958201</v>
      </c>
      <c r="X71" s="28">
        <f t="shared" ca="1" si="66"/>
        <v>65182.118290816106</v>
      </c>
      <c r="Y71" s="28">
        <f t="shared" ca="1" si="67"/>
        <v>2546.7581640422941</v>
      </c>
      <c r="Z71" s="28">
        <f t="shared" ca="1" si="68"/>
        <v>0</v>
      </c>
      <c r="AA71" s="41">
        <f t="shared" ca="1" si="69"/>
        <v>217745.32950662624</v>
      </c>
      <c r="AB71" s="162"/>
      <c r="AC71" s="92"/>
      <c r="AD71" s="92"/>
      <c r="AE71" s="92"/>
      <c r="AF71" s="92"/>
      <c r="AG71" s="92"/>
      <c r="AH71" s="92"/>
      <c r="AI71" s="92"/>
      <c r="AJ71" s="92"/>
      <c r="AK71" s="92"/>
      <c r="AL71" s="92"/>
      <c r="AM71" s="92"/>
      <c r="AN71" s="213"/>
      <c r="AO71" s="215"/>
      <c r="AQ71" s="212">
        <v>57</v>
      </c>
      <c r="AR71" s="33">
        <v>4.378571428571429</v>
      </c>
    </row>
    <row r="72" spans="1:44" ht="13.2">
      <c r="A72" s="30">
        <v>71</v>
      </c>
      <c r="B72" s="27">
        <v>40000</v>
      </c>
      <c r="C72" s="43"/>
      <c r="D72" s="32">
        <f t="shared" ca="1" si="49"/>
        <v>0.39710590949393609</v>
      </c>
      <c r="E72" s="35">
        <f t="shared" ca="1" si="70"/>
        <v>3</v>
      </c>
      <c r="F72" s="37">
        <f t="shared" ca="1" si="50"/>
        <v>1</v>
      </c>
      <c r="G72" s="37">
        <f t="shared" ca="1" si="51"/>
        <v>1</v>
      </c>
      <c r="H72" s="37">
        <f t="shared" ca="1" si="52"/>
        <v>1</v>
      </c>
      <c r="I72" s="37">
        <f t="shared" ca="1" si="53"/>
        <v>0</v>
      </c>
      <c r="J72" s="37">
        <f t="shared" ca="1" si="54"/>
        <v>0</v>
      </c>
      <c r="K72" s="37">
        <f t="shared" ca="1" si="55"/>
        <v>0</v>
      </c>
      <c r="L72" s="37">
        <f t="shared" ref="L72:L103" ca="1" si="72">IF(E72&gt;=7,1,0)</f>
        <v>0</v>
      </c>
      <c r="M72" s="37">
        <f t="shared" ca="1" si="56"/>
        <v>0</v>
      </c>
      <c r="N72" s="37">
        <f t="shared" ca="1" si="57"/>
        <v>0</v>
      </c>
      <c r="O72" s="37">
        <f t="shared" ca="1" si="58"/>
        <v>0</v>
      </c>
      <c r="P72" s="39"/>
      <c r="Q72" s="28">
        <f t="shared" ca="1" si="59"/>
        <v>9366.9209044323234</v>
      </c>
      <c r="R72" s="28">
        <f t="shared" ca="1" si="60"/>
        <v>14410.250440892689</v>
      </c>
      <c r="S72" s="28">
        <f t="shared" ca="1" si="61"/>
        <v>7214.045840052062</v>
      </c>
      <c r="T72" s="28">
        <f t="shared" ca="1" si="62"/>
        <v>0</v>
      </c>
      <c r="U72" s="28">
        <f t="shared" ca="1" si="63"/>
        <v>0</v>
      </c>
      <c r="V72" s="28">
        <f t="shared" ca="1" si="64"/>
        <v>0</v>
      </c>
      <c r="W72" s="28">
        <f t="shared" ca="1" si="65"/>
        <v>0</v>
      </c>
      <c r="X72" s="28">
        <f t="shared" ca="1" si="66"/>
        <v>0</v>
      </c>
      <c r="Y72" s="28">
        <f t="shared" ca="1" si="67"/>
        <v>0</v>
      </c>
      <c r="Z72" s="28">
        <f t="shared" ca="1" si="68"/>
        <v>0</v>
      </c>
      <c r="AA72" s="41">
        <f t="shared" ca="1" si="69"/>
        <v>30991.217185377074</v>
      </c>
      <c r="AB72" s="162"/>
      <c r="AC72" s="163" t="s">
        <v>10</v>
      </c>
      <c r="AD72" s="92"/>
      <c r="AE72" s="92"/>
      <c r="AF72" s="92"/>
      <c r="AG72" s="92"/>
      <c r="AH72" s="92"/>
      <c r="AI72" s="92"/>
      <c r="AJ72" s="92"/>
      <c r="AK72" s="92"/>
      <c r="AL72" s="92"/>
      <c r="AM72" s="92"/>
      <c r="AN72" s="213"/>
      <c r="AO72" s="215"/>
      <c r="AQ72" s="212">
        <v>58</v>
      </c>
      <c r="AR72" s="33">
        <v>4.2</v>
      </c>
    </row>
    <row r="73" spans="1:44" ht="13.2">
      <c r="A73" s="30">
        <v>72</v>
      </c>
      <c r="B73" s="27">
        <v>40000</v>
      </c>
      <c r="C73" s="43"/>
      <c r="D73" s="32">
        <f t="shared" ca="1" si="49"/>
        <v>0.15689843423965166</v>
      </c>
      <c r="E73" s="35">
        <f t="shared" ca="1" si="70"/>
        <v>1</v>
      </c>
      <c r="F73" s="37">
        <f t="shared" ca="1" si="50"/>
        <v>1</v>
      </c>
      <c r="G73" s="37">
        <f t="shared" ca="1" si="51"/>
        <v>0</v>
      </c>
      <c r="H73" s="37">
        <f t="shared" ca="1" si="52"/>
        <v>0</v>
      </c>
      <c r="I73" s="37">
        <f t="shared" ca="1" si="53"/>
        <v>0</v>
      </c>
      <c r="J73" s="37">
        <f t="shared" ca="1" si="54"/>
        <v>0</v>
      </c>
      <c r="K73" s="37">
        <f t="shared" ca="1" si="55"/>
        <v>0</v>
      </c>
      <c r="L73" s="37">
        <f t="shared" ca="1" si="72"/>
        <v>0</v>
      </c>
      <c r="M73" s="37">
        <f t="shared" ca="1" si="56"/>
        <v>0</v>
      </c>
      <c r="N73" s="37">
        <f t="shared" ca="1" si="57"/>
        <v>0</v>
      </c>
      <c r="O73" s="37">
        <f t="shared" ca="1" si="58"/>
        <v>0</v>
      </c>
      <c r="P73" s="39"/>
      <c r="Q73" s="28">
        <f t="shared" ca="1" si="59"/>
        <v>58190.138224295006</v>
      </c>
      <c r="R73" s="28">
        <f t="shared" ca="1" si="60"/>
        <v>0</v>
      </c>
      <c r="S73" s="28">
        <f t="shared" ca="1" si="61"/>
        <v>0</v>
      </c>
      <c r="T73" s="28">
        <f t="shared" ca="1" si="62"/>
        <v>0</v>
      </c>
      <c r="U73" s="28">
        <f t="shared" ca="1" si="63"/>
        <v>0</v>
      </c>
      <c r="V73" s="28">
        <f t="shared" ca="1" si="64"/>
        <v>0</v>
      </c>
      <c r="W73" s="28">
        <f t="shared" ca="1" si="65"/>
        <v>0</v>
      </c>
      <c r="X73" s="28">
        <f t="shared" ca="1" si="66"/>
        <v>0</v>
      </c>
      <c r="Y73" s="28">
        <f t="shared" ca="1" si="67"/>
        <v>0</v>
      </c>
      <c r="Z73" s="28">
        <f t="shared" ca="1" si="68"/>
        <v>0</v>
      </c>
      <c r="AA73" s="41">
        <f t="shared" ca="1" si="69"/>
        <v>58190.138224295006</v>
      </c>
      <c r="AB73" s="162"/>
      <c r="AC73" s="163" t="s">
        <v>10</v>
      </c>
      <c r="AD73" s="92"/>
      <c r="AE73" s="92"/>
      <c r="AF73" s="92"/>
      <c r="AG73" s="92"/>
      <c r="AH73" s="92"/>
      <c r="AI73" s="92"/>
      <c r="AJ73" s="92"/>
      <c r="AK73" s="92"/>
      <c r="AL73" s="92"/>
      <c r="AM73" s="92"/>
      <c r="AN73" s="213"/>
      <c r="AO73" s="215"/>
      <c r="AQ73" s="212">
        <v>59</v>
      </c>
      <c r="AR73" s="33">
        <v>4.0428571428571427</v>
      </c>
    </row>
    <row r="74" spans="1:44" ht="13.2">
      <c r="A74" s="30">
        <v>73</v>
      </c>
      <c r="B74" s="27">
        <v>40000</v>
      </c>
      <c r="C74" s="43"/>
      <c r="D74" s="32">
        <f t="shared" ca="1" si="49"/>
        <v>0.43509759508975854</v>
      </c>
      <c r="E74" s="35">
        <f t="shared" ca="1" si="70"/>
        <v>4</v>
      </c>
      <c r="F74" s="37">
        <f t="shared" ca="1" si="50"/>
        <v>1</v>
      </c>
      <c r="G74" s="37">
        <f t="shared" ca="1" si="51"/>
        <v>1</v>
      </c>
      <c r="H74" s="37">
        <f t="shared" ca="1" si="52"/>
        <v>1</v>
      </c>
      <c r="I74" s="37">
        <f t="shared" ca="1" si="53"/>
        <v>1</v>
      </c>
      <c r="J74" s="37">
        <f t="shared" ca="1" si="54"/>
        <v>0</v>
      </c>
      <c r="K74" s="37">
        <f t="shared" ca="1" si="55"/>
        <v>0</v>
      </c>
      <c r="L74" s="37">
        <f t="shared" ca="1" si="72"/>
        <v>0</v>
      </c>
      <c r="M74" s="37">
        <f t="shared" ca="1" si="56"/>
        <v>0</v>
      </c>
      <c r="N74" s="37">
        <f t="shared" ca="1" si="57"/>
        <v>0</v>
      </c>
      <c r="O74" s="37">
        <f t="shared" ca="1" si="58"/>
        <v>0</v>
      </c>
      <c r="P74" s="39"/>
      <c r="Q74" s="28">
        <f t="shared" ca="1" si="59"/>
        <v>26743.521486236245</v>
      </c>
      <c r="R74" s="28">
        <f t="shared" ca="1" si="60"/>
        <v>21445.118101278273</v>
      </c>
      <c r="S74" s="28">
        <f t="shared" ca="1" si="61"/>
        <v>2992.5273898828768</v>
      </c>
      <c r="T74" s="28">
        <f t="shared" ca="1" si="62"/>
        <v>9030.5857669058532</v>
      </c>
      <c r="U74" s="28">
        <f t="shared" ca="1" si="63"/>
        <v>0</v>
      </c>
      <c r="V74" s="28">
        <f t="shared" ca="1" si="64"/>
        <v>0</v>
      </c>
      <c r="W74" s="28">
        <f t="shared" ca="1" si="65"/>
        <v>0</v>
      </c>
      <c r="X74" s="28">
        <f t="shared" ca="1" si="66"/>
        <v>0</v>
      </c>
      <c r="Y74" s="28">
        <f t="shared" ca="1" si="67"/>
        <v>0</v>
      </c>
      <c r="Z74" s="28">
        <f t="shared" ca="1" si="68"/>
        <v>0</v>
      </c>
      <c r="AA74" s="41">
        <f t="shared" ca="1" si="69"/>
        <v>60211.752744303245</v>
      </c>
      <c r="AB74" s="162"/>
      <c r="AC74" s="163" t="s">
        <v>10</v>
      </c>
      <c r="AD74" s="176">
        <f ca="1">AD5</f>
        <v>6887229.3562903702</v>
      </c>
      <c r="AE74" s="175">
        <v>24000000</v>
      </c>
      <c r="AF74" s="175">
        <v>25000000</v>
      </c>
      <c r="AG74" s="175">
        <v>26000000</v>
      </c>
      <c r="AH74" s="175">
        <v>27000000</v>
      </c>
      <c r="AI74" s="175">
        <v>28000000</v>
      </c>
      <c r="AJ74" s="175">
        <v>29000000</v>
      </c>
      <c r="AK74" s="175">
        <v>30000000</v>
      </c>
      <c r="AL74" s="175">
        <v>31000000</v>
      </c>
      <c r="AM74" s="175">
        <v>32000000</v>
      </c>
      <c r="AN74" s="213"/>
      <c r="AO74" s="215"/>
      <c r="AQ74" s="212">
        <v>60</v>
      </c>
      <c r="AR74" s="33">
        <v>4.2642857142857142</v>
      </c>
    </row>
    <row r="75" spans="1:44" ht="13.2">
      <c r="A75" s="30">
        <v>74</v>
      </c>
      <c r="B75" s="27">
        <v>40000</v>
      </c>
      <c r="C75" s="43"/>
      <c r="D75" s="32">
        <f t="shared" ca="1" si="49"/>
        <v>0.52724456515403295</v>
      </c>
      <c r="E75" s="35">
        <f t="shared" ca="1" si="70"/>
        <v>4</v>
      </c>
      <c r="F75" s="37">
        <f t="shared" ca="1" si="50"/>
        <v>1</v>
      </c>
      <c r="G75" s="37">
        <f t="shared" ca="1" si="51"/>
        <v>1</v>
      </c>
      <c r="H75" s="37">
        <f t="shared" ca="1" si="52"/>
        <v>1</v>
      </c>
      <c r="I75" s="37">
        <f t="shared" ca="1" si="53"/>
        <v>1</v>
      </c>
      <c r="J75" s="37">
        <f t="shared" ca="1" si="54"/>
        <v>0</v>
      </c>
      <c r="K75" s="37">
        <f t="shared" ca="1" si="55"/>
        <v>0</v>
      </c>
      <c r="L75" s="37">
        <f t="shared" ca="1" si="72"/>
        <v>0</v>
      </c>
      <c r="M75" s="37">
        <f t="shared" ca="1" si="56"/>
        <v>0</v>
      </c>
      <c r="N75" s="37">
        <f t="shared" ca="1" si="57"/>
        <v>0</v>
      </c>
      <c r="O75" s="37">
        <f t="shared" ca="1" si="58"/>
        <v>0</v>
      </c>
      <c r="P75" s="39"/>
      <c r="Q75" s="28">
        <f t="shared" ca="1" si="59"/>
        <v>11219.785250472585</v>
      </c>
      <c r="R75" s="28">
        <f t="shared" ca="1" si="60"/>
        <v>60656.537823723913</v>
      </c>
      <c r="S75" s="28">
        <f t="shared" ca="1" si="61"/>
        <v>11178.027388436501</v>
      </c>
      <c r="T75" s="28">
        <f t="shared" ca="1" si="62"/>
        <v>21293.692940820325</v>
      </c>
      <c r="U75" s="28">
        <f t="shared" ca="1" si="63"/>
        <v>0</v>
      </c>
      <c r="V75" s="28">
        <f t="shared" ca="1" si="64"/>
        <v>0</v>
      </c>
      <c r="W75" s="28">
        <f t="shared" ca="1" si="65"/>
        <v>0</v>
      </c>
      <c r="X75" s="28">
        <f t="shared" ca="1" si="66"/>
        <v>0</v>
      </c>
      <c r="Y75" s="28">
        <f t="shared" ca="1" si="67"/>
        <v>0</v>
      </c>
      <c r="Z75" s="28">
        <f t="shared" ca="1" si="68"/>
        <v>0</v>
      </c>
      <c r="AA75" s="41">
        <f t="shared" ca="1" si="69"/>
        <v>104348.04340345332</v>
      </c>
      <c r="AB75" s="162"/>
      <c r="AC75" s="163" t="s">
        <v>10</v>
      </c>
      <c r="AD75" s="92">
        <v>1</v>
      </c>
      <c r="AE75" s="92">
        <f t="dataTable" ref="AE75:AM274" dt2D="1" dtr="1" r1="AD2" r2="AD20" ca="1"/>
        <v>3364463.8625977784</v>
      </c>
      <c r="AF75" s="92">
        <v>-1140296.5116448402</v>
      </c>
      <c r="AG75" s="92">
        <v>5331196.5546872914</v>
      </c>
      <c r="AH75" s="92">
        <v>1349473.8190500289</v>
      </c>
      <c r="AI75" s="92">
        <v>-1275709.0573151559</v>
      </c>
      <c r="AJ75" s="92">
        <v>7400732.625027135</v>
      </c>
      <c r="AK75" s="92">
        <v>445431.83385774493</v>
      </c>
      <c r="AL75" s="92">
        <v>-3280717.6616258919</v>
      </c>
      <c r="AM75" s="92">
        <v>1722422.131865859</v>
      </c>
      <c r="AN75" s="213"/>
      <c r="AO75" s="215"/>
      <c r="AQ75" s="212">
        <v>61</v>
      </c>
      <c r="AR75" s="33">
        <v>4.25</v>
      </c>
    </row>
    <row r="76" spans="1:44" ht="13.2">
      <c r="A76" s="30">
        <v>75</v>
      </c>
      <c r="B76" s="27">
        <v>40000</v>
      </c>
      <c r="C76" s="43"/>
      <c r="D76" s="32">
        <f t="shared" ca="1" si="49"/>
        <v>0.6329749973972828</v>
      </c>
      <c r="E76" s="35">
        <f t="shared" ca="1" si="70"/>
        <v>5</v>
      </c>
      <c r="F76" s="37">
        <f t="shared" ca="1" si="50"/>
        <v>1</v>
      </c>
      <c r="G76" s="37">
        <f t="shared" ca="1" si="51"/>
        <v>1</v>
      </c>
      <c r="H76" s="37">
        <f t="shared" ca="1" si="52"/>
        <v>1</v>
      </c>
      <c r="I76" s="37">
        <f t="shared" ca="1" si="53"/>
        <v>1</v>
      </c>
      <c r="J76" s="37">
        <f t="shared" ca="1" si="54"/>
        <v>1</v>
      </c>
      <c r="K76" s="37">
        <f t="shared" ca="1" si="55"/>
        <v>0</v>
      </c>
      <c r="L76" s="37">
        <f t="shared" ca="1" si="72"/>
        <v>0</v>
      </c>
      <c r="M76" s="37">
        <f t="shared" ca="1" si="56"/>
        <v>0</v>
      </c>
      <c r="N76" s="37">
        <f t="shared" ca="1" si="57"/>
        <v>0</v>
      </c>
      <c r="O76" s="37">
        <f t="shared" ca="1" si="58"/>
        <v>0</v>
      </c>
      <c r="P76" s="39"/>
      <c r="Q76" s="28">
        <f t="shared" ca="1" si="59"/>
        <v>27908.57938031714</v>
      </c>
      <c r="R76" s="28">
        <f t="shared" ca="1" si="60"/>
        <v>53551.444999018117</v>
      </c>
      <c r="S76" s="28">
        <f t="shared" ca="1" si="61"/>
        <v>2597.9977740797513</v>
      </c>
      <c r="T76" s="28">
        <f t="shared" ca="1" si="62"/>
        <v>9376.8187904949264</v>
      </c>
      <c r="U76" s="28">
        <f t="shared" ca="1" si="63"/>
        <v>28982.892597688202</v>
      </c>
      <c r="V76" s="28">
        <f t="shared" ca="1" si="64"/>
        <v>0</v>
      </c>
      <c r="W76" s="28">
        <f t="shared" ca="1" si="65"/>
        <v>0</v>
      </c>
      <c r="X76" s="28">
        <f t="shared" ca="1" si="66"/>
        <v>0</v>
      </c>
      <c r="Y76" s="28">
        <f t="shared" ca="1" si="67"/>
        <v>0</v>
      </c>
      <c r="Z76" s="28">
        <f t="shared" ca="1" si="68"/>
        <v>0</v>
      </c>
      <c r="AA76" s="41">
        <f t="shared" ca="1" si="69"/>
        <v>122417.73354159814</v>
      </c>
      <c r="AB76" s="162"/>
      <c r="AC76" s="163" t="s">
        <v>10</v>
      </c>
      <c r="AD76" s="92">
        <v>2</v>
      </c>
      <c r="AE76" s="92">
        <v>9659954.7891311198</v>
      </c>
      <c r="AF76" s="92">
        <v>16955767.164605156</v>
      </c>
      <c r="AG76" s="92">
        <v>19652832.232231572</v>
      </c>
      <c r="AH76" s="92">
        <v>2212470.4705590755</v>
      </c>
      <c r="AI76" s="92">
        <v>4039518.9377986491</v>
      </c>
      <c r="AJ76" s="92">
        <v>2856787.5975703597</v>
      </c>
      <c r="AK76" s="92">
        <v>12543779.988758147</v>
      </c>
      <c r="AL76" s="92">
        <v>-1364775.0225145668</v>
      </c>
      <c r="AM76" s="92">
        <v>7180054.6306533664</v>
      </c>
      <c r="AN76" s="213"/>
      <c r="AO76" s="215"/>
      <c r="AQ76" s="212">
        <v>62</v>
      </c>
      <c r="AR76" s="33">
        <v>4.4357142857142859</v>
      </c>
    </row>
    <row r="77" spans="1:44" ht="13.2">
      <c r="A77" s="30">
        <v>76</v>
      </c>
      <c r="B77" s="27">
        <v>40000</v>
      </c>
      <c r="C77" s="43"/>
      <c r="D77" s="32">
        <f t="shared" ca="1" si="49"/>
        <v>0.8293114128324387</v>
      </c>
      <c r="E77" s="35">
        <f t="shared" ca="1" si="70"/>
        <v>7</v>
      </c>
      <c r="F77" s="37">
        <f t="shared" ca="1" si="50"/>
        <v>1</v>
      </c>
      <c r="G77" s="37">
        <f t="shared" ca="1" si="51"/>
        <v>1</v>
      </c>
      <c r="H77" s="37">
        <f t="shared" ca="1" si="52"/>
        <v>1</v>
      </c>
      <c r="I77" s="37">
        <f t="shared" ca="1" si="53"/>
        <v>1</v>
      </c>
      <c r="J77" s="37">
        <f t="shared" ca="1" si="54"/>
        <v>1</v>
      </c>
      <c r="K77" s="37">
        <f t="shared" ca="1" si="55"/>
        <v>1</v>
      </c>
      <c r="L77" s="37">
        <f t="shared" ca="1" si="72"/>
        <v>1</v>
      </c>
      <c r="M77" s="37">
        <f t="shared" ca="1" si="56"/>
        <v>0</v>
      </c>
      <c r="N77" s="37">
        <f t="shared" ca="1" si="57"/>
        <v>0</v>
      </c>
      <c r="O77" s="37">
        <f t="shared" ca="1" si="58"/>
        <v>0</v>
      </c>
      <c r="P77" s="39"/>
      <c r="Q77" s="28">
        <f t="shared" ca="1" si="59"/>
        <v>78806.692691081378</v>
      </c>
      <c r="R77" s="28">
        <f t="shared" ca="1" si="60"/>
        <v>23746.894205358156</v>
      </c>
      <c r="S77" s="28">
        <f t="shared" ca="1" si="61"/>
        <v>28683.672871029794</v>
      </c>
      <c r="T77" s="28">
        <f t="shared" ca="1" si="62"/>
        <v>26530.77076228489</v>
      </c>
      <c r="U77" s="28">
        <f t="shared" ca="1" si="63"/>
        <v>4993.6084236257793</v>
      </c>
      <c r="V77" s="28">
        <f t="shared" ca="1" si="64"/>
        <v>839.83910559001913</v>
      </c>
      <c r="W77" s="28">
        <f t="shared" ca="1" si="65"/>
        <v>4839.1617105874411</v>
      </c>
      <c r="X77" s="28">
        <f t="shared" ca="1" si="66"/>
        <v>0</v>
      </c>
      <c r="Y77" s="28">
        <f t="shared" ca="1" si="67"/>
        <v>0</v>
      </c>
      <c r="Z77" s="28">
        <f t="shared" ca="1" si="68"/>
        <v>0</v>
      </c>
      <c r="AA77" s="41">
        <f t="shared" ca="1" si="69"/>
        <v>168440.63976955749</v>
      </c>
      <c r="AB77" s="162"/>
      <c r="AC77" s="163" t="s">
        <v>10</v>
      </c>
      <c r="AD77" s="92">
        <v>3</v>
      </c>
      <c r="AE77" s="92">
        <v>9010146.4499586225</v>
      </c>
      <c r="AF77" s="92">
        <v>8174705.8688598573</v>
      </c>
      <c r="AG77" s="92">
        <v>1614316.1245461702</v>
      </c>
      <c r="AH77" s="92">
        <v>11036200.233807996</v>
      </c>
      <c r="AI77" s="92">
        <v>220143.87561038136</v>
      </c>
      <c r="AJ77" s="92">
        <v>-5092039.8241177946</v>
      </c>
      <c r="AK77" s="92">
        <v>10522218.368431389</v>
      </c>
      <c r="AL77" s="92">
        <v>-359802.63919392228</v>
      </c>
      <c r="AM77" s="92">
        <v>-6144956.7151964605</v>
      </c>
      <c r="AN77" s="213"/>
      <c r="AO77" s="215"/>
      <c r="AQ77" s="212">
        <v>63</v>
      </c>
      <c r="AR77" s="33">
        <v>4.6500000000000004</v>
      </c>
    </row>
    <row r="78" spans="1:44" ht="13.2">
      <c r="A78" s="30">
        <v>77</v>
      </c>
      <c r="B78" s="27">
        <v>40000</v>
      </c>
      <c r="C78" s="43"/>
      <c r="D78" s="32">
        <f t="shared" ca="1" si="49"/>
        <v>0.87348699866333557</v>
      </c>
      <c r="E78" s="35">
        <f t="shared" ca="1" si="70"/>
        <v>8</v>
      </c>
      <c r="F78" s="37">
        <f t="shared" ca="1" si="50"/>
        <v>1</v>
      </c>
      <c r="G78" s="37">
        <f t="shared" ca="1" si="51"/>
        <v>1</v>
      </c>
      <c r="H78" s="37">
        <f t="shared" ca="1" si="52"/>
        <v>1</v>
      </c>
      <c r="I78" s="37">
        <f t="shared" ca="1" si="53"/>
        <v>1</v>
      </c>
      <c r="J78" s="37">
        <f t="shared" ca="1" si="54"/>
        <v>1</v>
      </c>
      <c r="K78" s="37">
        <f t="shared" ca="1" si="55"/>
        <v>1</v>
      </c>
      <c r="L78" s="37">
        <f t="shared" ca="1" si="72"/>
        <v>1</v>
      </c>
      <c r="M78" s="37">
        <f t="shared" ca="1" si="56"/>
        <v>1</v>
      </c>
      <c r="N78" s="37">
        <f t="shared" ca="1" si="57"/>
        <v>0</v>
      </c>
      <c r="O78" s="37">
        <f t="shared" ca="1" si="58"/>
        <v>0</v>
      </c>
      <c r="P78" s="39"/>
      <c r="Q78" s="28">
        <f t="shared" ca="1" si="59"/>
        <v>21695.884168562145</v>
      </c>
      <c r="R78" s="28">
        <f t="shared" ca="1" si="60"/>
        <v>26663.850846737721</v>
      </c>
      <c r="S78" s="28">
        <f t="shared" ca="1" si="61"/>
        <v>15749.256553808202</v>
      </c>
      <c r="T78" s="28">
        <f t="shared" ca="1" si="62"/>
        <v>32623.271431471381</v>
      </c>
      <c r="U78" s="28">
        <f t="shared" ca="1" si="63"/>
        <v>14187.059946675214</v>
      </c>
      <c r="V78" s="28">
        <f t="shared" ca="1" si="64"/>
        <v>17941.780306433382</v>
      </c>
      <c r="W78" s="28">
        <f t="shared" ca="1" si="65"/>
        <v>28634.782544128811</v>
      </c>
      <c r="X78" s="28">
        <f t="shared" ca="1" si="66"/>
        <v>5343.5538448786383</v>
      </c>
      <c r="Y78" s="28">
        <f t="shared" ca="1" si="67"/>
        <v>0</v>
      </c>
      <c r="Z78" s="28">
        <f t="shared" ca="1" si="68"/>
        <v>0</v>
      </c>
      <c r="AA78" s="41">
        <f t="shared" ca="1" si="69"/>
        <v>162839.43964269548</v>
      </c>
      <c r="AB78" s="162"/>
      <c r="AC78" s="92"/>
      <c r="AD78" s="92">
        <v>4</v>
      </c>
      <c r="AE78" s="92">
        <v>5336076.4245400429</v>
      </c>
      <c r="AF78" s="92">
        <v>12772411.770921081</v>
      </c>
      <c r="AG78" s="92">
        <v>3028537.0856026113</v>
      </c>
      <c r="AH78" s="92">
        <v>9290051.9905346334</v>
      </c>
      <c r="AI78" s="92">
        <v>-1558932.4677915573</v>
      </c>
      <c r="AJ78" s="92">
        <v>13997755.343592688</v>
      </c>
      <c r="AK78" s="92">
        <v>-4015856.0763607025</v>
      </c>
      <c r="AL78" s="92">
        <v>-1393342.1394712329</v>
      </c>
      <c r="AM78" s="92">
        <v>-2546678.3128825575</v>
      </c>
      <c r="AN78" s="213"/>
      <c r="AO78" s="215"/>
      <c r="AQ78" s="212">
        <v>64</v>
      </c>
      <c r="AR78" s="33">
        <v>4.55</v>
      </c>
    </row>
    <row r="79" spans="1:44" ht="13.2">
      <c r="A79" s="30">
        <v>78</v>
      </c>
      <c r="B79" s="27">
        <v>40000</v>
      </c>
      <c r="C79" s="43"/>
      <c r="D79" s="32">
        <f t="shared" ca="1" si="49"/>
        <v>0.26584627924902859</v>
      </c>
      <c r="E79" s="35">
        <f t="shared" ca="1" si="70"/>
        <v>2</v>
      </c>
      <c r="F79" s="37">
        <f t="shared" ca="1" si="50"/>
        <v>1</v>
      </c>
      <c r="G79" s="37">
        <f t="shared" ca="1" si="51"/>
        <v>1</v>
      </c>
      <c r="H79" s="37">
        <f t="shared" ca="1" si="52"/>
        <v>0</v>
      </c>
      <c r="I79" s="37">
        <f t="shared" ca="1" si="53"/>
        <v>0</v>
      </c>
      <c r="J79" s="37">
        <f t="shared" ca="1" si="54"/>
        <v>0</v>
      </c>
      <c r="K79" s="37">
        <f t="shared" ca="1" si="55"/>
        <v>0</v>
      </c>
      <c r="L79" s="37">
        <f t="shared" ca="1" si="72"/>
        <v>0</v>
      </c>
      <c r="M79" s="37">
        <f t="shared" ca="1" si="56"/>
        <v>0</v>
      </c>
      <c r="N79" s="37">
        <f t="shared" ca="1" si="57"/>
        <v>0</v>
      </c>
      <c r="O79" s="37">
        <f t="shared" ca="1" si="58"/>
        <v>0</v>
      </c>
      <c r="P79" s="39"/>
      <c r="Q79" s="28">
        <f t="shared" ca="1" si="59"/>
        <v>45416.381104816988</v>
      </c>
      <c r="R79" s="28">
        <f t="shared" ca="1" si="60"/>
        <v>1478.3038667668832</v>
      </c>
      <c r="S79" s="28">
        <f t="shared" ca="1" si="61"/>
        <v>0</v>
      </c>
      <c r="T79" s="28">
        <f t="shared" ca="1" si="62"/>
        <v>0</v>
      </c>
      <c r="U79" s="28">
        <f t="shared" ca="1" si="63"/>
        <v>0</v>
      </c>
      <c r="V79" s="28">
        <f t="shared" ca="1" si="64"/>
        <v>0</v>
      </c>
      <c r="W79" s="28">
        <f t="shared" ca="1" si="65"/>
        <v>0</v>
      </c>
      <c r="X79" s="28">
        <f t="shared" ca="1" si="66"/>
        <v>0</v>
      </c>
      <c r="Y79" s="28">
        <f t="shared" ca="1" si="67"/>
        <v>0</v>
      </c>
      <c r="Z79" s="28">
        <f t="shared" ca="1" si="68"/>
        <v>0</v>
      </c>
      <c r="AA79" s="41">
        <f t="shared" ca="1" si="69"/>
        <v>46894.684971583869</v>
      </c>
      <c r="AB79" s="162"/>
      <c r="AC79" s="92"/>
      <c r="AD79" s="92">
        <v>5</v>
      </c>
      <c r="AE79" s="92">
        <v>2418567.0794233829</v>
      </c>
      <c r="AF79" s="92">
        <v>6611291.0611325949</v>
      </c>
      <c r="AG79" s="92">
        <v>2847354.1359044462</v>
      </c>
      <c r="AH79" s="92">
        <v>3285408.3008634448</v>
      </c>
      <c r="AI79" s="92">
        <v>4970783.882135734</v>
      </c>
      <c r="AJ79" s="92">
        <v>12943896.338308975</v>
      </c>
      <c r="AK79" s="92">
        <v>1673678.4713266045</v>
      </c>
      <c r="AL79" s="92">
        <v>-5203365.409548074</v>
      </c>
      <c r="AM79" s="92">
        <v>6534224.1957074702</v>
      </c>
      <c r="AN79" s="213"/>
      <c r="AO79" s="215"/>
      <c r="AQ79" s="212">
        <v>65</v>
      </c>
      <c r="AR79" s="33">
        <v>4.0214285714285714</v>
      </c>
    </row>
    <row r="80" spans="1:44" ht="13.2">
      <c r="A80" s="30">
        <v>79</v>
      </c>
      <c r="B80" s="27">
        <v>40000</v>
      </c>
      <c r="C80" s="43"/>
      <c r="D80" s="32">
        <f t="shared" ca="1" si="49"/>
        <v>0.20790646768774113</v>
      </c>
      <c r="E80" s="35">
        <f t="shared" ca="1" si="70"/>
        <v>2</v>
      </c>
      <c r="F80" s="37">
        <f t="shared" ca="1" si="50"/>
        <v>1</v>
      </c>
      <c r="G80" s="37">
        <f t="shared" ca="1" si="51"/>
        <v>1</v>
      </c>
      <c r="H80" s="37">
        <f t="shared" ca="1" si="52"/>
        <v>0</v>
      </c>
      <c r="I80" s="37">
        <f t="shared" ca="1" si="53"/>
        <v>0</v>
      </c>
      <c r="J80" s="37">
        <f t="shared" ca="1" si="54"/>
        <v>0</v>
      </c>
      <c r="K80" s="37">
        <f t="shared" ca="1" si="55"/>
        <v>0</v>
      </c>
      <c r="L80" s="37">
        <f t="shared" ca="1" si="72"/>
        <v>0</v>
      </c>
      <c r="M80" s="37">
        <f t="shared" ca="1" si="56"/>
        <v>0</v>
      </c>
      <c r="N80" s="37">
        <f t="shared" ca="1" si="57"/>
        <v>0</v>
      </c>
      <c r="O80" s="37">
        <f t="shared" ca="1" si="58"/>
        <v>0</v>
      </c>
      <c r="P80" s="39"/>
      <c r="Q80" s="28">
        <f t="shared" ca="1" si="59"/>
        <v>392.70604329782702</v>
      </c>
      <c r="R80" s="28">
        <f t="shared" ca="1" si="60"/>
        <v>4471.1369476217033</v>
      </c>
      <c r="S80" s="28">
        <f t="shared" ca="1" si="61"/>
        <v>0</v>
      </c>
      <c r="T80" s="28">
        <f t="shared" ca="1" si="62"/>
        <v>0</v>
      </c>
      <c r="U80" s="28">
        <f t="shared" ca="1" si="63"/>
        <v>0</v>
      </c>
      <c r="V80" s="28">
        <f t="shared" ca="1" si="64"/>
        <v>0</v>
      </c>
      <c r="W80" s="28">
        <f t="shared" ca="1" si="65"/>
        <v>0</v>
      </c>
      <c r="X80" s="28">
        <f t="shared" ca="1" si="66"/>
        <v>0</v>
      </c>
      <c r="Y80" s="28">
        <f t="shared" ca="1" si="67"/>
        <v>0</v>
      </c>
      <c r="Z80" s="28">
        <f t="shared" ca="1" si="68"/>
        <v>0</v>
      </c>
      <c r="AA80" s="41">
        <f t="shared" ca="1" si="69"/>
        <v>4863.8429909195302</v>
      </c>
      <c r="AB80" s="162"/>
      <c r="AC80" s="92"/>
      <c r="AD80" s="92">
        <v>6</v>
      </c>
      <c r="AE80" s="92">
        <v>11488453.768094197</v>
      </c>
      <c r="AF80" s="92">
        <v>-1506660.311657846</v>
      </c>
      <c r="AG80" s="92">
        <v>7018913.0682578534</v>
      </c>
      <c r="AH80" s="92">
        <v>-4102861.3432794213</v>
      </c>
      <c r="AI80" s="92">
        <v>-8168040.1386806071</v>
      </c>
      <c r="AJ80" s="92">
        <v>-2407600.3643216193</v>
      </c>
      <c r="AK80" s="92">
        <v>-4200504.7176300287</v>
      </c>
      <c r="AL80" s="92">
        <v>-1573780.8173238635</v>
      </c>
      <c r="AM80" s="92">
        <v>-5880584.4299329221</v>
      </c>
      <c r="AN80" s="213"/>
      <c r="AO80" s="215"/>
      <c r="AQ80" s="212">
        <v>66</v>
      </c>
      <c r="AR80" s="33">
        <v>4.1071428571428568</v>
      </c>
    </row>
    <row r="81" spans="1:44" ht="13.2">
      <c r="A81" s="30">
        <v>80</v>
      </c>
      <c r="B81" s="27">
        <v>40000</v>
      </c>
      <c r="C81" s="43"/>
      <c r="D81" s="32">
        <f t="shared" ca="1" si="49"/>
        <v>0.8600018536290206</v>
      </c>
      <c r="E81" s="35">
        <f t="shared" ca="1" si="70"/>
        <v>8</v>
      </c>
      <c r="F81" s="37">
        <f t="shared" ca="1" si="50"/>
        <v>1</v>
      </c>
      <c r="G81" s="37">
        <f t="shared" ca="1" si="51"/>
        <v>1</v>
      </c>
      <c r="H81" s="37">
        <f t="shared" ca="1" si="52"/>
        <v>1</v>
      </c>
      <c r="I81" s="37">
        <f t="shared" ca="1" si="53"/>
        <v>1</v>
      </c>
      <c r="J81" s="37">
        <f t="shared" ca="1" si="54"/>
        <v>1</v>
      </c>
      <c r="K81" s="37">
        <f t="shared" ca="1" si="55"/>
        <v>1</v>
      </c>
      <c r="L81" s="37">
        <f t="shared" ca="1" si="72"/>
        <v>1</v>
      </c>
      <c r="M81" s="37">
        <f t="shared" ca="1" si="56"/>
        <v>1</v>
      </c>
      <c r="N81" s="37">
        <f t="shared" ca="1" si="57"/>
        <v>0</v>
      </c>
      <c r="O81" s="37">
        <f t="shared" ca="1" si="58"/>
        <v>0</v>
      </c>
      <c r="P81" s="39"/>
      <c r="Q81" s="28">
        <f t="shared" ca="1" si="59"/>
        <v>22070.974107309037</v>
      </c>
      <c r="R81" s="28">
        <f t="shared" ca="1" si="60"/>
        <v>116418.27522640461</v>
      </c>
      <c r="S81" s="28">
        <f t="shared" ca="1" si="61"/>
        <v>1135.7593013517073</v>
      </c>
      <c r="T81" s="28">
        <f t="shared" ca="1" si="62"/>
        <v>55801.787077140747</v>
      </c>
      <c r="U81" s="28">
        <f t="shared" ca="1" si="63"/>
        <v>35535.333783398288</v>
      </c>
      <c r="V81" s="28">
        <f t="shared" ca="1" si="64"/>
        <v>2185.5642460363247</v>
      </c>
      <c r="W81" s="28">
        <f t="shared" ca="1" si="65"/>
        <v>6343.5230524082463</v>
      </c>
      <c r="X81" s="28">
        <f t="shared" ca="1" si="66"/>
        <v>38554.980673408056</v>
      </c>
      <c r="Y81" s="28">
        <f t="shared" ca="1" si="67"/>
        <v>0</v>
      </c>
      <c r="Z81" s="28">
        <f t="shared" ca="1" si="68"/>
        <v>0</v>
      </c>
      <c r="AA81" s="41">
        <f t="shared" ca="1" si="69"/>
        <v>278046.19746745704</v>
      </c>
      <c r="AB81" s="162"/>
      <c r="AC81" s="92"/>
      <c r="AD81" s="92">
        <v>7</v>
      </c>
      <c r="AE81" s="92">
        <v>8669321.4090444893</v>
      </c>
      <c r="AF81" s="92">
        <v>11835204.712256283</v>
      </c>
      <c r="AG81" s="92">
        <v>1365384.2098816037</v>
      </c>
      <c r="AH81" s="92">
        <v>10442575.290503308</v>
      </c>
      <c r="AI81" s="92">
        <v>3899786.3581462801</v>
      </c>
      <c r="AJ81" s="92">
        <v>-3912707.8432920724</v>
      </c>
      <c r="AK81" s="92">
        <v>8910742.6460041553</v>
      </c>
      <c r="AL81" s="92">
        <v>-8553753.6086072177</v>
      </c>
      <c r="AM81" s="92">
        <v>-3727437.4147531241</v>
      </c>
      <c r="AN81" s="213"/>
      <c r="AO81" s="215"/>
      <c r="AQ81" s="212">
        <v>67</v>
      </c>
      <c r="AR81" s="33">
        <v>4.4285714285714288</v>
      </c>
    </row>
    <row r="82" spans="1:44" ht="13.2">
      <c r="A82" s="30">
        <v>81</v>
      </c>
      <c r="B82" s="27">
        <v>40000</v>
      </c>
      <c r="C82" s="43"/>
      <c r="D82" s="32">
        <f t="shared" ca="1" si="49"/>
        <v>0.98137987796354242</v>
      </c>
      <c r="E82" s="35">
        <f t="shared" ca="1" si="70"/>
        <v>10</v>
      </c>
      <c r="F82" s="37">
        <f t="shared" ca="1" si="50"/>
        <v>1</v>
      </c>
      <c r="G82" s="37">
        <f t="shared" ca="1" si="51"/>
        <v>1</v>
      </c>
      <c r="H82" s="37">
        <f t="shared" ca="1" si="52"/>
        <v>1</v>
      </c>
      <c r="I82" s="37">
        <f t="shared" ca="1" si="53"/>
        <v>1</v>
      </c>
      <c r="J82" s="37">
        <f t="shared" ca="1" si="54"/>
        <v>1</v>
      </c>
      <c r="K82" s="37">
        <f t="shared" ca="1" si="55"/>
        <v>1</v>
      </c>
      <c r="L82" s="37">
        <f t="shared" ca="1" si="72"/>
        <v>1</v>
      </c>
      <c r="M82" s="37">
        <f t="shared" ca="1" si="56"/>
        <v>1</v>
      </c>
      <c r="N82" s="37">
        <f t="shared" ca="1" si="57"/>
        <v>1</v>
      </c>
      <c r="O82" s="37">
        <f t="shared" ca="1" si="58"/>
        <v>1</v>
      </c>
      <c r="P82" s="39"/>
      <c r="Q82" s="28">
        <f t="shared" ca="1" si="59"/>
        <v>19074.637834235335</v>
      </c>
      <c r="R82" s="28">
        <f t="shared" ca="1" si="60"/>
        <v>22928.756246727218</v>
      </c>
      <c r="S82" s="28">
        <f t="shared" ca="1" si="61"/>
        <v>3024.5794577888641</v>
      </c>
      <c r="T82" s="28">
        <f t="shared" ca="1" si="62"/>
        <v>72970.838694811246</v>
      </c>
      <c r="U82" s="28">
        <f t="shared" ca="1" si="63"/>
        <v>5352.0919785653323</v>
      </c>
      <c r="V82" s="28">
        <f t="shared" ca="1" si="64"/>
        <v>854.98490198011723</v>
      </c>
      <c r="W82" s="28">
        <f t="shared" ca="1" si="65"/>
        <v>5303.376056462228</v>
      </c>
      <c r="X82" s="28">
        <f t="shared" ca="1" si="66"/>
        <v>16033.308430141278</v>
      </c>
      <c r="Y82" s="28">
        <f t="shared" ca="1" si="67"/>
        <v>1887.4351160571716</v>
      </c>
      <c r="Z82" s="28">
        <f t="shared" ca="1" si="68"/>
        <v>2164.4796751982449</v>
      </c>
      <c r="AA82" s="41">
        <f t="shared" ca="1" si="69"/>
        <v>149594.48839196702</v>
      </c>
      <c r="AB82" s="162"/>
      <c r="AC82" s="92"/>
      <c r="AD82" s="92">
        <v>8</v>
      </c>
      <c r="AE82" s="92">
        <v>2129895.6027726084</v>
      </c>
      <c r="AF82" s="92">
        <v>753822.64047932625</v>
      </c>
      <c r="AG82" s="92">
        <v>15400638.276731789</v>
      </c>
      <c r="AH82" s="92">
        <v>-49986.270987272263</v>
      </c>
      <c r="AI82" s="92">
        <v>-4636904.8240019828</v>
      </c>
      <c r="AJ82" s="92">
        <v>-2818269.8808365464</v>
      </c>
      <c r="AK82" s="92">
        <v>8317576.0992589742</v>
      </c>
      <c r="AL82" s="92">
        <v>-1781938.918028295</v>
      </c>
      <c r="AM82" s="92">
        <v>-887017.00627489388</v>
      </c>
      <c r="AN82" s="213"/>
      <c r="AO82" s="215"/>
      <c r="AQ82" s="212">
        <v>68</v>
      </c>
      <c r="AR82" s="33">
        <v>4.2785714285714285</v>
      </c>
    </row>
    <row r="83" spans="1:44" ht="13.2">
      <c r="A83" s="30">
        <v>82</v>
      </c>
      <c r="B83" s="27">
        <v>40000</v>
      </c>
      <c r="C83" s="43"/>
      <c r="D83" s="32">
        <f t="shared" ca="1" si="49"/>
        <v>0.71075668043018236</v>
      </c>
      <c r="E83" s="35">
        <f t="shared" ca="1" si="70"/>
        <v>6</v>
      </c>
      <c r="F83" s="37">
        <f t="shared" ca="1" si="50"/>
        <v>1</v>
      </c>
      <c r="G83" s="37">
        <f t="shared" ca="1" si="51"/>
        <v>1</v>
      </c>
      <c r="H83" s="37">
        <f t="shared" ca="1" si="52"/>
        <v>1</v>
      </c>
      <c r="I83" s="37">
        <f t="shared" ca="1" si="53"/>
        <v>1</v>
      </c>
      <c r="J83" s="37">
        <f t="shared" ca="1" si="54"/>
        <v>1</v>
      </c>
      <c r="K83" s="37">
        <f t="shared" ca="1" si="55"/>
        <v>1</v>
      </c>
      <c r="L83" s="37">
        <f t="shared" ca="1" si="72"/>
        <v>0</v>
      </c>
      <c r="M83" s="37">
        <f t="shared" ca="1" si="56"/>
        <v>0</v>
      </c>
      <c r="N83" s="37">
        <f t="shared" ca="1" si="57"/>
        <v>0</v>
      </c>
      <c r="O83" s="37">
        <f t="shared" ca="1" si="58"/>
        <v>0</v>
      </c>
      <c r="P83" s="39"/>
      <c r="Q83" s="28">
        <f t="shared" ca="1" si="59"/>
        <v>406.58187178170118</v>
      </c>
      <c r="R83" s="28">
        <f t="shared" ca="1" si="60"/>
        <v>3719.3658719217538</v>
      </c>
      <c r="S83" s="28">
        <f t="shared" ca="1" si="61"/>
        <v>3686.3907251467049</v>
      </c>
      <c r="T83" s="28">
        <f t="shared" ca="1" si="62"/>
        <v>28699.192407683062</v>
      </c>
      <c r="U83" s="28">
        <f t="shared" ca="1" si="63"/>
        <v>47400.998608779009</v>
      </c>
      <c r="V83" s="28">
        <f t="shared" ca="1" si="64"/>
        <v>25277.225638541535</v>
      </c>
      <c r="W83" s="28">
        <f t="shared" ca="1" si="65"/>
        <v>0</v>
      </c>
      <c r="X83" s="28">
        <f t="shared" ca="1" si="66"/>
        <v>0</v>
      </c>
      <c r="Y83" s="28">
        <f t="shared" ca="1" si="67"/>
        <v>0</v>
      </c>
      <c r="Z83" s="28">
        <f t="shared" ca="1" si="68"/>
        <v>0</v>
      </c>
      <c r="AA83" s="41">
        <f t="shared" ca="1" si="69"/>
        <v>109189.75512385377</v>
      </c>
      <c r="AB83" s="162"/>
      <c r="AC83" s="92"/>
      <c r="AD83" s="92">
        <v>9</v>
      </c>
      <c r="AE83" s="92">
        <v>2169975.8831052631</v>
      </c>
      <c r="AF83" s="92">
        <v>7298901.0260698199</v>
      </c>
      <c r="AG83" s="92">
        <v>15271352.347361788</v>
      </c>
      <c r="AH83" s="92">
        <v>8979727.5305900127</v>
      </c>
      <c r="AI83" s="92">
        <v>-1731821.3858330995</v>
      </c>
      <c r="AJ83" s="92">
        <v>2645636.0942094028</v>
      </c>
      <c r="AK83" s="92">
        <v>-10738046.325242594</v>
      </c>
      <c r="AL83" s="92">
        <v>-2411542.1862437427</v>
      </c>
      <c r="AM83" s="92">
        <v>1469303.9014306813</v>
      </c>
      <c r="AN83" s="213"/>
      <c r="AO83" s="215"/>
      <c r="AQ83" s="212">
        <v>69</v>
      </c>
      <c r="AR83" s="33">
        <v>4.0999999999999996</v>
      </c>
    </row>
    <row r="84" spans="1:44" ht="13.2">
      <c r="A84" s="30">
        <v>83</v>
      </c>
      <c r="B84" s="27">
        <v>40000</v>
      </c>
      <c r="C84" s="43"/>
      <c r="D84" s="32">
        <f t="shared" ca="1" si="49"/>
        <v>0.33590563036408705</v>
      </c>
      <c r="E84" s="35">
        <f t="shared" ca="1" si="70"/>
        <v>3</v>
      </c>
      <c r="F84" s="37">
        <f t="shared" ca="1" si="50"/>
        <v>1</v>
      </c>
      <c r="G84" s="37">
        <f t="shared" ca="1" si="51"/>
        <v>1</v>
      </c>
      <c r="H84" s="37">
        <f t="shared" ca="1" si="52"/>
        <v>1</v>
      </c>
      <c r="I84" s="37">
        <f t="shared" ca="1" si="53"/>
        <v>0</v>
      </c>
      <c r="J84" s="37">
        <f t="shared" ca="1" si="54"/>
        <v>0</v>
      </c>
      <c r="K84" s="37">
        <f t="shared" ca="1" si="55"/>
        <v>0</v>
      </c>
      <c r="L84" s="37">
        <f t="shared" ca="1" si="72"/>
        <v>0</v>
      </c>
      <c r="M84" s="37">
        <f t="shared" ca="1" si="56"/>
        <v>0</v>
      </c>
      <c r="N84" s="37">
        <f t="shared" ca="1" si="57"/>
        <v>0</v>
      </c>
      <c r="O84" s="37">
        <f t="shared" ca="1" si="58"/>
        <v>0</v>
      </c>
      <c r="P84" s="39"/>
      <c r="Q84" s="28">
        <f t="shared" ca="1" si="59"/>
        <v>1685.7370722132337</v>
      </c>
      <c r="R84" s="28">
        <f t="shared" ca="1" si="60"/>
        <v>42696.272476162289</v>
      </c>
      <c r="S84" s="28">
        <f t="shared" ca="1" si="61"/>
        <v>18874.930156621751</v>
      </c>
      <c r="T84" s="28">
        <f t="shared" ca="1" si="62"/>
        <v>0</v>
      </c>
      <c r="U84" s="28">
        <f t="shared" ca="1" si="63"/>
        <v>0</v>
      </c>
      <c r="V84" s="28">
        <f t="shared" ca="1" si="64"/>
        <v>0</v>
      </c>
      <c r="W84" s="28">
        <f t="shared" ca="1" si="65"/>
        <v>0</v>
      </c>
      <c r="X84" s="28">
        <f t="shared" ca="1" si="66"/>
        <v>0</v>
      </c>
      <c r="Y84" s="28">
        <f t="shared" ca="1" si="67"/>
        <v>0</v>
      </c>
      <c r="Z84" s="28">
        <f t="shared" ca="1" si="68"/>
        <v>0</v>
      </c>
      <c r="AA84" s="41">
        <f t="shared" ca="1" si="69"/>
        <v>63256.939704997276</v>
      </c>
      <c r="AB84" s="162"/>
      <c r="AC84" s="92"/>
      <c r="AD84" s="92">
        <v>10</v>
      </c>
      <c r="AE84" s="92">
        <v>-154113.16409151256</v>
      </c>
      <c r="AF84" s="92">
        <v>2341729.6348136067</v>
      </c>
      <c r="AG84" s="92">
        <v>-830637.23470264673</v>
      </c>
      <c r="AH84" s="92">
        <v>-1012958.1619169116</v>
      </c>
      <c r="AI84" s="92">
        <v>-248670.26821920276</v>
      </c>
      <c r="AJ84" s="92">
        <v>-536732.41429421306</v>
      </c>
      <c r="AK84" s="92">
        <v>3593641.6343056262</v>
      </c>
      <c r="AL84" s="92">
        <v>1102041.4729931206</v>
      </c>
      <c r="AM84" s="92">
        <v>4361178.9708546698</v>
      </c>
      <c r="AN84" s="213"/>
      <c r="AO84" s="215"/>
      <c r="AQ84" s="212">
        <v>70</v>
      </c>
      <c r="AR84" s="33">
        <v>4.3642857142857139</v>
      </c>
    </row>
    <row r="85" spans="1:44" ht="13.2">
      <c r="A85" s="30">
        <v>84</v>
      </c>
      <c r="B85" s="27">
        <v>40000</v>
      </c>
      <c r="C85" s="43"/>
      <c r="D85" s="32">
        <f t="shared" ca="1" si="49"/>
        <v>0.64579313622207468</v>
      </c>
      <c r="E85" s="35">
        <f t="shared" ca="1" si="70"/>
        <v>5</v>
      </c>
      <c r="F85" s="37">
        <f t="shared" ca="1" si="50"/>
        <v>1</v>
      </c>
      <c r="G85" s="37">
        <f t="shared" ca="1" si="51"/>
        <v>1</v>
      </c>
      <c r="H85" s="37">
        <f t="shared" ca="1" si="52"/>
        <v>1</v>
      </c>
      <c r="I85" s="37">
        <f t="shared" ca="1" si="53"/>
        <v>1</v>
      </c>
      <c r="J85" s="37">
        <f t="shared" ca="1" si="54"/>
        <v>1</v>
      </c>
      <c r="K85" s="37">
        <f t="shared" ca="1" si="55"/>
        <v>0</v>
      </c>
      <c r="L85" s="37">
        <f t="shared" ca="1" si="72"/>
        <v>0</v>
      </c>
      <c r="M85" s="37">
        <f t="shared" ca="1" si="56"/>
        <v>0</v>
      </c>
      <c r="N85" s="37">
        <f t="shared" ca="1" si="57"/>
        <v>0</v>
      </c>
      <c r="O85" s="37">
        <f t="shared" ca="1" si="58"/>
        <v>0</v>
      </c>
      <c r="P85" s="39"/>
      <c r="Q85" s="28">
        <f t="shared" ca="1" si="59"/>
        <v>4341.0115006047081</v>
      </c>
      <c r="R85" s="28">
        <f t="shared" ca="1" si="60"/>
        <v>7946.9960635779644</v>
      </c>
      <c r="S85" s="28">
        <f t="shared" ca="1" si="61"/>
        <v>1956.9459566544867</v>
      </c>
      <c r="T85" s="28">
        <f t="shared" ca="1" si="62"/>
        <v>3423.7236578801126</v>
      </c>
      <c r="U85" s="28">
        <f t="shared" ca="1" si="63"/>
        <v>11294.690283416157</v>
      </c>
      <c r="V85" s="28">
        <f t="shared" ca="1" si="64"/>
        <v>0</v>
      </c>
      <c r="W85" s="28">
        <f t="shared" ca="1" si="65"/>
        <v>0</v>
      </c>
      <c r="X85" s="28">
        <f t="shared" ca="1" si="66"/>
        <v>0</v>
      </c>
      <c r="Y85" s="28">
        <f t="shared" ca="1" si="67"/>
        <v>0</v>
      </c>
      <c r="Z85" s="28">
        <f t="shared" ca="1" si="68"/>
        <v>0</v>
      </c>
      <c r="AA85" s="41">
        <f t="shared" ca="1" si="69"/>
        <v>28963.367462133428</v>
      </c>
      <c r="AB85" s="162"/>
      <c r="AC85" s="92"/>
      <c r="AD85" s="92">
        <v>11</v>
      </c>
      <c r="AE85" s="92">
        <v>15640389.053254038</v>
      </c>
      <c r="AF85" s="92">
        <v>10113750.660806894</v>
      </c>
      <c r="AG85" s="92">
        <v>-2981412.6811802834</v>
      </c>
      <c r="AH85" s="92">
        <v>128556.83990232646</v>
      </c>
      <c r="AI85" s="92">
        <v>1064436.5517995358</v>
      </c>
      <c r="AJ85" s="92">
        <v>4785344.4217121303</v>
      </c>
      <c r="AK85" s="92">
        <v>-3476279.7761271596</v>
      </c>
      <c r="AL85" s="92">
        <v>-7457910.7572881281</v>
      </c>
      <c r="AM85" s="92">
        <v>-377430.67303016782</v>
      </c>
      <c r="AN85" s="213"/>
      <c r="AO85" s="215"/>
      <c r="AQ85" s="212">
        <v>71</v>
      </c>
      <c r="AR85" s="33">
        <v>4.3071428571428569</v>
      </c>
    </row>
    <row r="86" spans="1:44" ht="13.2">
      <c r="A86" s="30">
        <v>85</v>
      </c>
      <c r="B86" s="27">
        <v>40000</v>
      </c>
      <c r="C86" s="43"/>
      <c r="D86" s="32">
        <f t="shared" ca="1" si="49"/>
        <v>0.48861898341415955</v>
      </c>
      <c r="E86" s="35">
        <f t="shared" ca="1" si="70"/>
        <v>4</v>
      </c>
      <c r="F86" s="37">
        <f t="shared" ca="1" si="50"/>
        <v>1</v>
      </c>
      <c r="G86" s="37">
        <f t="shared" ca="1" si="51"/>
        <v>1</v>
      </c>
      <c r="H86" s="37">
        <f t="shared" ca="1" si="52"/>
        <v>1</v>
      </c>
      <c r="I86" s="37">
        <f t="shared" ca="1" si="53"/>
        <v>1</v>
      </c>
      <c r="J86" s="37">
        <f t="shared" ca="1" si="54"/>
        <v>0</v>
      </c>
      <c r="K86" s="37">
        <f t="shared" ca="1" si="55"/>
        <v>0</v>
      </c>
      <c r="L86" s="37">
        <f t="shared" ca="1" si="72"/>
        <v>0</v>
      </c>
      <c r="M86" s="37">
        <f t="shared" ca="1" si="56"/>
        <v>0</v>
      </c>
      <c r="N86" s="37">
        <f t="shared" ca="1" si="57"/>
        <v>0</v>
      </c>
      <c r="O86" s="37">
        <f t="shared" ca="1" si="58"/>
        <v>0</v>
      </c>
      <c r="P86" s="39"/>
      <c r="Q86" s="28">
        <f t="shared" ca="1" si="59"/>
        <v>41538.724001860573</v>
      </c>
      <c r="R86" s="28">
        <f t="shared" ca="1" si="60"/>
        <v>3460.9658513351583</v>
      </c>
      <c r="S86" s="28">
        <f t="shared" ca="1" si="61"/>
        <v>30411.803399713153</v>
      </c>
      <c r="T86" s="28">
        <f t="shared" ca="1" si="62"/>
        <v>9837.0146985076262</v>
      </c>
      <c r="U86" s="28">
        <f t="shared" ca="1" si="63"/>
        <v>0</v>
      </c>
      <c r="V86" s="28">
        <f t="shared" ca="1" si="64"/>
        <v>0</v>
      </c>
      <c r="W86" s="28">
        <f t="shared" ca="1" si="65"/>
        <v>0</v>
      </c>
      <c r="X86" s="28">
        <f t="shared" ca="1" si="66"/>
        <v>0</v>
      </c>
      <c r="Y86" s="28">
        <f t="shared" ca="1" si="67"/>
        <v>0</v>
      </c>
      <c r="Z86" s="28">
        <f t="shared" ca="1" si="68"/>
        <v>0</v>
      </c>
      <c r="AA86" s="41">
        <f t="shared" ca="1" si="69"/>
        <v>85248.507951416512</v>
      </c>
      <c r="AB86" s="162"/>
      <c r="AC86" s="92"/>
      <c r="AD86" s="92">
        <v>12</v>
      </c>
      <c r="AE86" s="92">
        <v>11176401.415098429</v>
      </c>
      <c r="AF86" s="92">
        <v>3645978.6309406906</v>
      </c>
      <c r="AG86" s="92">
        <v>9202955.3103835434</v>
      </c>
      <c r="AH86" s="92">
        <v>2744271.580802545</v>
      </c>
      <c r="AI86" s="92">
        <v>-9667381.5339687169</v>
      </c>
      <c r="AJ86" s="92">
        <v>-8029297.2497883141</v>
      </c>
      <c r="AK86" s="92">
        <v>1555914.5866729319</v>
      </c>
      <c r="AL86" s="92">
        <v>-4192648.0611759722</v>
      </c>
      <c r="AM86" s="92">
        <v>4040332.7832273841</v>
      </c>
      <c r="AN86" s="213"/>
      <c r="AO86" s="215"/>
      <c r="AQ86" s="212">
        <v>72</v>
      </c>
      <c r="AR86" s="33">
        <v>4.0285714285714285</v>
      </c>
    </row>
    <row r="87" spans="1:44" ht="13.2">
      <c r="A87" s="30">
        <v>86</v>
      </c>
      <c r="B87" s="27">
        <v>40000</v>
      </c>
      <c r="C87" s="43"/>
      <c r="D87" s="32">
        <f t="shared" ca="1" si="49"/>
        <v>0.86858078205856315</v>
      </c>
      <c r="E87" s="35">
        <f t="shared" ca="1" si="70"/>
        <v>8</v>
      </c>
      <c r="F87" s="37">
        <f t="shared" ca="1" si="50"/>
        <v>1</v>
      </c>
      <c r="G87" s="37">
        <f t="shared" ca="1" si="51"/>
        <v>1</v>
      </c>
      <c r="H87" s="37">
        <f t="shared" ca="1" si="52"/>
        <v>1</v>
      </c>
      <c r="I87" s="37">
        <f t="shared" ca="1" si="53"/>
        <v>1</v>
      </c>
      <c r="J87" s="37">
        <f t="shared" ca="1" si="54"/>
        <v>1</v>
      </c>
      <c r="K87" s="37">
        <f t="shared" ca="1" si="55"/>
        <v>1</v>
      </c>
      <c r="L87" s="37">
        <f t="shared" ca="1" si="72"/>
        <v>1</v>
      </c>
      <c r="M87" s="37">
        <f t="shared" ca="1" si="56"/>
        <v>1</v>
      </c>
      <c r="N87" s="37">
        <f t="shared" ca="1" si="57"/>
        <v>0</v>
      </c>
      <c r="O87" s="37">
        <f t="shared" ca="1" si="58"/>
        <v>0</v>
      </c>
      <c r="P87" s="39"/>
      <c r="Q87" s="28">
        <f t="shared" ca="1" si="59"/>
        <v>10133.236442437485</v>
      </c>
      <c r="R87" s="28">
        <f t="shared" ca="1" si="60"/>
        <v>14346.541652687565</v>
      </c>
      <c r="S87" s="28">
        <f t="shared" ca="1" si="61"/>
        <v>34006.862961452884</v>
      </c>
      <c r="T87" s="28">
        <f t="shared" ca="1" si="62"/>
        <v>4207.7430752184855</v>
      </c>
      <c r="U87" s="28">
        <f t="shared" ca="1" si="63"/>
        <v>11851.542220810219</v>
      </c>
      <c r="V87" s="28">
        <f t="shared" ca="1" si="64"/>
        <v>17670.411025932357</v>
      </c>
      <c r="W87" s="28">
        <f t="shared" ca="1" si="65"/>
        <v>1583.4007189568053</v>
      </c>
      <c r="X87" s="28">
        <f t="shared" ca="1" si="66"/>
        <v>8870.3101194829542</v>
      </c>
      <c r="Y87" s="28">
        <f t="shared" ca="1" si="67"/>
        <v>0</v>
      </c>
      <c r="Z87" s="28">
        <f t="shared" ca="1" si="68"/>
        <v>0</v>
      </c>
      <c r="AA87" s="41">
        <f t="shared" ca="1" si="69"/>
        <v>102670.04821697876</v>
      </c>
      <c r="AB87" s="162"/>
      <c r="AC87" s="92"/>
      <c r="AD87" s="92">
        <v>13</v>
      </c>
      <c r="AE87" s="92">
        <v>364786.47495436668</v>
      </c>
      <c r="AF87" s="92">
        <v>11096610.279204205</v>
      </c>
      <c r="AG87" s="92">
        <v>5327857.9712176174</v>
      </c>
      <c r="AH87" s="92">
        <v>-8319852.1942089945</v>
      </c>
      <c r="AI87" s="92">
        <v>3225907.0379817188</v>
      </c>
      <c r="AJ87" s="92">
        <v>-4020060.2212351859</v>
      </c>
      <c r="AK87" s="92">
        <v>5821724.1040320098</v>
      </c>
      <c r="AL87" s="92">
        <v>3406973.9773062617</v>
      </c>
      <c r="AM87" s="92">
        <v>2402041.036921978</v>
      </c>
      <c r="AN87" s="213"/>
      <c r="AO87" s="215"/>
      <c r="AQ87" s="212">
        <v>73</v>
      </c>
      <c r="AR87" s="33">
        <v>4.3142857142857141</v>
      </c>
    </row>
    <row r="88" spans="1:44" ht="13.2">
      <c r="A88" s="30">
        <v>87</v>
      </c>
      <c r="B88" s="27">
        <v>40000</v>
      </c>
      <c r="C88" s="43"/>
      <c r="D88" s="32">
        <f t="shared" ca="1" si="49"/>
        <v>0.70662357033790946</v>
      </c>
      <c r="E88" s="35">
        <f t="shared" ca="1" si="70"/>
        <v>6</v>
      </c>
      <c r="F88" s="37">
        <f t="shared" ca="1" si="50"/>
        <v>1</v>
      </c>
      <c r="G88" s="37">
        <f t="shared" ca="1" si="51"/>
        <v>1</v>
      </c>
      <c r="H88" s="37">
        <f t="shared" ca="1" si="52"/>
        <v>1</v>
      </c>
      <c r="I88" s="37">
        <f t="shared" ca="1" si="53"/>
        <v>1</v>
      </c>
      <c r="J88" s="37">
        <f t="shared" ca="1" si="54"/>
        <v>1</v>
      </c>
      <c r="K88" s="37">
        <f t="shared" ca="1" si="55"/>
        <v>1</v>
      </c>
      <c r="L88" s="37">
        <f t="shared" ca="1" si="72"/>
        <v>0</v>
      </c>
      <c r="M88" s="37">
        <f t="shared" ca="1" si="56"/>
        <v>0</v>
      </c>
      <c r="N88" s="37">
        <f t="shared" ca="1" si="57"/>
        <v>0</v>
      </c>
      <c r="O88" s="37">
        <f t="shared" ca="1" si="58"/>
        <v>0</v>
      </c>
      <c r="P88" s="39"/>
      <c r="Q88" s="28">
        <f t="shared" ca="1" si="59"/>
        <v>38820.0242108655</v>
      </c>
      <c r="R88" s="28">
        <f t="shared" ca="1" si="60"/>
        <v>3870.3287875232991</v>
      </c>
      <c r="S88" s="28">
        <f t="shared" ca="1" si="61"/>
        <v>1014.2467993328236</v>
      </c>
      <c r="T88" s="28">
        <f t="shared" ca="1" si="62"/>
        <v>5301.7336009349137</v>
      </c>
      <c r="U88" s="28">
        <f t="shared" ca="1" si="63"/>
        <v>44966.967828504188</v>
      </c>
      <c r="V88" s="28">
        <f t="shared" ca="1" si="64"/>
        <v>5633.7214339725451</v>
      </c>
      <c r="W88" s="28">
        <f t="shared" ca="1" si="65"/>
        <v>0</v>
      </c>
      <c r="X88" s="28">
        <f t="shared" ca="1" si="66"/>
        <v>0</v>
      </c>
      <c r="Y88" s="28">
        <f t="shared" ca="1" si="67"/>
        <v>0</v>
      </c>
      <c r="Z88" s="28">
        <f t="shared" ca="1" si="68"/>
        <v>0</v>
      </c>
      <c r="AA88" s="41">
        <f t="shared" ca="1" si="69"/>
        <v>99607.022661133276</v>
      </c>
      <c r="AB88" s="162"/>
      <c r="AC88" s="92"/>
      <c r="AD88" s="92">
        <v>14</v>
      </c>
      <c r="AE88" s="92">
        <v>9820541.9123275578</v>
      </c>
      <c r="AF88" s="92">
        <v>8461734.2513359338</v>
      </c>
      <c r="AG88" s="92">
        <v>252971.09867036343</v>
      </c>
      <c r="AH88" s="92">
        <v>12403997.760448784</v>
      </c>
      <c r="AI88" s="92">
        <v>3950408.2853841782</v>
      </c>
      <c r="AJ88" s="92">
        <v>13936122.192854315</v>
      </c>
      <c r="AK88" s="92">
        <v>2301409.7694984823</v>
      </c>
      <c r="AL88" s="92">
        <v>1322527.3877163678</v>
      </c>
      <c r="AM88" s="92">
        <v>-7669604.4755257219</v>
      </c>
      <c r="AN88" s="213"/>
      <c r="AO88" s="215"/>
      <c r="AQ88" s="212">
        <v>74</v>
      </c>
      <c r="AR88" s="33">
        <v>4.2142857142857144</v>
      </c>
    </row>
    <row r="89" spans="1:44" ht="13.2">
      <c r="A89" s="30">
        <v>88</v>
      </c>
      <c r="B89" s="27">
        <v>40000</v>
      </c>
      <c r="C89" s="43"/>
      <c r="D89" s="32">
        <f t="shared" ca="1" si="49"/>
        <v>0.86634461278634778</v>
      </c>
      <c r="E89" s="35">
        <f t="shared" ca="1" si="70"/>
        <v>8</v>
      </c>
      <c r="F89" s="37">
        <f t="shared" ca="1" si="50"/>
        <v>1</v>
      </c>
      <c r="G89" s="37">
        <f t="shared" ca="1" si="51"/>
        <v>1</v>
      </c>
      <c r="H89" s="37">
        <f t="shared" ca="1" si="52"/>
        <v>1</v>
      </c>
      <c r="I89" s="37">
        <f t="shared" ca="1" si="53"/>
        <v>1</v>
      </c>
      <c r="J89" s="37">
        <f t="shared" ca="1" si="54"/>
        <v>1</v>
      </c>
      <c r="K89" s="37">
        <f t="shared" ca="1" si="55"/>
        <v>1</v>
      </c>
      <c r="L89" s="37">
        <f t="shared" ca="1" si="72"/>
        <v>1</v>
      </c>
      <c r="M89" s="37">
        <f t="shared" ca="1" si="56"/>
        <v>1</v>
      </c>
      <c r="N89" s="37">
        <f t="shared" ca="1" si="57"/>
        <v>0</v>
      </c>
      <c r="O89" s="37">
        <f t="shared" ca="1" si="58"/>
        <v>0</v>
      </c>
      <c r="P89" s="39"/>
      <c r="Q89" s="28">
        <f t="shared" ca="1" si="59"/>
        <v>21197.775270806342</v>
      </c>
      <c r="R89" s="28">
        <f t="shared" ca="1" si="60"/>
        <v>361.80209054990075</v>
      </c>
      <c r="S89" s="28">
        <f t="shared" ca="1" si="61"/>
        <v>37474.315644524715</v>
      </c>
      <c r="T89" s="28">
        <f t="shared" ca="1" si="62"/>
        <v>55627.545578683923</v>
      </c>
      <c r="U89" s="28">
        <f t="shared" ca="1" si="63"/>
        <v>27880.23241027553</v>
      </c>
      <c r="V89" s="28">
        <f t="shared" ca="1" si="64"/>
        <v>17408.100834412209</v>
      </c>
      <c r="W89" s="28">
        <f t="shared" ca="1" si="65"/>
        <v>82557.033422020642</v>
      </c>
      <c r="X89" s="28">
        <f t="shared" ca="1" si="66"/>
        <v>4313.9181755490417</v>
      </c>
      <c r="Y89" s="28">
        <f t="shared" ca="1" si="67"/>
        <v>0</v>
      </c>
      <c r="Z89" s="28">
        <f t="shared" ca="1" si="68"/>
        <v>0</v>
      </c>
      <c r="AA89" s="41">
        <f t="shared" ca="1" si="69"/>
        <v>246820.72342682231</v>
      </c>
      <c r="AB89" s="162"/>
      <c r="AC89" s="93" t="s">
        <v>10</v>
      </c>
      <c r="AD89" s="92">
        <v>15</v>
      </c>
      <c r="AE89" s="92">
        <v>4192773.5358819216</v>
      </c>
      <c r="AF89" s="92">
        <v>3453669.8127033859</v>
      </c>
      <c r="AG89" s="92">
        <v>9737484.9915494323</v>
      </c>
      <c r="AH89" s="92">
        <v>16100328.977571547</v>
      </c>
      <c r="AI89" s="92">
        <v>-3486472.7821653634</v>
      </c>
      <c r="AJ89" s="92">
        <v>1309434.8593820781</v>
      </c>
      <c r="AK89" s="92">
        <v>2588616.5866295695</v>
      </c>
      <c r="AL89" s="92">
        <v>4113766.5471564084</v>
      </c>
      <c r="AM89" s="92">
        <v>-2691940.3864583373</v>
      </c>
      <c r="AN89" s="213"/>
      <c r="AO89" s="215"/>
      <c r="AQ89" s="212">
        <v>75</v>
      </c>
      <c r="AR89" s="33">
        <v>4.628571428571429</v>
      </c>
    </row>
    <row r="90" spans="1:44" ht="13.2">
      <c r="A90" s="30">
        <v>89</v>
      </c>
      <c r="B90" s="27">
        <v>40000</v>
      </c>
      <c r="C90" s="43"/>
      <c r="D90" s="32">
        <f t="shared" ca="1" si="49"/>
        <v>0.10153773075363592</v>
      </c>
      <c r="E90" s="35">
        <f t="shared" ca="1" si="70"/>
        <v>1</v>
      </c>
      <c r="F90" s="37">
        <f t="shared" ca="1" si="50"/>
        <v>1</v>
      </c>
      <c r="G90" s="37">
        <f t="shared" ca="1" si="51"/>
        <v>0</v>
      </c>
      <c r="H90" s="37">
        <f t="shared" ca="1" si="52"/>
        <v>0</v>
      </c>
      <c r="I90" s="37">
        <f t="shared" ca="1" si="53"/>
        <v>0</v>
      </c>
      <c r="J90" s="37">
        <f t="shared" ca="1" si="54"/>
        <v>0</v>
      </c>
      <c r="K90" s="37">
        <f t="shared" ca="1" si="55"/>
        <v>0</v>
      </c>
      <c r="L90" s="37">
        <f t="shared" ca="1" si="72"/>
        <v>0</v>
      </c>
      <c r="M90" s="37">
        <f t="shared" ca="1" si="56"/>
        <v>0</v>
      </c>
      <c r="N90" s="37">
        <f t="shared" ca="1" si="57"/>
        <v>0</v>
      </c>
      <c r="O90" s="37">
        <f t="shared" ca="1" si="58"/>
        <v>0</v>
      </c>
      <c r="P90" s="39"/>
      <c r="Q90" s="28">
        <f t="shared" ca="1" si="59"/>
        <v>22783.016796621534</v>
      </c>
      <c r="R90" s="28">
        <f t="shared" ca="1" si="60"/>
        <v>0</v>
      </c>
      <c r="S90" s="28">
        <f t="shared" ca="1" si="61"/>
        <v>0</v>
      </c>
      <c r="T90" s="28">
        <f t="shared" ca="1" si="62"/>
        <v>0</v>
      </c>
      <c r="U90" s="28">
        <f t="shared" ca="1" si="63"/>
        <v>0</v>
      </c>
      <c r="V90" s="28">
        <f t="shared" ca="1" si="64"/>
        <v>0</v>
      </c>
      <c r="W90" s="28">
        <f t="shared" ca="1" si="65"/>
        <v>0</v>
      </c>
      <c r="X90" s="28">
        <f t="shared" ca="1" si="66"/>
        <v>0</v>
      </c>
      <c r="Y90" s="28">
        <f t="shared" ca="1" si="67"/>
        <v>0</v>
      </c>
      <c r="Z90" s="28">
        <f t="shared" ca="1" si="68"/>
        <v>0</v>
      </c>
      <c r="AA90" s="41">
        <f t="shared" ca="1" si="69"/>
        <v>22783.016796621534</v>
      </c>
      <c r="AB90" s="162"/>
      <c r="AC90" s="93" t="s">
        <v>10</v>
      </c>
      <c r="AD90" s="92">
        <v>16</v>
      </c>
      <c r="AE90" s="92">
        <v>16355709.6055381</v>
      </c>
      <c r="AF90" s="92">
        <v>9309016.4982226342</v>
      </c>
      <c r="AG90" s="92">
        <v>9854000.4813721031</v>
      </c>
      <c r="AH90" s="92">
        <v>13871829.660484493</v>
      </c>
      <c r="AI90" s="92">
        <v>12430682.153566137</v>
      </c>
      <c r="AJ90" s="92">
        <v>-6332899.8010400832</v>
      </c>
      <c r="AK90" s="92">
        <v>-1465339.5736156702</v>
      </c>
      <c r="AL90" s="92">
        <v>-40685.469350799918</v>
      </c>
      <c r="AM90" s="92">
        <v>2556865.1623152494</v>
      </c>
      <c r="AN90" s="213"/>
      <c r="AO90" s="215"/>
      <c r="AQ90" s="212">
        <v>76</v>
      </c>
      <c r="AR90" s="33">
        <v>4.5857142857142854</v>
      </c>
    </row>
    <row r="91" spans="1:44" ht="13.2">
      <c r="A91" s="30">
        <v>90</v>
      </c>
      <c r="B91" s="27">
        <v>40000</v>
      </c>
      <c r="C91" s="43"/>
      <c r="D91" s="32">
        <f t="shared" ca="1" si="49"/>
        <v>0.26550894176578865</v>
      </c>
      <c r="E91" s="35">
        <f t="shared" ca="1" si="70"/>
        <v>2</v>
      </c>
      <c r="F91" s="37">
        <f t="shared" ca="1" si="50"/>
        <v>1</v>
      </c>
      <c r="G91" s="37">
        <f t="shared" ca="1" si="51"/>
        <v>1</v>
      </c>
      <c r="H91" s="37">
        <f t="shared" ca="1" si="52"/>
        <v>0</v>
      </c>
      <c r="I91" s="37">
        <f t="shared" ca="1" si="53"/>
        <v>0</v>
      </c>
      <c r="J91" s="37">
        <f t="shared" ca="1" si="54"/>
        <v>0</v>
      </c>
      <c r="K91" s="37">
        <f t="shared" ca="1" si="55"/>
        <v>0</v>
      </c>
      <c r="L91" s="37">
        <f t="shared" ca="1" si="72"/>
        <v>0</v>
      </c>
      <c r="M91" s="37">
        <f t="shared" ca="1" si="56"/>
        <v>0</v>
      </c>
      <c r="N91" s="37">
        <f t="shared" ca="1" si="57"/>
        <v>0</v>
      </c>
      <c r="O91" s="37">
        <f t="shared" ca="1" si="58"/>
        <v>0</v>
      </c>
      <c r="P91" s="39"/>
      <c r="Q91" s="28">
        <f t="shared" ca="1" si="59"/>
        <v>11603.290307104344</v>
      </c>
      <c r="R91" s="28">
        <f t="shared" ca="1" si="60"/>
        <v>24782.566628931523</v>
      </c>
      <c r="S91" s="28">
        <f t="shared" ca="1" si="61"/>
        <v>0</v>
      </c>
      <c r="T91" s="28">
        <f t="shared" ca="1" si="62"/>
        <v>0</v>
      </c>
      <c r="U91" s="28">
        <f t="shared" ca="1" si="63"/>
        <v>0</v>
      </c>
      <c r="V91" s="28">
        <f t="shared" ca="1" si="64"/>
        <v>0</v>
      </c>
      <c r="W91" s="28">
        <f t="shared" ca="1" si="65"/>
        <v>0</v>
      </c>
      <c r="X91" s="28">
        <f t="shared" ca="1" si="66"/>
        <v>0</v>
      </c>
      <c r="Y91" s="28">
        <f t="shared" ca="1" si="67"/>
        <v>0</v>
      </c>
      <c r="Z91" s="28">
        <f t="shared" ca="1" si="68"/>
        <v>0</v>
      </c>
      <c r="AA91" s="41">
        <f t="shared" ca="1" si="69"/>
        <v>36385.856936035867</v>
      </c>
      <c r="AB91" s="162"/>
      <c r="AC91" s="93" t="s">
        <v>10</v>
      </c>
      <c r="AD91" s="92">
        <v>17</v>
      </c>
      <c r="AE91" s="92">
        <v>1535102.5669080019</v>
      </c>
      <c r="AF91" s="92">
        <v>5592855.6724389493</v>
      </c>
      <c r="AG91" s="92">
        <v>-3925616.5577523559</v>
      </c>
      <c r="AH91" s="92">
        <v>3999117.9039282501</v>
      </c>
      <c r="AI91" s="92">
        <v>5743549.9014095962</v>
      </c>
      <c r="AJ91" s="92">
        <v>17194365.587347329</v>
      </c>
      <c r="AK91" s="92">
        <v>3972411.8590660095</v>
      </c>
      <c r="AL91" s="92">
        <v>9036130.2715087235</v>
      </c>
      <c r="AM91" s="92">
        <v>838961.49391712248</v>
      </c>
      <c r="AN91" s="213"/>
      <c r="AO91" s="215"/>
      <c r="AQ91" s="212">
        <v>77</v>
      </c>
      <c r="AR91" s="33">
        <v>4.3214285714285712</v>
      </c>
    </row>
    <row r="92" spans="1:44" ht="13.2">
      <c r="A92" s="30">
        <v>91</v>
      </c>
      <c r="B92" s="27">
        <v>40000</v>
      </c>
      <c r="C92" s="43"/>
      <c r="D92" s="32">
        <f t="shared" ca="1" si="49"/>
        <v>0.77279314460846438</v>
      </c>
      <c r="E92" s="35">
        <f t="shared" ca="1" si="70"/>
        <v>6</v>
      </c>
      <c r="F92" s="37">
        <f t="shared" ca="1" si="50"/>
        <v>1</v>
      </c>
      <c r="G92" s="37">
        <f t="shared" ca="1" si="51"/>
        <v>1</v>
      </c>
      <c r="H92" s="37">
        <f t="shared" ca="1" si="52"/>
        <v>1</v>
      </c>
      <c r="I92" s="37">
        <f t="shared" ca="1" si="53"/>
        <v>1</v>
      </c>
      <c r="J92" s="37">
        <f t="shared" ca="1" si="54"/>
        <v>1</v>
      </c>
      <c r="K92" s="37">
        <f t="shared" ca="1" si="55"/>
        <v>1</v>
      </c>
      <c r="L92" s="37">
        <f t="shared" ca="1" si="72"/>
        <v>0</v>
      </c>
      <c r="M92" s="37">
        <f t="shared" ca="1" si="56"/>
        <v>0</v>
      </c>
      <c r="N92" s="37">
        <f t="shared" ca="1" si="57"/>
        <v>0</v>
      </c>
      <c r="O92" s="37">
        <f t="shared" ca="1" si="58"/>
        <v>0</v>
      </c>
      <c r="P92" s="39"/>
      <c r="Q92" s="28">
        <f t="shared" ca="1" si="59"/>
        <v>9085.8582361643785</v>
      </c>
      <c r="R92" s="28">
        <f t="shared" ca="1" si="60"/>
        <v>4581.8821627063489</v>
      </c>
      <c r="S92" s="28">
        <f t="shared" ca="1" si="61"/>
        <v>12007.1227273001</v>
      </c>
      <c r="T92" s="28">
        <f t="shared" ca="1" si="62"/>
        <v>35379.445580216736</v>
      </c>
      <c r="U92" s="28">
        <f t="shared" ca="1" si="63"/>
        <v>1753.8178951062316</v>
      </c>
      <c r="V92" s="28">
        <f t="shared" ca="1" si="64"/>
        <v>22971.47236152611</v>
      </c>
      <c r="W92" s="28">
        <f t="shared" ca="1" si="65"/>
        <v>0</v>
      </c>
      <c r="X92" s="28">
        <f t="shared" ca="1" si="66"/>
        <v>0</v>
      </c>
      <c r="Y92" s="28">
        <f t="shared" ca="1" si="67"/>
        <v>0</v>
      </c>
      <c r="Z92" s="28">
        <f t="shared" ca="1" si="68"/>
        <v>0</v>
      </c>
      <c r="AA92" s="41">
        <f t="shared" ca="1" si="69"/>
        <v>85779.598963019904</v>
      </c>
      <c r="AB92" s="162"/>
      <c r="AC92" s="93" t="s">
        <v>10</v>
      </c>
      <c r="AD92" s="92">
        <v>18</v>
      </c>
      <c r="AE92" s="92">
        <v>-946070.78406253457</v>
      </c>
      <c r="AF92" s="92">
        <v>8518102.3702192008</v>
      </c>
      <c r="AG92" s="92">
        <v>-7258691.3211110681</v>
      </c>
      <c r="AH92" s="92">
        <v>10120926.914320499</v>
      </c>
      <c r="AI92" s="92">
        <v>6919816.7281784713</v>
      </c>
      <c r="AJ92" s="92">
        <v>-2140072.1375732571</v>
      </c>
      <c r="AK92" s="92">
        <v>2999019.7085389793</v>
      </c>
      <c r="AL92" s="92">
        <v>-3388146.3026268631</v>
      </c>
      <c r="AM92" s="92">
        <v>2591777.6355730891</v>
      </c>
      <c r="AN92" s="213"/>
      <c r="AO92" s="215"/>
      <c r="AQ92" s="212">
        <v>78</v>
      </c>
      <c r="AR92" s="33">
        <v>4.4285714285714288</v>
      </c>
    </row>
    <row r="93" spans="1:44" ht="13.2">
      <c r="A93" s="30">
        <v>92</v>
      </c>
      <c r="B93" s="27">
        <v>40000</v>
      </c>
      <c r="C93" s="43"/>
      <c r="D93" s="32">
        <f t="shared" ca="1" si="49"/>
        <v>0.18690651484956544</v>
      </c>
      <c r="E93" s="35">
        <f t="shared" ca="1" si="70"/>
        <v>2</v>
      </c>
      <c r="F93" s="37">
        <f t="shared" ca="1" si="50"/>
        <v>1</v>
      </c>
      <c r="G93" s="37">
        <f t="shared" ca="1" si="51"/>
        <v>1</v>
      </c>
      <c r="H93" s="37">
        <f t="shared" ca="1" si="52"/>
        <v>0</v>
      </c>
      <c r="I93" s="37">
        <f t="shared" ca="1" si="53"/>
        <v>0</v>
      </c>
      <c r="J93" s="37">
        <f t="shared" ca="1" si="54"/>
        <v>0</v>
      </c>
      <c r="K93" s="37">
        <f t="shared" ca="1" si="55"/>
        <v>0</v>
      </c>
      <c r="L93" s="37">
        <f t="shared" ca="1" si="72"/>
        <v>0</v>
      </c>
      <c r="M93" s="37">
        <f t="shared" ca="1" si="56"/>
        <v>0</v>
      </c>
      <c r="N93" s="37">
        <f t="shared" ca="1" si="57"/>
        <v>0</v>
      </c>
      <c r="O93" s="37">
        <f t="shared" ca="1" si="58"/>
        <v>0</v>
      </c>
      <c r="P93" s="39"/>
      <c r="Q93" s="28">
        <f t="shared" ca="1" si="59"/>
        <v>62496.947548931566</v>
      </c>
      <c r="R93" s="28">
        <f t="shared" ca="1" si="60"/>
        <v>25861.35879990707</v>
      </c>
      <c r="S93" s="28">
        <f t="shared" ca="1" si="61"/>
        <v>0</v>
      </c>
      <c r="T93" s="28">
        <f t="shared" ca="1" si="62"/>
        <v>0</v>
      </c>
      <c r="U93" s="28">
        <f t="shared" ca="1" si="63"/>
        <v>0</v>
      </c>
      <c r="V93" s="28">
        <f t="shared" ca="1" si="64"/>
        <v>0</v>
      </c>
      <c r="W93" s="28">
        <f t="shared" ca="1" si="65"/>
        <v>0</v>
      </c>
      <c r="X93" s="28">
        <f t="shared" ca="1" si="66"/>
        <v>0</v>
      </c>
      <c r="Y93" s="28">
        <f t="shared" ca="1" si="67"/>
        <v>0</v>
      </c>
      <c r="Z93" s="28">
        <f t="shared" ca="1" si="68"/>
        <v>0</v>
      </c>
      <c r="AA93" s="41">
        <f t="shared" ca="1" si="69"/>
        <v>88358.30634883864</v>
      </c>
      <c r="AB93" s="162"/>
      <c r="AC93" s="93" t="s">
        <v>10</v>
      </c>
      <c r="AD93" s="92">
        <v>19</v>
      </c>
      <c r="AE93" s="92">
        <v>104639.58298823237</v>
      </c>
      <c r="AF93" s="92">
        <v>2668186.7200555056</v>
      </c>
      <c r="AG93" s="92">
        <v>9202766.5843994021</v>
      </c>
      <c r="AH93" s="92">
        <v>-203992.18939249218</v>
      </c>
      <c r="AI93" s="92">
        <v>12521116.12510559</v>
      </c>
      <c r="AJ93" s="92">
        <v>-866853.67296501994</v>
      </c>
      <c r="AK93" s="92">
        <v>3814422.2454835176</v>
      </c>
      <c r="AL93" s="92">
        <v>-8220764.1175588667</v>
      </c>
      <c r="AM93" s="92">
        <v>2316592.4477669299</v>
      </c>
      <c r="AN93" s="213"/>
      <c r="AO93" s="215"/>
      <c r="AQ93" s="212">
        <v>79</v>
      </c>
      <c r="AR93" s="33">
        <v>4.0857142857142854</v>
      </c>
    </row>
    <row r="94" spans="1:44" ht="13.2">
      <c r="A94" s="30">
        <v>93</v>
      </c>
      <c r="B94" s="27">
        <v>40000</v>
      </c>
      <c r="C94" s="43"/>
      <c r="D94" s="32">
        <f t="shared" ca="1" si="49"/>
        <v>0.14149773827574574</v>
      </c>
      <c r="E94" s="35">
        <f t="shared" ca="1" si="70"/>
        <v>1</v>
      </c>
      <c r="F94" s="37">
        <f t="shared" ca="1" si="50"/>
        <v>1</v>
      </c>
      <c r="G94" s="37">
        <f t="shared" ca="1" si="51"/>
        <v>0</v>
      </c>
      <c r="H94" s="37">
        <f t="shared" ca="1" si="52"/>
        <v>0</v>
      </c>
      <c r="I94" s="37">
        <f t="shared" ca="1" si="53"/>
        <v>0</v>
      </c>
      <c r="J94" s="37">
        <f t="shared" ca="1" si="54"/>
        <v>0</v>
      </c>
      <c r="K94" s="37">
        <f t="shared" ca="1" si="55"/>
        <v>0</v>
      </c>
      <c r="L94" s="37">
        <f t="shared" ca="1" si="72"/>
        <v>0</v>
      </c>
      <c r="M94" s="37">
        <f t="shared" ca="1" si="56"/>
        <v>0</v>
      </c>
      <c r="N94" s="37">
        <f t="shared" ca="1" si="57"/>
        <v>0</v>
      </c>
      <c r="O94" s="37">
        <f t="shared" ca="1" si="58"/>
        <v>0</v>
      </c>
      <c r="P94" s="39"/>
      <c r="Q94" s="28">
        <f t="shared" ca="1" si="59"/>
        <v>17472.980855081903</v>
      </c>
      <c r="R94" s="28">
        <f t="shared" ca="1" si="60"/>
        <v>0</v>
      </c>
      <c r="S94" s="28">
        <f t="shared" ca="1" si="61"/>
        <v>0</v>
      </c>
      <c r="T94" s="28">
        <f t="shared" ca="1" si="62"/>
        <v>0</v>
      </c>
      <c r="U94" s="28">
        <f t="shared" ca="1" si="63"/>
        <v>0</v>
      </c>
      <c r="V94" s="28">
        <f t="shared" ca="1" si="64"/>
        <v>0</v>
      </c>
      <c r="W94" s="28">
        <f t="shared" ca="1" si="65"/>
        <v>0</v>
      </c>
      <c r="X94" s="28">
        <f t="shared" ca="1" si="66"/>
        <v>0</v>
      </c>
      <c r="Y94" s="28">
        <f t="shared" ca="1" si="67"/>
        <v>0</v>
      </c>
      <c r="Z94" s="28">
        <f t="shared" ca="1" si="68"/>
        <v>0</v>
      </c>
      <c r="AA94" s="41">
        <f t="shared" ca="1" si="69"/>
        <v>17472.980855081903</v>
      </c>
      <c r="AB94" s="162"/>
      <c r="AC94" s="93" t="s">
        <v>10</v>
      </c>
      <c r="AD94" s="92">
        <v>20</v>
      </c>
      <c r="AE94" s="92">
        <v>16015946.12497966</v>
      </c>
      <c r="AF94" s="92">
        <v>8251427.9385235608</v>
      </c>
      <c r="AG94" s="92">
        <v>3382480.3455821127</v>
      </c>
      <c r="AH94" s="92">
        <v>-7663087.108996585</v>
      </c>
      <c r="AI94" s="92">
        <v>4046625.9539709687</v>
      </c>
      <c r="AJ94" s="92">
        <v>3054915.162499249</v>
      </c>
      <c r="AK94" s="92">
        <v>-2192008.0349448472</v>
      </c>
      <c r="AL94" s="92">
        <v>3382938.3937917054</v>
      </c>
      <c r="AM94" s="92">
        <v>6281389.7401714623</v>
      </c>
      <c r="AN94" s="213"/>
      <c r="AO94" s="215"/>
      <c r="AQ94" s="212">
        <v>80</v>
      </c>
      <c r="AR94" s="33">
        <v>4.6071428571428568</v>
      </c>
    </row>
    <row r="95" spans="1:44" ht="13.2">
      <c r="A95" s="30">
        <v>94</v>
      </c>
      <c r="B95" s="27">
        <v>40000</v>
      </c>
      <c r="C95" s="43"/>
      <c r="D95" s="32">
        <f t="shared" ca="1" si="49"/>
        <v>3.3249551920971454E-2</v>
      </c>
      <c r="E95" s="35">
        <f t="shared" ca="1" si="70"/>
        <v>0</v>
      </c>
      <c r="F95" s="37">
        <f t="shared" ca="1" si="50"/>
        <v>0</v>
      </c>
      <c r="G95" s="37">
        <f t="shared" ca="1" si="51"/>
        <v>0</v>
      </c>
      <c r="H95" s="37">
        <f t="shared" ca="1" si="52"/>
        <v>0</v>
      </c>
      <c r="I95" s="37">
        <f t="shared" ca="1" si="53"/>
        <v>0</v>
      </c>
      <c r="J95" s="37">
        <f t="shared" ca="1" si="54"/>
        <v>0</v>
      </c>
      <c r="K95" s="37">
        <f t="shared" ca="1" si="55"/>
        <v>0</v>
      </c>
      <c r="L95" s="37">
        <f t="shared" ca="1" si="72"/>
        <v>0</v>
      </c>
      <c r="M95" s="37">
        <f t="shared" ca="1" si="56"/>
        <v>0</v>
      </c>
      <c r="N95" s="37">
        <f t="shared" ca="1" si="57"/>
        <v>0</v>
      </c>
      <c r="O95" s="37">
        <f t="shared" ca="1" si="58"/>
        <v>0</v>
      </c>
      <c r="P95" s="39"/>
      <c r="Q95" s="28">
        <f t="shared" ca="1" si="59"/>
        <v>0</v>
      </c>
      <c r="R95" s="28">
        <f t="shared" ca="1" si="60"/>
        <v>0</v>
      </c>
      <c r="S95" s="28">
        <f t="shared" ca="1" si="61"/>
        <v>0</v>
      </c>
      <c r="T95" s="28">
        <f t="shared" ca="1" si="62"/>
        <v>0</v>
      </c>
      <c r="U95" s="28">
        <f t="shared" ca="1" si="63"/>
        <v>0</v>
      </c>
      <c r="V95" s="28">
        <f t="shared" ca="1" si="64"/>
        <v>0</v>
      </c>
      <c r="W95" s="28">
        <f t="shared" ca="1" si="65"/>
        <v>0</v>
      </c>
      <c r="X95" s="28">
        <f t="shared" ca="1" si="66"/>
        <v>0</v>
      </c>
      <c r="Y95" s="28">
        <f t="shared" ca="1" si="67"/>
        <v>0</v>
      </c>
      <c r="Z95" s="28">
        <f t="shared" ca="1" si="68"/>
        <v>0</v>
      </c>
      <c r="AA95" s="41">
        <f t="shared" ca="1" si="69"/>
        <v>0</v>
      </c>
      <c r="AB95" s="162"/>
      <c r="AC95" s="93" t="s">
        <v>10</v>
      </c>
      <c r="AD95" s="92">
        <v>21</v>
      </c>
      <c r="AE95" s="92">
        <v>-4854787.5708648264</v>
      </c>
      <c r="AF95" s="92">
        <v>2001922.5988901705</v>
      </c>
      <c r="AG95" s="92">
        <v>15117618.780905902</v>
      </c>
      <c r="AH95" s="92">
        <v>12473677.712501958</v>
      </c>
      <c r="AI95" s="92">
        <v>-899700.09548203647</v>
      </c>
      <c r="AJ95" s="92">
        <v>1728618.3585009873</v>
      </c>
      <c r="AK95" s="92">
        <v>-553267.68213661015</v>
      </c>
      <c r="AL95" s="92">
        <v>-5765452.333680585</v>
      </c>
      <c r="AM95" s="92">
        <v>9271069.2896962762</v>
      </c>
      <c r="AN95" s="213"/>
      <c r="AO95" s="215"/>
      <c r="AQ95" s="212">
        <v>81</v>
      </c>
      <c r="AR95" s="33">
        <v>3.9928571428571429</v>
      </c>
    </row>
    <row r="96" spans="1:44" ht="13.2">
      <c r="A96" s="30">
        <v>95</v>
      </c>
      <c r="B96" s="27">
        <v>40000</v>
      </c>
      <c r="C96" s="43"/>
      <c r="D96" s="32">
        <f t="shared" ca="1" si="49"/>
        <v>0.43582135591184556</v>
      </c>
      <c r="E96" s="35">
        <f t="shared" ca="1" si="70"/>
        <v>4</v>
      </c>
      <c r="F96" s="37">
        <f t="shared" ca="1" si="50"/>
        <v>1</v>
      </c>
      <c r="G96" s="37">
        <f t="shared" ca="1" si="51"/>
        <v>1</v>
      </c>
      <c r="H96" s="37">
        <f t="shared" ca="1" si="52"/>
        <v>1</v>
      </c>
      <c r="I96" s="37">
        <f t="shared" ca="1" si="53"/>
        <v>1</v>
      </c>
      <c r="J96" s="37">
        <f t="shared" ca="1" si="54"/>
        <v>0</v>
      </c>
      <c r="K96" s="37">
        <f t="shared" ca="1" si="55"/>
        <v>0</v>
      </c>
      <c r="L96" s="37">
        <f t="shared" ca="1" si="72"/>
        <v>0</v>
      </c>
      <c r="M96" s="37">
        <f t="shared" ca="1" si="56"/>
        <v>0</v>
      </c>
      <c r="N96" s="37">
        <f t="shared" ca="1" si="57"/>
        <v>0</v>
      </c>
      <c r="O96" s="37">
        <f t="shared" ca="1" si="58"/>
        <v>0</v>
      </c>
      <c r="P96" s="39"/>
      <c r="Q96" s="28">
        <f t="shared" ca="1" si="59"/>
        <v>16183.863556744276</v>
      </c>
      <c r="R96" s="28">
        <f t="shared" ca="1" si="60"/>
        <v>21724.91518887155</v>
      </c>
      <c r="S96" s="28">
        <f t="shared" ca="1" si="61"/>
        <v>1317.7900636372999</v>
      </c>
      <c r="T96" s="28">
        <f t="shared" ca="1" si="62"/>
        <v>46532.117025067972</v>
      </c>
      <c r="U96" s="28">
        <f t="shared" ca="1" si="63"/>
        <v>0</v>
      </c>
      <c r="V96" s="28">
        <f t="shared" ca="1" si="64"/>
        <v>0</v>
      </c>
      <c r="W96" s="28">
        <f t="shared" ca="1" si="65"/>
        <v>0</v>
      </c>
      <c r="X96" s="28">
        <f t="shared" ca="1" si="66"/>
        <v>0</v>
      </c>
      <c r="Y96" s="28">
        <f t="shared" ca="1" si="67"/>
        <v>0</v>
      </c>
      <c r="Z96" s="28">
        <f t="shared" ca="1" si="68"/>
        <v>0</v>
      </c>
      <c r="AA96" s="41">
        <f t="shared" ca="1" si="69"/>
        <v>85758.685834321106</v>
      </c>
      <c r="AB96" s="162"/>
      <c r="AC96" s="93" t="s">
        <v>10</v>
      </c>
      <c r="AD96" s="92">
        <v>22</v>
      </c>
      <c r="AE96" s="92">
        <v>17439853.182877272</v>
      </c>
      <c r="AF96" s="92">
        <v>7089741.832060352</v>
      </c>
      <c r="AG96" s="92">
        <v>-764914.2792468369</v>
      </c>
      <c r="AH96" s="92">
        <v>3544560.2023731172</v>
      </c>
      <c r="AI96" s="92">
        <v>6593625.9456186742</v>
      </c>
      <c r="AJ96" s="92">
        <v>-12648939.131331444</v>
      </c>
      <c r="AK96" s="92">
        <v>4459517.68968907</v>
      </c>
      <c r="AL96" s="92">
        <v>-2655773.0581198484</v>
      </c>
      <c r="AM96" s="92">
        <v>23045.46589615941</v>
      </c>
      <c r="AN96" s="213"/>
      <c r="AO96" s="215"/>
      <c r="AQ96" s="212">
        <v>82</v>
      </c>
      <c r="AR96" s="33">
        <v>4.6714285714285717</v>
      </c>
    </row>
    <row r="97" spans="1:44" ht="13.2">
      <c r="A97" s="30">
        <v>96</v>
      </c>
      <c r="B97" s="27">
        <v>40000</v>
      </c>
      <c r="C97" s="43"/>
      <c r="D97" s="32">
        <f t="shared" ca="1" si="49"/>
        <v>0.35955494130005539</v>
      </c>
      <c r="E97" s="35">
        <f t="shared" ca="1" si="70"/>
        <v>3</v>
      </c>
      <c r="F97" s="37">
        <f t="shared" ca="1" si="50"/>
        <v>1</v>
      </c>
      <c r="G97" s="37">
        <f t="shared" ca="1" si="51"/>
        <v>1</v>
      </c>
      <c r="H97" s="37">
        <f t="shared" ca="1" si="52"/>
        <v>1</v>
      </c>
      <c r="I97" s="37">
        <f t="shared" ca="1" si="53"/>
        <v>0</v>
      </c>
      <c r="J97" s="37">
        <f t="shared" ca="1" si="54"/>
        <v>0</v>
      </c>
      <c r="K97" s="37">
        <f t="shared" ca="1" si="55"/>
        <v>0</v>
      </c>
      <c r="L97" s="37">
        <f t="shared" ca="1" si="72"/>
        <v>0</v>
      </c>
      <c r="M97" s="37">
        <f t="shared" ca="1" si="56"/>
        <v>0</v>
      </c>
      <c r="N97" s="37">
        <f t="shared" ca="1" si="57"/>
        <v>0</v>
      </c>
      <c r="O97" s="37">
        <f t="shared" ca="1" si="58"/>
        <v>0</v>
      </c>
      <c r="P97" s="39"/>
      <c r="Q97" s="28">
        <f t="shared" ca="1" si="59"/>
        <v>9561.8871189335005</v>
      </c>
      <c r="R97" s="28">
        <f t="shared" ca="1" si="60"/>
        <v>41647.812515364552</v>
      </c>
      <c r="S97" s="28">
        <f t="shared" ca="1" si="61"/>
        <v>19893.799140467519</v>
      </c>
      <c r="T97" s="28">
        <f t="shared" ca="1" si="62"/>
        <v>0</v>
      </c>
      <c r="U97" s="28">
        <f t="shared" ca="1" si="63"/>
        <v>0</v>
      </c>
      <c r="V97" s="28">
        <f t="shared" ca="1" si="64"/>
        <v>0</v>
      </c>
      <c r="W97" s="28">
        <f t="shared" ca="1" si="65"/>
        <v>0</v>
      </c>
      <c r="X97" s="28">
        <f t="shared" ca="1" si="66"/>
        <v>0</v>
      </c>
      <c r="Y97" s="28">
        <f t="shared" ca="1" si="67"/>
        <v>0</v>
      </c>
      <c r="Z97" s="28">
        <f t="shared" ca="1" si="68"/>
        <v>0</v>
      </c>
      <c r="AA97" s="41">
        <f t="shared" ca="1" si="69"/>
        <v>71103.498774765583</v>
      </c>
      <c r="AB97" s="162"/>
      <c r="AC97" s="92"/>
      <c r="AD97" s="92">
        <v>23</v>
      </c>
      <c r="AE97" s="92">
        <v>4475207.6634333134</v>
      </c>
      <c r="AF97" s="92">
        <v>5903.6887658387423</v>
      </c>
      <c r="AG97" s="92">
        <v>-2221475.3993234336</v>
      </c>
      <c r="AH97" s="92">
        <v>140711.97218956053</v>
      </c>
      <c r="AI97" s="92">
        <v>-1226961.0462602973</v>
      </c>
      <c r="AJ97" s="92">
        <v>-1477934.7397626638</v>
      </c>
      <c r="AK97" s="92">
        <v>679112.78056438267</v>
      </c>
      <c r="AL97" s="92">
        <v>3597327.2194794416</v>
      </c>
      <c r="AM97" s="92">
        <v>-5466254.1727131009</v>
      </c>
      <c r="AN97" s="213"/>
      <c r="AO97" s="215"/>
      <c r="AQ97" s="212">
        <v>83</v>
      </c>
      <c r="AR97" s="33">
        <v>4.1071428571428568</v>
      </c>
    </row>
    <row r="98" spans="1:44" ht="13.2">
      <c r="A98" s="30">
        <v>97</v>
      </c>
      <c r="B98" s="27">
        <v>40000</v>
      </c>
      <c r="C98" s="43"/>
      <c r="D98" s="32">
        <f t="shared" ref="D98:D129" ca="1" si="73">RAND()</f>
        <v>0.2782720522913964</v>
      </c>
      <c r="E98" s="35">
        <f t="shared" ca="1" si="70"/>
        <v>3</v>
      </c>
      <c r="F98" s="37">
        <f t="shared" ref="F98:F129" ca="1" si="74">IF(E98&gt;=1,1,0)</f>
        <v>1</v>
      </c>
      <c r="G98" s="37">
        <f t="shared" ref="G98:G129" ca="1" si="75">IF(E98&gt;=2,1,0)</f>
        <v>1</v>
      </c>
      <c r="H98" s="37">
        <f t="shared" ref="H98:H129" ca="1" si="76">IF(E98&gt;=3,1,0)</f>
        <v>1</v>
      </c>
      <c r="I98" s="37">
        <f t="shared" ref="I98:I129" ca="1" si="77">IF(E98&gt;=4,1,0)</f>
        <v>0</v>
      </c>
      <c r="J98" s="37">
        <f t="shared" ref="J98:J129" ca="1" si="78">IF(E98&gt;=5,1,0)</f>
        <v>0</v>
      </c>
      <c r="K98" s="37">
        <f t="shared" ref="K98:K129" ca="1" si="79">IF(E98&gt;=6,1,0)</f>
        <v>0</v>
      </c>
      <c r="L98" s="37">
        <f t="shared" ca="1" si="72"/>
        <v>0</v>
      </c>
      <c r="M98" s="37">
        <f t="shared" ref="M98:M129" ca="1" si="80">IF(E98&gt;=8,1,0)</f>
        <v>0</v>
      </c>
      <c r="N98" s="37">
        <f t="shared" ref="N98:N129" ca="1" si="81">IF(E98&gt;=9,1,0)</f>
        <v>0</v>
      </c>
      <c r="O98" s="37">
        <f t="shared" ref="O98:O129" ca="1" si="82">IF(E98&gt;=10,1,0)</f>
        <v>0</v>
      </c>
      <c r="P98" s="39"/>
      <c r="Q98" s="28">
        <f t="shared" ref="Q98:Q129" ca="1" si="83">_xlfn.CHISQ.INV(RAND(),2)*$AO$4 *F98</f>
        <v>20499.689858879985</v>
      </c>
      <c r="R98" s="28">
        <f t="shared" ref="R98:R129" ca="1" si="84">_xlfn.CHISQ.INV(RAND(),2)*$AO$4 *G98</f>
        <v>7480.0769669783349</v>
      </c>
      <c r="S98" s="28">
        <f t="shared" ref="S98:S129" ca="1" si="85">_xlfn.CHISQ.INV(RAND(),2)*$AO$4 *H98</f>
        <v>25090.237855516323</v>
      </c>
      <c r="T98" s="28">
        <f t="shared" ref="T98:T129" ca="1" si="86">_xlfn.CHISQ.INV(RAND(),2)*$AO$4 *I98</f>
        <v>0</v>
      </c>
      <c r="U98" s="28">
        <f t="shared" ref="U98:U129" ca="1" si="87">_xlfn.CHISQ.INV(RAND(),2)*$AO$4 *J98</f>
        <v>0</v>
      </c>
      <c r="V98" s="28">
        <f t="shared" ref="V98:V129" ca="1" si="88">_xlfn.CHISQ.INV(RAND(),2)*$AO$4 *K98</f>
        <v>0</v>
      </c>
      <c r="W98" s="28">
        <f t="shared" ref="W98:W129" ca="1" si="89">_xlfn.CHISQ.INV(RAND(),2)*$AO$4 *L98</f>
        <v>0</v>
      </c>
      <c r="X98" s="28">
        <f t="shared" ref="X98:X129" ca="1" si="90">_xlfn.CHISQ.INV(RAND(),2)*$AO$4 *M98</f>
        <v>0</v>
      </c>
      <c r="Y98" s="28">
        <f t="shared" ref="Y98:Y129" ca="1" si="91">_xlfn.CHISQ.INV(RAND(),2)*$AO$4 *N98</f>
        <v>0</v>
      </c>
      <c r="Z98" s="28">
        <f t="shared" ref="Z98:Z129" ca="1" si="92">_xlfn.CHISQ.INV(RAND(),2)*$AO$4 *O98</f>
        <v>0</v>
      </c>
      <c r="AA98" s="41">
        <f t="shared" ref="AA98:AA129" ca="1" si="93">SUM(Q98:Z98)</f>
        <v>53070.004681374645</v>
      </c>
      <c r="AB98" s="162"/>
      <c r="AC98" s="92"/>
      <c r="AD98" s="92">
        <v>24</v>
      </c>
      <c r="AE98" s="92">
        <v>9911444.5001383424</v>
      </c>
      <c r="AF98" s="92">
        <v>16115573.498555556</v>
      </c>
      <c r="AG98" s="92">
        <v>931009.70316341519</v>
      </c>
      <c r="AH98" s="92">
        <v>-713942.7109747529</v>
      </c>
      <c r="AI98" s="92">
        <v>837032.2249558419</v>
      </c>
      <c r="AJ98" s="92">
        <v>4819947.6522437781</v>
      </c>
      <c r="AK98" s="92">
        <v>2907071.2200813591</v>
      </c>
      <c r="AL98" s="92">
        <v>3440729.6797893941</v>
      </c>
      <c r="AM98" s="92">
        <v>-8567047.7244256437</v>
      </c>
      <c r="AN98" s="213"/>
      <c r="AO98" s="215"/>
      <c r="AQ98" s="212">
        <v>84</v>
      </c>
      <c r="AR98" s="33">
        <v>4.6642857142857146</v>
      </c>
    </row>
    <row r="99" spans="1:44" ht="13.2">
      <c r="A99" s="30">
        <v>98</v>
      </c>
      <c r="B99" s="27">
        <v>40000</v>
      </c>
      <c r="C99" s="43"/>
      <c r="D99" s="32">
        <f t="shared" ca="1" si="73"/>
        <v>0.5963342052783287</v>
      </c>
      <c r="E99" s="35">
        <f t="shared" ca="1" si="70"/>
        <v>5</v>
      </c>
      <c r="F99" s="37">
        <f t="shared" ca="1" si="74"/>
        <v>1</v>
      </c>
      <c r="G99" s="37">
        <f t="shared" ca="1" si="75"/>
        <v>1</v>
      </c>
      <c r="H99" s="37">
        <f t="shared" ca="1" si="76"/>
        <v>1</v>
      </c>
      <c r="I99" s="37">
        <f t="shared" ca="1" si="77"/>
        <v>1</v>
      </c>
      <c r="J99" s="37">
        <f t="shared" ca="1" si="78"/>
        <v>1</v>
      </c>
      <c r="K99" s="37">
        <f t="shared" ca="1" si="79"/>
        <v>0</v>
      </c>
      <c r="L99" s="37">
        <f t="shared" ca="1" si="72"/>
        <v>0</v>
      </c>
      <c r="M99" s="37">
        <f t="shared" ca="1" si="80"/>
        <v>0</v>
      </c>
      <c r="N99" s="37">
        <f t="shared" ca="1" si="81"/>
        <v>0</v>
      </c>
      <c r="O99" s="37">
        <f t="shared" ca="1" si="82"/>
        <v>0</v>
      </c>
      <c r="P99" s="39"/>
      <c r="Q99" s="28">
        <f t="shared" ca="1" si="83"/>
        <v>7617.0288145500599</v>
      </c>
      <c r="R99" s="28">
        <f t="shared" ca="1" si="84"/>
        <v>19240.029173125102</v>
      </c>
      <c r="S99" s="28">
        <f t="shared" ca="1" si="85"/>
        <v>13876.111768393705</v>
      </c>
      <c r="T99" s="28">
        <f t="shared" ca="1" si="86"/>
        <v>40986.716316184982</v>
      </c>
      <c r="U99" s="28">
        <f t="shared" ca="1" si="87"/>
        <v>41688.223844592954</v>
      </c>
      <c r="V99" s="28">
        <f t="shared" ca="1" si="88"/>
        <v>0</v>
      </c>
      <c r="W99" s="28">
        <f t="shared" ca="1" si="89"/>
        <v>0</v>
      </c>
      <c r="X99" s="28">
        <f t="shared" ca="1" si="90"/>
        <v>0</v>
      </c>
      <c r="Y99" s="28">
        <f t="shared" ca="1" si="91"/>
        <v>0</v>
      </c>
      <c r="Z99" s="28">
        <f t="shared" ca="1" si="92"/>
        <v>0</v>
      </c>
      <c r="AA99" s="41">
        <f t="shared" ca="1" si="93"/>
        <v>123408.10991684679</v>
      </c>
      <c r="AB99" s="162"/>
      <c r="AC99" s="92"/>
      <c r="AD99" s="92">
        <v>25</v>
      </c>
      <c r="AE99" s="92">
        <v>8286506.6769319773</v>
      </c>
      <c r="AF99" s="92">
        <v>5605590.0181096494</v>
      </c>
      <c r="AG99" s="92">
        <v>6608931.3477001935</v>
      </c>
      <c r="AH99" s="92">
        <v>3234483.796522975</v>
      </c>
      <c r="AI99" s="92">
        <v>7870922.8405011743</v>
      </c>
      <c r="AJ99" s="92">
        <v>15348383.401489958</v>
      </c>
      <c r="AK99" s="92">
        <v>9209813.9129174501</v>
      </c>
      <c r="AL99" s="92">
        <v>212602.6238232106</v>
      </c>
      <c r="AM99" s="92">
        <v>-352448.82630904019</v>
      </c>
      <c r="AN99" s="213"/>
      <c r="AO99" s="215"/>
      <c r="AQ99" s="212">
        <v>85</v>
      </c>
      <c r="AR99" s="33">
        <v>4.4000000000000004</v>
      </c>
    </row>
    <row r="100" spans="1:44" ht="13.2">
      <c r="A100" s="30">
        <v>99</v>
      </c>
      <c r="B100" s="27">
        <v>40000</v>
      </c>
      <c r="C100" s="43"/>
      <c r="D100" s="32">
        <f t="shared" ca="1" si="73"/>
        <v>0.62563760184647998</v>
      </c>
      <c r="E100" s="35">
        <f t="shared" ca="1" si="70"/>
        <v>5</v>
      </c>
      <c r="F100" s="37">
        <f t="shared" ca="1" si="74"/>
        <v>1</v>
      </c>
      <c r="G100" s="37">
        <f t="shared" ca="1" si="75"/>
        <v>1</v>
      </c>
      <c r="H100" s="37">
        <f t="shared" ca="1" si="76"/>
        <v>1</v>
      </c>
      <c r="I100" s="37">
        <f t="shared" ca="1" si="77"/>
        <v>1</v>
      </c>
      <c r="J100" s="37">
        <f t="shared" ca="1" si="78"/>
        <v>1</v>
      </c>
      <c r="K100" s="37">
        <f t="shared" ca="1" si="79"/>
        <v>0</v>
      </c>
      <c r="L100" s="37">
        <f t="shared" ca="1" si="72"/>
        <v>0</v>
      </c>
      <c r="M100" s="37">
        <f t="shared" ca="1" si="80"/>
        <v>0</v>
      </c>
      <c r="N100" s="37">
        <f t="shared" ca="1" si="81"/>
        <v>0</v>
      </c>
      <c r="O100" s="37">
        <f t="shared" ca="1" si="82"/>
        <v>0</v>
      </c>
      <c r="P100" s="39"/>
      <c r="Q100" s="28">
        <f t="shared" ca="1" si="83"/>
        <v>3260.0258220995365</v>
      </c>
      <c r="R100" s="28">
        <f t="shared" ca="1" si="84"/>
        <v>7090.6119601244382</v>
      </c>
      <c r="S100" s="28">
        <f t="shared" ca="1" si="85"/>
        <v>63747.980898552167</v>
      </c>
      <c r="T100" s="28">
        <f t="shared" ca="1" si="86"/>
        <v>6591.3613426120864</v>
      </c>
      <c r="U100" s="28">
        <f t="shared" ca="1" si="87"/>
        <v>20999.696936880006</v>
      </c>
      <c r="V100" s="28">
        <f t="shared" ca="1" si="88"/>
        <v>0</v>
      </c>
      <c r="W100" s="28">
        <f t="shared" ca="1" si="89"/>
        <v>0</v>
      </c>
      <c r="X100" s="28">
        <f t="shared" ca="1" si="90"/>
        <v>0</v>
      </c>
      <c r="Y100" s="28">
        <f t="shared" ca="1" si="91"/>
        <v>0</v>
      </c>
      <c r="Z100" s="28">
        <f t="shared" ca="1" si="92"/>
        <v>0</v>
      </c>
      <c r="AA100" s="41">
        <f t="shared" ca="1" si="93"/>
        <v>101689.67696026823</v>
      </c>
      <c r="AB100" s="162"/>
      <c r="AC100" s="92"/>
      <c r="AD100" s="92">
        <v>26</v>
      </c>
      <c r="AE100" s="92">
        <v>11035805.052016214</v>
      </c>
      <c r="AF100" s="92">
        <v>-2209780.5391641557</v>
      </c>
      <c r="AG100" s="92">
        <v>12696332.445632935</v>
      </c>
      <c r="AH100" s="92">
        <v>-2356.8051276504993</v>
      </c>
      <c r="AI100" s="92">
        <v>-4469146.7325266302</v>
      </c>
      <c r="AJ100" s="92">
        <v>6042373.0904057324</v>
      </c>
      <c r="AK100" s="92">
        <v>4902591.5956303477</v>
      </c>
      <c r="AL100" s="92">
        <v>-2869280.1413379908</v>
      </c>
      <c r="AM100" s="92">
        <v>107207.8930593431</v>
      </c>
      <c r="AN100" s="213"/>
      <c r="AO100" s="215"/>
      <c r="AQ100" s="212">
        <v>86</v>
      </c>
      <c r="AR100" s="33">
        <v>4.3071428571428569</v>
      </c>
    </row>
    <row r="101" spans="1:44" ht="13.2">
      <c r="A101" s="30">
        <v>100</v>
      </c>
      <c r="B101" s="27">
        <v>40000</v>
      </c>
      <c r="C101" s="43"/>
      <c r="D101" s="32">
        <f t="shared" ca="1" si="73"/>
        <v>0.39521874585997319</v>
      </c>
      <c r="E101" s="35">
        <f t="shared" ca="1" si="70"/>
        <v>3</v>
      </c>
      <c r="F101" s="37">
        <f t="shared" ca="1" si="74"/>
        <v>1</v>
      </c>
      <c r="G101" s="37">
        <f t="shared" ca="1" si="75"/>
        <v>1</v>
      </c>
      <c r="H101" s="37">
        <f t="shared" ca="1" si="76"/>
        <v>1</v>
      </c>
      <c r="I101" s="37">
        <f t="shared" ca="1" si="77"/>
        <v>0</v>
      </c>
      <c r="J101" s="37">
        <f t="shared" ca="1" si="78"/>
        <v>0</v>
      </c>
      <c r="K101" s="37">
        <f t="shared" ca="1" si="79"/>
        <v>0</v>
      </c>
      <c r="L101" s="37">
        <f t="shared" ca="1" si="72"/>
        <v>0</v>
      </c>
      <c r="M101" s="37">
        <f t="shared" ca="1" si="80"/>
        <v>0</v>
      </c>
      <c r="N101" s="37">
        <f t="shared" ca="1" si="81"/>
        <v>0</v>
      </c>
      <c r="O101" s="37">
        <f t="shared" ca="1" si="82"/>
        <v>0</v>
      </c>
      <c r="P101" s="39"/>
      <c r="Q101" s="28">
        <f t="shared" ca="1" si="83"/>
        <v>13561.73362632114</v>
      </c>
      <c r="R101" s="28">
        <f t="shared" ca="1" si="84"/>
        <v>21011.983913861957</v>
      </c>
      <c r="S101" s="28">
        <f t="shared" ca="1" si="85"/>
        <v>18944.7356867956</v>
      </c>
      <c r="T101" s="28">
        <f t="shared" ca="1" si="86"/>
        <v>0</v>
      </c>
      <c r="U101" s="28">
        <f t="shared" ca="1" si="87"/>
        <v>0</v>
      </c>
      <c r="V101" s="28">
        <f t="shared" ca="1" si="88"/>
        <v>0</v>
      </c>
      <c r="W101" s="28">
        <f t="shared" ca="1" si="89"/>
        <v>0</v>
      </c>
      <c r="X101" s="28">
        <f t="shared" ca="1" si="90"/>
        <v>0</v>
      </c>
      <c r="Y101" s="28">
        <f t="shared" ca="1" si="91"/>
        <v>0</v>
      </c>
      <c r="Z101" s="28">
        <f t="shared" ca="1" si="92"/>
        <v>0</v>
      </c>
      <c r="AA101" s="41">
        <f t="shared" ca="1" si="93"/>
        <v>53518.453226978701</v>
      </c>
      <c r="AB101" s="162"/>
      <c r="AC101" s="92"/>
      <c r="AD101" s="92">
        <v>27</v>
      </c>
      <c r="AE101" s="92">
        <v>4225913.1748286188</v>
      </c>
      <c r="AF101" s="92">
        <v>4750224.9678316116</v>
      </c>
      <c r="AG101" s="92">
        <v>817459.66459643841</v>
      </c>
      <c r="AH101" s="92">
        <v>4290739.2283143103</v>
      </c>
      <c r="AI101" s="92">
        <v>2638522.579968363</v>
      </c>
      <c r="AJ101" s="92">
        <v>-1101836.2953815758</v>
      </c>
      <c r="AK101" s="92">
        <v>-977508.46646493673</v>
      </c>
      <c r="AL101" s="92">
        <v>5055174.3826384246</v>
      </c>
      <c r="AM101" s="92">
        <v>-14572360.76759021</v>
      </c>
      <c r="AN101" s="213"/>
      <c r="AO101" s="215"/>
      <c r="AQ101" s="212">
        <v>87</v>
      </c>
      <c r="AR101" s="33">
        <v>4.45</v>
      </c>
    </row>
    <row r="102" spans="1:44" ht="13.2">
      <c r="A102" s="30">
        <v>101</v>
      </c>
      <c r="B102" s="27">
        <v>40000</v>
      </c>
      <c r="C102" s="43"/>
      <c r="D102" s="32">
        <f t="shared" ca="1" si="73"/>
        <v>0.54380363930961961</v>
      </c>
      <c r="E102" s="35">
        <f t="shared" ca="1" si="70"/>
        <v>4</v>
      </c>
      <c r="F102" s="37">
        <f t="shared" ca="1" si="74"/>
        <v>1</v>
      </c>
      <c r="G102" s="37">
        <f t="shared" ca="1" si="75"/>
        <v>1</v>
      </c>
      <c r="H102" s="37">
        <f t="shared" ca="1" si="76"/>
        <v>1</v>
      </c>
      <c r="I102" s="37">
        <f t="shared" ca="1" si="77"/>
        <v>1</v>
      </c>
      <c r="J102" s="37">
        <f t="shared" ca="1" si="78"/>
        <v>0</v>
      </c>
      <c r="K102" s="37">
        <f t="shared" ca="1" si="79"/>
        <v>0</v>
      </c>
      <c r="L102" s="37">
        <f t="shared" ca="1" si="72"/>
        <v>0</v>
      </c>
      <c r="M102" s="37">
        <f t="shared" ca="1" si="80"/>
        <v>0</v>
      </c>
      <c r="N102" s="37">
        <f t="shared" ca="1" si="81"/>
        <v>0</v>
      </c>
      <c r="O102" s="37">
        <f t="shared" ca="1" si="82"/>
        <v>0</v>
      </c>
      <c r="P102" s="39"/>
      <c r="Q102" s="28">
        <f t="shared" ca="1" si="83"/>
        <v>26235.902143140484</v>
      </c>
      <c r="R102" s="28">
        <f t="shared" ca="1" si="84"/>
        <v>3755.282479471543</v>
      </c>
      <c r="S102" s="28">
        <f t="shared" ca="1" si="85"/>
        <v>38531.730277856783</v>
      </c>
      <c r="T102" s="28">
        <f t="shared" ca="1" si="86"/>
        <v>22348.717187309219</v>
      </c>
      <c r="U102" s="28">
        <f t="shared" ca="1" si="87"/>
        <v>0</v>
      </c>
      <c r="V102" s="28">
        <f t="shared" ca="1" si="88"/>
        <v>0</v>
      </c>
      <c r="W102" s="28">
        <f t="shared" ca="1" si="89"/>
        <v>0</v>
      </c>
      <c r="X102" s="28">
        <f t="shared" ca="1" si="90"/>
        <v>0</v>
      </c>
      <c r="Y102" s="28">
        <f t="shared" ca="1" si="91"/>
        <v>0</v>
      </c>
      <c r="Z102" s="28">
        <f t="shared" ca="1" si="92"/>
        <v>0</v>
      </c>
      <c r="AA102" s="41">
        <f t="shared" ca="1" si="93"/>
        <v>90871.632087778024</v>
      </c>
      <c r="AB102" s="162"/>
      <c r="AC102" s="92"/>
      <c r="AD102" s="92">
        <v>28</v>
      </c>
      <c r="AE102" s="92">
        <v>6349096.9775280058</v>
      </c>
      <c r="AF102" s="92">
        <v>1028603.6729650497</v>
      </c>
      <c r="AG102" s="92">
        <v>8890637.5598018318</v>
      </c>
      <c r="AH102" s="92">
        <v>11977906.86494112</v>
      </c>
      <c r="AI102" s="92">
        <v>22690.011874035001</v>
      </c>
      <c r="AJ102" s="92">
        <v>-1625425.2692748904</v>
      </c>
      <c r="AK102" s="92">
        <v>-5246435.5363376439</v>
      </c>
      <c r="AL102" s="92">
        <v>-1276624.7822537273</v>
      </c>
      <c r="AM102" s="92">
        <v>2803514.5721313357</v>
      </c>
      <c r="AN102" s="213"/>
      <c r="AO102" s="215"/>
      <c r="AQ102" s="212">
        <v>88</v>
      </c>
      <c r="AR102" s="33">
        <v>4.2928571428571427</v>
      </c>
    </row>
    <row r="103" spans="1:44" ht="13.2">
      <c r="A103" s="30">
        <v>102</v>
      </c>
      <c r="B103" s="27">
        <v>40000</v>
      </c>
      <c r="C103" s="43"/>
      <c r="D103" s="32">
        <f t="shared" ca="1" si="73"/>
        <v>0.68304115595223458</v>
      </c>
      <c r="E103" s="35">
        <f t="shared" ca="1" si="70"/>
        <v>6</v>
      </c>
      <c r="F103" s="37">
        <f t="shared" ca="1" si="74"/>
        <v>1</v>
      </c>
      <c r="G103" s="37">
        <f t="shared" ca="1" si="75"/>
        <v>1</v>
      </c>
      <c r="H103" s="37">
        <f t="shared" ca="1" si="76"/>
        <v>1</v>
      </c>
      <c r="I103" s="37">
        <f t="shared" ca="1" si="77"/>
        <v>1</v>
      </c>
      <c r="J103" s="37">
        <f t="shared" ca="1" si="78"/>
        <v>1</v>
      </c>
      <c r="K103" s="37">
        <f t="shared" ca="1" si="79"/>
        <v>1</v>
      </c>
      <c r="L103" s="37">
        <f t="shared" ca="1" si="72"/>
        <v>0</v>
      </c>
      <c r="M103" s="37">
        <f t="shared" ca="1" si="80"/>
        <v>0</v>
      </c>
      <c r="N103" s="37">
        <f t="shared" ca="1" si="81"/>
        <v>0</v>
      </c>
      <c r="O103" s="37">
        <f t="shared" ca="1" si="82"/>
        <v>0</v>
      </c>
      <c r="P103" s="39"/>
      <c r="Q103" s="28">
        <f t="shared" ca="1" si="83"/>
        <v>10328.538126293954</v>
      </c>
      <c r="R103" s="28">
        <f t="shared" ca="1" si="84"/>
        <v>15460.21317501979</v>
      </c>
      <c r="S103" s="28">
        <f t="shared" ca="1" si="85"/>
        <v>7782.773877670913</v>
      </c>
      <c r="T103" s="28">
        <f t="shared" ca="1" si="86"/>
        <v>6410.256230777316</v>
      </c>
      <c r="U103" s="28">
        <f t="shared" ca="1" si="87"/>
        <v>23070.737178498806</v>
      </c>
      <c r="V103" s="28">
        <f t="shared" ca="1" si="88"/>
        <v>52169.340926517019</v>
      </c>
      <c r="W103" s="28">
        <f t="shared" ca="1" si="89"/>
        <v>0</v>
      </c>
      <c r="X103" s="28">
        <f t="shared" ca="1" si="90"/>
        <v>0</v>
      </c>
      <c r="Y103" s="28">
        <f t="shared" ca="1" si="91"/>
        <v>0</v>
      </c>
      <c r="Z103" s="28">
        <f t="shared" ca="1" si="92"/>
        <v>0</v>
      </c>
      <c r="AA103" s="41">
        <f t="shared" ca="1" si="93"/>
        <v>115221.85951477781</v>
      </c>
      <c r="AB103" s="162"/>
      <c r="AC103" s="92"/>
      <c r="AD103" s="92">
        <v>29</v>
      </c>
      <c r="AE103" s="92">
        <v>20014170.109092683</v>
      </c>
      <c r="AF103" s="92">
        <v>17240481.905710727</v>
      </c>
      <c r="AG103" s="92">
        <v>3838510.7890522182</v>
      </c>
      <c r="AH103" s="92">
        <v>-1707086.4984135628</v>
      </c>
      <c r="AI103" s="92">
        <v>-2198478.6447750926</v>
      </c>
      <c r="AJ103" s="92">
        <v>10888375.379443556</v>
      </c>
      <c r="AK103" s="92">
        <v>7204007.360087797</v>
      </c>
      <c r="AL103" s="92">
        <v>-2907086.1670324653</v>
      </c>
      <c r="AM103" s="92">
        <v>-12677233.82589522</v>
      </c>
      <c r="AN103" s="213"/>
      <c r="AO103" s="215"/>
      <c r="AQ103" s="212">
        <v>89</v>
      </c>
      <c r="AR103" s="33">
        <v>4.0142857142857142</v>
      </c>
    </row>
    <row r="104" spans="1:44" ht="13.2">
      <c r="A104" s="30">
        <v>103</v>
      </c>
      <c r="B104" s="27">
        <v>40000</v>
      </c>
      <c r="C104" s="43"/>
      <c r="D104" s="32">
        <f t="shared" ca="1" si="73"/>
        <v>7.0394980344470559E-2</v>
      </c>
      <c r="E104" s="35">
        <f t="shared" ca="1" si="70"/>
        <v>1</v>
      </c>
      <c r="F104" s="37">
        <f t="shared" ca="1" si="74"/>
        <v>1</v>
      </c>
      <c r="G104" s="37">
        <f t="shared" ca="1" si="75"/>
        <v>0</v>
      </c>
      <c r="H104" s="37">
        <f t="shared" ca="1" si="76"/>
        <v>0</v>
      </c>
      <c r="I104" s="37">
        <f t="shared" ca="1" si="77"/>
        <v>0</v>
      </c>
      <c r="J104" s="37">
        <f t="shared" ca="1" si="78"/>
        <v>0</v>
      </c>
      <c r="K104" s="37">
        <f t="shared" ca="1" si="79"/>
        <v>0</v>
      </c>
      <c r="L104" s="37">
        <f t="shared" ref="L104:L135" ca="1" si="94">IF(E104&gt;=7,1,0)</f>
        <v>0</v>
      </c>
      <c r="M104" s="37">
        <f t="shared" ca="1" si="80"/>
        <v>0</v>
      </c>
      <c r="N104" s="37">
        <f t="shared" ca="1" si="81"/>
        <v>0</v>
      </c>
      <c r="O104" s="37">
        <f t="shared" ca="1" si="82"/>
        <v>0</v>
      </c>
      <c r="P104" s="39"/>
      <c r="Q104" s="28">
        <f t="shared" ca="1" si="83"/>
        <v>36022.474930207019</v>
      </c>
      <c r="R104" s="28">
        <f t="shared" ca="1" si="84"/>
        <v>0</v>
      </c>
      <c r="S104" s="28">
        <f t="shared" ca="1" si="85"/>
        <v>0</v>
      </c>
      <c r="T104" s="28">
        <f t="shared" ca="1" si="86"/>
        <v>0</v>
      </c>
      <c r="U104" s="28">
        <f t="shared" ca="1" si="87"/>
        <v>0</v>
      </c>
      <c r="V104" s="28">
        <f t="shared" ca="1" si="88"/>
        <v>0</v>
      </c>
      <c r="W104" s="28">
        <f t="shared" ca="1" si="89"/>
        <v>0</v>
      </c>
      <c r="X104" s="28">
        <f t="shared" ca="1" si="90"/>
        <v>0</v>
      </c>
      <c r="Y104" s="28">
        <f t="shared" ca="1" si="91"/>
        <v>0</v>
      </c>
      <c r="Z104" s="28">
        <f t="shared" ca="1" si="92"/>
        <v>0</v>
      </c>
      <c r="AA104" s="41">
        <f t="shared" ca="1" si="93"/>
        <v>36022.474930207019</v>
      </c>
      <c r="AB104" s="162"/>
      <c r="AC104" s="92"/>
      <c r="AD104" s="92">
        <v>30</v>
      </c>
      <c r="AE104" s="92">
        <v>-1920315.2958076</v>
      </c>
      <c r="AF104" s="92">
        <v>15199811.374103695</v>
      </c>
      <c r="AG104" s="92">
        <v>11468877.182737976</v>
      </c>
      <c r="AH104" s="92">
        <v>-1613393.4109402895</v>
      </c>
      <c r="AI104" s="92">
        <v>1731655.7119880468</v>
      </c>
      <c r="AJ104" s="92">
        <v>-352238.1866710186</v>
      </c>
      <c r="AK104" s="92">
        <v>1826210.1980861425</v>
      </c>
      <c r="AL104" s="92">
        <v>-5568684.7175522447</v>
      </c>
      <c r="AM104" s="92">
        <v>4637889.9143368602</v>
      </c>
      <c r="AN104" s="213"/>
      <c r="AO104" s="215"/>
      <c r="AQ104" s="212">
        <v>90</v>
      </c>
      <c r="AR104" s="33">
        <v>4.4642857142857144</v>
      </c>
    </row>
    <row r="105" spans="1:44" ht="13.2">
      <c r="A105" s="30">
        <v>104</v>
      </c>
      <c r="B105" s="27">
        <v>40000</v>
      </c>
      <c r="C105" s="43"/>
      <c r="D105" s="32">
        <f t="shared" ca="1" si="73"/>
        <v>0.19898712082325942</v>
      </c>
      <c r="E105" s="35">
        <f t="shared" ca="1" si="70"/>
        <v>2</v>
      </c>
      <c r="F105" s="37">
        <f t="shared" ca="1" si="74"/>
        <v>1</v>
      </c>
      <c r="G105" s="37">
        <f t="shared" ca="1" si="75"/>
        <v>1</v>
      </c>
      <c r="H105" s="37">
        <f t="shared" ca="1" si="76"/>
        <v>0</v>
      </c>
      <c r="I105" s="37">
        <f t="shared" ca="1" si="77"/>
        <v>0</v>
      </c>
      <c r="J105" s="37">
        <f t="shared" ca="1" si="78"/>
        <v>0</v>
      </c>
      <c r="K105" s="37">
        <f t="shared" ca="1" si="79"/>
        <v>0</v>
      </c>
      <c r="L105" s="37">
        <f t="shared" ca="1" si="94"/>
        <v>0</v>
      </c>
      <c r="M105" s="37">
        <f t="shared" ca="1" si="80"/>
        <v>0</v>
      </c>
      <c r="N105" s="37">
        <f t="shared" ca="1" si="81"/>
        <v>0</v>
      </c>
      <c r="O105" s="37">
        <f t="shared" ca="1" si="82"/>
        <v>0</v>
      </c>
      <c r="P105" s="39"/>
      <c r="Q105" s="28">
        <f t="shared" ca="1" si="83"/>
        <v>39596.364418532547</v>
      </c>
      <c r="R105" s="28">
        <f t="shared" ca="1" si="84"/>
        <v>59809.734611638756</v>
      </c>
      <c r="S105" s="28">
        <f t="shared" ca="1" si="85"/>
        <v>0</v>
      </c>
      <c r="T105" s="28">
        <f t="shared" ca="1" si="86"/>
        <v>0</v>
      </c>
      <c r="U105" s="28">
        <f t="shared" ca="1" si="87"/>
        <v>0</v>
      </c>
      <c r="V105" s="28">
        <f t="shared" ca="1" si="88"/>
        <v>0</v>
      </c>
      <c r="W105" s="28">
        <f t="shared" ca="1" si="89"/>
        <v>0</v>
      </c>
      <c r="X105" s="28">
        <f t="shared" ca="1" si="90"/>
        <v>0</v>
      </c>
      <c r="Y105" s="28">
        <f t="shared" ca="1" si="91"/>
        <v>0</v>
      </c>
      <c r="Z105" s="28">
        <f t="shared" ca="1" si="92"/>
        <v>0</v>
      </c>
      <c r="AA105" s="41">
        <f t="shared" ca="1" si="93"/>
        <v>99406.099030171303</v>
      </c>
      <c r="AB105" s="162"/>
      <c r="AC105" s="92"/>
      <c r="AD105" s="92">
        <v>31</v>
      </c>
      <c r="AE105" s="92">
        <v>2534705.3210138232</v>
      </c>
      <c r="AF105" s="92">
        <v>19420472.562889323</v>
      </c>
      <c r="AG105" s="92">
        <v>13149735.875176936</v>
      </c>
      <c r="AH105" s="92">
        <v>6943544.7402763516</v>
      </c>
      <c r="AI105" s="92">
        <v>9560594.6334069818</v>
      </c>
      <c r="AJ105" s="92">
        <v>3560507.6178197414</v>
      </c>
      <c r="AK105" s="92">
        <v>-131973.66097255051</v>
      </c>
      <c r="AL105" s="92">
        <v>-15595516.686287686</v>
      </c>
      <c r="AM105" s="92">
        <v>-1778791.8353477418</v>
      </c>
      <c r="AN105" s="213"/>
      <c r="AO105" s="215"/>
      <c r="AQ105" s="212">
        <v>91</v>
      </c>
      <c r="AR105" s="33">
        <v>4.5</v>
      </c>
    </row>
    <row r="106" spans="1:44" ht="13.2">
      <c r="A106" s="30">
        <v>105</v>
      </c>
      <c r="B106" s="27">
        <v>40000</v>
      </c>
      <c r="C106" s="43"/>
      <c r="D106" s="32">
        <f t="shared" ca="1" si="73"/>
        <v>0.62010187682858364</v>
      </c>
      <c r="E106" s="35">
        <f t="shared" ca="1" si="70"/>
        <v>5</v>
      </c>
      <c r="F106" s="37">
        <f t="shared" ca="1" si="74"/>
        <v>1</v>
      </c>
      <c r="G106" s="37">
        <f t="shared" ca="1" si="75"/>
        <v>1</v>
      </c>
      <c r="H106" s="37">
        <f t="shared" ca="1" si="76"/>
        <v>1</v>
      </c>
      <c r="I106" s="37">
        <f t="shared" ca="1" si="77"/>
        <v>1</v>
      </c>
      <c r="J106" s="37">
        <f t="shared" ca="1" si="78"/>
        <v>1</v>
      </c>
      <c r="K106" s="37">
        <f t="shared" ca="1" si="79"/>
        <v>0</v>
      </c>
      <c r="L106" s="37">
        <f t="shared" ca="1" si="94"/>
        <v>0</v>
      </c>
      <c r="M106" s="37">
        <f t="shared" ca="1" si="80"/>
        <v>0</v>
      </c>
      <c r="N106" s="37">
        <f t="shared" ca="1" si="81"/>
        <v>0</v>
      </c>
      <c r="O106" s="37">
        <f t="shared" ca="1" si="82"/>
        <v>0</v>
      </c>
      <c r="P106" s="39"/>
      <c r="Q106" s="28">
        <f t="shared" ca="1" si="83"/>
        <v>49333.023910184173</v>
      </c>
      <c r="R106" s="28">
        <f t="shared" ca="1" si="84"/>
        <v>15795.571228823297</v>
      </c>
      <c r="S106" s="28">
        <f t="shared" ca="1" si="85"/>
        <v>20549.962883648408</v>
      </c>
      <c r="T106" s="28">
        <f t="shared" ca="1" si="86"/>
        <v>4665.640386357898</v>
      </c>
      <c r="U106" s="28">
        <f t="shared" ca="1" si="87"/>
        <v>3535.4379286353378</v>
      </c>
      <c r="V106" s="28">
        <f t="shared" ca="1" si="88"/>
        <v>0</v>
      </c>
      <c r="W106" s="28">
        <f t="shared" ca="1" si="89"/>
        <v>0</v>
      </c>
      <c r="X106" s="28">
        <f t="shared" ca="1" si="90"/>
        <v>0</v>
      </c>
      <c r="Y106" s="28">
        <f t="shared" ca="1" si="91"/>
        <v>0</v>
      </c>
      <c r="Z106" s="28">
        <f t="shared" ca="1" si="92"/>
        <v>0</v>
      </c>
      <c r="AA106" s="41">
        <f t="shared" ca="1" si="93"/>
        <v>93879.636337649121</v>
      </c>
      <c r="AB106" s="162"/>
      <c r="AC106" s="92"/>
      <c r="AD106" s="92">
        <v>32</v>
      </c>
      <c r="AE106" s="92">
        <v>14591959.084677622</v>
      </c>
      <c r="AF106" s="92">
        <v>12307464.078237355</v>
      </c>
      <c r="AG106" s="92">
        <v>4063949.4095386714</v>
      </c>
      <c r="AH106" s="92">
        <v>12142471.178657502</v>
      </c>
      <c r="AI106" s="92">
        <v>9513474.7903287858</v>
      </c>
      <c r="AJ106" s="92">
        <v>3300200.906062305</v>
      </c>
      <c r="AK106" s="92">
        <v>-3022648.2744694948</v>
      </c>
      <c r="AL106" s="92">
        <v>5248415.8131145388</v>
      </c>
      <c r="AM106" s="92">
        <v>-10286400.369087934</v>
      </c>
      <c r="AN106" s="213"/>
      <c r="AO106" s="215"/>
      <c r="AQ106" s="212">
        <v>92</v>
      </c>
      <c r="AR106" s="33">
        <v>4.5</v>
      </c>
    </row>
    <row r="107" spans="1:44" ht="13.2">
      <c r="A107" s="30">
        <v>106</v>
      </c>
      <c r="B107" s="27">
        <v>40000</v>
      </c>
      <c r="C107" s="43"/>
      <c r="D107" s="32">
        <f t="shared" ca="1" si="73"/>
        <v>0.36820489663468858</v>
      </c>
      <c r="E107" s="35">
        <f t="shared" ca="1" si="70"/>
        <v>3</v>
      </c>
      <c r="F107" s="37">
        <f t="shared" ca="1" si="74"/>
        <v>1</v>
      </c>
      <c r="G107" s="37">
        <f t="shared" ca="1" si="75"/>
        <v>1</v>
      </c>
      <c r="H107" s="37">
        <f t="shared" ca="1" si="76"/>
        <v>1</v>
      </c>
      <c r="I107" s="37">
        <f t="shared" ca="1" si="77"/>
        <v>0</v>
      </c>
      <c r="J107" s="37">
        <f t="shared" ca="1" si="78"/>
        <v>0</v>
      </c>
      <c r="K107" s="37">
        <f t="shared" ca="1" si="79"/>
        <v>0</v>
      </c>
      <c r="L107" s="37">
        <f t="shared" ca="1" si="94"/>
        <v>0</v>
      </c>
      <c r="M107" s="37">
        <f t="shared" ca="1" si="80"/>
        <v>0</v>
      </c>
      <c r="N107" s="37">
        <f t="shared" ca="1" si="81"/>
        <v>0</v>
      </c>
      <c r="O107" s="37">
        <f t="shared" ca="1" si="82"/>
        <v>0</v>
      </c>
      <c r="P107" s="39"/>
      <c r="Q107" s="28">
        <f t="shared" ca="1" si="83"/>
        <v>31976.972917383326</v>
      </c>
      <c r="R107" s="28">
        <f t="shared" ca="1" si="84"/>
        <v>11713.372050180635</v>
      </c>
      <c r="S107" s="28">
        <f t="shared" ca="1" si="85"/>
        <v>10996.863124860496</v>
      </c>
      <c r="T107" s="28">
        <f t="shared" ca="1" si="86"/>
        <v>0</v>
      </c>
      <c r="U107" s="28">
        <f t="shared" ca="1" si="87"/>
        <v>0</v>
      </c>
      <c r="V107" s="28">
        <f t="shared" ca="1" si="88"/>
        <v>0</v>
      </c>
      <c r="W107" s="28">
        <f t="shared" ca="1" si="89"/>
        <v>0</v>
      </c>
      <c r="X107" s="28">
        <f t="shared" ca="1" si="90"/>
        <v>0</v>
      </c>
      <c r="Y107" s="28">
        <f t="shared" ca="1" si="91"/>
        <v>0</v>
      </c>
      <c r="Z107" s="28">
        <f t="shared" ca="1" si="92"/>
        <v>0</v>
      </c>
      <c r="AA107" s="41">
        <f t="shared" ca="1" si="93"/>
        <v>54687.208092424451</v>
      </c>
      <c r="AB107" s="162"/>
      <c r="AC107" s="92"/>
      <c r="AD107" s="92">
        <v>33</v>
      </c>
      <c r="AE107" s="92">
        <v>11970500.572856352</v>
      </c>
      <c r="AF107" s="92">
        <v>13740549.27663365</v>
      </c>
      <c r="AG107" s="92">
        <v>3450049.9277453721</v>
      </c>
      <c r="AH107" s="92">
        <v>2542652.4061511457</v>
      </c>
      <c r="AI107" s="92">
        <v>-2900725.393455267</v>
      </c>
      <c r="AJ107" s="92">
        <v>-93044.546769812703</v>
      </c>
      <c r="AK107" s="92">
        <v>5698569.5728003085</v>
      </c>
      <c r="AL107" s="92">
        <v>6778351.7332659513</v>
      </c>
      <c r="AM107" s="92">
        <v>-5664369.6579765677</v>
      </c>
      <c r="AN107" s="213"/>
      <c r="AO107" s="215"/>
      <c r="AQ107" s="212">
        <v>93</v>
      </c>
      <c r="AR107" s="33">
        <v>4.4142857142857146</v>
      </c>
    </row>
    <row r="108" spans="1:44" ht="13.2">
      <c r="A108" s="30">
        <v>107</v>
      </c>
      <c r="B108" s="27">
        <v>40000</v>
      </c>
      <c r="C108" s="43"/>
      <c r="D108" s="32">
        <f t="shared" ca="1" si="73"/>
        <v>0.81836650269981492</v>
      </c>
      <c r="E108" s="35">
        <f t="shared" ca="1" si="70"/>
        <v>7</v>
      </c>
      <c r="F108" s="37">
        <f t="shared" ca="1" si="74"/>
        <v>1</v>
      </c>
      <c r="G108" s="37">
        <f t="shared" ca="1" si="75"/>
        <v>1</v>
      </c>
      <c r="H108" s="37">
        <f t="shared" ca="1" si="76"/>
        <v>1</v>
      </c>
      <c r="I108" s="37">
        <f t="shared" ca="1" si="77"/>
        <v>1</v>
      </c>
      <c r="J108" s="37">
        <f t="shared" ca="1" si="78"/>
        <v>1</v>
      </c>
      <c r="K108" s="37">
        <f t="shared" ca="1" si="79"/>
        <v>1</v>
      </c>
      <c r="L108" s="37">
        <f t="shared" ca="1" si="94"/>
        <v>1</v>
      </c>
      <c r="M108" s="37">
        <f t="shared" ca="1" si="80"/>
        <v>0</v>
      </c>
      <c r="N108" s="37">
        <f t="shared" ca="1" si="81"/>
        <v>0</v>
      </c>
      <c r="O108" s="37">
        <f t="shared" ca="1" si="82"/>
        <v>0</v>
      </c>
      <c r="P108" s="39"/>
      <c r="Q108" s="28">
        <f t="shared" ca="1" si="83"/>
        <v>16825.912577369902</v>
      </c>
      <c r="R108" s="28">
        <f t="shared" ca="1" si="84"/>
        <v>15227.968727483674</v>
      </c>
      <c r="S108" s="28">
        <f t="shared" ca="1" si="85"/>
        <v>7789.8195108761993</v>
      </c>
      <c r="T108" s="28">
        <f t="shared" ca="1" si="86"/>
        <v>5762.1010672029834</v>
      </c>
      <c r="U108" s="28">
        <f t="shared" ca="1" si="87"/>
        <v>14996.122573373985</v>
      </c>
      <c r="V108" s="28">
        <f t="shared" ca="1" si="88"/>
        <v>57717.142648051464</v>
      </c>
      <c r="W108" s="28">
        <f t="shared" ca="1" si="89"/>
        <v>1974.4850273659597</v>
      </c>
      <c r="X108" s="28">
        <f t="shared" ca="1" si="90"/>
        <v>0</v>
      </c>
      <c r="Y108" s="28">
        <f t="shared" ca="1" si="91"/>
        <v>0</v>
      </c>
      <c r="Z108" s="28">
        <f t="shared" ca="1" si="92"/>
        <v>0</v>
      </c>
      <c r="AA108" s="41">
        <f t="shared" ca="1" si="93"/>
        <v>120293.55213172415</v>
      </c>
      <c r="AB108" s="162"/>
      <c r="AC108" s="92"/>
      <c r="AD108" s="92">
        <v>34</v>
      </c>
      <c r="AE108" s="92">
        <v>10773942.890500054</v>
      </c>
      <c r="AF108" s="92">
        <v>4707060.2184302509</v>
      </c>
      <c r="AG108" s="92">
        <v>-738777.091272071</v>
      </c>
      <c r="AH108" s="92">
        <v>5969320.3350096345</v>
      </c>
      <c r="AI108" s="92">
        <v>1691274.4197065681</v>
      </c>
      <c r="AJ108" s="92">
        <v>-2637316.6513173282</v>
      </c>
      <c r="AK108" s="92">
        <v>8063381.0100481063</v>
      </c>
      <c r="AL108" s="92">
        <v>-4658475.5898550004</v>
      </c>
      <c r="AM108" s="92">
        <v>9317114.9797918499</v>
      </c>
      <c r="AN108" s="213"/>
      <c r="AO108" s="215"/>
      <c r="AQ108" s="212">
        <v>94</v>
      </c>
      <c r="AR108" s="33">
        <v>4.2357142857142858</v>
      </c>
    </row>
    <row r="109" spans="1:44" ht="13.2">
      <c r="A109" s="30">
        <v>108</v>
      </c>
      <c r="B109" s="27">
        <v>40000</v>
      </c>
      <c r="C109" s="43"/>
      <c r="D109" s="32">
        <f t="shared" ca="1" si="73"/>
        <v>0.18235109893820423</v>
      </c>
      <c r="E109" s="35">
        <f t="shared" ca="1" si="70"/>
        <v>2</v>
      </c>
      <c r="F109" s="37">
        <f t="shared" ca="1" si="74"/>
        <v>1</v>
      </c>
      <c r="G109" s="37">
        <f t="shared" ca="1" si="75"/>
        <v>1</v>
      </c>
      <c r="H109" s="37">
        <f t="shared" ca="1" si="76"/>
        <v>0</v>
      </c>
      <c r="I109" s="37">
        <f t="shared" ca="1" si="77"/>
        <v>0</v>
      </c>
      <c r="J109" s="37">
        <f t="shared" ca="1" si="78"/>
        <v>0</v>
      </c>
      <c r="K109" s="37">
        <f t="shared" ca="1" si="79"/>
        <v>0</v>
      </c>
      <c r="L109" s="37">
        <f t="shared" ca="1" si="94"/>
        <v>0</v>
      </c>
      <c r="M109" s="37">
        <f t="shared" ca="1" si="80"/>
        <v>0</v>
      </c>
      <c r="N109" s="37">
        <f t="shared" ca="1" si="81"/>
        <v>0</v>
      </c>
      <c r="O109" s="37">
        <f t="shared" ca="1" si="82"/>
        <v>0</v>
      </c>
      <c r="P109" s="39"/>
      <c r="Q109" s="28">
        <f t="shared" ca="1" si="83"/>
        <v>1901.1236136444315</v>
      </c>
      <c r="R109" s="28">
        <f t="shared" ca="1" si="84"/>
        <v>8106.2684766319808</v>
      </c>
      <c r="S109" s="28">
        <f t="shared" ca="1" si="85"/>
        <v>0</v>
      </c>
      <c r="T109" s="28">
        <f t="shared" ca="1" si="86"/>
        <v>0</v>
      </c>
      <c r="U109" s="28">
        <f t="shared" ca="1" si="87"/>
        <v>0</v>
      </c>
      <c r="V109" s="28">
        <f t="shared" ca="1" si="88"/>
        <v>0</v>
      </c>
      <c r="W109" s="28">
        <f t="shared" ca="1" si="89"/>
        <v>0</v>
      </c>
      <c r="X109" s="28">
        <f t="shared" ca="1" si="90"/>
        <v>0</v>
      </c>
      <c r="Y109" s="28">
        <f t="shared" ca="1" si="91"/>
        <v>0</v>
      </c>
      <c r="Z109" s="28">
        <f t="shared" ca="1" si="92"/>
        <v>0</v>
      </c>
      <c r="AA109" s="41">
        <f t="shared" ca="1" si="93"/>
        <v>10007.392090276413</v>
      </c>
      <c r="AB109" s="162"/>
      <c r="AC109" s="92"/>
      <c r="AD109" s="92">
        <v>35</v>
      </c>
      <c r="AE109" s="92">
        <v>2893509.4619727433</v>
      </c>
      <c r="AF109" s="92">
        <v>3579733.6365228593</v>
      </c>
      <c r="AG109" s="92">
        <v>10393344.458817676</v>
      </c>
      <c r="AH109" s="92">
        <v>4054678.7878356725</v>
      </c>
      <c r="AI109" s="92">
        <v>-1413122.6461240947</v>
      </c>
      <c r="AJ109" s="92">
        <v>-54589.855556949973</v>
      </c>
      <c r="AK109" s="92">
        <v>4879575.1819271296</v>
      </c>
      <c r="AL109" s="92">
        <v>6121177.7881802171</v>
      </c>
      <c r="AM109" s="92">
        <v>-4470003.9199238867</v>
      </c>
      <c r="AN109" s="213"/>
      <c r="AO109" s="215"/>
      <c r="AQ109" s="212">
        <v>95</v>
      </c>
      <c r="AR109" s="33">
        <v>4.6928571428571431</v>
      </c>
    </row>
    <row r="110" spans="1:44" ht="13.2">
      <c r="A110" s="30">
        <v>109</v>
      </c>
      <c r="B110" s="27">
        <v>40000</v>
      </c>
      <c r="C110" s="43"/>
      <c r="D110" s="32">
        <f t="shared" ca="1" si="73"/>
        <v>0.43968335843234263</v>
      </c>
      <c r="E110" s="35">
        <f t="shared" ca="1" si="70"/>
        <v>4</v>
      </c>
      <c r="F110" s="37">
        <f t="shared" ca="1" si="74"/>
        <v>1</v>
      </c>
      <c r="G110" s="37">
        <f t="shared" ca="1" si="75"/>
        <v>1</v>
      </c>
      <c r="H110" s="37">
        <f t="shared" ca="1" si="76"/>
        <v>1</v>
      </c>
      <c r="I110" s="37">
        <f t="shared" ca="1" si="77"/>
        <v>1</v>
      </c>
      <c r="J110" s="37">
        <f t="shared" ca="1" si="78"/>
        <v>0</v>
      </c>
      <c r="K110" s="37">
        <f t="shared" ca="1" si="79"/>
        <v>0</v>
      </c>
      <c r="L110" s="37">
        <f t="shared" ca="1" si="94"/>
        <v>0</v>
      </c>
      <c r="M110" s="37">
        <f t="shared" ca="1" si="80"/>
        <v>0</v>
      </c>
      <c r="N110" s="37">
        <f t="shared" ca="1" si="81"/>
        <v>0</v>
      </c>
      <c r="O110" s="37">
        <f t="shared" ca="1" si="82"/>
        <v>0</v>
      </c>
      <c r="P110" s="39"/>
      <c r="Q110" s="28">
        <f t="shared" ca="1" si="83"/>
        <v>7999.0718650921845</v>
      </c>
      <c r="R110" s="28">
        <f t="shared" ca="1" si="84"/>
        <v>16129.837421059257</v>
      </c>
      <c r="S110" s="28">
        <f t="shared" ca="1" si="85"/>
        <v>2665.0759948910768</v>
      </c>
      <c r="T110" s="28">
        <f t="shared" ca="1" si="86"/>
        <v>10746.686700036718</v>
      </c>
      <c r="U110" s="28">
        <f t="shared" ca="1" si="87"/>
        <v>0</v>
      </c>
      <c r="V110" s="28">
        <f t="shared" ca="1" si="88"/>
        <v>0</v>
      </c>
      <c r="W110" s="28">
        <f t="shared" ca="1" si="89"/>
        <v>0</v>
      </c>
      <c r="X110" s="28">
        <f t="shared" ca="1" si="90"/>
        <v>0</v>
      </c>
      <c r="Y110" s="28">
        <f t="shared" ca="1" si="91"/>
        <v>0</v>
      </c>
      <c r="Z110" s="28">
        <f t="shared" ca="1" si="92"/>
        <v>0</v>
      </c>
      <c r="AA110" s="41">
        <f t="shared" ca="1" si="93"/>
        <v>37540.671981079242</v>
      </c>
      <c r="AB110" s="162"/>
      <c r="AC110" s="92"/>
      <c r="AD110" s="92">
        <v>36</v>
      </c>
      <c r="AE110" s="92">
        <v>6565318.3904969096</v>
      </c>
      <c r="AF110" s="92">
        <v>7131974.2218185961</v>
      </c>
      <c r="AG110" s="92">
        <v>16119939.255036801</v>
      </c>
      <c r="AH110" s="92">
        <v>2837806.2289854586</v>
      </c>
      <c r="AI110" s="92">
        <v>-2999035.2181978524</v>
      </c>
      <c r="AJ110" s="92">
        <v>-2208150.6150476784</v>
      </c>
      <c r="AK110" s="92">
        <v>3472825.6528479755</v>
      </c>
      <c r="AL110" s="92">
        <v>-9929294.2288947552</v>
      </c>
      <c r="AM110" s="92">
        <v>11741432.222058192</v>
      </c>
      <c r="AN110" s="213"/>
      <c r="AO110" s="215"/>
      <c r="AQ110" s="212">
        <v>96</v>
      </c>
      <c r="AR110" s="33">
        <v>4.2142857142857144</v>
      </c>
    </row>
    <row r="111" spans="1:44" ht="13.2">
      <c r="A111" s="30">
        <v>110</v>
      </c>
      <c r="B111" s="27">
        <v>40000</v>
      </c>
      <c r="C111" s="43"/>
      <c r="D111" s="32">
        <f t="shared" ca="1" si="73"/>
        <v>0.57211970436014947</v>
      </c>
      <c r="E111" s="35">
        <f t="shared" ca="1" si="70"/>
        <v>5</v>
      </c>
      <c r="F111" s="37">
        <f t="shared" ca="1" si="74"/>
        <v>1</v>
      </c>
      <c r="G111" s="37">
        <f t="shared" ca="1" si="75"/>
        <v>1</v>
      </c>
      <c r="H111" s="37">
        <f t="shared" ca="1" si="76"/>
        <v>1</v>
      </c>
      <c r="I111" s="37">
        <f t="shared" ca="1" si="77"/>
        <v>1</v>
      </c>
      <c r="J111" s="37">
        <f t="shared" ca="1" si="78"/>
        <v>1</v>
      </c>
      <c r="K111" s="37">
        <f t="shared" ca="1" si="79"/>
        <v>0</v>
      </c>
      <c r="L111" s="37">
        <f t="shared" ca="1" si="94"/>
        <v>0</v>
      </c>
      <c r="M111" s="37">
        <f t="shared" ca="1" si="80"/>
        <v>0</v>
      </c>
      <c r="N111" s="37">
        <f t="shared" ca="1" si="81"/>
        <v>0</v>
      </c>
      <c r="O111" s="37">
        <f t="shared" ca="1" si="82"/>
        <v>0</v>
      </c>
      <c r="P111" s="39"/>
      <c r="Q111" s="28">
        <f t="shared" ca="1" si="83"/>
        <v>6502.0957947167381</v>
      </c>
      <c r="R111" s="28">
        <f t="shared" ca="1" si="84"/>
        <v>22752.955254459455</v>
      </c>
      <c r="S111" s="28">
        <f t="shared" ca="1" si="85"/>
        <v>26636.906736869652</v>
      </c>
      <c r="T111" s="28">
        <f t="shared" ca="1" si="86"/>
        <v>526.20854238310937</v>
      </c>
      <c r="U111" s="28">
        <f t="shared" ca="1" si="87"/>
        <v>43849.496001430249</v>
      </c>
      <c r="V111" s="28">
        <f t="shared" ca="1" si="88"/>
        <v>0</v>
      </c>
      <c r="W111" s="28">
        <f t="shared" ca="1" si="89"/>
        <v>0</v>
      </c>
      <c r="X111" s="28">
        <f t="shared" ca="1" si="90"/>
        <v>0</v>
      </c>
      <c r="Y111" s="28">
        <f t="shared" ca="1" si="91"/>
        <v>0</v>
      </c>
      <c r="Z111" s="28">
        <f t="shared" ca="1" si="92"/>
        <v>0</v>
      </c>
      <c r="AA111" s="41">
        <f t="shared" ca="1" si="93"/>
        <v>100267.6623298592</v>
      </c>
      <c r="AB111" s="162"/>
      <c r="AC111" s="92"/>
      <c r="AD111" s="92">
        <v>37</v>
      </c>
      <c r="AE111" s="92">
        <v>12756841.986721337</v>
      </c>
      <c r="AF111" s="92">
        <v>4626916.1108681262</v>
      </c>
      <c r="AG111" s="92">
        <v>-3676585.5181512982</v>
      </c>
      <c r="AH111" s="92">
        <v>899203.68931052089</v>
      </c>
      <c r="AI111" s="92">
        <v>3426006.8301657289</v>
      </c>
      <c r="AJ111" s="92">
        <v>8578744.6586514413</v>
      </c>
      <c r="AK111" s="92">
        <v>1646370.5701392889</v>
      </c>
      <c r="AL111" s="92">
        <v>-5703347.7864924222</v>
      </c>
      <c r="AM111" s="92">
        <v>3448909.30058375</v>
      </c>
      <c r="AN111" s="213"/>
      <c r="AO111" s="215"/>
      <c r="AQ111" s="212">
        <v>97</v>
      </c>
      <c r="AR111" s="33">
        <v>4.5071428571428571</v>
      </c>
    </row>
    <row r="112" spans="1:44" ht="13.2">
      <c r="A112" s="30">
        <v>111</v>
      </c>
      <c r="B112" s="27">
        <v>40000</v>
      </c>
      <c r="C112" s="43"/>
      <c r="D112" s="32">
        <f t="shared" ca="1" si="73"/>
        <v>0.86456761844512831</v>
      </c>
      <c r="E112" s="35">
        <f t="shared" ca="1" si="70"/>
        <v>8</v>
      </c>
      <c r="F112" s="37">
        <f t="shared" ca="1" si="74"/>
        <v>1</v>
      </c>
      <c r="G112" s="37">
        <f t="shared" ca="1" si="75"/>
        <v>1</v>
      </c>
      <c r="H112" s="37">
        <f t="shared" ca="1" si="76"/>
        <v>1</v>
      </c>
      <c r="I112" s="37">
        <f t="shared" ca="1" si="77"/>
        <v>1</v>
      </c>
      <c r="J112" s="37">
        <f t="shared" ca="1" si="78"/>
        <v>1</v>
      </c>
      <c r="K112" s="37">
        <f t="shared" ca="1" si="79"/>
        <v>1</v>
      </c>
      <c r="L112" s="37">
        <f t="shared" ca="1" si="94"/>
        <v>1</v>
      </c>
      <c r="M112" s="37">
        <f t="shared" ca="1" si="80"/>
        <v>1</v>
      </c>
      <c r="N112" s="37">
        <f t="shared" ca="1" si="81"/>
        <v>0</v>
      </c>
      <c r="O112" s="37">
        <f t="shared" ca="1" si="82"/>
        <v>0</v>
      </c>
      <c r="P112" s="39"/>
      <c r="Q112" s="28">
        <f t="shared" ca="1" si="83"/>
        <v>1486.9926838849331</v>
      </c>
      <c r="R112" s="28">
        <f t="shared" ca="1" si="84"/>
        <v>1162.7376398224719</v>
      </c>
      <c r="S112" s="28">
        <f t="shared" ca="1" si="85"/>
        <v>11088.193322257426</v>
      </c>
      <c r="T112" s="28">
        <f t="shared" ca="1" si="86"/>
        <v>1944.220316316593</v>
      </c>
      <c r="U112" s="28">
        <f t="shared" ca="1" si="87"/>
        <v>1148.6374134007481</v>
      </c>
      <c r="V112" s="28">
        <f t="shared" ca="1" si="88"/>
        <v>2079.5882418383617</v>
      </c>
      <c r="W112" s="28">
        <f t="shared" ca="1" si="89"/>
        <v>12872.714930023696</v>
      </c>
      <c r="X112" s="28">
        <f t="shared" ca="1" si="90"/>
        <v>2492.244062421988</v>
      </c>
      <c r="Y112" s="28">
        <f t="shared" ca="1" si="91"/>
        <v>0</v>
      </c>
      <c r="Z112" s="28">
        <f t="shared" ca="1" si="92"/>
        <v>0</v>
      </c>
      <c r="AA112" s="41">
        <f t="shared" ca="1" si="93"/>
        <v>34275.328609966215</v>
      </c>
      <c r="AB112" s="162"/>
      <c r="AC112" s="92"/>
      <c r="AD112" s="92">
        <v>38</v>
      </c>
      <c r="AE112" s="92">
        <v>3340584.5135351717</v>
      </c>
      <c r="AF112" s="92">
        <v>6792436.2759083658</v>
      </c>
      <c r="AG112" s="92">
        <v>1176529.6591383517</v>
      </c>
      <c r="AH112" s="92">
        <v>1613705.5903497487</v>
      </c>
      <c r="AI112" s="92">
        <v>-1336375.2972842753</v>
      </c>
      <c r="AJ112" s="92">
        <v>-2744363.7453290969</v>
      </c>
      <c r="AK112" s="92">
        <v>1740242.0096232146</v>
      </c>
      <c r="AL112" s="92">
        <v>-4893370.5857886821</v>
      </c>
      <c r="AM112" s="92">
        <v>2472201.9146082103</v>
      </c>
      <c r="AN112" s="213"/>
      <c r="AO112" s="215"/>
      <c r="AQ112" s="212">
        <v>98</v>
      </c>
      <c r="AR112" s="33">
        <v>4.2785714285714285</v>
      </c>
    </row>
    <row r="113" spans="1:44" ht="13.2">
      <c r="A113" s="30">
        <v>112</v>
      </c>
      <c r="B113" s="27">
        <v>40000</v>
      </c>
      <c r="C113" s="43"/>
      <c r="D113" s="32">
        <f t="shared" ca="1" si="73"/>
        <v>0.26915210996068362</v>
      </c>
      <c r="E113" s="35">
        <f t="shared" ca="1" si="70"/>
        <v>2</v>
      </c>
      <c r="F113" s="37">
        <f t="shared" ca="1" si="74"/>
        <v>1</v>
      </c>
      <c r="G113" s="37">
        <f t="shared" ca="1" si="75"/>
        <v>1</v>
      </c>
      <c r="H113" s="37">
        <f t="shared" ca="1" si="76"/>
        <v>0</v>
      </c>
      <c r="I113" s="37">
        <f t="shared" ca="1" si="77"/>
        <v>0</v>
      </c>
      <c r="J113" s="37">
        <f t="shared" ca="1" si="78"/>
        <v>0</v>
      </c>
      <c r="K113" s="37">
        <f t="shared" ca="1" si="79"/>
        <v>0</v>
      </c>
      <c r="L113" s="37">
        <f t="shared" ca="1" si="94"/>
        <v>0</v>
      </c>
      <c r="M113" s="37">
        <f t="shared" ca="1" si="80"/>
        <v>0</v>
      </c>
      <c r="N113" s="37">
        <f t="shared" ca="1" si="81"/>
        <v>0</v>
      </c>
      <c r="O113" s="37">
        <f t="shared" ca="1" si="82"/>
        <v>0</v>
      </c>
      <c r="P113" s="39"/>
      <c r="Q113" s="28">
        <f t="shared" ca="1" si="83"/>
        <v>13396.317391694296</v>
      </c>
      <c r="R113" s="28">
        <f t="shared" ca="1" si="84"/>
        <v>6891.8690833319342</v>
      </c>
      <c r="S113" s="28">
        <f t="shared" ca="1" si="85"/>
        <v>0</v>
      </c>
      <c r="T113" s="28">
        <f t="shared" ca="1" si="86"/>
        <v>0</v>
      </c>
      <c r="U113" s="28">
        <f t="shared" ca="1" si="87"/>
        <v>0</v>
      </c>
      <c r="V113" s="28">
        <f t="shared" ca="1" si="88"/>
        <v>0</v>
      </c>
      <c r="W113" s="28">
        <f t="shared" ca="1" si="89"/>
        <v>0</v>
      </c>
      <c r="X113" s="28">
        <f t="shared" ca="1" si="90"/>
        <v>0</v>
      </c>
      <c r="Y113" s="28">
        <f t="shared" ca="1" si="91"/>
        <v>0</v>
      </c>
      <c r="Z113" s="28">
        <f t="shared" ca="1" si="92"/>
        <v>0</v>
      </c>
      <c r="AA113" s="41">
        <f t="shared" ca="1" si="93"/>
        <v>20288.186475026232</v>
      </c>
      <c r="AB113" s="162"/>
      <c r="AC113" s="92"/>
      <c r="AD113" s="92">
        <v>39</v>
      </c>
      <c r="AE113" s="92">
        <v>12200560.300118312</v>
      </c>
      <c r="AF113" s="92">
        <v>1002067.6977861226</v>
      </c>
      <c r="AG113" s="92">
        <v>4072170.24719733</v>
      </c>
      <c r="AH113" s="92">
        <v>14886360.170010865</v>
      </c>
      <c r="AI113" s="92">
        <v>-3749602.091334939</v>
      </c>
      <c r="AJ113" s="92">
        <v>3623706.3607238382</v>
      </c>
      <c r="AK113" s="92">
        <v>9854819.8091294616</v>
      </c>
      <c r="AL113" s="92">
        <v>-683222.23269975185</v>
      </c>
      <c r="AM113" s="92">
        <v>2025778.4938271046</v>
      </c>
      <c r="AN113" s="213"/>
      <c r="AO113" s="215"/>
      <c r="AQ113" s="212">
        <v>99</v>
      </c>
      <c r="AR113" s="33">
        <v>4.0142857142857142</v>
      </c>
    </row>
    <row r="114" spans="1:44" ht="13.2">
      <c r="A114" s="30">
        <v>113</v>
      </c>
      <c r="B114" s="27">
        <v>40000</v>
      </c>
      <c r="C114" s="43"/>
      <c r="D114" s="32">
        <f t="shared" ca="1" si="73"/>
        <v>7.4877635935847064E-2</v>
      </c>
      <c r="E114" s="35">
        <f t="shared" ca="1" si="70"/>
        <v>1</v>
      </c>
      <c r="F114" s="37">
        <f t="shared" ca="1" si="74"/>
        <v>1</v>
      </c>
      <c r="G114" s="37">
        <f t="shared" ca="1" si="75"/>
        <v>0</v>
      </c>
      <c r="H114" s="37">
        <f t="shared" ca="1" si="76"/>
        <v>0</v>
      </c>
      <c r="I114" s="37">
        <f t="shared" ca="1" si="77"/>
        <v>0</v>
      </c>
      <c r="J114" s="37">
        <f t="shared" ca="1" si="78"/>
        <v>0</v>
      </c>
      <c r="K114" s="37">
        <f t="shared" ca="1" si="79"/>
        <v>0</v>
      </c>
      <c r="L114" s="37">
        <f t="shared" ca="1" si="94"/>
        <v>0</v>
      </c>
      <c r="M114" s="37">
        <f t="shared" ca="1" si="80"/>
        <v>0</v>
      </c>
      <c r="N114" s="37">
        <f t="shared" ca="1" si="81"/>
        <v>0</v>
      </c>
      <c r="O114" s="37">
        <f t="shared" ca="1" si="82"/>
        <v>0</v>
      </c>
      <c r="P114" s="39"/>
      <c r="Q114" s="28">
        <f t="shared" ca="1" si="83"/>
        <v>16595.381808390437</v>
      </c>
      <c r="R114" s="28">
        <f t="shared" ca="1" si="84"/>
        <v>0</v>
      </c>
      <c r="S114" s="28">
        <f t="shared" ca="1" si="85"/>
        <v>0</v>
      </c>
      <c r="T114" s="28">
        <f t="shared" ca="1" si="86"/>
        <v>0</v>
      </c>
      <c r="U114" s="28">
        <f t="shared" ca="1" si="87"/>
        <v>0</v>
      </c>
      <c r="V114" s="28">
        <f t="shared" ca="1" si="88"/>
        <v>0</v>
      </c>
      <c r="W114" s="28">
        <f t="shared" ca="1" si="89"/>
        <v>0</v>
      </c>
      <c r="X114" s="28">
        <f t="shared" ca="1" si="90"/>
        <v>0</v>
      </c>
      <c r="Y114" s="28">
        <f t="shared" ca="1" si="91"/>
        <v>0</v>
      </c>
      <c r="Z114" s="28">
        <f t="shared" ca="1" si="92"/>
        <v>0</v>
      </c>
      <c r="AA114" s="41">
        <f t="shared" ca="1" si="93"/>
        <v>16595.381808390437</v>
      </c>
      <c r="AB114" s="162"/>
      <c r="AC114" s="92"/>
      <c r="AD114" s="92">
        <v>40</v>
      </c>
      <c r="AE114" s="92">
        <v>6826310.1056183875</v>
      </c>
      <c r="AF114" s="92">
        <v>3330511.0885871947</v>
      </c>
      <c r="AG114" s="92">
        <v>4047957.2468452603</v>
      </c>
      <c r="AH114" s="92">
        <v>-8999588.1708175391</v>
      </c>
      <c r="AI114" s="92">
        <v>6633320.9453248382</v>
      </c>
      <c r="AJ114" s="92">
        <v>1601172.428377524</v>
      </c>
      <c r="AK114" s="92">
        <v>4705105.2193361223</v>
      </c>
      <c r="AL114" s="92">
        <v>-6744632.0695212036</v>
      </c>
      <c r="AM114" s="92">
        <v>-3666580.539655745</v>
      </c>
      <c r="AN114" s="213"/>
      <c r="AO114" s="215"/>
      <c r="AQ114" s="212">
        <v>100</v>
      </c>
      <c r="AR114" s="33">
        <v>4.2714285714285714</v>
      </c>
    </row>
    <row r="115" spans="1:44" ht="13.2">
      <c r="A115" s="30">
        <v>114</v>
      </c>
      <c r="B115" s="27">
        <v>40000</v>
      </c>
      <c r="C115" s="43"/>
      <c r="D115" s="32">
        <f t="shared" ca="1" si="73"/>
        <v>0.2224164390987311</v>
      </c>
      <c r="E115" s="35">
        <f t="shared" ca="1" si="70"/>
        <v>2</v>
      </c>
      <c r="F115" s="37">
        <f t="shared" ca="1" si="74"/>
        <v>1</v>
      </c>
      <c r="G115" s="37">
        <f t="shared" ca="1" si="75"/>
        <v>1</v>
      </c>
      <c r="H115" s="37">
        <f t="shared" ca="1" si="76"/>
        <v>0</v>
      </c>
      <c r="I115" s="37">
        <f t="shared" ca="1" si="77"/>
        <v>0</v>
      </c>
      <c r="J115" s="37">
        <f t="shared" ca="1" si="78"/>
        <v>0</v>
      </c>
      <c r="K115" s="37">
        <f t="shared" ca="1" si="79"/>
        <v>0</v>
      </c>
      <c r="L115" s="37">
        <f t="shared" ca="1" si="94"/>
        <v>0</v>
      </c>
      <c r="M115" s="37">
        <f t="shared" ca="1" si="80"/>
        <v>0</v>
      </c>
      <c r="N115" s="37">
        <f t="shared" ca="1" si="81"/>
        <v>0</v>
      </c>
      <c r="O115" s="37">
        <f t="shared" ca="1" si="82"/>
        <v>0</v>
      </c>
      <c r="P115" s="39"/>
      <c r="Q115" s="28">
        <f t="shared" ca="1" si="83"/>
        <v>23480.48098408194</v>
      </c>
      <c r="R115" s="28">
        <f t="shared" ca="1" si="84"/>
        <v>7753.4787740161501</v>
      </c>
      <c r="S115" s="28">
        <f t="shared" ca="1" si="85"/>
        <v>0</v>
      </c>
      <c r="T115" s="28">
        <f t="shared" ca="1" si="86"/>
        <v>0</v>
      </c>
      <c r="U115" s="28">
        <f t="shared" ca="1" si="87"/>
        <v>0</v>
      </c>
      <c r="V115" s="28">
        <f t="shared" ca="1" si="88"/>
        <v>0</v>
      </c>
      <c r="W115" s="28">
        <f t="shared" ca="1" si="89"/>
        <v>0</v>
      </c>
      <c r="X115" s="28">
        <f t="shared" ca="1" si="90"/>
        <v>0</v>
      </c>
      <c r="Y115" s="28">
        <f t="shared" ca="1" si="91"/>
        <v>0</v>
      </c>
      <c r="Z115" s="28">
        <f t="shared" ca="1" si="92"/>
        <v>0</v>
      </c>
      <c r="AA115" s="41">
        <f t="shared" ca="1" si="93"/>
        <v>31233.959758098092</v>
      </c>
      <c r="AB115" s="162"/>
      <c r="AC115" s="92"/>
      <c r="AD115" s="92">
        <v>41</v>
      </c>
      <c r="AE115" s="92">
        <v>5483661.9993695468</v>
      </c>
      <c r="AF115" s="92">
        <v>7447034.4029001743</v>
      </c>
      <c r="AG115" s="92">
        <v>8804913.0905916691</v>
      </c>
      <c r="AH115" s="92">
        <v>8464559.5323187113</v>
      </c>
      <c r="AI115" s="92">
        <v>6590950.6152212918</v>
      </c>
      <c r="AJ115" s="92">
        <v>3863276.7079347074</v>
      </c>
      <c r="AK115" s="92">
        <v>6779899.9181539118</v>
      </c>
      <c r="AL115" s="92">
        <v>-391315.05071559548</v>
      </c>
      <c r="AM115" s="92">
        <v>-1705337.41019696</v>
      </c>
      <c r="AN115" s="92"/>
      <c r="AO115" s="92"/>
      <c r="AP115" s="72" t="s">
        <v>10</v>
      </c>
      <c r="AQ115" s="72" t="s">
        <v>197</v>
      </c>
      <c r="AR115" s="33">
        <f>AVERAGE(AR15:AR114)</f>
        <v>4.3342142857142845</v>
      </c>
    </row>
    <row r="116" spans="1:44" ht="13.2">
      <c r="A116" s="30">
        <v>115</v>
      </c>
      <c r="B116" s="27">
        <v>40000</v>
      </c>
      <c r="C116" s="43"/>
      <c r="D116" s="32">
        <f t="shared" ca="1" si="73"/>
        <v>0.94724910954095687</v>
      </c>
      <c r="E116" s="35">
        <f t="shared" ca="1" si="70"/>
        <v>9</v>
      </c>
      <c r="F116" s="37">
        <f t="shared" ca="1" si="74"/>
        <v>1</v>
      </c>
      <c r="G116" s="37">
        <f t="shared" ca="1" si="75"/>
        <v>1</v>
      </c>
      <c r="H116" s="37">
        <f t="shared" ca="1" si="76"/>
        <v>1</v>
      </c>
      <c r="I116" s="37">
        <f t="shared" ca="1" si="77"/>
        <v>1</v>
      </c>
      <c r="J116" s="37">
        <f t="shared" ca="1" si="78"/>
        <v>1</v>
      </c>
      <c r="K116" s="37">
        <f t="shared" ca="1" si="79"/>
        <v>1</v>
      </c>
      <c r="L116" s="37">
        <f t="shared" ca="1" si="94"/>
        <v>1</v>
      </c>
      <c r="M116" s="37">
        <f t="shared" ca="1" si="80"/>
        <v>1</v>
      </c>
      <c r="N116" s="37">
        <f t="shared" ca="1" si="81"/>
        <v>1</v>
      </c>
      <c r="O116" s="37">
        <f t="shared" ca="1" si="82"/>
        <v>0</v>
      </c>
      <c r="P116" s="39"/>
      <c r="Q116" s="28">
        <f t="shared" ca="1" si="83"/>
        <v>24176.474214613547</v>
      </c>
      <c r="R116" s="28">
        <f t="shared" ca="1" si="84"/>
        <v>7628.6963072862964</v>
      </c>
      <c r="S116" s="28">
        <f t="shared" ca="1" si="85"/>
        <v>16343.135139030341</v>
      </c>
      <c r="T116" s="28">
        <f t="shared" ca="1" si="86"/>
        <v>13787.489073273231</v>
      </c>
      <c r="U116" s="28">
        <f t="shared" ca="1" si="87"/>
        <v>165.91728624260446</v>
      </c>
      <c r="V116" s="28">
        <f t="shared" ca="1" si="88"/>
        <v>63516.444458171594</v>
      </c>
      <c r="W116" s="28">
        <f t="shared" ca="1" si="89"/>
        <v>62551.338733402772</v>
      </c>
      <c r="X116" s="28">
        <f t="shared" ca="1" si="90"/>
        <v>9058.4408470038707</v>
      </c>
      <c r="Y116" s="28">
        <f t="shared" ca="1" si="91"/>
        <v>1452.2487124758356</v>
      </c>
      <c r="Z116" s="28">
        <f t="shared" ca="1" si="92"/>
        <v>0</v>
      </c>
      <c r="AA116" s="41">
        <f t="shared" ca="1" si="93"/>
        <v>198680.18477150009</v>
      </c>
      <c r="AB116" s="162"/>
      <c r="AC116" s="92"/>
      <c r="AD116" s="92">
        <v>42</v>
      </c>
      <c r="AE116" s="92">
        <v>8051733.2422734052</v>
      </c>
      <c r="AF116" s="92">
        <v>162569.78980910778</v>
      </c>
      <c r="AG116" s="92">
        <v>13541180.006739646</v>
      </c>
      <c r="AH116" s="92">
        <v>-1328784.4859067202</v>
      </c>
      <c r="AI116" s="92">
        <v>-4571166.9528377503</v>
      </c>
      <c r="AJ116" s="92">
        <v>210605.86738553643</v>
      </c>
      <c r="AK116" s="92">
        <v>7692075.2495617121</v>
      </c>
      <c r="AL116" s="92">
        <v>-665271.49334543943</v>
      </c>
      <c r="AM116" s="92">
        <v>2235521.1196286976</v>
      </c>
      <c r="AN116" s="92"/>
      <c r="AO116" s="92"/>
    </row>
    <row r="117" spans="1:44" ht="13.2">
      <c r="A117" s="30">
        <v>116</v>
      </c>
      <c r="B117" s="27">
        <v>40000</v>
      </c>
      <c r="C117" s="43"/>
      <c r="D117" s="32">
        <f t="shared" ca="1" si="73"/>
        <v>0.28142303463403284</v>
      </c>
      <c r="E117" s="35">
        <f t="shared" ca="1" si="70"/>
        <v>3</v>
      </c>
      <c r="F117" s="37">
        <f t="shared" ca="1" si="74"/>
        <v>1</v>
      </c>
      <c r="G117" s="37">
        <f t="shared" ca="1" si="75"/>
        <v>1</v>
      </c>
      <c r="H117" s="37">
        <f t="shared" ca="1" si="76"/>
        <v>1</v>
      </c>
      <c r="I117" s="37">
        <f t="shared" ca="1" si="77"/>
        <v>0</v>
      </c>
      <c r="J117" s="37">
        <f t="shared" ca="1" si="78"/>
        <v>0</v>
      </c>
      <c r="K117" s="37">
        <f t="shared" ca="1" si="79"/>
        <v>0</v>
      </c>
      <c r="L117" s="37">
        <f t="shared" ca="1" si="94"/>
        <v>0</v>
      </c>
      <c r="M117" s="37">
        <f t="shared" ca="1" si="80"/>
        <v>0</v>
      </c>
      <c r="N117" s="37">
        <f t="shared" ca="1" si="81"/>
        <v>0</v>
      </c>
      <c r="O117" s="37">
        <f t="shared" ca="1" si="82"/>
        <v>0</v>
      </c>
      <c r="P117" s="39"/>
      <c r="Q117" s="28">
        <f t="shared" ca="1" si="83"/>
        <v>15004.97172673364</v>
      </c>
      <c r="R117" s="28">
        <f t="shared" ca="1" si="84"/>
        <v>13153.435843679872</v>
      </c>
      <c r="S117" s="28">
        <f t="shared" ca="1" si="85"/>
        <v>5130.6972544024466</v>
      </c>
      <c r="T117" s="28">
        <f t="shared" ca="1" si="86"/>
        <v>0</v>
      </c>
      <c r="U117" s="28">
        <f t="shared" ca="1" si="87"/>
        <v>0</v>
      </c>
      <c r="V117" s="28">
        <f t="shared" ca="1" si="88"/>
        <v>0</v>
      </c>
      <c r="W117" s="28">
        <f t="shared" ca="1" si="89"/>
        <v>0</v>
      </c>
      <c r="X117" s="28">
        <f t="shared" ca="1" si="90"/>
        <v>0</v>
      </c>
      <c r="Y117" s="28">
        <f t="shared" ca="1" si="91"/>
        <v>0</v>
      </c>
      <c r="Z117" s="28">
        <f t="shared" ca="1" si="92"/>
        <v>0</v>
      </c>
      <c r="AA117" s="41">
        <f t="shared" ca="1" si="93"/>
        <v>33289.104824815957</v>
      </c>
      <c r="AB117" s="162"/>
      <c r="AC117" s="92"/>
      <c r="AD117" s="92">
        <v>43</v>
      </c>
      <c r="AE117" s="92">
        <v>-248655.46765330434</v>
      </c>
      <c r="AF117" s="92">
        <v>3045158.4382747561</v>
      </c>
      <c r="AG117" s="92">
        <v>12206456.38606438</v>
      </c>
      <c r="AH117" s="92">
        <v>682057.32279150188</v>
      </c>
      <c r="AI117" s="92">
        <v>-5849545.3835669607</v>
      </c>
      <c r="AJ117" s="92">
        <v>11028059.428891703</v>
      </c>
      <c r="AK117" s="92">
        <v>466716.24179065228</v>
      </c>
      <c r="AL117" s="92">
        <v>-5057182.4694069773</v>
      </c>
      <c r="AM117" s="92">
        <v>-4136987.6755741239</v>
      </c>
      <c r="AN117" s="92"/>
      <c r="AO117" s="92"/>
    </row>
    <row r="118" spans="1:44" ht="13.2">
      <c r="A118" s="30">
        <v>117</v>
      </c>
      <c r="B118" s="27">
        <v>40000</v>
      </c>
      <c r="C118" s="43"/>
      <c r="D118" s="32">
        <f t="shared" ca="1" si="73"/>
        <v>0.45615548675498507</v>
      </c>
      <c r="E118" s="35">
        <f t="shared" ca="1" si="70"/>
        <v>4</v>
      </c>
      <c r="F118" s="37">
        <f t="shared" ca="1" si="74"/>
        <v>1</v>
      </c>
      <c r="G118" s="37">
        <f t="shared" ca="1" si="75"/>
        <v>1</v>
      </c>
      <c r="H118" s="37">
        <f t="shared" ca="1" si="76"/>
        <v>1</v>
      </c>
      <c r="I118" s="37">
        <f t="shared" ca="1" si="77"/>
        <v>1</v>
      </c>
      <c r="J118" s="37">
        <f t="shared" ca="1" si="78"/>
        <v>0</v>
      </c>
      <c r="K118" s="37">
        <f t="shared" ca="1" si="79"/>
        <v>0</v>
      </c>
      <c r="L118" s="37">
        <f t="shared" ca="1" si="94"/>
        <v>0</v>
      </c>
      <c r="M118" s="37">
        <f t="shared" ca="1" si="80"/>
        <v>0</v>
      </c>
      <c r="N118" s="37">
        <f t="shared" ca="1" si="81"/>
        <v>0</v>
      </c>
      <c r="O118" s="37">
        <f t="shared" ca="1" si="82"/>
        <v>0</v>
      </c>
      <c r="P118" s="39"/>
      <c r="Q118" s="28">
        <f t="shared" ca="1" si="83"/>
        <v>96286.162352144369</v>
      </c>
      <c r="R118" s="28">
        <f t="shared" ca="1" si="84"/>
        <v>22743.345028751344</v>
      </c>
      <c r="S118" s="28">
        <f t="shared" ca="1" si="85"/>
        <v>23361.774896205887</v>
      </c>
      <c r="T118" s="28">
        <f t="shared" ca="1" si="86"/>
        <v>13508.75613583142</v>
      </c>
      <c r="U118" s="28">
        <f t="shared" ca="1" si="87"/>
        <v>0</v>
      </c>
      <c r="V118" s="28">
        <f t="shared" ca="1" si="88"/>
        <v>0</v>
      </c>
      <c r="W118" s="28">
        <f t="shared" ca="1" si="89"/>
        <v>0</v>
      </c>
      <c r="X118" s="28">
        <f t="shared" ca="1" si="90"/>
        <v>0</v>
      </c>
      <c r="Y118" s="28">
        <f t="shared" ca="1" si="91"/>
        <v>0</v>
      </c>
      <c r="Z118" s="28">
        <f t="shared" ca="1" si="92"/>
        <v>0</v>
      </c>
      <c r="AA118" s="41">
        <f t="shared" ca="1" si="93"/>
        <v>155900.03841293301</v>
      </c>
      <c r="AB118" s="162"/>
      <c r="AC118" s="92"/>
      <c r="AD118" s="92">
        <v>44</v>
      </c>
      <c r="AE118" s="92">
        <v>11011685.439372271</v>
      </c>
      <c r="AF118" s="92">
        <v>14709801.15860711</v>
      </c>
      <c r="AG118" s="92">
        <v>6857549.5783713162</v>
      </c>
      <c r="AH118" s="92">
        <v>-5379745.9313799441</v>
      </c>
      <c r="AI118" s="92">
        <v>8738715.1205366999</v>
      </c>
      <c r="AJ118" s="92">
        <v>14029609.017844692</v>
      </c>
      <c r="AK118" s="92">
        <v>6400685.2491197288</v>
      </c>
      <c r="AL118" s="92">
        <v>3195716.9886007458</v>
      </c>
      <c r="AM118" s="92">
        <v>4965678.1596423239</v>
      </c>
      <c r="AN118" s="92"/>
      <c r="AO118" s="92"/>
    </row>
    <row r="119" spans="1:44" ht="13.2">
      <c r="A119" s="30">
        <v>118</v>
      </c>
      <c r="B119" s="27">
        <v>40000</v>
      </c>
      <c r="C119" s="43"/>
      <c r="D119" s="32">
        <f t="shared" ca="1" si="73"/>
        <v>0.68944103370781606</v>
      </c>
      <c r="E119" s="35">
        <f t="shared" ca="1" si="70"/>
        <v>6</v>
      </c>
      <c r="F119" s="37">
        <f t="shared" ca="1" si="74"/>
        <v>1</v>
      </c>
      <c r="G119" s="37">
        <f t="shared" ca="1" si="75"/>
        <v>1</v>
      </c>
      <c r="H119" s="37">
        <f t="shared" ca="1" si="76"/>
        <v>1</v>
      </c>
      <c r="I119" s="37">
        <f t="shared" ca="1" si="77"/>
        <v>1</v>
      </c>
      <c r="J119" s="37">
        <f t="shared" ca="1" si="78"/>
        <v>1</v>
      </c>
      <c r="K119" s="37">
        <f t="shared" ca="1" si="79"/>
        <v>1</v>
      </c>
      <c r="L119" s="37">
        <f t="shared" ca="1" si="94"/>
        <v>0</v>
      </c>
      <c r="M119" s="37">
        <f t="shared" ca="1" si="80"/>
        <v>0</v>
      </c>
      <c r="N119" s="37">
        <f t="shared" ca="1" si="81"/>
        <v>0</v>
      </c>
      <c r="O119" s="37">
        <f t="shared" ca="1" si="82"/>
        <v>0</v>
      </c>
      <c r="P119" s="39"/>
      <c r="Q119" s="28">
        <f t="shared" ca="1" si="83"/>
        <v>4942.4557705471025</v>
      </c>
      <c r="R119" s="28">
        <f t="shared" ca="1" si="84"/>
        <v>5120.3483177223015</v>
      </c>
      <c r="S119" s="28">
        <f t="shared" ca="1" si="85"/>
        <v>9903.991625344468</v>
      </c>
      <c r="T119" s="28">
        <f t="shared" ca="1" si="86"/>
        <v>13370.599149583495</v>
      </c>
      <c r="U119" s="28">
        <f t="shared" ca="1" si="87"/>
        <v>14581.268280819248</v>
      </c>
      <c r="V119" s="28">
        <f t="shared" ca="1" si="88"/>
        <v>9154.4131086677426</v>
      </c>
      <c r="W119" s="28">
        <f t="shared" ca="1" si="89"/>
        <v>0</v>
      </c>
      <c r="X119" s="28">
        <f t="shared" ca="1" si="90"/>
        <v>0</v>
      </c>
      <c r="Y119" s="28">
        <f t="shared" ca="1" si="91"/>
        <v>0</v>
      </c>
      <c r="Z119" s="28">
        <f t="shared" ca="1" si="92"/>
        <v>0</v>
      </c>
      <c r="AA119" s="41">
        <f t="shared" ca="1" si="93"/>
        <v>57073.076252684361</v>
      </c>
      <c r="AB119" s="162"/>
      <c r="AC119" s="92"/>
      <c r="AD119" s="92">
        <v>45</v>
      </c>
      <c r="AE119" s="92">
        <v>9183498.0639333874</v>
      </c>
      <c r="AF119" s="92">
        <v>5675014.3397674859</v>
      </c>
      <c r="AG119" s="92">
        <v>6345111.0020444542</v>
      </c>
      <c r="AH119" s="92">
        <v>-2485376.5040356964</v>
      </c>
      <c r="AI119" s="92">
        <v>3491704.4262917042</v>
      </c>
      <c r="AJ119" s="92">
        <v>-3937342.0921802968</v>
      </c>
      <c r="AK119" s="92">
        <v>1713403.7953571081</v>
      </c>
      <c r="AL119" s="92">
        <v>4069256.009315908</v>
      </c>
      <c r="AM119" s="92">
        <v>8861011.4925607443</v>
      </c>
      <c r="AN119" s="92"/>
      <c r="AO119" s="92"/>
    </row>
    <row r="120" spans="1:44" ht="13.2">
      <c r="A120" s="30">
        <v>119</v>
      </c>
      <c r="B120" s="27">
        <v>40000</v>
      </c>
      <c r="C120" s="43"/>
      <c r="D120" s="32">
        <f t="shared" ca="1" si="73"/>
        <v>0.48187339238712956</v>
      </c>
      <c r="E120" s="35">
        <f t="shared" ca="1" si="70"/>
        <v>4</v>
      </c>
      <c r="F120" s="37">
        <f t="shared" ca="1" si="74"/>
        <v>1</v>
      </c>
      <c r="G120" s="37">
        <f t="shared" ca="1" si="75"/>
        <v>1</v>
      </c>
      <c r="H120" s="37">
        <f t="shared" ca="1" si="76"/>
        <v>1</v>
      </c>
      <c r="I120" s="37">
        <f t="shared" ca="1" si="77"/>
        <v>1</v>
      </c>
      <c r="J120" s="37">
        <f t="shared" ca="1" si="78"/>
        <v>0</v>
      </c>
      <c r="K120" s="37">
        <f t="shared" ca="1" si="79"/>
        <v>0</v>
      </c>
      <c r="L120" s="37">
        <f t="shared" ca="1" si="94"/>
        <v>0</v>
      </c>
      <c r="M120" s="37">
        <f t="shared" ca="1" si="80"/>
        <v>0</v>
      </c>
      <c r="N120" s="37">
        <f t="shared" ca="1" si="81"/>
        <v>0</v>
      </c>
      <c r="O120" s="37">
        <f t="shared" ca="1" si="82"/>
        <v>0</v>
      </c>
      <c r="P120" s="39"/>
      <c r="Q120" s="28">
        <f t="shared" ca="1" si="83"/>
        <v>8357.4184306679399</v>
      </c>
      <c r="R120" s="28">
        <f t="shared" ca="1" si="84"/>
        <v>21392.576112549079</v>
      </c>
      <c r="S120" s="28">
        <f t="shared" ca="1" si="85"/>
        <v>22126.544340926695</v>
      </c>
      <c r="T120" s="28">
        <f t="shared" ca="1" si="86"/>
        <v>4440.9405554226314</v>
      </c>
      <c r="U120" s="28">
        <f t="shared" ca="1" si="87"/>
        <v>0</v>
      </c>
      <c r="V120" s="28">
        <f t="shared" ca="1" si="88"/>
        <v>0</v>
      </c>
      <c r="W120" s="28">
        <f t="shared" ca="1" si="89"/>
        <v>0</v>
      </c>
      <c r="X120" s="28">
        <f t="shared" ca="1" si="90"/>
        <v>0</v>
      </c>
      <c r="Y120" s="28">
        <f t="shared" ca="1" si="91"/>
        <v>0</v>
      </c>
      <c r="Z120" s="28">
        <f t="shared" ca="1" si="92"/>
        <v>0</v>
      </c>
      <c r="AA120" s="41">
        <f t="shared" ca="1" si="93"/>
        <v>56317.479439566348</v>
      </c>
      <c r="AB120" s="162"/>
      <c r="AC120" s="92"/>
      <c r="AD120" s="92">
        <v>46</v>
      </c>
      <c r="AE120" s="92">
        <v>5811794.8345453888</v>
      </c>
      <c r="AF120" s="92">
        <v>10953351.282158032</v>
      </c>
      <c r="AG120" s="92">
        <v>-2961586.8783876002</v>
      </c>
      <c r="AH120" s="92">
        <v>-459680.6262473762</v>
      </c>
      <c r="AI120" s="92">
        <v>13927050.564630985</v>
      </c>
      <c r="AJ120" s="92">
        <v>4140867.3683148026</v>
      </c>
      <c r="AK120" s="92">
        <v>-920094.22038835287</v>
      </c>
      <c r="AL120" s="92">
        <v>-1530335.1990502328</v>
      </c>
      <c r="AM120" s="92">
        <v>-5564339.5865639001</v>
      </c>
      <c r="AN120" s="92"/>
      <c r="AO120" s="92"/>
    </row>
    <row r="121" spans="1:44" ht="13.2">
      <c r="A121" s="30">
        <v>120</v>
      </c>
      <c r="B121" s="27">
        <v>40000</v>
      </c>
      <c r="C121" s="43"/>
      <c r="D121" s="32">
        <f t="shared" ca="1" si="73"/>
        <v>2.31369335161693E-2</v>
      </c>
      <c r="E121" s="35">
        <f t="shared" ca="1" si="70"/>
        <v>0</v>
      </c>
      <c r="F121" s="37">
        <f t="shared" ca="1" si="74"/>
        <v>0</v>
      </c>
      <c r="G121" s="37">
        <f t="shared" ca="1" si="75"/>
        <v>0</v>
      </c>
      <c r="H121" s="37">
        <f t="shared" ca="1" si="76"/>
        <v>0</v>
      </c>
      <c r="I121" s="37">
        <f t="shared" ca="1" si="77"/>
        <v>0</v>
      </c>
      <c r="J121" s="37">
        <f t="shared" ca="1" si="78"/>
        <v>0</v>
      </c>
      <c r="K121" s="37">
        <f t="shared" ca="1" si="79"/>
        <v>0</v>
      </c>
      <c r="L121" s="37">
        <f t="shared" ca="1" si="94"/>
        <v>0</v>
      </c>
      <c r="M121" s="37">
        <f t="shared" ca="1" si="80"/>
        <v>0</v>
      </c>
      <c r="N121" s="37">
        <f t="shared" ca="1" si="81"/>
        <v>0</v>
      </c>
      <c r="O121" s="37">
        <f t="shared" ca="1" si="82"/>
        <v>0</v>
      </c>
      <c r="P121" s="39"/>
      <c r="Q121" s="28">
        <f t="shared" ca="1" si="83"/>
        <v>0</v>
      </c>
      <c r="R121" s="28">
        <f t="shared" ca="1" si="84"/>
        <v>0</v>
      </c>
      <c r="S121" s="28">
        <f t="shared" ca="1" si="85"/>
        <v>0</v>
      </c>
      <c r="T121" s="28">
        <f t="shared" ca="1" si="86"/>
        <v>0</v>
      </c>
      <c r="U121" s="28">
        <f t="shared" ca="1" si="87"/>
        <v>0</v>
      </c>
      <c r="V121" s="28">
        <f t="shared" ca="1" si="88"/>
        <v>0</v>
      </c>
      <c r="W121" s="28">
        <f t="shared" ca="1" si="89"/>
        <v>0</v>
      </c>
      <c r="X121" s="28">
        <f t="shared" ca="1" si="90"/>
        <v>0</v>
      </c>
      <c r="Y121" s="28">
        <f t="shared" ca="1" si="91"/>
        <v>0</v>
      </c>
      <c r="Z121" s="28">
        <f t="shared" ca="1" si="92"/>
        <v>0</v>
      </c>
      <c r="AA121" s="41">
        <f t="shared" ca="1" si="93"/>
        <v>0</v>
      </c>
      <c r="AB121" s="162"/>
      <c r="AC121" s="92"/>
      <c r="AD121" s="92">
        <v>47</v>
      </c>
      <c r="AE121" s="92">
        <v>12626608.016085118</v>
      </c>
      <c r="AF121" s="92">
        <v>8155586.4853593558</v>
      </c>
      <c r="AG121" s="92">
        <v>6041106.2341003418</v>
      </c>
      <c r="AH121" s="92">
        <v>-387423.61128817499</v>
      </c>
      <c r="AI121" s="92">
        <v>-782728.79043321311</v>
      </c>
      <c r="AJ121" s="92">
        <v>666086.39097443223</v>
      </c>
      <c r="AK121" s="92">
        <v>-8591821.8454981446</v>
      </c>
      <c r="AL121" s="92">
        <v>1493226.809319973</v>
      </c>
      <c r="AM121" s="92">
        <v>2128308.8312863111</v>
      </c>
      <c r="AN121" s="92"/>
      <c r="AO121" s="92"/>
    </row>
    <row r="122" spans="1:44" ht="13.2">
      <c r="A122" s="30">
        <v>121</v>
      </c>
      <c r="B122" s="27">
        <v>40000</v>
      </c>
      <c r="C122" s="43"/>
      <c r="D122" s="32">
        <f t="shared" ca="1" si="73"/>
        <v>0.52435838546136471</v>
      </c>
      <c r="E122" s="35">
        <f t="shared" ca="1" si="70"/>
        <v>4</v>
      </c>
      <c r="F122" s="37">
        <f t="shared" ca="1" si="74"/>
        <v>1</v>
      </c>
      <c r="G122" s="37">
        <f t="shared" ca="1" si="75"/>
        <v>1</v>
      </c>
      <c r="H122" s="37">
        <f t="shared" ca="1" si="76"/>
        <v>1</v>
      </c>
      <c r="I122" s="37">
        <f t="shared" ca="1" si="77"/>
        <v>1</v>
      </c>
      <c r="J122" s="37">
        <f t="shared" ca="1" si="78"/>
        <v>0</v>
      </c>
      <c r="K122" s="37">
        <f t="shared" ca="1" si="79"/>
        <v>0</v>
      </c>
      <c r="L122" s="37">
        <f t="shared" ca="1" si="94"/>
        <v>0</v>
      </c>
      <c r="M122" s="37">
        <f t="shared" ca="1" si="80"/>
        <v>0</v>
      </c>
      <c r="N122" s="37">
        <f t="shared" ca="1" si="81"/>
        <v>0</v>
      </c>
      <c r="O122" s="37">
        <f t="shared" ca="1" si="82"/>
        <v>0</v>
      </c>
      <c r="P122" s="39"/>
      <c r="Q122" s="28">
        <f t="shared" ca="1" si="83"/>
        <v>3301.7537335633569</v>
      </c>
      <c r="R122" s="28">
        <f t="shared" ca="1" si="84"/>
        <v>381.92498567128024</v>
      </c>
      <c r="S122" s="28">
        <f t="shared" ca="1" si="85"/>
        <v>7894.9213353228433</v>
      </c>
      <c r="T122" s="28">
        <f t="shared" ca="1" si="86"/>
        <v>1481.6208154117567</v>
      </c>
      <c r="U122" s="28">
        <f t="shared" ca="1" si="87"/>
        <v>0</v>
      </c>
      <c r="V122" s="28">
        <f t="shared" ca="1" si="88"/>
        <v>0</v>
      </c>
      <c r="W122" s="28">
        <f t="shared" ca="1" si="89"/>
        <v>0</v>
      </c>
      <c r="X122" s="28">
        <f t="shared" ca="1" si="90"/>
        <v>0</v>
      </c>
      <c r="Y122" s="28">
        <f t="shared" ca="1" si="91"/>
        <v>0</v>
      </c>
      <c r="Z122" s="28">
        <f t="shared" ca="1" si="92"/>
        <v>0</v>
      </c>
      <c r="AA122" s="41">
        <f t="shared" ca="1" si="93"/>
        <v>13060.220869969238</v>
      </c>
      <c r="AB122" s="162"/>
      <c r="AC122" s="92"/>
      <c r="AD122" s="92">
        <v>48</v>
      </c>
      <c r="AE122" s="92">
        <v>5006307.4957470596</v>
      </c>
      <c r="AF122" s="92">
        <v>6089558.9859434962</v>
      </c>
      <c r="AG122" s="92">
        <v>3763701.7280421406</v>
      </c>
      <c r="AH122" s="92">
        <v>-238.65895967185497</v>
      </c>
      <c r="AI122" s="92">
        <v>11349929.856786385</v>
      </c>
      <c r="AJ122" s="92">
        <v>41924.885770693421</v>
      </c>
      <c r="AK122" s="92">
        <v>5790722.1708192527</v>
      </c>
      <c r="AL122" s="92">
        <v>-7540288.4407039434</v>
      </c>
      <c r="AM122" s="92">
        <v>-6143382.9677682519</v>
      </c>
      <c r="AN122" s="92"/>
      <c r="AO122" s="92"/>
    </row>
    <row r="123" spans="1:44" ht="13.2">
      <c r="A123" s="30">
        <v>122</v>
      </c>
      <c r="B123" s="27">
        <v>40000</v>
      </c>
      <c r="C123" s="43"/>
      <c r="D123" s="32">
        <f t="shared" ca="1" si="73"/>
        <v>0.55297290265189469</v>
      </c>
      <c r="E123" s="35">
        <f t="shared" ca="1" si="70"/>
        <v>5</v>
      </c>
      <c r="F123" s="37">
        <f t="shared" ca="1" si="74"/>
        <v>1</v>
      </c>
      <c r="G123" s="37">
        <f t="shared" ca="1" si="75"/>
        <v>1</v>
      </c>
      <c r="H123" s="37">
        <f t="shared" ca="1" si="76"/>
        <v>1</v>
      </c>
      <c r="I123" s="37">
        <f t="shared" ca="1" si="77"/>
        <v>1</v>
      </c>
      <c r="J123" s="37">
        <f t="shared" ca="1" si="78"/>
        <v>1</v>
      </c>
      <c r="K123" s="37">
        <f t="shared" ca="1" si="79"/>
        <v>0</v>
      </c>
      <c r="L123" s="37">
        <f t="shared" ca="1" si="94"/>
        <v>0</v>
      </c>
      <c r="M123" s="37">
        <f t="shared" ca="1" si="80"/>
        <v>0</v>
      </c>
      <c r="N123" s="37">
        <f t="shared" ca="1" si="81"/>
        <v>0</v>
      </c>
      <c r="O123" s="37">
        <f t="shared" ca="1" si="82"/>
        <v>0</v>
      </c>
      <c r="P123" s="39"/>
      <c r="Q123" s="28">
        <f t="shared" ca="1" si="83"/>
        <v>10462.143305570611</v>
      </c>
      <c r="R123" s="28">
        <f t="shared" ca="1" si="84"/>
        <v>18248.153979661598</v>
      </c>
      <c r="S123" s="28">
        <f t="shared" ca="1" si="85"/>
        <v>10642.228828719977</v>
      </c>
      <c r="T123" s="28">
        <f t="shared" ca="1" si="86"/>
        <v>9719.5960897099358</v>
      </c>
      <c r="U123" s="28">
        <f t="shared" ca="1" si="87"/>
        <v>6285.66348164182</v>
      </c>
      <c r="V123" s="28">
        <f t="shared" ca="1" si="88"/>
        <v>0</v>
      </c>
      <c r="W123" s="28">
        <f t="shared" ca="1" si="89"/>
        <v>0</v>
      </c>
      <c r="X123" s="28">
        <f t="shared" ca="1" si="90"/>
        <v>0</v>
      </c>
      <c r="Y123" s="28">
        <f t="shared" ca="1" si="91"/>
        <v>0</v>
      </c>
      <c r="Z123" s="28">
        <f t="shared" ca="1" si="92"/>
        <v>0</v>
      </c>
      <c r="AA123" s="41">
        <f t="shared" ca="1" si="93"/>
        <v>55357.785685303948</v>
      </c>
      <c r="AB123" s="162"/>
      <c r="AC123" s="92"/>
      <c r="AD123" s="92">
        <v>49</v>
      </c>
      <c r="AE123" s="92">
        <v>8488942.9958938956</v>
      </c>
      <c r="AF123" s="92">
        <v>7801310.4615465999</v>
      </c>
      <c r="AG123" s="92">
        <v>12928645.290997446</v>
      </c>
      <c r="AH123" s="92">
        <v>2804988.3983081281</v>
      </c>
      <c r="AI123" s="92">
        <v>13385817.141887799</v>
      </c>
      <c r="AJ123" s="92">
        <v>4010942.5010183007</v>
      </c>
      <c r="AK123" s="92">
        <v>7408617.7079994977</v>
      </c>
      <c r="AL123" s="92">
        <v>3764166.0686408579</v>
      </c>
      <c r="AM123" s="92">
        <v>-11029380.128540292</v>
      </c>
      <c r="AN123" s="92"/>
      <c r="AO123" s="92"/>
    </row>
    <row r="124" spans="1:44" ht="13.2">
      <c r="A124" s="30">
        <v>123</v>
      </c>
      <c r="B124" s="27">
        <v>40000</v>
      </c>
      <c r="C124" s="43"/>
      <c r="D124" s="32">
        <f t="shared" ca="1" si="73"/>
        <v>0.41221997568334157</v>
      </c>
      <c r="E124" s="35">
        <f t="shared" ca="1" si="70"/>
        <v>4</v>
      </c>
      <c r="F124" s="37">
        <f t="shared" ca="1" si="74"/>
        <v>1</v>
      </c>
      <c r="G124" s="37">
        <f t="shared" ca="1" si="75"/>
        <v>1</v>
      </c>
      <c r="H124" s="37">
        <f t="shared" ca="1" si="76"/>
        <v>1</v>
      </c>
      <c r="I124" s="37">
        <f t="shared" ca="1" si="77"/>
        <v>1</v>
      </c>
      <c r="J124" s="37">
        <f t="shared" ca="1" si="78"/>
        <v>0</v>
      </c>
      <c r="K124" s="37">
        <f t="shared" ca="1" si="79"/>
        <v>0</v>
      </c>
      <c r="L124" s="37">
        <f t="shared" ca="1" si="94"/>
        <v>0</v>
      </c>
      <c r="M124" s="37">
        <f t="shared" ca="1" si="80"/>
        <v>0</v>
      </c>
      <c r="N124" s="37">
        <f t="shared" ca="1" si="81"/>
        <v>0</v>
      </c>
      <c r="O124" s="37">
        <f t="shared" ca="1" si="82"/>
        <v>0</v>
      </c>
      <c r="P124" s="39"/>
      <c r="Q124" s="28">
        <f t="shared" ca="1" si="83"/>
        <v>16307.087597702264</v>
      </c>
      <c r="R124" s="28">
        <f t="shared" ca="1" si="84"/>
        <v>3791.1294863413468</v>
      </c>
      <c r="S124" s="28">
        <f t="shared" ca="1" si="85"/>
        <v>25304.97894412688</v>
      </c>
      <c r="T124" s="28">
        <f t="shared" ca="1" si="86"/>
        <v>1874.0689850539804</v>
      </c>
      <c r="U124" s="28">
        <f t="shared" ca="1" si="87"/>
        <v>0</v>
      </c>
      <c r="V124" s="28">
        <f t="shared" ca="1" si="88"/>
        <v>0</v>
      </c>
      <c r="W124" s="28">
        <f t="shared" ca="1" si="89"/>
        <v>0</v>
      </c>
      <c r="X124" s="28">
        <f t="shared" ca="1" si="90"/>
        <v>0</v>
      </c>
      <c r="Y124" s="28">
        <f t="shared" ca="1" si="91"/>
        <v>0</v>
      </c>
      <c r="Z124" s="28">
        <f t="shared" ca="1" si="92"/>
        <v>0</v>
      </c>
      <c r="AA124" s="41">
        <f t="shared" ca="1" si="93"/>
        <v>47277.265013224474</v>
      </c>
      <c r="AB124" s="162"/>
      <c r="AC124" s="92"/>
      <c r="AD124" s="92">
        <v>50</v>
      </c>
      <c r="AE124" s="92">
        <v>9091363.8247565925</v>
      </c>
      <c r="AF124" s="92">
        <v>4097053.5136080831</v>
      </c>
      <c r="AG124" s="92">
        <v>4401808.477173239</v>
      </c>
      <c r="AH124" s="92">
        <v>8243168.3276259601</v>
      </c>
      <c r="AI124" s="92">
        <v>3389193.0940572917</v>
      </c>
      <c r="AJ124" s="92">
        <v>3014070.4852309525</v>
      </c>
      <c r="AK124" s="92">
        <v>-5107052.520829618</v>
      </c>
      <c r="AL124" s="92">
        <v>-2114257.2501439154</v>
      </c>
      <c r="AM124" s="92">
        <v>745474.22999741137</v>
      </c>
      <c r="AN124" s="92"/>
      <c r="AO124" s="92"/>
    </row>
    <row r="125" spans="1:44" ht="13.2">
      <c r="A125" s="30">
        <v>124</v>
      </c>
      <c r="B125" s="27">
        <v>40000</v>
      </c>
      <c r="C125" s="43"/>
      <c r="D125" s="32">
        <f t="shared" ca="1" si="73"/>
        <v>0.27782535515301232</v>
      </c>
      <c r="E125" s="35">
        <f t="shared" ca="1" si="70"/>
        <v>3</v>
      </c>
      <c r="F125" s="37">
        <f t="shared" ca="1" si="74"/>
        <v>1</v>
      </c>
      <c r="G125" s="37">
        <f t="shared" ca="1" si="75"/>
        <v>1</v>
      </c>
      <c r="H125" s="37">
        <f t="shared" ca="1" si="76"/>
        <v>1</v>
      </c>
      <c r="I125" s="37">
        <f t="shared" ca="1" si="77"/>
        <v>0</v>
      </c>
      <c r="J125" s="37">
        <f t="shared" ca="1" si="78"/>
        <v>0</v>
      </c>
      <c r="K125" s="37">
        <f t="shared" ca="1" si="79"/>
        <v>0</v>
      </c>
      <c r="L125" s="37">
        <f t="shared" ca="1" si="94"/>
        <v>0</v>
      </c>
      <c r="M125" s="37">
        <f t="shared" ca="1" si="80"/>
        <v>0</v>
      </c>
      <c r="N125" s="37">
        <f t="shared" ca="1" si="81"/>
        <v>0</v>
      </c>
      <c r="O125" s="37">
        <f t="shared" ca="1" si="82"/>
        <v>0</v>
      </c>
      <c r="P125" s="39"/>
      <c r="Q125" s="28">
        <f t="shared" ca="1" si="83"/>
        <v>12754.850828118613</v>
      </c>
      <c r="R125" s="28">
        <f t="shared" ca="1" si="84"/>
        <v>32170.667218450948</v>
      </c>
      <c r="S125" s="28">
        <f t="shared" ca="1" si="85"/>
        <v>24311.218554114854</v>
      </c>
      <c r="T125" s="28">
        <f t="shared" ca="1" si="86"/>
        <v>0</v>
      </c>
      <c r="U125" s="28">
        <f t="shared" ca="1" si="87"/>
        <v>0</v>
      </c>
      <c r="V125" s="28">
        <f t="shared" ca="1" si="88"/>
        <v>0</v>
      </c>
      <c r="W125" s="28">
        <f t="shared" ca="1" si="89"/>
        <v>0</v>
      </c>
      <c r="X125" s="28">
        <f t="shared" ca="1" si="90"/>
        <v>0</v>
      </c>
      <c r="Y125" s="28">
        <f t="shared" ca="1" si="91"/>
        <v>0</v>
      </c>
      <c r="Z125" s="28">
        <f t="shared" ca="1" si="92"/>
        <v>0</v>
      </c>
      <c r="AA125" s="41">
        <f t="shared" ca="1" si="93"/>
        <v>69236.736600684409</v>
      </c>
      <c r="AB125" s="162"/>
      <c r="AC125" s="92"/>
      <c r="AD125" s="92">
        <v>51</v>
      </c>
      <c r="AE125" s="92">
        <v>9741304.4148424715</v>
      </c>
      <c r="AF125" s="92">
        <v>5813893.0039299428</v>
      </c>
      <c r="AG125" s="92">
        <v>-7870411.3966100812</v>
      </c>
      <c r="AH125" s="92">
        <v>4457286.8964546472</v>
      </c>
      <c r="AI125" s="92">
        <v>3034333.710872978</v>
      </c>
      <c r="AJ125" s="92">
        <v>2023095.2652894408</v>
      </c>
      <c r="AK125" s="92">
        <v>4724269.2850759029</v>
      </c>
      <c r="AL125" s="92">
        <v>-1430609.9333310276</v>
      </c>
      <c r="AM125" s="92">
        <v>-1255601.9902217239</v>
      </c>
      <c r="AN125" s="92"/>
      <c r="AO125" s="92"/>
    </row>
    <row r="126" spans="1:44" ht="13.2">
      <c r="A126" s="30">
        <v>125</v>
      </c>
      <c r="B126" s="27">
        <v>40000</v>
      </c>
      <c r="C126" s="43"/>
      <c r="D126" s="32">
        <f t="shared" ca="1" si="73"/>
        <v>0.33587910077852801</v>
      </c>
      <c r="E126" s="35">
        <f t="shared" ca="1" si="70"/>
        <v>3</v>
      </c>
      <c r="F126" s="37">
        <f t="shared" ca="1" si="74"/>
        <v>1</v>
      </c>
      <c r="G126" s="37">
        <f t="shared" ca="1" si="75"/>
        <v>1</v>
      </c>
      <c r="H126" s="37">
        <f t="shared" ca="1" si="76"/>
        <v>1</v>
      </c>
      <c r="I126" s="37">
        <f t="shared" ca="1" si="77"/>
        <v>0</v>
      </c>
      <c r="J126" s="37">
        <f t="shared" ca="1" si="78"/>
        <v>0</v>
      </c>
      <c r="K126" s="37">
        <f t="shared" ca="1" si="79"/>
        <v>0</v>
      </c>
      <c r="L126" s="37">
        <f t="shared" ca="1" si="94"/>
        <v>0</v>
      </c>
      <c r="M126" s="37">
        <f t="shared" ca="1" si="80"/>
        <v>0</v>
      </c>
      <c r="N126" s="37">
        <f t="shared" ca="1" si="81"/>
        <v>0</v>
      </c>
      <c r="O126" s="37">
        <f t="shared" ca="1" si="82"/>
        <v>0</v>
      </c>
      <c r="P126" s="39"/>
      <c r="Q126" s="28">
        <f t="shared" ca="1" si="83"/>
        <v>7944.2319926575829</v>
      </c>
      <c r="R126" s="28">
        <f t="shared" ca="1" si="84"/>
        <v>21012.295048885298</v>
      </c>
      <c r="S126" s="28">
        <f t="shared" ca="1" si="85"/>
        <v>8754.1157924182771</v>
      </c>
      <c r="T126" s="28">
        <f t="shared" ca="1" si="86"/>
        <v>0</v>
      </c>
      <c r="U126" s="28">
        <f t="shared" ca="1" si="87"/>
        <v>0</v>
      </c>
      <c r="V126" s="28">
        <f t="shared" ca="1" si="88"/>
        <v>0</v>
      </c>
      <c r="W126" s="28">
        <f t="shared" ca="1" si="89"/>
        <v>0</v>
      </c>
      <c r="X126" s="28">
        <f t="shared" ca="1" si="90"/>
        <v>0</v>
      </c>
      <c r="Y126" s="28">
        <f t="shared" ca="1" si="91"/>
        <v>0</v>
      </c>
      <c r="Z126" s="28">
        <f t="shared" ca="1" si="92"/>
        <v>0</v>
      </c>
      <c r="AA126" s="41">
        <f t="shared" ca="1" si="93"/>
        <v>37710.642833961159</v>
      </c>
      <c r="AB126" s="162"/>
      <c r="AC126" s="92"/>
      <c r="AD126" s="92">
        <v>52</v>
      </c>
      <c r="AE126" s="92">
        <v>3788678.9410256445</v>
      </c>
      <c r="AF126" s="92">
        <v>3170727.3200462162</v>
      </c>
      <c r="AG126" s="92">
        <v>6192537.6436772943</v>
      </c>
      <c r="AH126" s="92">
        <v>-2480042.9513722956</v>
      </c>
      <c r="AI126" s="92">
        <v>-2208758.5689767301</v>
      </c>
      <c r="AJ126" s="92">
        <v>-2826819.1723018736</v>
      </c>
      <c r="AK126" s="92">
        <v>633988.66977746785</v>
      </c>
      <c r="AL126" s="92">
        <v>-17705425.872332811</v>
      </c>
      <c r="AM126" s="92">
        <v>-6774983.1077521294</v>
      </c>
      <c r="AN126" s="92"/>
      <c r="AO126" s="92"/>
    </row>
    <row r="127" spans="1:44" ht="13.2">
      <c r="A127" s="30">
        <v>126</v>
      </c>
      <c r="B127" s="27">
        <v>40000</v>
      </c>
      <c r="C127" s="43"/>
      <c r="D127" s="32">
        <f t="shared" ca="1" si="73"/>
        <v>0.35563502762733512</v>
      </c>
      <c r="E127" s="35">
        <f t="shared" ca="1" si="70"/>
        <v>3</v>
      </c>
      <c r="F127" s="37">
        <f t="shared" ca="1" si="74"/>
        <v>1</v>
      </c>
      <c r="G127" s="37">
        <f t="shared" ca="1" si="75"/>
        <v>1</v>
      </c>
      <c r="H127" s="37">
        <f t="shared" ca="1" si="76"/>
        <v>1</v>
      </c>
      <c r="I127" s="37">
        <f t="shared" ca="1" si="77"/>
        <v>0</v>
      </c>
      <c r="J127" s="37">
        <f t="shared" ca="1" si="78"/>
        <v>0</v>
      </c>
      <c r="K127" s="37">
        <f t="shared" ca="1" si="79"/>
        <v>0</v>
      </c>
      <c r="L127" s="37">
        <f t="shared" ca="1" si="94"/>
        <v>0</v>
      </c>
      <c r="M127" s="37">
        <f t="shared" ca="1" si="80"/>
        <v>0</v>
      </c>
      <c r="N127" s="37">
        <f t="shared" ca="1" si="81"/>
        <v>0</v>
      </c>
      <c r="O127" s="37">
        <f t="shared" ca="1" si="82"/>
        <v>0</v>
      </c>
      <c r="P127" s="39"/>
      <c r="Q127" s="28">
        <f t="shared" ca="1" si="83"/>
        <v>4096.9298057510887</v>
      </c>
      <c r="R127" s="28">
        <f t="shared" ca="1" si="84"/>
        <v>68882.111532400522</v>
      </c>
      <c r="S127" s="28">
        <f t="shared" ca="1" si="85"/>
        <v>7790.4568994088386</v>
      </c>
      <c r="T127" s="28">
        <f t="shared" ca="1" si="86"/>
        <v>0</v>
      </c>
      <c r="U127" s="28">
        <f t="shared" ca="1" si="87"/>
        <v>0</v>
      </c>
      <c r="V127" s="28">
        <f t="shared" ca="1" si="88"/>
        <v>0</v>
      </c>
      <c r="W127" s="28">
        <f t="shared" ca="1" si="89"/>
        <v>0</v>
      </c>
      <c r="X127" s="28">
        <f t="shared" ca="1" si="90"/>
        <v>0</v>
      </c>
      <c r="Y127" s="28">
        <f t="shared" ca="1" si="91"/>
        <v>0</v>
      </c>
      <c r="Z127" s="28">
        <f t="shared" ca="1" si="92"/>
        <v>0</v>
      </c>
      <c r="AA127" s="41">
        <f t="shared" ca="1" si="93"/>
        <v>80769.498237560445</v>
      </c>
      <c r="AB127" s="162"/>
      <c r="AC127" s="92"/>
      <c r="AD127" s="92">
        <v>53</v>
      </c>
      <c r="AE127" s="92">
        <v>3601365.2078297734</v>
      </c>
      <c r="AF127" s="92">
        <v>8143488.5251159519</v>
      </c>
      <c r="AG127" s="92">
        <v>13606807.326824814</v>
      </c>
      <c r="AH127" s="92">
        <v>10136059.250638619</v>
      </c>
      <c r="AI127" s="92">
        <v>10142144.631577283</v>
      </c>
      <c r="AJ127" s="92">
        <v>2995253.6590094864</v>
      </c>
      <c r="AK127" s="92">
        <v>3249998.7362597138</v>
      </c>
      <c r="AL127" s="92">
        <v>5820707.412216112</v>
      </c>
      <c r="AM127" s="92">
        <v>-1713449.6365689933</v>
      </c>
      <c r="AN127" s="92"/>
      <c r="AO127" s="92"/>
    </row>
    <row r="128" spans="1:44" ht="13.2">
      <c r="A128" s="30">
        <v>127</v>
      </c>
      <c r="B128" s="27">
        <v>40000</v>
      </c>
      <c r="C128" s="43"/>
      <c r="D128" s="32">
        <f t="shared" ca="1" si="73"/>
        <v>0.4365136218864426</v>
      </c>
      <c r="E128" s="35">
        <f t="shared" ca="1" si="70"/>
        <v>4</v>
      </c>
      <c r="F128" s="37">
        <f t="shared" ca="1" si="74"/>
        <v>1</v>
      </c>
      <c r="G128" s="37">
        <f t="shared" ca="1" si="75"/>
        <v>1</v>
      </c>
      <c r="H128" s="37">
        <f t="shared" ca="1" si="76"/>
        <v>1</v>
      </c>
      <c r="I128" s="37">
        <f t="shared" ca="1" si="77"/>
        <v>1</v>
      </c>
      <c r="J128" s="37">
        <f t="shared" ca="1" si="78"/>
        <v>0</v>
      </c>
      <c r="K128" s="37">
        <f t="shared" ca="1" si="79"/>
        <v>0</v>
      </c>
      <c r="L128" s="37">
        <f t="shared" ca="1" si="94"/>
        <v>0</v>
      </c>
      <c r="M128" s="37">
        <f t="shared" ca="1" si="80"/>
        <v>0</v>
      </c>
      <c r="N128" s="37">
        <f t="shared" ca="1" si="81"/>
        <v>0</v>
      </c>
      <c r="O128" s="37">
        <f t="shared" ca="1" si="82"/>
        <v>0</v>
      </c>
      <c r="P128" s="39"/>
      <c r="Q128" s="28">
        <f t="shared" ca="1" si="83"/>
        <v>13460.558649595718</v>
      </c>
      <c r="R128" s="28">
        <f t="shared" ca="1" si="84"/>
        <v>273.6105243671314</v>
      </c>
      <c r="S128" s="28">
        <f t="shared" ca="1" si="85"/>
        <v>13085.758727142096</v>
      </c>
      <c r="T128" s="28">
        <f t="shared" ca="1" si="86"/>
        <v>25530.219406636676</v>
      </c>
      <c r="U128" s="28">
        <f t="shared" ca="1" si="87"/>
        <v>0</v>
      </c>
      <c r="V128" s="28">
        <f t="shared" ca="1" si="88"/>
        <v>0</v>
      </c>
      <c r="W128" s="28">
        <f t="shared" ca="1" si="89"/>
        <v>0</v>
      </c>
      <c r="X128" s="28">
        <f t="shared" ca="1" si="90"/>
        <v>0</v>
      </c>
      <c r="Y128" s="28">
        <f t="shared" ca="1" si="91"/>
        <v>0</v>
      </c>
      <c r="Z128" s="28">
        <f t="shared" ca="1" si="92"/>
        <v>0</v>
      </c>
      <c r="AA128" s="41">
        <f t="shared" ca="1" si="93"/>
        <v>52350.147307741616</v>
      </c>
      <c r="AB128" s="162"/>
      <c r="AC128" s="92"/>
      <c r="AD128" s="92">
        <v>54</v>
      </c>
      <c r="AE128" s="92">
        <v>6701606.9871114492</v>
      </c>
      <c r="AF128" s="92">
        <v>9238904.5263416022</v>
      </c>
      <c r="AG128" s="92">
        <v>-1033116.3166895062</v>
      </c>
      <c r="AH128" s="92">
        <v>-3145.8657858073711</v>
      </c>
      <c r="AI128" s="92">
        <v>5058454.1510219276</v>
      </c>
      <c r="AJ128" s="92">
        <v>-4775834.23693268</v>
      </c>
      <c r="AK128" s="92">
        <v>459068.57246053219</v>
      </c>
      <c r="AL128" s="92">
        <v>-11033698.745288879</v>
      </c>
      <c r="AM128" s="92">
        <v>-3899525.158397913</v>
      </c>
      <c r="AN128" s="92"/>
      <c r="AO128" s="92"/>
    </row>
    <row r="129" spans="1:41" ht="13.2">
      <c r="A129" s="30">
        <v>128</v>
      </c>
      <c r="B129" s="27">
        <v>40000</v>
      </c>
      <c r="C129" s="43"/>
      <c r="D129" s="32">
        <f t="shared" ca="1" si="73"/>
        <v>8.3214563301702293E-3</v>
      </c>
      <c r="E129" s="35">
        <f t="shared" ca="1" si="70"/>
        <v>0</v>
      </c>
      <c r="F129" s="37">
        <f t="shared" ca="1" si="74"/>
        <v>0</v>
      </c>
      <c r="G129" s="37">
        <f t="shared" ca="1" si="75"/>
        <v>0</v>
      </c>
      <c r="H129" s="37">
        <f t="shared" ca="1" si="76"/>
        <v>0</v>
      </c>
      <c r="I129" s="37">
        <f t="shared" ca="1" si="77"/>
        <v>0</v>
      </c>
      <c r="J129" s="37">
        <f t="shared" ca="1" si="78"/>
        <v>0</v>
      </c>
      <c r="K129" s="37">
        <f t="shared" ca="1" si="79"/>
        <v>0</v>
      </c>
      <c r="L129" s="37">
        <f t="shared" ca="1" si="94"/>
        <v>0</v>
      </c>
      <c r="M129" s="37">
        <f t="shared" ca="1" si="80"/>
        <v>0</v>
      </c>
      <c r="N129" s="37">
        <f t="shared" ca="1" si="81"/>
        <v>0</v>
      </c>
      <c r="O129" s="37">
        <f t="shared" ca="1" si="82"/>
        <v>0</v>
      </c>
      <c r="P129" s="39"/>
      <c r="Q129" s="28">
        <f t="shared" ca="1" si="83"/>
        <v>0</v>
      </c>
      <c r="R129" s="28">
        <f t="shared" ca="1" si="84"/>
        <v>0</v>
      </c>
      <c r="S129" s="28">
        <f t="shared" ca="1" si="85"/>
        <v>0</v>
      </c>
      <c r="T129" s="28">
        <f t="shared" ca="1" si="86"/>
        <v>0</v>
      </c>
      <c r="U129" s="28">
        <f t="shared" ca="1" si="87"/>
        <v>0</v>
      </c>
      <c r="V129" s="28">
        <f t="shared" ca="1" si="88"/>
        <v>0</v>
      </c>
      <c r="W129" s="28">
        <f t="shared" ca="1" si="89"/>
        <v>0</v>
      </c>
      <c r="X129" s="28">
        <f t="shared" ca="1" si="90"/>
        <v>0</v>
      </c>
      <c r="Y129" s="28">
        <f t="shared" ca="1" si="91"/>
        <v>0</v>
      </c>
      <c r="Z129" s="28">
        <f t="shared" ca="1" si="92"/>
        <v>0</v>
      </c>
      <c r="AA129" s="41">
        <f t="shared" ca="1" si="93"/>
        <v>0</v>
      </c>
      <c r="AB129" s="162"/>
      <c r="AC129" s="92"/>
      <c r="AD129" s="92">
        <v>55</v>
      </c>
      <c r="AE129" s="92">
        <v>5081639.5856581032</v>
      </c>
      <c r="AF129" s="92">
        <v>8591072.9065590203</v>
      </c>
      <c r="AG129" s="92">
        <v>10974093.720675319</v>
      </c>
      <c r="AH129" s="92">
        <v>3170326.9111595452</v>
      </c>
      <c r="AI129" s="92">
        <v>13893869.424762279</v>
      </c>
      <c r="AJ129" s="92">
        <v>-4865260.9983437657</v>
      </c>
      <c r="AK129" s="92">
        <v>-1013379.7746769041</v>
      </c>
      <c r="AL129" s="92">
        <v>-15417.741569682956</v>
      </c>
      <c r="AM129" s="92">
        <v>-6537682.0370852798</v>
      </c>
      <c r="AN129" s="92"/>
      <c r="AO129" s="92"/>
    </row>
    <row r="130" spans="1:41" ht="13.2">
      <c r="A130" s="30">
        <v>129</v>
      </c>
      <c r="B130" s="27">
        <v>40000</v>
      </c>
      <c r="C130" s="43"/>
      <c r="D130" s="32">
        <f t="shared" ref="D130:D141" ca="1" si="95">RAND()</f>
        <v>8.7677035638088152E-2</v>
      </c>
      <c r="E130" s="35">
        <f t="shared" ca="1" si="70"/>
        <v>1</v>
      </c>
      <c r="F130" s="37">
        <f t="shared" ref="F130:F141" ca="1" si="96">IF(E130&gt;=1,1,0)</f>
        <v>1</v>
      </c>
      <c r="G130" s="37">
        <f t="shared" ref="G130:G141" ca="1" si="97">IF(E130&gt;=2,1,0)</f>
        <v>0</v>
      </c>
      <c r="H130" s="37">
        <f t="shared" ref="H130:H141" ca="1" si="98">IF(E130&gt;=3,1,0)</f>
        <v>0</v>
      </c>
      <c r="I130" s="37">
        <f t="shared" ref="I130:I141" ca="1" si="99">IF(E130&gt;=4,1,0)</f>
        <v>0</v>
      </c>
      <c r="J130" s="37">
        <f t="shared" ref="J130:J141" ca="1" si="100">IF(E130&gt;=5,1,0)</f>
        <v>0</v>
      </c>
      <c r="K130" s="37">
        <f t="shared" ref="K130:K141" ca="1" si="101">IF(E130&gt;=6,1,0)</f>
        <v>0</v>
      </c>
      <c r="L130" s="37">
        <f t="shared" ca="1" si="94"/>
        <v>0</v>
      </c>
      <c r="M130" s="37">
        <f t="shared" ref="M130:M141" ca="1" si="102">IF(E130&gt;=8,1,0)</f>
        <v>0</v>
      </c>
      <c r="N130" s="37">
        <f t="shared" ref="N130:N141" ca="1" si="103">IF(E130&gt;=9,1,0)</f>
        <v>0</v>
      </c>
      <c r="O130" s="37">
        <f t="shared" ref="O130:O141" ca="1" si="104">IF(E130&gt;=10,1,0)</f>
        <v>0</v>
      </c>
      <c r="P130" s="39"/>
      <c r="Q130" s="28">
        <f t="shared" ref="Q130:Q141" ca="1" si="105">_xlfn.CHISQ.INV(RAND(),2)*$AO$4 *F130</f>
        <v>38530.062122365402</v>
      </c>
      <c r="R130" s="28">
        <f t="shared" ref="R130:R141" ca="1" si="106">_xlfn.CHISQ.INV(RAND(),2)*$AO$4 *G130</f>
        <v>0</v>
      </c>
      <c r="S130" s="28">
        <f t="shared" ref="S130:S141" ca="1" si="107">_xlfn.CHISQ.INV(RAND(),2)*$AO$4 *H130</f>
        <v>0</v>
      </c>
      <c r="T130" s="28">
        <f t="shared" ref="T130:T141" ca="1" si="108">_xlfn.CHISQ.INV(RAND(),2)*$AO$4 *I130</f>
        <v>0</v>
      </c>
      <c r="U130" s="28">
        <f t="shared" ref="U130:U141" ca="1" si="109">_xlfn.CHISQ.INV(RAND(),2)*$AO$4 *J130</f>
        <v>0</v>
      </c>
      <c r="V130" s="28">
        <f t="shared" ref="V130:V141" ca="1" si="110">_xlfn.CHISQ.INV(RAND(),2)*$AO$4 *K130</f>
        <v>0</v>
      </c>
      <c r="W130" s="28">
        <f t="shared" ref="W130:W141" ca="1" si="111">_xlfn.CHISQ.INV(RAND(),2)*$AO$4 *L130</f>
        <v>0</v>
      </c>
      <c r="X130" s="28">
        <f t="shared" ref="X130:X141" ca="1" si="112">_xlfn.CHISQ.INV(RAND(),2)*$AO$4 *M130</f>
        <v>0</v>
      </c>
      <c r="Y130" s="28">
        <f t="shared" ref="Y130:Y141" ca="1" si="113">_xlfn.CHISQ.INV(RAND(),2)*$AO$4 *N130</f>
        <v>0</v>
      </c>
      <c r="Z130" s="28">
        <f t="shared" ref="Z130:Z141" ca="1" si="114">_xlfn.CHISQ.INV(RAND(),2)*$AO$4 *O130</f>
        <v>0</v>
      </c>
      <c r="AA130" s="41">
        <f t="shared" ref="AA130:AA141" ca="1" si="115">SUM(Q130:Z130)</f>
        <v>38530.062122365402</v>
      </c>
      <c r="AB130" s="162"/>
      <c r="AC130" s="92"/>
      <c r="AD130" s="92">
        <v>56</v>
      </c>
      <c r="AE130" s="92">
        <v>1684951.6325775683</v>
      </c>
      <c r="AF130" s="92">
        <v>-5178399.5803953409</v>
      </c>
      <c r="AG130" s="92">
        <v>9840713.9019773453</v>
      </c>
      <c r="AH130" s="92">
        <v>16605075.79537876</v>
      </c>
      <c r="AI130" s="92">
        <v>2829301.8245414495</v>
      </c>
      <c r="AJ130" s="92">
        <v>1600627.7613927126</v>
      </c>
      <c r="AK130" s="92">
        <v>5306196.3772121668</v>
      </c>
      <c r="AL130" s="92">
        <v>-1866795.6742801815</v>
      </c>
      <c r="AM130" s="92">
        <v>-4461867.7727274299</v>
      </c>
      <c r="AN130" s="92"/>
      <c r="AO130" s="92"/>
    </row>
    <row r="131" spans="1:41" ht="13.2">
      <c r="A131" s="30">
        <v>130</v>
      </c>
      <c r="B131" s="27">
        <v>40000</v>
      </c>
      <c r="C131" s="43"/>
      <c r="D131" s="32">
        <f t="shared" ca="1" si="95"/>
        <v>0.38645985369513169</v>
      </c>
      <c r="E131" s="35">
        <f t="shared" ref="E131:E141" ca="1" si="116">VLOOKUP(D131,$AH$2:$AL$12, 5, TRUE)</f>
        <v>3</v>
      </c>
      <c r="F131" s="37">
        <f t="shared" ca="1" si="96"/>
        <v>1</v>
      </c>
      <c r="G131" s="37">
        <f t="shared" ca="1" si="97"/>
        <v>1</v>
      </c>
      <c r="H131" s="37">
        <f t="shared" ca="1" si="98"/>
        <v>1</v>
      </c>
      <c r="I131" s="37">
        <f t="shared" ca="1" si="99"/>
        <v>0</v>
      </c>
      <c r="J131" s="37">
        <f t="shared" ca="1" si="100"/>
        <v>0</v>
      </c>
      <c r="K131" s="37">
        <f t="shared" ca="1" si="101"/>
        <v>0</v>
      </c>
      <c r="L131" s="37">
        <f t="shared" ca="1" si="94"/>
        <v>0</v>
      </c>
      <c r="M131" s="37">
        <f t="shared" ca="1" si="102"/>
        <v>0</v>
      </c>
      <c r="N131" s="37">
        <f t="shared" ca="1" si="103"/>
        <v>0</v>
      </c>
      <c r="O131" s="37">
        <f t="shared" ca="1" si="104"/>
        <v>0</v>
      </c>
      <c r="P131" s="39"/>
      <c r="Q131" s="28">
        <f t="shared" ca="1" si="105"/>
        <v>19510.553341511135</v>
      </c>
      <c r="R131" s="28">
        <f t="shared" ca="1" si="106"/>
        <v>1469.96949535414</v>
      </c>
      <c r="S131" s="28">
        <f t="shared" ca="1" si="107"/>
        <v>20011.773601493296</v>
      </c>
      <c r="T131" s="28">
        <f t="shared" ca="1" si="108"/>
        <v>0</v>
      </c>
      <c r="U131" s="28">
        <f t="shared" ca="1" si="109"/>
        <v>0</v>
      </c>
      <c r="V131" s="28">
        <f t="shared" ca="1" si="110"/>
        <v>0</v>
      </c>
      <c r="W131" s="28">
        <f t="shared" ca="1" si="111"/>
        <v>0</v>
      </c>
      <c r="X131" s="28">
        <f t="shared" ca="1" si="112"/>
        <v>0</v>
      </c>
      <c r="Y131" s="28">
        <f t="shared" ca="1" si="113"/>
        <v>0</v>
      </c>
      <c r="Z131" s="28">
        <f t="shared" ca="1" si="114"/>
        <v>0</v>
      </c>
      <c r="AA131" s="41">
        <f t="shared" ca="1" si="115"/>
        <v>40992.296438358571</v>
      </c>
      <c r="AB131" s="162"/>
      <c r="AC131" s="92"/>
      <c r="AD131" s="92">
        <v>57</v>
      </c>
      <c r="AE131" s="92">
        <v>-3584889.2138317227</v>
      </c>
      <c r="AF131" s="92">
        <v>-1332414.3861011267</v>
      </c>
      <c r="AG131" s="92">
        <v>2143598.157238394</v>
      </c>
      <c r="AH131" s="92">
        <v>3920421.8536535501</v>
      </c>
      <c r="AI131" s="92">
        <v>2234912.9290481806</v>
      </c>
      <c r="AJ131" s="92">
        <v>5426663.9857756793</v>
      </c>
      <c r="AK131" s="92">
        <v>3588507.1283285022</v>
      </c>
      <c r="AL131" s="92">
        <v>3355719.9481303543</v>
      </c>
      <c r="AM131" s="92">
        <v>1556843.0539452732</v>
      </c>
      <c r="AN131" s="92"/>
      <c r="AO131" s="92"/>
    </row>
    <row r="132" spans="1:41" ht="13.2">
      <c r="A132" s="30">
        <v>131</v>
      </c>
      <c r="B132" s="27">
        <v>40000</v>
      </c>
      <c r="C132" s="43"/>
      <c r="D132" s="32">
        <f t="shared" ca="1" si="95"/>
        <v>0.11862863444142946</v>
      </c>
      <c r="E132" s="35">
        <f t="shared" ca="1" si="116"/>
        <v>1</v>
      </c>
      <c r="F132" s="37">
        <f t="shared" ca="1" si="96"/>
        <v>1</v>
      </c>
      <c r="G132" s="37">
        <f t="shared" ca="1" si="97"/>
        <v>0</v>
      </c>
      <c r="H132" s="37">
        <f t="shared" ca="1" si="98"/>
        <v>0</v>
      </c>
      <c r="I132" s="37">
        <f t="shared" ca="1" si="99"/>
        <v>0</v>
      </c>
      <c r="J132" s="37">
        <f t="shared" ca="1" si="100"/>
        <v>0</v>
      </c>
      <c r="K132" s="37">
        <f t="shared" ca="1" si="101"/>
        <v>0</v>
      </c>
      <c r="L132" s="37">
        <f t="shared" ca="1" si="94"/>
        <v>0</v>
      </c>
      <c r="M132" s="37">
        <f t="shared" ca="1" si="102"/>
        <v>0</v>
      </c>
      <c r="N132" s="37">
        <f t="shared" ca="1" si="103"/>
        <v>0</v>
      </c>
      <c r="O132" s="37">
        <f t="shared" ca="1" si="104"/>
        <v>0</v>
      </c>
      <c r="P132" s="39"/>
      <c r="Q132" s="28">
        <f t="shared" ca="1" si="105"/>
        <v>3322.5795575573284</v>
      </c>
      <c r="R132" s="28">
        <f t="shared" ca="1" si="106"/>
        <v>0</v>
      </c>
      <c r="S132" s="28">
        <f t="shared" ca="1" si="107"/>
        <v>0</v>
      </c>
      <c r="T132" s="28">
        <f t="shared" ca="1" si="108"/>
        <v>0</v>
      </c>
      <c r="U132" s="28">
        <f t="shared" ca="1" si="109"/>
        <v>0</v>
      </c>
      <c r="V132" s="28">
        <f t="shared" ca="1" si="110"/>
        <v>0</v>
      </c>
      <c r="W132" s="28">
        <f t="shared" ca="1" si="111"/>
        <v>0</v>
      </c>
      <c r="X132" s="28">
        <f t="shared" ca="1" si="112"/>
        <v>0</v>
      </c>
      <c r="Y132" s="28">
        <f t="shared" ca="1" si="113"/>
        <v>0</v>
      </c>
      <c r="Z132" s="28">
        <f t="shared" ca="1" si="114"/>
        <v>0</v>
      </c>
      <c r="AA132" s="41">
        <f t="shared" ca="1" si="115"/>
        <v>3322.5795575573284</v>
      </c>
      <c r="AB132" s="162"/>
      <c r="AC132" s="92"/>
      <c r="AD132" s="92">
        <v>58</v>
      </c>
      <c r="AE132" s="92">
        <v>-1469464.3938358426</v>
      </c>
      <c r="AF132" s="92">
        <v>7346850.6791716367</v>
      </c>
      <c r="AG132" s="92">
        <v>2152746.9654838592</v>
      </c>
      <c r="AH132" s="92">
        <v>-1471875.0394486487</v>
      </c>
      <c r="AI132" s="92">
        <v>14475405.907224223</v>
      </c>
      <c r="AJ132" s="92">
        <v>-3812582.5041938573</v>
      </c>
      <c r="AK132" s="92">
        <v>3523790.6359605342</v>
      </c>
      <c r="AL132" s="92">
        <v>6365068.7580509931</v>
      </c>
      <c r="AM132" s="92">
        <v>-5378846.6334511638</v>
      </c>
      <c r="AN132" s="92"/>
      <c r="AO132" s="92"/>
    </row>
    <row r="133" spans="1:41" ht="13.2">
      <c r="A133" s="30">
        <v>132</v>
      </c>
      <c r="B133" s="27">
        <v>40000</v>
      </c>
      <c r="C133" s="43"/>
      <c r="D133" s="32">
        <f t="shared" ca="1" si="95"/>
        <v>4.7696287342273713E-3</v>
      </c>
      <c r="E133" s="35">
        <f t="shared" ca="1" si="116"/>
        <v>0</v>
      </c>
      <c r="F133" s="37">
        <f t="shared" ca="1" si="96"/>
        <v>0</v>
      </c>
      <c r="G133" s="37">
        <f t="shared" ca="1" si="97"/>
        <v>0</v>
      </c>
      <c r="H133" s="37">
        <f t="shared" ca="1" si="98"/>
        <v>0</v>
      </c>
      <c r="I133" s="37">
        <f t="shared" ca="1" si="99"/>
        <v>0</v>
      </c>
      <c r="J133" s="37">
        <f t="shared" ca="1" si="100"/>
        <v>0</v>
      </c>
      <c r="K133" s="37">
        <f t="shared" ca="1" si="101"/>
        <v>0</v>
      </c>
      <c r="L133" s="37">
        <f t="shared" ca="1" si="94"/>
        <v>0</v>
      </c>
      <c r="M133" s="37">
        <f t="shared" ca="1" si="102"/>
        <v>0</v>
      </c>
      <c r="N133" s="37">
        <f t="shared" ca="1" si="103"/>
        <v>0</v>
      </c>
      <c r="O133" s="37">
        <f t="shared" ca="1" si="104"/>
        <v>0</v>
      </c>
      <c r="P133" s="39"/>
      <c r="Q133" s="28">
        <f t="shared" ca="1" si="105"/>
        <v>0</v>
      </c>
      <c r="R133" s="28">
        <f t="shared" ca="1" si="106"/>
        <v>0</v>
      </c>
      <c r="S133" s="28">
        <f t="shared" ca="1" si="107"/>
        <v>0</v>
      </c>
      <c r="T133" s="28">
        <f t="shared" ca="1" si="108"/>
        <v>0</v>
      </c>
      <c r="U133" s="28">
        <f t="shared" ca="1" si="109"/>
        <v>0</v>
      </c>
      <c r="V133" s="28">
        <f t="shared" ca="1" si="110"/>
        <v>0</v>
      </c>
      <c r="W133" s="28">
        <f t="shared" ca="1" si="111"/>
        <v>0</v>
      </c>
      <c r="X133" s="28">
        <f t="shared" ca="1" si="112"/>
        <v>0</v>
      </c>
      <c r="Y133" s="28">
        <f t="shared" ca="1" si="113"/>
        <v>0</v>
      </c>
      <c r="Z133" s="28">
        <f t="shared" ca="1" si="114"/>
        <v>0</v>
      </c>
      <c r="AA133" s="41">
        <f t="shared" ca="1" si="115"/>
        <v>0</v>
      </c>
      <c r="AB133" s="162"/>
      <c r="AC133" s="92"/>
      <c r="AD133" s="92">
        <v>59</v>
      </c>
      <c r="AE133" s="92">
        <v>19379648.310477301</v>
      </c>
      <c r="AF133" s="92">
        <v>15594904.139704674</v>
      </c>
      <c r="AG133" s="92">
        <v>-966662.46273565292</v>
      </c>
      <c r="AH133" s="92">
        <v>-2766431.7009633482</v>
      </c>
      <c r="AI133" s="92">
        <v>1173273.8299790919</v>
      </c>
      <c r="AJ133" s="92">
        <v>-5379100.2930417061</v>
      </c>
      <c r="AK133" s="92">
        <v>1067518.217805326</v>
      </c>
      <c r="AL133" s="92">
        <v>-3835395.6571689695</v>
      </c>
      <c r="AM133" s="92">
        <v>-5908157.5652593225</v>
      </c>
      <c r="AN133" s="92"/>
      <c r="AO133" s="92"/>
    </row>
    <row r="134" spans="1:41" ht="13.2">
      <c r="A134" s="30">
        <v>133</v>
      </c>
      <c r="B134" s="27">
        <v>40000</v>
      </c>
      <c r="C134" s="43"/>
      <c r="D134" s="32">
        <f t="shared" ca="1" si="95"/>
        <v>0.20384322925964715</v>
      </c>
      <c r="E134" s="35">
        <f t="shared" ca="1" si="116"/>
        <v>2</v>
      </c>
      <c r="F134" s="37">
        <f t="shared" ca="1" si="96"/>
        <v>1</v>
      </c>
      <c r="G134" s="37">
        <f t="shared" ca="1" si="97"/>
        <v>1</v>
      </c>
      <c r="H134" s="37">
        <f t="shared" ca="1" si="98"/>
        <v>0</v>
      </c>
      <c r="I134" s="37">
        <f t="shared" ca="1" si="99"/>
        <v>0</v>
      </c>
      <c r="J134" s="37">
        <f t="shared" ca="1" si="100"/>
        <v>0</v>
      </c>
      <c r="K134" s="37">
        <f t="shared" ca="1" si="101"/>
        <v>0</v>
      </c>
      <c r="L134" s="37">
        <f t="shared" ca="1" si="94"/>
        <v>0</v>
      </c>
      <c r="M134" s="37">
        <f t="shared" ca="1" si="102"/>
        <v>0</v>
      </c>
      <c r="N134" s="37">
        <f t="shared" ca="1" si="103"/>
        <v>0</v>
      </c>
      <c r="O134" s="37">
        <f t="shared" ca="1" si="104"/>
        <v>0</v>
      </c>
      <c r="P134" s="39"/>
      <c r="Q134" s="28">
        <f t="shared" ca="1" si="105"/>
        <v>18638.71542290529</v>
      </c>
      <c r="R134" s="28">
        <f t="shared" ca="1" si="106"/>
        <v>19067.89543033886</v>
      </c>
      <c r="S134" s="28">
        <f t="shared" ca="1" si="107"/>
        <v>0</v>
      </c>
      <c r="T134" s="28">
        <f t="shared" ca="1" si="108"/>
        <v>0</v>
      </c>
      <c r="U134" s="28">
        <f t="shared" ca="1" si="109"/>
        <v>0</v>
      </c>
      <c r="V134" s="28">
        <f t="shared" ca="1" si="110"/>
        <v>0</v>
      </c>
      <c r="W134" s="28">
        <f t="shared" ca="1" si="111"/>
        <v>0</v>
      </c>
      <c r="X134" s="28">
        <f t="shared" ca="1" si="112"/>
        <v>0</v>
      </c>
      <c r="Y134" s="28">
        <f t="shared" ca="1" si="113"/>
        <v>0</v>
      </c>
      <c r="Z134" s="28">
        <f t="shared" ca="1" si="114"/>
        <v>0</v>
      </c>
      <c r="AA134" s="41">
        <f t="shared" ca="1" si="115"/>
        <v>37706.61085324415</v>
      </c>
      <c r="AB134" s="162"/>
      <c r="AC134" s="92"/>
      <c r="AD134" s="92">
        <v>60</v>
      </c>
      <c r="AE134" s="92">
        <v>5508625.9377379268</v>
      </c>
      <c r="AF134" s="92">
        <v>-2799363.9618200362</v>
      </c>
      <c r="AG134" s="92">
        <v>26528096.560982749</v>
      </c>
      <c r="AH134" s="92">
        <v>9286629.6391436756</v>
      </c>
      <c r="AI134" s="92">
        <v>3988594.9794614315</v>
      </c>
      <c r="AJ134" s="92">
        <v>8837769.3157529533</v>
      </c>
      <c r="AK134" s="92">
        <v>7433937.0259719789</v>
      </c>
      <c r="AL134" s="92">
        <v>77488.075248211622</v>
      </c>
      <c r="AM134" s="92">
        <v>-7549427.8202978224</v>
      </c>
      <c r="AN134" s="92"/>
      <c r="AO134" s="92"/>
    </row>
    <row r="135" spans="1:41" ht="13.2">
      <c r="A135" s="30">
        <v>134</v>
      </c>
      <c r="B135" s="27">
        <v>40000</v>
      </c>
      <c r="C135" s="43"/>
      <c r="D135" s="32">
        <f t="shared" ca="1" si="95"/>
        <v>0.33200709840949405</v>
      </c>
      <c r="E135" s="35">
        <f t="shared" ca="1" si="116"/>
        <v>3</v>
      </c>
      <c r="F135" s="37">
        <f t="shared" ca="1" si="96"/>
        <v>1</v>
      </c>
      <c r="G135" s="37">
        <f t="shared" ca="1" si="97"/>
        <v>1</v>
      </c>
      <c r="H135" s="37">
        <f t="shared" ca="1" si="98"/>
        <v>1</v>
      </c>
      <c r="I135" s="37">
        <f t="shared" ca="1" si="99"/>
        <v>0</v>
      </c>
      <c r="J135" s="37">
        <f t="shared" ca="1" si="100"/>
        <v>0</v>
      </c>
      <c r="K135" s="37">
        <f t="shared" ca="1" si="101"/>
        <v>0</v>
      </c>
      <c r="L135" s="37">
        <f t="shared" ca="1" si="94"/>
        <v>0</v>
      </c>
      <c r="M135" s="37">
        <f t="shared" ca="1" si="102"/>
        <v>0</v>
      </c>
      <c r="N135" s="37">
        <f t="shared" ca="1" si="103"/>
        <v>0</v>
      </c>
      <c r="O135" s="37">
        <f t="shared" ca="1" si="104"/>
        <v>0</v>
      </c>
      <c r="P135" s="39"/>
      <c r="Q135" s="28">
        <f t="shared" ca="1" si="105"/>
        <v>15603.96003260139</v>
      </c>
      <c r="R135" s="28">
        <f t="shared" ca="1" si="106"/>
        <v>6746.8335056376445</v>
      </c>
      <c r="S135" s="28">
        <f t="shared" ca="1" si="107"/>
        <v>29374.003994299659</v>
      </c>
      <c r="T135" s="28">
        <f t="shared" ca="1" si="108"/>
        <v>0</v>
      </c>
      <c r="U135" s="28">
        <f t="shared" ca="1" si="109"/>
        <v>0</v>
      </c>
      <c r="V135" s="28">
        <f t="shared" ca="1" si="110"/>
        <v>0</v>
      </c>
      <c r="W135" s="28">
        <f t="shared" ca="1" si="111"/>
        <v>0</v>
      </c>
      <c r="X135" s="28">
        <f t="shared" ca="1" si="112"/>
        <v>0</v>
      </c>
      <c r="Y135" s="28">
        <f t="shared" ca="1" si="113"/>
        <v>0</v>
      </c>
      <c r="Z135" s="28">
        <f t="shared" ca="1" si="114"/>
        <v>0</v>
      </c>
      <c r="AA135" s="41">
        <f t="shared" ca="1" si="115"/>
        <v>51724.797532538694</v>
      </c>
      <c r="AB135" s="162"/>
      <c r="AC135" s="92"/>
      <c r="AD135" s="92">
        <v>61</v>
      </c>
      <c r="AE135" s="92">
        <v>964673.37306167185</v>
      </c>
      <c r="AF135" s="92">
        <v>2698234.6361284852</v>
      </c>
      <c r="AG135" s="92">
        <v>2592582.3030602932</v>
      </c>
      <c r="AH135" s="92">
        <v>-5250560.9418650717</v>
      </c>
      <c r="AI135" s="92">
        <v>1065930.9721726924</v>
      </c>
      <c r="AJ135" s="92">
        <v>-1498929.4156512469</v>
      </c>
      <c r="AK135" s="92">
        <v>5111766.524521783</v>
      </c>
      <c r="AL135" s="92">
        <v>-1483383.8833215684</v>
      </c>
      <c r="AM135" s="92">
        <v>-1542009.7405673563</v>
      </c>
      <c r="AN135" s="92"/>
      <c r="AO135" s="92"/>
    </row>
    <row r="136" spans="1:41" ht="13.2">
      <c r="A136" s="30">
        <v>135</v>
      </c>
      <c r="B136" s="27">
        <v>40000</v>
      </c>
      <c r="C136" s="43"/>
      <c r="D136" s="32">
        <f t="shared" ca="1" si="95"/>
        <v>0.16223580948836192</v>
      </c>
      <c r="E136" s="35">
        <f t="shared" ca="1" si="116"/>
        <v>2</v>
      </c>
      <c r="F136" s="37">
        <f t="shared" ca="1" si="96"/>
        <v>1</v>
      </c>
      <c r="G136" s="37">
        <f t="shared" ca="1" si="97"/>
        <v>1</v>
      </c>
      <c r="H136" s="37">
        <f t="shared" ca="1" si="98"/>
        <v>0</v>
      </c>
      <c r="I136" s="37">
        <f t="shared" ca="1" si="99"/>
        <v>0</v>
      </c>
      <c r="J136" s="37">
        <f t="shared" ca="1" si="100"/>
        <v>0</v>
      </c>
      <c r="K136" s="37">
        <f t="shared" ca="1" si="101"/>
        <v>0</v>
      </c>
      <c r="L136" s="37">
        <f t="shared" ref="L136:L141" ca="1" si="117">IF(E136&gt;=7,1,0)</f>
        <v>0</v>
      </c>
      <c r="M136" s="37">
        <f t="shared" ca="1" si="102"/>
        <v>0</v>
      </c>
      <c r="N136" s="37">
        <f t="shared" ca="1" si="103"/>
        <v>0</v>
      </c>
      <c r="O136" s="37">
        <f t="shared" ca="1" si="104"/>
        <v>0</v>
      </c>
      <c r="P136" s="39"/>
      <c r="Q136" s="28">
        <f t="shared" ca="1" si="105"/>
        <v>3268.268729447741</v>
      </c>
      <c r="R136" s="28">
        <f t="shared" ca="1" si="106"/>
        <v>25900.374068289319</v>
      </c>
      <c r="S136" s="28">
        <f t="shared" ca="1" si="107"/>
        <v>0</v>
      </c>
      <c r="T136" s="28">
        <f t="shared" ca="1" si="108"/>
        <v>0</v>
      </c>
      <c r="U136" s="28">
        <f t="shared" ca="1" si="109"/>
        <v>0</v>
      </c>
      <c r="V136" s="28">
        <f t="shared" ca="1" si="110"/>
        <v>0</v>
      </c>
      <c r="W136" s="28">
        <f t="shared" ca="1" si="111"/>
        <v>0</v>
      </c>
      <c r="X136" s="28">
        <f t="shared" ca="1" si="112"/>
        <v>0</v>
      </c>
      <c r="Y136" s="28">
        <f t="shared" ca="1" si="113"/>
        <v>0</v>
      </c>
      <c r="Z136" s="28">
        <f t="shared" ca="1" si="114"/>
        <v>0</v>
      </c>
      <c r="AA136" s="41">
        <f t="shared" ca="1" si="115"/>
        <v>29168.642797737059</v>
      </c>
      <c r="AB136" s="162"/>
      <c r="AC136" s="92"/>
      <c r="AD136" s="92">
        <v>62</v>
      </c>
      <c r="AE136" s="92">
        <v>-3276120.6443140507</v>
      </c>
      <c r="AF136" s="92">
        <v>6208188.4469889998</v>
      </c>
      <c r="AG136" s="92">
        <v>263397.62103246152</v>
      </c>
      <c r="AH136" s="92">
        <v>2346620.3210568279</v>
      </c>
      <c r="AI136" s="92">
        <v>5032928.101105243</v>
      </c>
      <c r="AJ136" s="92">
        <v>-4815319.6706116796</v>
      </c>
      <c r="AK136" s="92">
        <v>13762667.323307261</v>
      </c>
      <c r="AL136" s="92">
        <v>2095551.275547564</v>
      </c>
      <c r="AM136" s="92">
        <v>-6700236.3480696976</v>
      </c>
      <c r="AN136" s="92"/>
      <c r="AO136" s="92"/>
    </row>
    <row r="137" spans="1:41" ht="13.2">
      <c r="A137" s="30">
        <v>136</v>
      </c>
      <c r="B137" s="27">
        <v>40000</v>
      </c>
      <c r="C137" s="43"/>
      <c r="D137" s="32">
        <f t="shared" ca="1" si="95"/>
        <v>2.3242402660545336E-2</v>
      </c>
      <c r="E137" s="35">
        <f t="shared" ca="1" si="116"/>
        <v>0</v>
      </c>
      <c r="F137" s="37">
        <f t="shared" ca="1" si="96"/>
        <v>0</v>
      </c>
      <c r="G137" s="37">
        <f t="shared" ca="1" si="97"/>
        <v>0</v>
      </c>
      <c r="H137" s="37">
        <f t="shared" ca="1" si="98"/>
        <v>0</v>
      </c>
      <c r="I137" s="37">
        <f t="shared" ca="1" si="99"/>
        <v>0</v>
      </c>
      <c r="J137" s="37">
        <f t="shared" ca="1" si="100"/>
        <v>0</v>
      </c>
      <c r="K137" s="37">
        <f t="shared" ca="1" si="101"/>
        <v>0</v>
      </c>
      <c r="L137" s="37">
        <f t="shared" ca="1" si="117"/>
        <v>0</v>
      </c>
      <c r="M137" s="37">
        <f t="shared" ca="1" si="102"/>
        <v>0</v>
      </c>
      <c r="N137" s="37">
        <f t="shared" ca="1" si="103"/>
        <v>0</v>
      </c>
      <c r="O137" s="37">
        <f t="shared" ca="1" si="104"/>
        <v>0</v>
      </c>
      <c r="P137" s="39"/>
      <c r="Q137" s="28">
        <f t="shared" ca="1" si="105"/>
        <v>0</v>
      </c>
      <c r="R137" s="28">
        <f t="shared" ca="1" si="106"/>
        <v>0</v>
      </c>
      <c r="S137" s="28">
        <f t="shared" ca="1" si="107"/>
        <v>0</v>
      </c>
      <c r="T137" s="28">
        <f t="shared" ca="1" si="108"/>
        <v>0</v>
      </c>
      <c r="U137" s="28">
        <f t="shared" ca="1" si="109"/>
        <v>0</v>
      </c>
      <c r="V137" s="28">
        <f t="shared" ca="1" si="110"/>
        <v>0</v>
      </c>
      <c r="W137" s="28">
        <f t="shared" ca="1" si="111"/>
        <v>0</v>
      </c>
      <c r="X137" s="28">
        <f t="shared" ca="1" si="112"/>
        <v>0</v>
      </c>
      <c r="Y137" s="28">
        <f t="shared" ca="1" si="113"/>
        <v>0</v>
      </c>
      <c r="Z137" s="28">
        <f t="shared" ca="1" si="114"/>
        <v>0</v>
      </c>
      <c r="AA137" s="41">
        <f t="shared" ca="1" si="115"/>
        <v>0</v>
      </c>
      <c r="AB137" s="162"/>
      <c r="AC137" s="92"/>
      <c r="AD137" s="92">
        <v>63</v>
      </c>
      <c r="AE137" s="92">
        <v>8707137.8980750442</v>
      </c>
      <c r="AF137" s="92">
        <v>2117369.8516867012</v>
      </c>
      <c r="AG137" s="92">
        <v>7154815.3813594878</v>
      </c>
      <c r="AH137" s="92">
        <v>-4136698.9094493687</v>
      </c>
      <c r="AI137" s="92">
        <v>13695107.94397603</v>
      </c>
      <c r="AJ137" s="92">
        <v>6042185.9946129769</v>
      </c>
      <c r="AK137" s="92">
        <v>5249644.7534116656</v>
      </c>
      <c r="AL137" s="92">
        <v>12389517.245894834</v>
      </c>
      <c r="AM137" s="92">
        <v>6049068.5343526155</v>
      </c>
      <c r="AN137" s="92"/>
      <c r="AO137" s="92"/>
    </row>
    <row r="138" spans="1:41" ht="13.2">
      <c r="A138" s="30">
        <v>137</v>
      </c>
      <c r="B138" s="27">
        <v>40000</v>
      </c>
      <c r="C138" s="43"/>
      <c r="D138" s="32">
        <f t="shared" ca="1" si="95"/>
        <v>0.46330566747686985</v>
      </c>
      <c r="E138" s="35">
        <f t="shared" ca="1" si="116"/>
        <v>4</v>
      </c>
      <c r="F138" s="37">
        <f t="shared" ca="1" si="96"/>
        <v>1</v>
      </c>
      <c r="G138" s="37">
        <f t="shared" ca="1" si="97"/>
        <v>1</v>
      </c>
      <c r="H138" s="37">
        <f t="shared" ca="1" si="98"/>
        <v>1</v>
      </c>
      <c r="I138" s="37">
        <f t="shared" ca="1" si="99"/>
        <v>1</v>
      </c>
      <c r="J138" s="37">
        <f t="shared" ca="1" si="100"/>
        <v>0</v>
      </c>
      <c r="K138" s="37">
        <f t="shared" ca="1" si="101"/>
        <v>0</v>
      </c>
      <c r="L138" s="37">
        <f t="shared" ca="1" si="117"/>
        <v>0</v>
      </c>
      <c r="M138" s="37">
        <f t="shared" ca="1" si="102"/>
        <v>0</v>
      </c>
      <c r="N138" s="37">
        <f t="shared" ca="1" si="103"/>
        <v>0</v>
      </c>
      <c r="O138" s="37">
        <f t="shared" ca="1" si="104"/>
        <v>0</v>
      </c>
      <c r="P138" s="39"/>
      <c r="Q138" s="28">
        <f t="shared" ca="1" si="105"/>
        <v>4845.9568076829919</v>
      </c>
      <c r="R138" s="28">
        <f t="shared" ca="1" si="106"/>
        <v>12751.490284176938</v>
      </c>
      <c r="S138" s="28">
        <f t="shared" ca="1" si="107"/>
        <v>715.95232892557954</v>
      </c>
      <c r="T138" s="28">
        <f t="shared" ca="1" si="108"/>
        <v>47580.815698459883</v>
      </c>
      <c r="U138" s="28">
        <f t="shared" ca="1" si="109"/>
        <v>0</v>
      </c>
      <c r="V138" s="28">
        <f t="shared" ca="1" si="110"/>
        <v>0</v>
      </c>
      <c r="W138" s="28">
        <f t="shared" ca="1" si="111"/>
        <v>0</v>
      </c>
      <c r="X138" s="28">
        <f t="shared" ca="1" si="112"/>
        <v>0</v>
      </c>
      <c r="Y138" s="28">
        <f t="shared" ca="1" si="113"/>
        <v>0</v>
      </c>
      <c r="Z138" s="28">
        <f t="shared" ca="1" si="114"/>
        <v>0</v>
      </c>
      <c r="AA138" s="41">
        <f t="shared" ca="1" si="115"/>
        <v>65894.215119245389</v>
      </c>
      <c r="AB138" s="162"/>
      <c r="AC138" s="92"/>
      <c r="AD138" s="92">
        <v>64</v>
      </c>
      <c r="AE138" s="92">
        <v>14768918.059418112</v>
      </c>
      <c r="AF138" s="92">
        <v>14124453.256209448</v>
      </c>
      <c r="AG138" s="92">
        <v>-5476563.4290912598</v>
      </c>
      <c r="AH138" s="92">
        <v>-2722852.1923274845</v>
      </c>
      <c r="AI138" s="92">
        <v>10117691.674347728</v>
      </c>
      <c r="AJ138" s="92">
        <v>1915375.5642169565</v>
      </c>
      <c r="AK138" s="92">
        <v>893057.69194611907</v>
      </c>
      <c r="AL138" s="92">
        <v>-763730.41165988147</v>
      </c>
      <c r="AM138" s="92">
        <v>1118277.1694272161</v>
      </c>
      <c r="AN138" s="92"/>
      <c r="AO138" s="92"/>
    </row>
    <row r="139" spans="1:41" ht="13.2">
      <c r="A139" s="30">
        <v>138</v>
      </c>
      <c r="B139" s="27">
        <v>40000</v>
      </c>
      <c r="C139" s="43"/>
      <c r="D139" s="32">
        <f t="shared" ca="1" si="95"/>
        <v>0.91240563222900961</v>
      </c>
      <c r="E139" s="35">
        <f t="shared" ca="1" si="116"/>
        <v>8</v>
      </c>
      <c r="F139" s="37">
        <f t="shared" ca="1" si="96"/>
        <v>1</v>
      </c>
      <c r="G139" s="37">
        <f t="shared" ca="1" si="97"/>
        <v>1</v>
      </c>
      <c r="H139" s="37">
        <f t="shared" ca="1" si="98"/>
        <v>1</v>
      </c>
      <c r="I139" s="37">
        <f t="shared" ca="1" si="99"/>
        <v>1</v>
      </c>
      <c r="J139" s="37">
        <f t="shared" ca="1" si="100"/>
        <v>1</v>
      </c>
      <c r="K139" s="37">
        <f t="shared" ca="1" si="101"/>
        <v>1</v>
      </c>
      <c r="L139" s="37">
        <f t="shared" ca="1" si="117"/>
        <v>1</v>
      </c>
      <c r="M139" s="37">
        <f t="shared" ca="1" si="102"/>
        <v>1</v>
      </c>
      <c r="N139" s="37">
        <f t="shared" ca="1" si="103"/>
        <v>0</v>
      </c>
      <c r="O139" s="37">
        <f t="shared" ca="1" si="104"/>
        <v>0</v>
      </c>
      <c r="P139" s="39"/>
      <c r="Q139" s="28">
        <f t="shared" ca="1" si="105"/>
        <v>8416.5066682317756</v>
      </c>
      <c r="R139" s="28">
        <f t="shared" ca="1" si="106"/>
        <v>13763.802545447159</v>
      </c>
      <c r="S139" s="28">
        <f t="shared" ca="1" si="107"/>
        <v>29821.647073782457</v>
      </c>
      <c r="T139" s="28">
        <f t="shared" ca="1" si="108"/>
        <v>17624.286800529444</v>
      </c>
      <c r="U139" s="28">
        <f t="shared" ca="1" si="109"/>
        <v>6466.0583198731829</v>
      </c>
      <c r="V139" s="28">
        <f t="shared" ca="1" si="110"/>
        <v>8716.4970870029683</v>
      </c>
      <c r="W139" s="28">
        <f t="shared" ca="1" si="111"/>
        <v>2145.333659269088</v>
      </c>
      <c r="X139" s="28">
        <f t="shared" ca="1" si="112"/>
        <v>11222.337735622345</v>
      </c>
      <c r="Y139" s="28">
        <f t="shared" ca="1" si="113"/>
        <v>0</v>
      </c>
      <c r="Z139" s="28">
        <f t="shared" ca="1" si="114"/>
        <v>0</v>
      </c>
      <c r="AA139" s="41">
        <f t="shared" ca="1" si="115"/>
        <v>98176.469889758417</v>
      </c>
      <c r="AB139" s="162"/>
      <c r="AC139" s="92"/>
      <c r="AD139" s="92">
        <v>65</v>
      </c>
      <c r="AE139" s="92">
        <v>-4371530.405523479</v>
      </c>
      <c r="AF139" s="92">
        <v>11690810.821528509</v>
      </c>
      <c r="AG139" s="92">
        <v>6072655.0251662731</v>
      </c>
      <c r="AH139" s="92">
        <v>12261044.032818154</v>
      </c>
      <c r="AI139" s="92">
        <v>2005444.5716369748</v>
      </c>
      <c r="AJ139" s="92">
        <v>9423002.7738717645</v>
      </c>
      <c r="AK139" s="92">
        <v>1965009.6284076124</v>
      </c>
      <c r="AL139" s="92">
        <v>3855123.1414351761</v>
      </c>
      <c r="AM139" s="92">
        <v>3737211.3096216768</v>
      </c>
      <c r="AN139" s="92"/>
      <c r="AO139" s="92"/>
    </row>
    <row r="140" spans="1:41" ht="13.2">
      <c r="A140" s="30">
        <v>139</v>
      </c>
      <c r="B140" s="27">
        <v>40000</v>
      </c>
      <c r="C140" s="43"/>
      <c r="D140" s="32">
        <f t="shared" ca="1" si="95"/>
        <v>0.3950085446835957</v>
      </c>
      <c r="E140" s="35">
        <f t="shared" ca="1" si="116"/>
        <v>3</v>
      </c>
      <c r="F140" s="37">
        <f t="shared" ca="1" si="96"/>
        <v>1</v>
      </c>
      <c r="G140" s="37">
        <f t="shared" ca="1" si="97"/>
        <v>1</v>
      </c>
      <c r="H140" s="37">
        <f t="shared" ca="1" si="98"/>
        <v>1</v>
      </c>
      <c r="I140" s="37">
        <f t="shared" ca="1" si="99"/>
        <v>0</v>
      </c>
      <c r="J140" s="37">
        <f t="shared" ca="1" si="100"/>
        <v>0</v>
      </c>
      <c r="K140" s="37">
        <f t="shared" ca="1" si="101"/>
        <v>0</v>
      </c>
      <c r="L140" s="37">
        <f t="shared" ca="1" si="117"/>
        <v>0</v>
      </c>
      <c r="M140" s="37">
        <f t="shared" ca="1" si="102"/>
        <v>0</v>
      </c>
      <c r="N140" s="37">
        <f t="shared" ca="1" si="103"/>
        <v>0</v>
      </c>
      <c r="O140" s="37">
        <f t="shared" ca="1" si="104"/>
        <v>0</v>
      </c>
      <c r="P140" s="39"/>
      <c r="Q140" s="28">
        <f t="shared" ca="1" si="105"/>
        <v>27841.199671182192</v>
      </c>
      <c r="R140" s="28">
        <f t="shared" ca="1" si="106"/>
        <v>1819.6636297809782</v>
      </c>
      <c r="S140" s="28">
        <f t="shared" ca="1" si="107"/>
        <v>27927.081823392084</v>
      </c>
      <c r="T140" s="28">
        <f t="shared" ca="1" si="108"/>
        <v>0</v>
      </c>
      <c r="U140" s="28">
        <f t="shared" ca="1" si="109"/>
        <v>0</v>
      </c>
      <c r="V140" s="28">
        <f t="shared" ca="1" si="110"/>
        <v>0</v>
      </c>
      <c r="W140" s="28">
        <f t="shared" ca="1" si="111"/>
        <v>0</v>
      </c>
      <c r="X140" s="28">
        <f t="shared" ca="1" si="112"/>
        <v>0</v>
      </c>
      <c r="Y140" s="28">
        <f t="shared" ca="1" si="113"/>
        <v>0</v>
      </c>
      <c r="Z140" s="28">
        <f t="shared" ca="1" si="114"/>
        <v>0</v>
      </c>
      <c r="AA140" s="41">
        <f t="shared" ca="1" si="115"/>
        <v>57587.945124355254</v>
      </c>
      <c r="AB140" s="162"/>
      <c r="AC140" s="92"/>
      <c r="AD140" s="92">
        <v>66</v>
      </c>
      <c r="AE140" s="92">
        <v>5803662.3739828169</v>
      </c>
      <c r="AF140" s="92">
        <v>3938803.9748509824</v>
      </c>
      <c r="AG140" s="92">
        <v>3476848.3297818154</v>
      </c>
      <c r="AH140" s="92">
        <v>5451684.697512567</v>
      </c>
      <c r="AI140" s="92">
        <v>3865718.1477056444</v>
      </c>
      <c r="AJ140" s="92">
        <v>5684778.6307992041</v>
      </c>
      <c r="AK140" s="92">
        <v>1185446.6627593338</v>
      </c>
      <c r="AL140" s="92">
        <v>1085907.820787549</v>
      </c>
      <c r="AM140" s="92">
        <v>2890853.3597181737</v>
      </c>
      <c r="AN140" s="92"/>
      <c r="AO140" s="92"/>
    </row>
    <row r="141" spans="1:41" ht="13.2">
      <c r="A141" s="30">
        <v>140</v>
      </c>
      <c r="B141" s="27">
        <v>40000</v>
      </c>
      <c r="C141" s="43"/>
      <c r="D141" s="32">
        <f t="shared" ca="1" si="95"/>
        <v>0.24903926692077594</v>
      </c>
      <c r="E141" s="35">
        <f t="shared" ca="1" si="116"/>
        <v>2</v>
      </c>
      <c r="F141" s="37">
        <f t="shared" ca="1" si="96"/>
        <v>1</v>
      </c>
      <c r="G141" s="37">
        <f t="shared" ca="1" si="97"/>
        <v>1</v>
      </c>
      <c r="H141" s="37">
        <f t="shared" ca="1" si="98"/>
        <v>0</v>
      </c>
      <c r="I141" s="37">
        <f t="shared" ca="1" si="99"/>
        <v>0</v>
      </c>
      <c r="J141" s="37">
        <f t="shared" ca="1" si="100"/>
        <v>0</v>
      </c>
      <c r="K141" s="37">
        <f t="shared" ca="1" si="101"/>
        <v>0</v>
      </c>
      <c r="L141" s="37">
        <f t="shared" ca="1" si="117"/>
        <v>0</v>
      </c>
      <c r="M141" s="37">
        <f t="shared" ca="1" si="102"/>
        <v>0</v>
      </c>
      <c r="N141" s="37">
        <f t="shared" ca="1" si="103"/>
        <v>0</v>
      </c>
      <c r="O141" s="37">
        <f t="shared" ca="1" si="104"/>
        <v>0</v>
      </c>
      <c r="P141" s="39"/>
      <c r="Q141" s="28">
        <f t="shared" ca="1" si="105"/>
        <v>8368.0518255511906</v>
      </c>
      <c r="R141" s="28">
        <f t="shared" ca="1" si="106"/>
        <v>5451.6680093675895</v>
      </c>
      <c r="S141" s="28">
        <f t="shared" ca="1" si="107"/>
        <v>0</v>
      </c>
      <c r="T141" s="28">
        <f t="shared" ca="1" si="108"/>
        <v>0</v>
      </c>
      <c r="U141" s="28">
        <f t="shared" ca="1" si="109"/>
        <v>0</v>
      </c>
      <c r="V141" s="28">
        <f t="shared" ca="1" si="110"/>
        <v>0</v>
      </c>
      <c r="W141" s="28">
        <f t="shared" ca="1" si="111"/>
        <v>0</v>
      </c>
      <c r="X141" s="28">
        <f t="shared" ca="1" si="112"/>
        <v>0</v>
      </c>
      <c r="Y141" s="28">
        <f t="shared" ca="1" si="113"/>
        <v>0</v>
      </c>
      <c r="Z141" s="28">
        <f t="shared" ca="1" si="114"/>
        <v>0</v>
      </c>
      <c r="AA141" s="41">
        <f t="shared" ca="1" si="115"/>
        <v>13819.71983491878</v>
      </c>
      <c r="AB141" s="162"/>
      <c r="AC141" s="92"/>
      <c r="AD141" s="92">
        <v>67</v>
      </c>
      <c r="AE141" s="92">
        <v>8469235.5382850766</v>
      </c>
      <c r="AF141" s="92">
        <v>9172148.1657746434</v>
      </c>
      <c r="AG141" s="92">
        <v>1988412.127173081</v>
      </c>
      <c r="AH141" s="92">
        <v>3620272.7825857401</v>
      </c>
      <c r="AI141" s="92">
        <v>13356885.873590156</v>
      </c>
      <c r="AJ141" s="92">
        <v>-1922573.2552866638</v>
      </c>
      <c r="AK141" s="92">
        <v>3353152.1110975146</v>
      </c>
      <c r="AL141" s="92">
        <v>-2735475.2750499845</v>
      </c>
      <c r="AM141" s="92">
        <v>-12038775.535532609</v>
      </c>
      <c r="AN141" s="92"/>
      <c r="AO141" s="92"/>
    </row>
    <row r="142" spans="1:41" ht="15.75" customHeight="1">
      <c r="AD142" s="92">
        <v>68</v>
      </c>
      <c r="AE142" s="33">
        <v>19778054.029197454</v>
      </c>
      <c r="AF142" s="33">
        <v>5721070.45219253</v>
      </c>
      <c r="AG142" s="33">
        <v>4395004.9010531902</v>
      </c>
      <c r="AH142" s="33">
        <v>10782864.627094314</v>
      </c>
      <c r="AI142" s="33">
        <v>179235.1278052628</v>
      </c>
      <c r="AJ142" s="33">
        <v>2358859.6848412007</v>
      </c>
      <c r="AK142" s="33">
        <v>937967.61068497598</v>
      </c>
      <c r="AL142" s="33">
        <v>-1374700.8440401554</v>
      </c>
      <c r="AM142" s="33">
        <v>-3820840.005064249</v>
      </c>
    </row>
    <row r="143" spans="1:41" ht="15.75" customHeight="1">
      <c r="AD143" s="92">
        <v>69</v>
      </c>
      <c r="AE143" s="33">
        <v>11401109.674209356</v>
      </c>
      <c r="AF143" s="33">
        <v>2248265.6029286683</v>
      </c>
      <c r="AG143" s="33">
        <v>999414.67775818706</v>
      </c>
      <c r="AH143" s="33">
        <v>-1557423.0461153239</v>
      </c>
      <c r="AI143" s="33">
        <v>12882843.305172741</v>
      </c>
      <c r="AJ143" s="33">
        <v>4009866.1677928567</v>
      </c>
      <c r="AK143" s="33">
        <v>-1509892.9964726716</v>
      </c>
      <c r="AL143" s="33">
        <v>-4322945.5773040205</v>
      </c>
      <c r="AM143" s="33">
        <v>13371200.53297168</v>
      </c>
    </row>
    <row r="144" spans="1:41" ht="15.75" customHeight="1">
      <c r="AD144" s="92">
        <v>70</v>
      </c>
      <c r="AE144" s="33">
        <v>8395336.6715959907</v>
      </c>
      <c r="AF144" s="33">
        <v>14645493.819537282</v>
      </c>
      <c r="AG144" s="33">
        <v>9057614.1093485206</v>
      </c>
      <c r="AH144" s="33">
        <v>6201299.4268185943</v>
      </c>
      <c r="AI144" s="33">
        <v>1053205.460547924</v>
      </c>
      <c r="AJ144" s="33">
        <v>-3771922.9051645696</v>
      </c>
      <c r="AK144" s="33">
        <v>-4521588.2683417797</v>
      </c>
      <c r="AL144" s="33">
        <v>-574425.16997590661</v>
      </c>
      <c r="AM144" s="33">
        <v>-1259019.1363475919</v>
      </c>
    </row>
    <row r="145" spans="30:39" ht="15.75" customHeight="1">
      <c r="AD145" s="92">
        <v>71</v>
      </c>
      <c r="AE145" s="33">
        <v>4688718.1116642356</v>
      </c>
      <c r="AF145" s="33">
        <v>10094657.919904992</v>
      </c>
      <c r="AG145" s="33">
        <v>20259368.760409698</v>
      </c>
      <c r="AH145" s="33">
        <v>10935473.89186509</v>
      </c>
      <c r="AI145" s="33">
        <v>1554146.731630072</v>
      </c>
      <c r="AJ145" s="33">
        <v>6256330.8335912228</v>
      </c>
      <c r="AK145" s="33">
        <v>3811020.8503629565</v>
      </c>
      <c r="AL145" s="33">
        <v>2523795.0870590508</v>
      </c>
      <c r="AM145" s="33">
        <v>521682.40084064007</v>
      </c>
    </row>
    <row r="146" spans="30:39" ht="15.75" customHeight="1">
      <c r="AD146" s="92">
        <v>72</v>
      </c>
      <c r="AE146" s="33">
        <v>1109704.0051277578</v>
      </c>
      <c r="AF146" s="33">
        <v>5729028.723724395</v>
      </c>
      <c r="AG146" s="33">
        <v>5039904.1696995199</v>
      </c>
      <c r="AH146" s="33">
        <v>12057389.234186351</v>
      </c>
      <c r="AI146" s="33">
        <v>1243997.6428419501</v>
      </c>
      <c r="AJ146" s="33">
        <v>3988525.8805961907</v>
      </c>
      <c r="AK146" s="33">
        <v>-4104040.6438080966</v>
      </c>
      <c r="AL146" s="33">
        <v>-316325.43030282855</v>
      </c>
      <c r="AM146" s="33">
        <v>-1476278.3154351413</v>
      </c>
    </row>
    <row r="147" spans="30:39" ht="15.75" customHeight="1">
      <c r="AD147" s="92">
        <v>73</v>
      </c>
      <c r="AE147" s="33">
        <v>5538959.7983604223</v>
      </c>
      <c r="AF147" s="33">
        <v>14448770.977457553</v>
      </c>
      <c r="AG147" s="33">
        <v>5923559.4859859347</v>
      </c>
      <c r="AH147" s="33">
        <v>-696544.96475982666</v>
      </c>
      <c r="AI147" s="33">
        <v>6947056.509223789</v>
      </c>
      <c r="AJ147" s="33">
        <v>2795266.7809190452</v>
      </c>
      <c r="AK147" s="33">
        <v>-12012979.206632867</v>
      </c>
      <c r="AL147" s="33">
        <v>882777.53536325693</v>
      </c>
      <c r="AM147" s="33">
        <v>121583.35713674128</v>
      </c>
    </row>
    <row r="148" spans="30:39" ht="15.75" customHeight="1">
      <c r="AD148" s="92">
        <v>74</v>
      </c>
      <c r="AE148" s="33">
        <v>3888066.7335125506</v>
      </c>
      <c r="AF148" s="33">
        <v>3722520.7080002278</v>
      </c>
      <c r="AG148" s="33">
        <v>2652280.1604610085</v>
      </c>
      <c r="AH148" s="33">
        <v>1966506.0902701318</v>
      </c>
      <c r="AI148" s="33">
        <v>4550412.2637117803</v>
      </c>
      <c r="AJ148" s="33">
        <v>-7209693.9707275033</v>
      </c>
      <c r="AK148" s="33">
        <v>-8955974.4488131702</v>
      </c>
      <c r="AL148" s="33">
        <v>3411762.3851801455</v>
      </c>
      <c r="AM148" s="33">
        <v>-5399912.4280263484</v>
      </c>
    </row>
    <row r="149" spans="30:39" ht="15.75" customHeight="1">
      <c r="AD149" s="92">
        <v>75</v>
      </c>
      <c r="AE149" s="33">
        <v>-504498.60032758117</v>
      </c>
      <c r="AF149" s="33">
        <v>9525170.4724455178</v>
      </c>
      <c r="AG149" s="33">
        <v>2983448.9628305584</v>
      </c>
      <c r="AH149" s="33">
        <v>400957.64452132583</v>
      </c>
      <c r="AI149" s="33">
        <v>-6972594.6533141881</v>
      </c>
      <c r="AJ149" s="33">
        <v>6583153.2365545332</v>
      </c>
      <c r="AK149" s="33">
        <v>2811515.6102159917</v>
      </c>
      <c r="AL149" s="33">
        <v>9952585.3936202079</v>
      </c>
      <c r="AM149" s="33">
        <v>-8044346.2330340892</v>
      </c>
    </row>
    <row r="150" spans="30:39" ht="15.75" customHeight="1">
      <c r="AD150" s="92">
        <v>76</v>
      </c>
      <c r="AE150" s="33">
        <v>6263272.4679082781</v>
      </c>
      <c r="AF150" s="33">
        <v>19067321.254635841</v>
      </c>
      <c r="AG150" s="33">
        <v>3013440.2611059546</v>
      </c>
      <c r="AH150" s="33">
        <v>7929200.6669410467</v>
      </c>
      <c r="AI150" s="33">
        <v>1488722.3227319121</v>
      </c>
      <c r="AJ150" s="33">
        <v>2091772.024597019</v>
      </c>
      <c r="AK150" s="33">
        <v>644433.329672575</v>
      </c>
      <c r="AL150" s="33">
        <v>7125701.6807235479</v>
      </c>
      <c r="AM150" s="33">
        <v>799165.17216382921</v>
      </c>
    </row>
    <row r="151" spans="30:39" ht="15.75" customHeight="1">
      <c r="AD151" s="92">
        <v>77</v>
      </c>
      <c r="AE151" s="33">
        <v>8375586.008018896</v>
      </c>
      <c r="AF151" s="33">
        <v>7345556.6394224614</v>
      </c>
      <c r="AG151" s="33">
        <v>3708605.8608366847</v>
      </c>
      <c r="AH151" s="33">
        <v>868565.87168717384</v>
      </c>
      <c r="AI151" s="33">
        <v>8663672.1241344213</v>
      </c>
      <c r="AJ151" s="33">
        <v>1883314.768915385</v>
      </c>
      <c r="AK151" s="33">
        <v>3989872.6370562613</v>
      </c>
      <c r="AL151" s="33">
        <v>10938390.17643401</v>
      </c>
      <c r="AM151" s="33">
        <v>3532610.857068032</v>
      </c>
    </row>
    <row r="152" spans="30:39" ht="15.75" customHeight="1">
      <c r="AD152" s="92">
        <v>78</v>
      </c>
      <c r="AE152" s="33">
        <v>4677287.7950784564</v>
      </c>
      <c r="AF152" s="33">
        <v>9863699.7622810155</v>
      </c>
      <c r="AG152" s="33">
        <v>-223899.97999666631</v>
      </c>
      <c r="AH152" s="33">
        <v>3520534.4619410038</v>
      </c>
      <c r="AI152" s="33">
        <v>33131.756457045674</v>
      </c>
      <c r="AJ152" s="33">
        <v>2173742.0502185225</v>
      </c>
      <c r="AK152" s="33">
        <v>-1718538.9039395601</v>
      </c>
      <c r="AL152" s="33">
        <v>-5096867.1812053025</v>
      </c>
      <c r="AM152" s="33">
        <v>4791330.1696326733</v>
      </c>
    </row>
    <row r="153" spans="30:39" ht="15.75" customHeight="1">
      <c r="AD153" s="92">
        <v>79</v>
      </c>
      <c r="AE153" s="33">
        <v>1919243.7631258816</v>
      </c>
      <c r="AF153" s="33">
        <v>9389587.1629098952</v>
      </c>
      <c r="AG153" s="33">
        <v>1944256.6387325227</v>
      </c>
      <c r="AH153" s="33">
        <v>1138315.1353569627</v>
      </c>
      <c r="AI153" s="33">
        <v>-1976184.3687219471</v>
      </c>
      <c r="AJ153" s="33">
        <v>27442.160947218537</v>
      </c>
      <c r="AK153" s="33">
        <v>-4099395.3144747615</v>
      </c>
      <c r="AL153" s="33">
        <v>8444829.4595473856</v>
      </c>
      <c r="AM153" s="33">
        <v>-4183014.9799709171</v>
      </c>
    </row>
    <row r="154" spans="30:39" ht="15.75" customHeight="1">
      <c r="AD154" s="92">
        <v>80</v>
      </c>
      <c r="AE154" s="33">
        <v>3057781.559001565</v>
      </c>
      <c r="AF154" s="33">
        <v>12934534.183666617</v>
      </c>
      <c r="AG154" s="33">
        <v>18904878.369737908</v>
      </c>
      <c r="AH154" s="33">
        <v>13290086.614614159</v>
      </c>
      <c r="AI154" s="33">
        <v>14914049.947870061</v>
      </c>
      <c r="AJ154" s="33">
        <v>2203335.6472046971</v>
      </c>
      <c r="AK154" s="33">
        <v>9532459.3642824143</v>
      </c>
      <c r="AL154" s="33">
        <v>4909288.8171387613</v>
      </c>
      <c r="AM154" s="33">
        <v>2394620.9382652044</v>
      </c>
    </row>
    <row r="155" spans="30:39" ht="15.75" customHeight="1">
      <c r="AD155" s="92">
        <v>81</v>
      </c>
      <c r="AE155" s="33">
        <v>10478756.575496078</v>
      </c>
      <c r="AF155" s="33">
        <v>4564587.1320379078</v>
      </c>
      <c r="AG155" s="33">
        <v>23925126.432512522</v>
      </c>
      <c r="AH155" s="33">
        <v>3236388.1585354805</v>
      </c>
      <c r="AI155" s="33">
        <v>3261637.4820220172</v>
      </c>
      <c r="AJ155" s="33">
        <v>9254293.6819083095</v>
      </c>
      <c r="AK155" s="33">
        <v>257128.71596010029</v>
      </c>
      <c r="AL155" s="33">
        <v>1738407.9336698353</v>
      </c>
      <c r="AM155" s="33">
        <v>1109575.8536450416</v>
      </c>
    </row>
    <row r="156" spans="30:39" ht="15.75" customHeight="1">
      <c r="AD156" s="92">
        <v>82</v>
      </c>
      <c r="AE156" s="33">
        <v>9082083.5235355198</v>
      </c>
      <c r="AF156" s="33">
        <v>17562346.729054436</v>
      </c>
      <c r="AG156" s="33">
        <v>1267670.0953858346</v>
      </c>
      <c r="AH156" s="33">
        <v>10463561.063445061</v>
      </c>
      <c r="AI156" s="33">
        <v>4998186.2466835678</v>
      </c>
      <c r="AJ156" s="33">
        <v>-5225865.3980857581</v>
      </c>
      <c r="AK156" s="33">
        <v>-9078980.1807512939</v>
      </c>
      <c r="AL156" s="33">
        <v>10920912.570975259</v>
      </c>
      <c r="AM156" s="33">
        <v>7868968.6462304294</v>
      </c>
    </row>
    <row r="157" spans="30:39" ht="15.75" customHeight="1">
      <c r="AD157" s="92">
        <v>83</v>
      </c>
      <c r="AE157" s="33">
        <v>5959964.3279961646</v>
      </c>
      <c r="AF157" s="33">
        <v>2531758.5219019353</v>
      </c>
      <c r="AG157" s="33">
        <v>12866853.148891255</v>
      </c>
      <c r="AH157" s="33">
        <v>8698022.6173252761</v>
      </c>
      <c r="AI157" s="33">
        <v>1416179.0650342852</v>
      </c>
      <c r="AJ157" s="33">
        <v>6623213.4464026242</v>
      </c>
      <c r="AK157" s="33">
        <v>-3384100.6255927235</v>
      </c>
      <c r="AL157" s="33">
        <v>-4596580.8765833676</v>
      </c>
      <c r="AM157" s="33">
        <v>1241875.5374488086</v>
      </c>
    </row>
    <row r="158" spans="30:39" ht="15.75" customHeight="1">
      <c r="AD158" s="92">
        <v>84</v>
      </c>
      <c r="AE158" s="33">
        <v>10158868.834750056</v>
      </c>
      <c r="AF158" s="33">
        <v>7066258.2554844767</v>
      </c>
      <c r="AG158" s="33">
        <v>5544690.7434663624</v>
      </c>
      <c r="AH158" s="33">
        <v>12173342.894691855</v>
      </c>
      <c r="AI158" s="33">
        <v>505483.67648626864</v>
      </c>
      <c r="AJ158" s="33">
        <v>-1662678.8839033246</v>
      </c>
      <c r="AK158" s="33">
        <v>11966407.268734261</v>
      </c>
      <c r="AL158" s="33">
        <v>-7874513.2714168578</v>
      </c>
      <c r="AM158" s="33">
        <v>-2414261.8087727875</v>
      </c>
    </row>
    <row r="159" spans="30:39" ht="15.75" customHeight="1">
      <c r="AD159" s="92">
        <v>85</v>
      </c>
      <c r="AE159" s="33">
        <v>8415284.4237105846</v>
      </c>
      <c r="AF159" s="33">
        <v>2692085.566272825</v>
      </c>
      <c r="AG159" s="33">
        <v>-654490.2614364028</v>
      </c>
      <c r="AH159" s="33">
        <v>-190154.94389507174</v>
      </c>
      <c r="AI159" s="33">
        <v>6591266.7092163265</v>
      </c>
      <c r="AJ159" s="33">
        <v>-1065667.2130768746</v>
      </c>
      <c r="AK159" s="33">
        <v>3513005.682372421</v>
      </c>
      <c r="AL159" s="33">
        <v>-5642298.9967398047</v>
      </c>
      <c r="AM159" s="33">
        <v>8685594.8390449882</v>
      </c>
    </row>
    <row r="160" spans="30:39" ht="15.75" customHeight="1">
      <c r="AD160" s="92">
        <v>86</v>
      </c>
      <c r="AE160" s="33">
        <v>5439608.3095562458</v>
      </c>
      <c r="AF160" s="33">
        <v>7338695.4367576987</v>
      </c>
      <c r="AG160" s="33">
        <v>4844667.3085649312</v>
      </c>
      <c r="AH160" s="33">
        <v>9456979.6021557748</v>
      </c>
      <c r="AI160" s="33">
        <v>7886746.7781069577</v>
      </c>
      <c r="AJ160" s="33">
        <v>3503697.0005666316</v>
      </c>
      <c r="AK160" s="33">
        <v>1498082.3446004391</v>
      </c>
      <c r="AL160" s="33">
        <v>5569247.3402145058</v>
      </c>
      <c r="AM160" s="33">
        <v>-7839999.2147946954</v>
      </c>
    </row>
    <row r="161" spans="30:39" ht="15.75" customHeight="1">
      <c r="AD161" s="92">
        <v>87</v>
      </c>
      <c r="AE161" s="33">
        <v>5701928.2462916821</v>
      </c>
      <c r="AF161" s="33">
        <v>791663.09103889763</v>
      </c>
      <c r="AG161" s="33">
        <v>11284536.262913316</v>
      </c>
      <c r="AH161" s="33">
        <v>1420008.6609924734</v>
      </c>
      <c r="AI161" s="33">
        <v>11870216.80783838</v>
      </c>
      <c r="AJ161" s="33">
        <v>-2113115.7373391241</v>
      </c>
      <c r="AK161" s="33">
        <v>-7051169.390899241</v>
      </c>
      <c r="AL161" s="33">
        <v>-5451713.5292567462</v>
      </c>
      <c r="AM161" s="33">
        <v>-5571901.0442192405</v>
      </c>
    </row>
    <row r="162" spans="30:39" ht="15.75" customHeight="1">
      <c r="AD162" s="92">
        <v>88</v>
      </c>
      <c r="AE162" s="33">
        <v>12948861.550862029</v>
      </c>
      <c r="AF162" s="33">
        <v>-7942563.501580134</v>
      </c>
      <c r="AG162" s="33">
        <v>2499579.968575269</v>
      </c>
      <c r="AH162" s="33">
        <v>-9351704.970031321</v>
      </c>
      <c r="AI162" s="33">
        <v>3490027.9366465658</v>
      </c>
      <c r="AJ162" s="33">
        <v>-1740586.2863274366</v>
      </c>
      <c r="AK162" s="33">
        <v>-1915723.6505204737</v>
      </c>
      <c r="AL162" s="33">
        <v>3813919.257951349</v>
      </c>
      <c r="AM162" s="33">
        <v>-3624729.6119441539</v>
      </c>
    </row>
    <row r="163" spans="30:39" ht="15.75" customHeight="1">
      <c r="AD163" s="92">
        <v>89</v>
      </c>
      <c r="AE163" s="33">
        <v>6321269.1386940032</v>
      </c>
      <c r="AF163" s="33">
        <v>3347565.1855043024</v>
      </c>
      <c r="AG163" s="33">
        <v>133151.25270472467</v>
      </c>
      <c r="AH163" s="33">
        <v>-1569134.833080247</v>
      </c>
      <c r="AI163" s="33">
        <v>1610820.5000758171</v>
      </c>
      <c r="AJ163" s="33">
        <v>15014333.828560799</v>
      </c>
      <c r="AK163" s="33">
        <v>2046740.923909992</v>
      </c>
      <c r="AL163" s="33">
        <v>-3695405.4308264554</v>
      </c>
      <c r="AM163" s="33">
        <v>7456200.0257292539</v>
      </c>
    </row>
    <row r="164" spans="30:39" ht="15.75" customHeight="1">
      <c r="AD164" s="92">
        <v>90</v>
      </c>
      <c r="AE164" s="33">
        <v>-525979.27030263841</v>
      </c>
      <c r="AF164" s="33">
        <v>4571016.490581274</v>
      </c>
      <c r="AG164" s="33">
        <v>4930497.3647780865</v>
      </c>
      <c r="AH164" s="33">
        <v>8475428.2868042588</v>
      </c>
      <c r="AI164" s="33">
        <v>4836853.1427250057</v>
      </c>
      <c r="AJ164" s="33">
        <v>-3217170.1763379127</v>
      </c>
      <c r="AK164" s="33">
        <v>391215.25918960571</v>
      </c>
      <c r="AL164" s="33">
        <v>1238222.5077147782</v>
      </c>
      <c r="AM164" s="33">
        <v>-4146873.948308304</v>
      </c>
    </row>
    <row r="165" spans="30:39" ht="15.75" customHeight="1">
      <c r="AD165" s="92">
        <v>91</v>
      </c>
      <c r="AE165" s="33">
        <v>15386572.048354208</v>
      </c>
      <c r="AF165" s="33">
        <v>7714208.9380213916</v>
      </c>
      <c r="AG165" s="33">
        <v>3387762.6604422331</v>
      </c>
      <c r="AH165" s="33">
        <v>11401884.483765468</v>
      </c>
      <c r="AI165" s="33">
        <v>8396999.3835147023</v>
      </c>
      <c r="AJ165" s="33">
        <v>-2759262.3153847605</v>
      </c>
      <c r="AK165" s="33">
        <v>785667.52482655644</v>
      </c>
      <c r="AL165" s="33">
        <v>-7185592.5943749696</v>
      </c>
      <c r="AM165" s="33">
        <v>6423888.434602797</v>
      </c>
    </row>
    <row r="166" spans="30:39" ht="15.75" customHeight="1">
      <c r="AD166" s="92">
        <v>92</v>
      </c>
      <c r="AE166" s="33">
        <v>8351561.7325106412</v>
      </c>
      <c r="AF166" s="33">
        <v>956717.40828919411</v>
      </c>
      <c r="AG166" s="33">
        <v>7481969.029673934</v>
      </c>
      <c r="AH166" s="33">
        <v>7648212.2588555068</v>
      </c>
      <c r="AI166" s="33">
        <v>-5670803.9755182415</v>
      </c>
      <c r="AJ166" s="33">
        <v>5895572.5526300669</v>
      </c>
      <c r="AK166" s="33">
        <v>7321646.2333471179</v>
      </c>
      <c r="AL166" s="33">
        <v>7370460.4142122865</v>
      </c>
      <c r="AM166" s="33">
        <v>-8514329.8669442236</v>
      </c>
    </row>
    <row r="167" spans="30:39" ht="15.75" customHeight="1">
      <c r="AD167" s="92">
        <v>93</v>
      </c>
      <c r="AE167" s="33">
        <v>5233652.3675825447</v>
      </c>
      <c r="AF167" s="33">
        <v>9408928.7940137684</v>
      </c>
      <c r="AG167" s="33">
        <v>9055321.8132655621</v>
      </c>
      <c r="AH167" s="33">
        <v>5927191.725365743</v>
      </c>
      <c r="AI167" s="33">
        <v>2457582.2819297463</v>
      </c>
      <c r="AJ167" s="33">
        <v>-5657957.6783117354</v>
      </c>
      <c r="AK167" s="33">
        <v>-9934776.2828491926</v>
      </c>
      <c r="AL167" s="33">
        <v>-3182454.0438813865</v>
      </c>
      <c r="AM167" s="33">
        <v>4165763.3461796045</v>
      </c>
    </row>
    <row r="168" spans="30:39" ht="15.75" customHeight="1">
      <c r="AD168" s="92">
        <v>94</v>
      </c>
      <c r="AE168" s="33">
        <v>11377427.858204409</v>
      </c>
      <c r="AF168" s="33">
        <v>-3863841.2789131701</v>
      </c>
      <c r="AG168" s="33">
        <v>15926659.429695874</v>
      </c>
      <c r="AH168" s="33">
        <v>8532961.7978537679</v>
      </c>
      <c r="AI168" s="33">
        <v>1647328.4541193247</v>
      </c>
      <c r="AJ168" s="33">
        <v>5450683.127079308</v>
      </c>
      <c r="AK168" s="33">
        <v>-2096867.4310767949</v>
      </c>
      <c r="AL168" s="33">
        <v>904868.60315655172</v>
      </c>
      <c r="AM168" s="33">
        <v>-2773830.0355042219</v>
      </c>
    </row>
    <row r="169" spans="30:39" ht="15.75" customHeight="1">
      <c r="AD169" s="92">
        <v>95</v>
      </c>
      <c r="AE169" s="33">
        <v>10360065.582376406</v>
      </c>
      <c r="AF169" s="33">
        <v>8002689.9826203883</v>
      </c>
      <c r="AG169" s="33">
        <v>6438275.9175716192</v>
      </c>
      <c r="AH169" s="33">
        <v>1675400.2749174237</v>
      </c>
      <c r="AI169" s="33">
        <v>6454144.9520917386</v>
      </c>
      <c r="AJ169" s="33">
        <v>439778.88161061704</v>
      </c>
      <c r="AK169" s="33">
        <v>-180653.24748906493</v>
      </c>
      <c r="AL169" s="33">
        <v>-3688093.2306536287</v>
      </c>
      <c r="AM169" s="33">
        <v>2328264.9994339198</v>
      </c>
    </row>
    <row r="170" spans="30:39" ht="15.75" customHeight="1">
      <c r="AD170" s="92">
        <v>96</v>
      </c>
      <c r="AE170" s="33">
        <v>1141698.5556892455</v>
      </c>
      <c r="AF170" s="33">
        <v>9998518.4784074277</v>
      </c>
      <c r="AG170" s="33">
        <v>6556988.3312085718</v>
      </c>
      <c r="AH170" s="33">
        <v>-2164056.3198893517</v>
      </c>
      <c r="AI170" s="33">
        <v>-6122235.0815799236</v>
      </c>
      <c r="AJ170" s="33">
        <v>6922731.353455916</v>
      </c>
      <c r="AK170" s="33">
        <v>3277840.573371619</v>
      </c>
      <c r="AL170" s="33">
        <v>6113254.5846209526</v>
      </c>
      <c r="AM170" s="33">
        <v>-2884425.5882399678</v>
      </c>
    </row>
    <row r="171" spans="30:39" ht="15.75" customHeight="1">
      <c r="AD171" s="92">
        <v>97</v>
      </c>
      <c r="AE171" s="33">
        <v>2087202.7488402277</v>
      </c>
      <c r="AF171" s="33">
        <v>11484756.763245702</v>
      </c>
      <c r="AG171" s="33">
        <v>-2100250.1273562312</v>
      </c>
      <c r="AH171" s="33">
        <v>12441942.13831301</v>
      </c>
      <c r="AI171" s="33">
        <v>217067.68640068173</v>
      </c>
      <c r="AJ171" s="33">
        <v>6581564.2407848835</v>
      </c>
      <c r="AK171" s="33">
        <v>-5330338.4473241121</v>
      </c>
      <c r="AL171" s="33">
        <v>7287606.7268399</v>
      </c>
      <c r="AM171" s="33">
        <v>3749988.7844297588</v>
      </c>
    </row>
    <row r="172" spans="30:39" ht="15.75" customHeight="1">
      <c r="AD172" s="92">
        <v>98</v>
      </c>
      <c r="AE172" s="33">
        <v>9151389.2092044801</v>
      </c>
      <c r="AF172" s="33">
        <v>-740533.17916253209</v>
      </c>
      <c r="AG172" s="33">
        <v>-1999796.2585941553</v>
      </c>
      <c r="AH172" s="33">
        <v>4548726.7963093221</v>
      </c>
      <c r="AI172" s="33">
        <v>512637.19970571995</v>
      </c>
      <c r="AJ172" s="33">
        <v>-1029977.6978145838</v>
      </c>
      <c r="AK172" s="33">
        <v>3822413.3213821352</v>
      </c>
      <c r="AL172" s="33">
        <v>-1638772.2807179391</v>
      </c>
      <c r="AM172" s="33">
        <v>-9292721.0609146655</v>
      </c>
    </row>
    <row r="173" spans="30:39" ht="15.75" customHeight="1">
      <c r="AD173" s="92">
        <v>99</v>
      </c>
      <c r="AE173" s="33">
        <v>-2073026.5473788977</v>
      </c>
      <c r="AF173" s="33">
        <v>13508401.306468278</v>
      </c>
      <c r="AG173" s="33">
        <v>13028422.327729195</v>
      </c>
      <c r="AH173" s="33">
        <v>3107313.8831669092</v>
      </c>
      <c r="AI173" s="33">
        <v>5959336.4049490094</v>
      </c>
      <c r="AJ173" s="33">
        <v>7276557.9152114242</v>
      </c>
      <c r="AK173" s="33">
        <v>-7953290.5158285946</v>
      </c>
      <c r="AL173" s="33">
        <v>-2415746.61787422</v>
      </c>
      <c r="AM173" s="33">
        <v>-3575128.4484860897</v>
      </c>
    </row>
    <row r="174" spans="30:39" ht="15.75" customHeight="1">
      <c r="AD174" s="92">
        <v>100</v>
      </c>
      <c r="AE174" s="33">
        <v>8586834.9185113162</v>
      </c>
      <c r="AF174" s="33">
        <v>6280096.4967795759</v>
      </c>
      <c r="AG174" s="33">
        <v>-2616703.8378937989</v>
      </c>
      <c r="AH174" s="33">
        <v>1321944.7496344149</v>
      </c>
      <c r="AI174" s="33">
        <v>9388107.236252889</v>
      </c>
      <c r="AJ174" s="33">
        <v>-2777292.934891358</v>
      </c>
      <c r="AK174" s="33">
        <v>-4999406.3174697012</v>
      </c>
      <c r="AL174" s="33">
        <v>-1336756.9453633577</v>
      </c>
      <c r="AM174" s="33">
        <v>1277192.5259975791</v>
      </c>
    </row>
    <row r="175" spans="30:39" ht="15.75" customHeight="1">
      <c r="AD175" s="92">
        <v>101</v>
      </c>
      <c r="AE175" s="33">
        <v>9252416.3364126682</v>
      </c>
      <c r="AF175" s="33">
        <v>3671817.55730474</v>
      </c>
      <c r="AG175" s="33">
        <v>7838485.4893172979</v>
      </c>
      <c r="AH175" s="33">
        <v>380023.97165830433</v>
      </c>
      <c r="AI175" s="33">
        <v>7874485.1679246128</v>
      </c>
      <c r="AJ175" s="33">
        <v>-4196522.5807315409</v>
      </c>
      <c r="AK175" s="33">
        <v>3849532.5704931766</v>
      </c>
      <c r="AL175" s="33">
        <v>-2735938.6296515167</v>
      </c>
      <c r="AM175" s="33">
        <v>-8994142.7994231284</v>
      </c>
    </row>
    <row r="176" spans="30:39" ht="15.75" customHeight="1">
      <c r="AD176" s="92">
        <v>102</v>
      </c>
      <c r="AE176" s="33">
        <v>783985.22396433353</v>
      </c>
      <c r="AF176" s="33">
        <v>2367051.0251770765</v>
      </c>
      <c r="AG176" s="33">
        <v>13541002.511622339</v>
      </c>
      <c r="AH176" s="33">
        <v>-519368.52155143023</v>
      </c>
      <c r="AI176" s="33">
        <v>-4143431.2251832038</v>
      </c>
      <c r="AJ176" s="33">
        <v>7345474.3535303026</v>
      </c>
      <c r="AK176" s="33">
        <v>-3077101.3418406248</v>
      </c>
      <c r="AL176" s="33">
        <v>-4671373.9558062851</v>
      </c>
      <c r="AM176" s="33">
        <v>-5143471.9442654103</v>
      </c>
    </row>
    <row r="177" spans="30:39" ht="15.75" customHeight="1">
      <c r="AD177" s="92">
        <v>103</v>
      </c>
      <c r="AE177" s="33">
        <v>6786460.8825230896</v>
      </c>
      <c r="AF177" s="33">
        <v>10248506.336463094</v>
      </c>
      <c r="AG177" s="33">
        <v>11753111.064867079</v>
      </c>
      <c r="AH177" s="33">
        <v>6773166.6004400104</v>
      </c>
      <c r="AI177" s="33">
        <v>4932421.1054234356</v>
      </c>
      <c r="AJ177" s="33">
        <v>4617947.2134546041</v>
      </c>
      <c r="AK177" s="33">
        <v>-6480728.8515850902</v>
      </c>
      <c r="AL177" s="33">
        <v>-3500108.3145939708</v>
      </c>
      <c r="AM177" s="33">
        <v>650022.51922136545</v>
      </c>
    </row>
    <row r="178" spans="30:39" ht="15.75" customHeight="1">
      <c r="AD178" s="92">
        <v>104</v>
      </c>
      <c r="AE178" s="33">
        <v>9953915.8271463215</v>
      </c>
      <c r="AF178" s="33">
        <v>8671286.9557795227</v>
      </c>
      <c r="AG178" s="33">
        <v>10801343.497731715</v>
      </c>
      <c r="AH178" s="33">
        <v>1076045.7675096542</v>
      </c>
      <c r="AI178" s="33">
        <v>9110395.3156078458</v>
      </c>
      <c r="AJ178" s="33">
        <v>1741419.8566336185</v>
      </c>
      <c r="AK178" s="33">
        <v>-3819687.1675199121</v>
      </c>
      <c r="AL178" s="33">
        <v>-9729619.8108873814</v>
      </c>
      <c r="AM178" s="33">
        <v>-5547755.3318901062</v>
      </c>
    </row>
    <row r="179" spans="30:39" ht="15.75" customHeight="1">
      <c r="AD179" s="92">
        <v>105</v>
      </c>
      <c r="AE179" s="33">
        <v>10056131.931846991</v>
      </c>
      <c r="AF179" s="33">
        <v>5480146.7583528161</v>
      </c>
      <c r="AG179" s="33">
        <v>2465581.202358529</v>
      </c>
      <c r="AH179" s="33">
        <v>4402339.7666776478</v>
      </c>
      <c r="AI179" s="33">
        <v>-1313017.5628485978</v>
      </c>
      <c r="AJ179" s="33">
        <v>-1827908.6667214036</v>
      </c>
      <c r="AK179" s="33">
        <v>-5525875.7774579227</v>
      </c>
      <c r="AL179" s="33">
        <v>-5239226.6649920344</v>
      </c>
      <c r="AM179" s="33">
        <v>-3670113.6440713406</v>
      </c>
    </row>
    <row r="180" spans="30:39" ht="15.75" customHeight="1">
      <c r="AD180" s="92">
        <v>106</v>
      </c>
      <c r="AE180" s="33">
        <v>10886675.417715669</v>
      </c>
      <c r="AF180" s="33">
        <v>-82227.099185198545</v>
      </c>
      <c r="AG180" s="33">
        <v>6622350.2510908246</v>
      </c>
      <c r="AH180" s="33">
        <v>4226143.0748903155</v>
      </c>
      <c r="AI180" s="33">
        <v>5380797.430463627</v>
      </c>
      <c r="AJ180" s="33">
        <v>12613253.59786804</v>
      </c>
      <c r="AK180" s="33">
        <v>-5733724.4875855148</v>
      </c>
      <c r="AL180" s="33">
        <v>-2175621.7041765153</v>
      </c>
      <c r="AM180" s="33">
        <v>8267444.2142872363</v>
      </c>
    </row>
    <row r="181" spans="30:39" ht="15.75" customHeight="1">
      <c r="AD181" s="92">
        <v>107</v>
      </c>
      <c r="AE181" s="33">
        <v>7534883.700175941</v>
      </c>
      <c r="AF181" s="33">
        <v>9531442.9868708402</v>
      </c>
      <c r="AG181" s="33">
        <v>2170501.0969126821</v>
      </c>
      <c r="AH181" s="33">
        <v>-1969620.5423511863</v>
      </c>
      <c r="AI181" s="33">
        <v>-3138482.1883821487</v>
      </c>
      <c r="AJ181" s="33">
        <v>2216654.9714857787</v>
      </c>
      <c r="AK181" s="33">
        <v>3634786.0679576397</v>
      </c>
      <c r="AL181" s="33">
        <v>178319.97866162658</v>
      </c>
      <c r="AM181" s="33">
        <v>1243629.5428405851</v>
      </c>
    </row>
    <row r="182" spans="30:39" ht="15.75" customHeight="1">
      <c r="AD182" s="92">
        <v>108</v>
      </c>
      <c r="AE182" s="33">
        <v>15464980.147655219</v>
      </c>
      <c r="AF182" s="33">
        <v>13775566.521443218</v>
      </c>
      <c r="AG182" s="33">
        <v>6056226.9994211048</v>
      </c>
      <c r="AH182" s="33">
        <v>1078049.7240925282</v>
      </c>
      <c r="AI182" s="33">
        <v>4220867.2354920506</v>
      </c>
      <c r="AJ182" s="33">
        <v>-2417343.6702027619</v>
      </c>
      <c r="AK182" s="33">
        <v>8014735.928098917</v>
      </c>
      <c r="AL182" s="33">
        <v>4187298.8699889183</v>
      </c>
      <c r="AM182" s="33">
        <v>-3497211.7637143284</v>
      </c>
    </row>
    <row r="183" spans="30:39" ht="15.75" customHeight="1">
      <c r="AD183" s="92">
        <v>109</v>
      </c>
      <c r="AE183" s="33">
        <v>11106196.6651939</v>
      </c>
      <c r="AF183" s="33">
        <v>7829827.4019940645</v>
      </c>
      <c r="AG183" s="33">
        <v>1193055.2212289274</v>
      </c>
      <c r="AH183" s="33">
        <v>11040733.860210896</v>
      </c>
      <c r="AI183" s="33">
        <v>7378326.5085944682</v>
      </c>
      <c r="AJ183" s="33">
        <v>6753179.703364566</v>
      </c>
      <c r="AK183" s="33">
        <v>3888754.7419290245</v>
      </c>
      <c r="AL183" s="33">
        <v>-6016154.3576242179</v>
      </c>
      <c r="AM183" s="33">
        <v>-2594035.7860143483</v>
      </c>
    </row>
    <row r="184" spans="30:39" ht="15.75" customHeight="1">
      <c r="AD184" s="92">
        <v>110</v>
      </c>
      <c r="AE184" s="33">
        <v>9761258.2515188158</v>
      </c>
      <c r="AF184" s="33">
        <v>12653117.183971748</v>
      </c>
      <c r="AG184" s="33">
        <v>1956028.0590341687</v>
      </c>
      <c r="AH184" s="33">
        <v>8221175.3385787606</v>
      </c>
      <c r="AI184" s="33">
        <v>-4001548.7322231382</v>
      </c>
      <c r="AJ184" s="33">
        <v>8462999.1230480373</v>
      </c>
      <c r="AK184" s="33">
        <v>7952218.2138215899</v>
      </c>
      <c r="AL184" s="33">
        <v>10675515.215272218</v>
      </c>
      <c r="AM184" s="33">
        <v>-2336504.6074470431</v>
      </c>
    </row>
    <row r="185" spans="30:39" ht="15.75" customHeight="1">
      <c r="AD185" s="92">
        <v>111</v>
      </c>
      <c r="AE185" s="33">
        <v>11756446.296982944</v>
      </c>
      <c r="AF185" s="33">
        <v>6284156.189754039</v>
      </c>
      <c r="AG185" s="33">
        <v>18622666.254197374</v>
      </c>
      <c r="AH185" s="33">
        <v>-2436206.6927554607</v>
      </c>
      <c r="AI185" s="33">
        <v>7860094.9123114645</v>
      </c>
      <c r="AJ185" s="33">
        <v>2916899.6991808712</v>
      </c>
      <c r="AK185" s="33">
        <v>-798179.86452800035</v>
      </c>
      <c r="AL185" s="33">
        <v>-5577460.5841797292</v>
      </c>
      <c r="AM185" s="33">
        <v>-3158162.082472384</v>
      </c>
    </row>
    <row r="186" spans="30:39" ht="15.75" customHeight="1">
      <c r="AD186" s="92">
        <v>112</v>
      </c>
      <c r="AE186" s="33">
        <v>10936065.431576043</v>
      </c>
      <c r="AF186" s="33">
        <v>5818956.0845608264</v>
      </c>
      <c r="AG186" s="33">
        <v>2943399.718898803</v>
      </c>
      <c r="AH186" s="33">
        <v>-3652604.7703848034</v>
      </c>
      <c r="AI186" s="33">
        <v>9793388.8021123409</v>
      </c>
      <c r="AJ186" s="33">
        <v>4675508.079735741</v>
      </c>
      <c r="AK186" s="33">
        <v>4070298.1655288488</v>
      </c>
      <c r="AL186" s="33">
        <v>-2810958.4286858439</v>
      </c>
      <c r="AM186" s="33">
        <v>411196.37747769058</v>
      </c>
    </row>
    <row r="187" spans="30:39" ht="15.75" customHeight="1">
      <c r="AD187" s="92">
        <v>113</v>
      </c>
      <c r="AE187" s="33">
        <v>10102580.921419591</v>
      </c>
      <c r="AF187" s="33">
        <v>5928677.3943473697</v>
      </c>
      <c r="AG187" s="33">
        <v>7941530.3713802993</v>
      </c>
      <c r="AH187" s="33">
        <v>-3713517.8607338965</v>
      </c>
      <c r="AI187" s="33">
        <v>7006586.9216498286</v>
      </c>
      <c r="AJ187" s="33">
        <v>3060662.1491041034</v>
      </c>
      <c r="AK187" s="33">
        <v>-2840809.8465410769</v>
      </c>
      <c r="AL187" s="33">
        <v>4322079.4011885524</v>
      </c>
      <c r="AM187" s="33">
        <v>-4699284.7242883295</v>
      </c>
    </row>
    <row r="188" spans="30:39" ht="15.75" customHeight="1">
      <c r="AD188" s="92">
        <v>114</v>
      </c>
      <c r="AE188" s="33">
        <v>-6899181.7655664831</v>
      </c>
      <c r="AF188" s="33">
        <v>12662204.21075955</v>
      </c>
      <c r="AG188" s="33">
        <v>9291177.786678493</v>
      </c>
      <c r="AH188" s="33">
        <v>6364508.6590130478</v>
      </c>
      <c r="AI188" s="33">
        <v>-1607253.3142084479</v>
      </c>
      <c r="AJ188" s="33">
        <v>3432558.6101531386</v>
      </c>
      <c r="AK188" s="33">
        <v>-1378422.5854017884</v>
      </c>
      <c r="AL188" s="33">
        <v>4736119.1779976785</v>
      </c>
      <c r="AM188" s="33">
        <v>2618037.4717482626</v>
      </c>
    </row>
    <row r="189" spans="30:39" ht="15.75" customHeight="1">
      <c r="AD189" s="92">
        <v>115</v>
      </c>
      <c r="AE189" s="33">
        <v>-1374389.1711135656</v>
      </c>
      <c r="AF189" s="33">
        <v>6486916.3663543761</v>
      </c>
      <c r="AG189" s="33">
        <v>4920269.7445782721</v>
      </c>
      <c r="AH189" s="33">
        <v>5858640.1948027313</v>
      </c>
      <c r="AI189" s="33">
        <v>3767920.6790331304</v>
      </c>
      <c r="AJ189" s="33">
        <v>2815347.6741066277</v>
      </c>
      <c r="AK189" s="33">
        <v>6604314.0864111334</v>
      </c>
      <c r="AL189" s="33">
        <v>1905267.3637258112</v>
      </c>
      <c r="AM189" s="33">
        <v>-970918.89546667039</v>
      </c>
    </row>
    <row r="190" spans="30:39" ht="15.75" customHeight="1">
      <c r="AD190" s="92">
        <v>116</v>
      </c>
      <c r="AE190" s="33">
        <v>3492026.7870126367</v>
      </c>
      <c r="AF190" s="33">
        <v>11584992.714216918</v>
      </c>
      <c r="AG190" s="33">
        <v>-4913.6519775390625</v>
      </c>
      <c r="AH190" s="33">
        <v>4533238.9646502137</v>
      </c>
      <c r="AI190" s="33">
        <v>3798050.2860851884</v>
      </c>
      <c r="AJ190" s="33">
        <v>4431303.2958686948</v>
      </c>
      <c r="AK190" s="33">
        <v>1359715.1710312814</v>
      </c>
      <c r="AL190" s="33">
        <v>-2016735.9781951755</v>
      </c>
      <c r="AM190" s="33">
        <v>942224.74155008793</v>
      </c>
    </row>
    <row r="191" spans="30:39" ht="15.75" customHeight="1">
      <c r="AD191" s="92">
        <v>117</v>
      </c>
      <c r="AE191" s="33">
        <v>5604531.8960920423</v>
      </c>
      <c r="AF191" s="33">
        <v>4909374.1503267437</v>
      </c>
      <c r="AG191" s="33">
        <v>9256333.2694633901</v>
      </c>
      <c r="AH191" s="33">
        <v>8506682.4274123162</v>
      </c>
      <c r="AI191" s="33">
        <v>-2556207.3569783568</v>
      </c>
      <c r="AJ191" s="33">
        <v>-4467971.5653972328</v>
      </c>
      <c r="AK191" s="33">
        <v>2774183.5421857834</v>
      </c>
      <c r="AL191" s="33">
        <v>1355068.6354226619</v>
      </c>
      <c r="AM191" s="33">
        <v>-6992011.7183550447</v>
      </c>
    </row>
    <row r="192" spans="30:39" ht="15.75" customHeight="1">
      <c r="AD192" s="92">
        <v>118</v>
      </c>
      <c r="AE192" s="33">
        <v>11106143.341474071</v>
      </c>
      <c r="AF192" s="33">
        <v>15948861.504167214</v>
      </c>
      <c r="AG192" s="33">
        <v>12942532.655596957</v>
      </c>
      <c r="AH192" s="33">
        <v>4462050.4232239127</v>
      </c>
      <c r="AI192" s="33">
        <v>-3955085.2337023318</v>
      </c>
      <c r="AJ192" s="33">
        <v>2459277.8835773617</v>
      </c>
      <c r="AK192" s="33">
        <v>1234613.0873689204</v>
      </c>
      <c r="AL192" s="33">
        <v>735990.8988904655</v>
      </c>
      <c r="AM192" s="33">
        <v>9318277.2696197927</v>
      </c>
    </row>
    <row r="193" spans="30:39" ht="15.75" customHeight="1">
      <c r="AD193" s="92">
        <v>119</v>
      </c>
      <c r="AE193" s="33">
        <v>3906798.7110041827</v>
      </c>
      <c r="AF193" s="33">
        <v>11606461.715785444</v>
      </c>
      <c r="AG193" s="33">
        <v>9420499.3647149652</v>
      </c>
      <c r="AH193" s="33">
        <v>8071203.136257425</v>
      </c>
      <c r="AI193" s="33">
        <v>2880886.261408478</v>
      </c>
      <c r="AJ193" s="33">
        <v>532681.06083083153</v>
      </c>
      <c r="AK193" s="33">
        <v>5784414.227286607</v>
      </c>
      <c r="AL193" s="33">
        <v>-4367994.8790837228</v>
      </c>
      <c r="AM193" s="33">
        <v>-2968110.1710713953</v>
      </c>
    </row>
    <row r="194" spans="30:39" ht="15.75" customHeight="1">
      <c r="AD194" s="92">
        <v>120</v>
      </c>
      <c r="AE194" s="33">
        <v>754461.88858665526</v>
      </c>
      <c r="AF194" s="33">
        <v>11115113.854073688</v>
      </c>
      <c r="AG194" s="33">
        <v>-583773.93250130117</v>
      </c>
      <c r="AH194" s="33">
        <v>8383542.8259800076</v>
      </c>
      <c r="AI194" s="33">
        <v>5516519.1338813901</v>
      </c>
      <c r="AJ194" s="33">
        <v>609021.93654420972</v>
      </c>
      <c r="AK194" s="33">
        <v>-4060479.889588356</v>
      </c>
      <c r="AL194" s="33">
        <v>-4744941.4302642643</v>
      </c>
      <c r="AM194" s="33">
        <v>1336261.3500660807</v>
      </c>
    </row>
    <row r="195" spans="30:39" ht="15.75" customHeight="1">
      <c r="AD195" s="92">
        <v>121</v>
      </c>
      <c r="AE195" s="33">
        <v>11321196.77622509</v>
      </c>
      <c r="AF195" s="33">
        <v>3763042.8355891407</v>
      </c>
      <c r="AG195" s="33">
        <v>7966399.2171260267</v>
      </c>
      <c r="AH195" s="33">
        <v>3750838.5407538265</v>
      </c>
      <c r="AI195" s="33">
        <v>2766773.7901805043</v>
      </c>
      <c r="AJ195" s="33">
        <v>6792138.9543683976</v>
      </c>
      <c r="AK195" s="33">
        <v>-1534415.3668556809</v>
      </c>
      <c r="AL195" s="33">
        <v>67040.236794903874</v>
      </c>
      <c r="AM195" s="33">
        <v>-5397733.2106086314</v>
      </c>
    </row>
    <row r="196" spans="30:39" ht="15.75" customHeight="1">
      <c r="AD196" s="92">
        <v>122</v>
      </c>
      <c r="AE196" s="33">
        <v>5550246.2314352393</v>
      </c>
      <c r="AF196" s="33">
        <v>8041075.5203030407</v>
      </c>
      <c r="AG196" s="33">
        <v>7446794.3080395162</v>
      </c>
      <c r="AH196" s="33">
        <v>7591274.0444443226</v>
      </c>
      <c r="AI196" s="33">
        <v>6218874.4002816081</v>
      </c>
      <c r="AJ196" s="33">
        <v>-1455563.4958570451</v>
      </c>
      <c r="AK196" s="33">
        <v>-4727180.1499833465</v>
      </c>
      <c r="AL196" s="33">
        <v>-3493498.1572221518</v>
      </c>
      <c r="AM196" s="33">
        <v>994020.06528496742</v>
      </c>
    </row>
    <row r="197" spans="30:39" ht="15.75" customHeight="1">
      <c r="AD197" s="92">
        <v>123</v>
      </c>
      <c r="AE197" s="33">
        <v>9968676.157366097</v>
      </c>
      <c r="AF197" s="33">
        <v>6441909.0437441021</v>
      </c>
      <c r="AG197" s="33">
        <v>1075572.9009585381</v>
      </c>
      <c r="AH197" s="33">
        <v>8378292.0030741394</v>
      </c>
      <c r="AI197" s="33">
        <v>5713655.6820326895</v>
      </c>
      <c r="AJ197" s="33">
        <v>8944751.6117802113</v>
      </c>
      <c r="AK197" s="33">
        <v>-3061698.7436313033</v>
      </c>
      <c r="AL197" s="33">
        <v>218664.44010783732</v>
      </c>
      <c r="AM197" s="33">
        <v>-4891778.7671524882</v>
      </c>
    </row>
    <row r="198" spans="30:39" ht="15.75" customHeight="1">
      <c r="AD198" s="92">
        <v>124</v>
      </c>
      <c r="AE198" s="33">
        <v>5454091.402281329</v>
      </c>
      <c r="AF198" s="33">
        <v>6797951.4898138046</v>
      </c>
      <c r="AG198" s="33">
        <v>11472054.544166565</v>
      </c>
      <c r="AH198" s="33">
        <v>11768304.305260107</v>
      </c>
      <c r="AI198" s="33">
        <v>8417974.6909615844</v>
      </c>
      <c r="AJ198" s="33">
        <v>4224797.4220460653</v>
      </c>
      <c r="AK198" s="33">
        <v>-1173241.4194234312</v>
      </c>
      <c r="AL198" s="33">
        <v>8240415.041125536</v>
      </c>
      <c r="AM198" s="33">
        <v>-11471484.608115301</v>
      </c>
    </row>
    <row r="199" spans="30:39" ht="15.75" customHeight="1">
      <c r="AD199" s="92">
        <v>125</v>
      </c>
      <c r="AE199" s="33">
        <v>10030455.814818025</v>
      </c>
      <c r="AF199" s="33">
        <v>10505888.835574895</v>
      </c>
      <c r="AG199" s="33">
        <v>9207539.5013096631</v>
      </c>
      <c r="AH199" s="33">
        <v>-1028623.6771394014</v>
      </c>
      <c r="AI199" s="33">
        <v>3582640.7748081833</v>
      </c>
      <c r="AJ199" s="33">
        <v>-2494908.2076245844</v>
      </c>
      <c r="AK199" s="33">
        <v>-7438204.4869585484</v>
      </c>
      <c r="AL199" s="33">
        <v>-3643411.9621922076</v>
      </c>
      <c r="AM199" s="33">
        <v>4764098.1347958595</v>
      </c>
    </row>
    <row r="200" spans="30:39" ht="15.75" customHeight="1">
      <c r="AD200" s="92">
        <v>126</v>
      </c>
      <c r="AE200" s="33">
        <v>14617749.665840402</v>
      </c>
      <c r="AF200" s="33">
        <v>5948425.4954732955</v>
      </c>
      <c r="AG200" s="33">
        <v>3976007.0547119677</v>
      </c>
      <c r="AH200" s="33">
        <v>17056466.594227865</v>
      </c>
      <c r="AI200" s="33">
        <v>7976975.5385767221</v>
      </c>
      <c r="AJ200" s="33">
        <v>-2353681.2093558908</v>
      </c>
      <c r="AK200" s="33">
        <v>2302352.2160515785</v>
      </c>
      <c r="AL200" s="33">
        <v>6396920.8793963343</v>
      </c>
      <c r="AM200" s="33">
        <v>5679323.2908055186</v>
      </c>
    </row>
    <row r="201" spans="30:39" ht="15.75" customHeight="1">
      <c r="AD201" s="92">
        <v>127</v>
      </c>
      <c r="AE201" s="33">
        <v>4022396.2354618907</v>
      </c>
      <c r="AF201" s="33">
        <v>2199768.3131520301</v>
      </c>
      <c r="AG201" s="33">
        <v>7918684.1062486768</v>
      </c>
      <c r="AH201" s="33">
        <v>3781771.7495343089</v>
      </c>
      <c r="AI201" s="33">
        <v>341925.52702505887</v>
      </c>
      <c r="AJ201" s="33">
        <v>-995350.69535979629</v>
      </c>
      <c r="AK201" s="33">
        <v>-2534571.7512329817</v>
      </c>
      <c r="AL201" s="33">
        <v>9501407.8601849824</v>
      </c>
      <c r="AM201" s="33">
        <v>-2086841.1362283826</v>
      </c>
    </row>
    <row r="202" spans="30:39" ht="15.75" customHeight="1">
      <c r="AD202" s="92">
        <v>128</v>
      </c>
      <c r="AE202" s="33">
        <v>5747924.5131492764</v>
      </c>
      <c r="AF202" s="33">
        <v>609639.48201817274</v>
      </c>
      <c r="AG202" s="33">
        <v>3181551.4841633439</v>
      </c>
      <c r="AH202" s="33">
        <v>-1710288.815553844</v>
      </c>
      <c r="AI202" s="33">
        <v>7935936.3984672129</v>
      </c>
      <c r="AJ202" s="33">
        <v>1120177.8284953833</v>
      </c>
      <c r="AK202" s="33">
        <v>-7692679.1919107437</v>
      </c>
      <c r="AL202" s="33">
        <v>2338072.5892935544</v>
      </c>
      <c r="AM202" s="33">
        <v>-7010541.5901464522</v>
      </c>
    </row>
    <row r="203" spans="30:39" ht="15.75" customHeight="1">
      <c r="AD203" s="92">
        <v>129</v>
      </c>
      <c r="AE203" s="33">
        <v>6048618.6217895895</v>
      </c>
      <c r="AF203" s="33">
        <v>5065338.1075081974</v>
      </c>
      <c r="AG203" s="33">
        <v>4009768.1072842181</v>
      </c>
      <c r="AH203" s="33">
        <v>3502158.0161588341</v>
      </c>
      <c r="AI203" s="33">
        <v>1739248.9918470383</v>
      </c>
      <c r="AJ203" s="33">
        <v>3066355.0225997716</v>
      </c>
      <c r="AK203" s="33">
        <v>-6473377.5201732963</v>
      </c>
      <c r="AL203" s="33">
        <v>3480673.5963285863</v>
      </c>
      <c r="AM203" s="33">
        <v>6686909.5060825348</v>
      </c>
    </row>
    <row r="204" spans="30:39" ht="15.75" customHeight="1">
      <c r="AD204" s="92">
        <v>130</v>
      </c>
      <c r="AE204" s="33">
        <v>7344745.0334584266</v>
      </c>
      <c r="AF204" s="33">
        <v>7067083.5564093292</v>
      </c>
      <c r="AG204" s="33">
        <v>-455852.37207449973</v>
      </c>
      <c r="AH204" s="33">
        <v>3040278.7116894424</v>
      </c>
      <c r="AI204" s="33">
        <v>7418615.3424691409</v>
      </c>
      <c r="AJ204" s="33">
        <v>-13707541.361621633</v>
      </c>
      <c r="AK204" s="33">
        <v>1640217.6984609663</v>
      </c>
      <c r="AL204" s="33">
        <v>-4732776.9675796181</v>
      </c>
      <c r="AM204" s="33">
        <v>3545774.8075553626</v>
      </c>
    </row>
    <row r="205" spans="30:39" ht="15.75" customHeight="1">
      <c r="AD205" s="92">
        <v>131</v>
      </c>
      <c r="AE205" s="33">
        <v>-1570132.3320402652</v>
      </c>
      <c r="AF205" s="33">
        <v>-8429891.5854071379</v>
      </c>
      <c r="AG205" s="33">
        <v>6909402.9366184175</v>
      </c>
      <c r="AH205" s="33">
        <v>5535050.1986328363</v>
      </c>
      <c r="AI205" s="33">
        <v>633623.64196459949</v>
      </c>
      <c r="AJ205" s="33">
        <v>-4617302.4513199925</v>
      </c>
      <c r="AK205" s="33">
        <v>9104376.2051908374</v>
      </c>
      <c r="AL205" s="33">
        <v>-3904100.1412934065</v>
      </c>
      <c r="AM205" s="33">
        <v>627873.28518286347</v>
      </c>
    </row>
    <row r="206" spans="30:39" ht="15.75" customHeight="1">
      <c r="AD206" s="92">
        <v>132</v>
      </c>
      <c r="AE206" s="33">
        <v>6793088.2430188656</v>
      </c>
      <c r="AF206" s="33">
        <v>3535044.2029497027</v>
      </c>
      <c r="AG206" s="33">
        <v>12714306.34586525</v>
      </c>
      <c r="AH206" s="33">
        <v>7850563.6647506803</v>
      </c>
      <c r="AI206" s="33">
        <v>10301772.333177045</v>
      </c>
      <c r="AJ206" s="33">
        <v>-1611478.4778103232</v>
      </c>
      <c r="AK206" s="33">
        <v>-1670729.2913172245</v>
      </c>
      <c r="AL206" s="33">
        <v>4613934.9248988181</v>
      </c>
      <c r="AM206" s="33">
        <v>-2701118.9798698425</v>
      </c>
    </row>
    <row r="207" spans="30:39" ht="15.75" customHeight="1">
      <c r="AD207" s="92">
        <v>133</v>
      </c>
      <c r="AE207" s="33">
        <v>7096661.79828462</v>
      </c>
      <c r="AF207" s="33">
        <v>2900781.439623028</v>
      </c>
      <c r="AG207" s="33">
        <v>7915204.2839773893</v>
      </c>
      <c r="AH207" s="33">
        <v>5927522.915363133</v>
      </c>
      <c r="AI207" s="33">
        <v>1272132.4193929583</v>
      </c>
      <c r="AJ207" s="33">
        <v>10310005.161630362</v>
      </c>
      <c r="AK207" s="33">
        <v>4988119.654331401</v>
      </c>
      <c r="AL207" s="33">
        <v>43204.472193002701</v>
      </c>
      <c r="AM207" s="33">
        <v>2671190.5915282369</v>
      </c>
    </row>
    <row r="208" spans="30:39" ht="15.75" customHeight="1">
      <c r="AD208" s="92">
        <v>134</v>
      </c>
      <c r="AE208" s="33">
        <v>15938499.897438779</v>
      </c>
      <c r="AF208" s="33">
        <v>8978960.2096366137</v>
      </c>
      <c r="AG208" s="33">
        <v>11394277.335089222</v>
      </c>
      <c r="AH208" s="33">
        <v>9368055.2746872008</v>
      </c>
      <c r="AI208" s="33">
        <v>1898388.1240357906</v>
      </c>
      <c r="AJ208" s="33">
        <v>17221033.781462401</v>
      </c>
      <c r="AK208" s="33">
        <v>2144792.3753293008</v>
      </c>
      <c r="AL208" s="33">
        <v>-6062592.7407443523</v>
      </c>
      <c r="AM208" s="33">
        <v>6141872.8482326418</v>
      </c>
    </row>
    <row r="209" spans="30:39" ht="15.75" customHeight="1">
      <c r="AD209" s="92">
        <v>135</v>
      </c>
      <c r="AE209" s="33">
        <v>3319198.832981661</v>
      </c>
      <c r="AF209" s="33">
        <v>6413049.6752026975</v>
      </c>
      <c r="AG209" s="33">
        <v>11593800.776898175</v>
      </c>
      <c r="AH209" s="33">
        <v>10682285.386298969</v>
      </c>
      <c r="AI209" s="33">
        <v>-3187704.7234090269</v>
      </c>
      <c r="AJ209" s="33">
        <v>4180324.2331158221</v>
      </c>
      <c r="AK209" s="33">
        <v>9948838.3609293699</v>
      </c>
      <c r="AL209" s="33">
        <v>-10234885.808029935</v>
      </c>
      <c r="AM209" s="33">
        <v>716490.52620127797</v>
      </c>
    </row>
    <row r="210" spans="30:39" ht="15.75" customHeight="1">
      <c r="AD210" s="92">
        <v>136</v>
      </c>
      <c r="AE210" s="33">
        <v>1621183.9585320055</v>
      </c>
      <c r="AF210" s="33">
        <v>-974762.72010992467</v>
      </c>
      <c r="AG210" s="33">
        <v>14092444.557923421</v>
      </c>
      <c r="AH210" s="33">
        <v>10856703.789282084</v>
      </c>
      <c r="AI210" s="33">
        <v>4227381.2899750173</v>
      </c>
      <c r="AJ210" s="33">
        <v>17558331.914437145</v>
      </c>
      <c r="AK210" s="33">
        <v>1149751.3432307243</v>
      </c>
      <c r="AL210" s="33">
        <v>-9474455.9840777069</v>
      </c>
      <c r="AM210" s="33">
        <v>-4076054.4497672021</v>
      </c>
    </row>
    <row r="211" spans="30:39" ht="15.75" customHeight="1">
      <c r="AD211" s="92">
        <v>137</v>
      </c>
      <c r="AE211" s="33">
        <v>11797526.86770311</v>
      </c>
      <c r="AF211" s="33">
        <v>-5677808.6830887198</v>
      </c>
      <c r="AG211" s="33">
        <v>5234675.8567482382</v>
      </c>
      <c r="AH211" s="33">
        <v>9689809.5643035918</v>
      </c>
      <c r="AI211" s="33">
        <v>5789918.4697113335</v>
      </c>
      <c r="AJ211" s="33">
        <v>6888592.9431908131</v>
      </c>
      <c r="AK211" s="33">
        <v>456863.97744633257</v>
      </c>
      <c r="AL211" s="33">
        <v>-961998.55403445661</v>
      </c>
      <c r="AM211" s="33">
        <v>-760806.25857318938</v>
      </c>
    </row>
    <row r="212" spans="30:39" ht="15.75" customHeight="1">
      <c r="AD212" s="92">
        <v>138</v>
      </c>
      <c r="AE212" s="33">
        <v>2518897.1378313005</v>
      </c>
      <c r="AF212" s="33">
        <v>5795502.2032420635</v>
      </c>
      <c r="AG212" s="33">
        <v>2957531.8463921547</v>
      </c>
      <c r="AH212" s="33">
        <v>-2114803.9549864084</v>
      </c>
      <c r="AI212" s="33">
        <v>-835283.82390481234</v>
      </c>
      <c r="AJ212" s="33">
        <v>7350365.2267166078</v>
      </c>
      <c r="AK212" s="33">
        <v>6881847.5898678452</v>
      </c>
      <c r="AL212" s="33">
        <v>8815909.138949886</v>
      </c>
      <c r="AM212" s="33">
        <v>483595.66061665118</v>
      </c>
    </row>
    <row r="213" spans="30:39" ht="15.75" customHeight="1">
      <c r="AD213" s="92">
        <v>139</v>
      </c>
      <c r="AE213" s="33">
        <v>10706747.59860827</v>
      </c>
      <c r="AF213" s="33">
        <v>4951563.6297339946</v>
      </c>
      <c r="AG213" s="33">
        <v>2996234.4893086106</v>
      </c>
      <c r="AH213" s="33">
        <v>-3171363.9511817992</v>
      </c>
      <c r="AI213" s="33">
        <v>-3262384.9436519146</v>
      </c>
      <c r="AJ213" s="33">
        <v>-3680881.0820291489</v>
      </c>
      <c r="AK213" s="33">
        <v>1905839.6061608344</v>
      </c>
      <c r="AL213" s="33">
        <v>-201387.87961834669</v>
      </c>
      <c r="AM213" s="33">
        <v>-100442.15140584111</v>
      </c>
    </row>
    <row r="214" spans="30:39" ht="15.75" customHeight="1">
      <c r="AD214" s="92">
        <v>140</v>
      </c>
      <c r="AE214" s="33">
        <v>9392006.7725188732</v>
      </c>
      <c r="AF214" s="33">
        <v>6709368.4656881392</v>
      </c>
      <c r="AG214" s="33">
        <v>10326431.724870712</v>
      </c>
      <c r="AH214" s="33">
        <v>5406717.5230622143</v>
      </c>
      <c r="AI214" s="33">
        <v>8371405.3929022104</v>
      </c>
      <c r="AJ214" s="33">
        <v>18301897.606899157</v>
      </c>
      <c r="AK214" s="33">
        <v>959043.14498889446</v>
      </c>
      <c r="AL214" s="33">
        <v>4883512.939291954</v>
      </c>
      <c r="AM214" s="33">
        <v>-6624562.6330967098</v>
      </c>
    </row>
    <row r="215" spans="30:39" ht="15.75" customHeight="1">
      <c r="AD215" s="92">
        <v>141</v>
      </c>
      <c r="AE215" s="33">
        <v>-2725282.0034243166</v>
      </c>
      <c r="AF215" s="33">
        <v>980678.83879722655</v>
      </c>
      <c r="AG215" s="33">
        <v>4271293.4874119461</v>
      </c>
      <c r="AH215" s="33">
        <v>5529375.8752527088</v>
      </c>
      <c r="AI215" s="33">
        <v>1382839.6909084618</v>
      </c>
      <c r="AJ215" s="33">
        <v>3411753.4891960174</v>
      </c>
      <c r="AK215" s="33">
        <v>-7400230.3453873396</v>
      </c>
      <c r="AL215" s="33">
        <v>1789089.9103204608</v>
      </c>
      <c r="AM215" s="33">
        <v>234387.57428783178</v>
      </c>
    </row>
    <row r="216" spans="30:39" ht="15.75" customHeight="1">
      <c r="AD216" s="92">
        <v>142</v>
      </c>
      <c r="AE216" s="33">
        <v>14525645.463233337</v>
      </c>
      <c r="AF216" s="33">
        <v>12201053.36141707</v>
      </c>
      <c r="AG216" s="33">
        <v>8185424.0665812194</v>
      </c>
      <c r="AH216" s="33">
        <v>6403009.9837451726</v>
      </c>
      <c r="AI216" s="33">
        <v>1421021.7825898379</v>
      </c>
      <c r="AJ216" s="33">
        <v>11230373.576739013</v>
      </c>
      <c r="AK216" s="33">
        <v>-460328.86364978552</v>
      </c>
      <c r="AL216" s="33">
        <v>2972588.6959621906</v>
      </c>
      <c r="AM216" s="33">
        <v>-73422.506582796574</v>
      </c>
    </row>
    <row r="217" spans="30:39" ht="15.75" customHeight="1">
      <c r="AD217" s="92">
        <v>143</v>
      </c>
      <c r="AE217" s="33">
        <v>4189750.9360760748</v>
      </c>
      <c r="AF217" s="33">
        <v>6167807.3886270374</v>
      </c>
      <c r="AG217" s="33">
        <v>275364.04610852897</v>
      </c>
      <c r="AH217" s="33">
        <v>15542320.238495559</v>
      </c>
      <c r="AI217" s="33">
        <v>5208039.1332981884</v>
      </c>
      <c r="AJ217" s="33">
        <v>-2053440.7377165556</v>
      </c>
      <c r="AK217" s="33">
        <v>-3653245.1917292327</v>
      </c>
      <c r="AL217" s="33">
        <v>-6267112.7505798042</v>
      </c>
      <c r="AM217" s="33">
        <v>4781292.8028302491</v>
      </c>
    </row>
    <row r="218" spans="30:39" ht="15.75" customHeight="1">
      <c r="AD218" s="92">
        <v>144</v>
      </c>
      <c r="AE218" s="33">
        <v>13601224.825483128</v>
      </c>
      <c r="AF218" s="33">
        <v>9554642.1657041162</v>
      </c>
      <c r="AG218" s="33">
        <v>5555161.4240178317</v>
      </c>
      <c r="AH218" s="33">
        <v>603378.976862818</v>
      </c>
      <c r="AI218" s="33">
        <v>10587259.318372115</v>
      </c>
      <c r="AJ218" s="33">
        <v>250501.90761660039</v>
      </c>
      <c r="AK218" s="33">
        <v>-4021815.6272806823</v>
      </c>
      <c r="AL218" s="33">
        <v>-2244955.3010761589</v>
      </c>
      <c r="AM218" s="33">
        <v>4525137.4185708016</v>
      </c>
    </row>
    <row r="219" spans="30:39" ht="15.75" customHeight="1">
      <c r="AD219" s="92">
        <v>145</v>
      </c>
      <c r="AE219" s="33">
        <v>2473916.8281857222</v>
      </c>
      <c r="AF219" s="33">
        <v>7857019.9034226239</v>
      </c>
      <c r="AG219" s="33">
        <v>4030458.4383779615</v>
      </c>
      <c r="AH219" s="33">
        <v>9266348.445665285</v>
      </c>
      <c r="AI219" s="33">
        <v>10374423.486453503</v>
      </c>
      <c r="AJ219" s="33">
        <v>6726430.2212517411</v>
      </c>
      <c r="AK219" s="33">
        <v>979692.43792000413</v>
      </c>
      <c r="AL219" s="33">
        <v>3140388.0142139047</v>
      </c>
      <c r="AM219" s="33">
        <v>2038969.8358684331</v>
      </c>
    </row>
    <row r="220" spans="30:39" ht="15.75" customHeight="1">
      <c r="AD220" s="92">
        <v>146</v>
      </c>
      <c r="AE220" s="33">
        <v>5007147.773066774</v>
      </c>
      <c r="AF220" s="33">
        <v>4329946.3696799576</v>
      </c>
      <c r="AG220" s="33">
        <v>8981712.424090147</v>
      </c>
      <c r="AH220" s="33">
        <v>-320454.04542598128</v>
      </c>
      <c r="AI220" s="33">
        <v>7623436.7550908029</v>
      </c>
      <c r="AJ220" s="33">
        <v>2998815.3955142647</v>
      </c>
      <c r="AK220" s="33">
        <v>9650037.3641687036</v>
      </c>
      <c r="AL220" s="33">
        <v>-2762225.9381028563</v>
      </c>
      <c r="AM220" s="33">
        <v>-8962249.2393159717</v>
      </c>
    </row>
    <row r="221" spans="30:39" ht="15.75" customHeight="1">
      <c r="AD221" s="92">
        <v>147</v>
      </c>
      <c r="AE221" s="33">
        <v>12871370.139025658</v>
      </c>
      <c r="AF221" s="33">
        <v>7266529.2441892028</v>
      </c>
      <c r="AG221" s="33">
        <v>9673410.8938880265</v>
      </c>
      <c r="AH221" s="33">
        <v>10978117.954235181</v>
      </c>
      <c r="AI221" s="33">
        <v>7588627.8023815453</v>
      </c>
      <c r="AJ221" s="33">
        <v>-3076505.6092095375</v>
      </c>
      <c r="AK221" s="33">
        <v>-722469.18625435233</v>
      </c>
      <c r="AL221" s="33">
        <v>4451082.6096761525</v>
      </c>
      <c r="AM221" s="33">
        <v>-17071067.783512533</v>
      </c>
    </row>
    <row r="222" spans="30:39" ht="15.75" customHeight="1">
      <c r="AD222" s="92">
        <v>148</v>
      </c>
      <c r="AE222" s="33">
        <v>10556558.139177978</v>
      </c>
      <c r="AF222" s="33">
        <v>4958182.9706914276</v>
      </c>
      <c r="AG222" s="33">
        <v>11663080.852552772</v>
      </c>
      <c r="AH222" s="33">
        <v>10447378.615501553</v>
      </c>
      <c r="AI222" s="33">
        <v>7698024.8183044791</v>
      </c>
      <c r="AJ222" s="33">
        <v>-9457728.7852949798</v>
      </c>
      <c r="AK222" s="33">
        <v>1276583.9622062743</v>
      </c>
      <c r="AL222" s="33">
        <v>5336365.7829179317</v>
      </c>
      <c r="AM222" s="33">
        <v>4816956.8366795331</v>
      </c>
    </row>
    <row r="223" spans="30:39" ht="15.75" customHeight="1">
      <c r="AD223" s="92">
        <v>149</v>
      </c>
      <c r="AE223" s="33">
        <v>16013565.316503823</v>
      </c>
      <c r="AF223" s="33">
        <v>10540107.532147899</v>
      </c>
      <c r="AG223" s="33">
        <v>11304595.515427724</v>
      </c>
      <c r="AH223" s="33">
        <v>11948103.585959822</v>
      </c>
      <c r="AI223" s="33">
        <v>-2213448.7536821663</v>
      </c>
      <c r="AJ223" s="33">
        <v>5659882.2111621499</v>
      </c>
      <c r="AK223" s="33">
        <v>-4779493.2722793519</v>
      </c>
      <c r="AL223" s="33">
        <v>-5700865.788955152</v>
      </c>
      <c r="AM223" s="33">
        <v>428978.31867216527</v>
      </c>
    </row>
    <row r="224" spans="30:39" ht="15.75" customHeight="1">
      <c r="AD224" s="92">
        <v>150</v>
      </c>
      <c r="AE224" s="33">
        <v>2809203.1828777939</v>
      </c>
      <c r="AF224" s="33">
        <v>2190441.8769571036</v>
      </c>
      <c r="AG224" s="33">
        <v>3669626.3695629537</v>
      </c>
      <c r="AH224" s="33">
        <v>5787448.2905986607</v>
      </c>
      <c r="AI224" s="33">
        <v>12988124.417392462</v>
      </c>
      <c r="AJ224" s="33">
        <v>1175361.3988427669</v>
      </c>
      <c r="AK224" s="33">
        <v>8804282.3124405146</v>
      </c>
      <c r="AL224" s="33">
        <v>-1775064.5437783897</v>
      </c>
      <c r="AM224" s="33">
        <v>-5073629.7065260559</v>
      </c>
    </row>
    <row r="225" spans="30:39" ht="15.75" customHeight="1">
      <c r="AD225" s="92">
        <v>151</v>
      </c>
      <c r="AE225" s="33">
        <v>15582060.594028935</v>
      </c>
      <c r="AF225" s="33">
        <v>4384759.3630601317</v>
      </c>
      <c r="AG225" s="33">
        <v>-713118.70834675431</v>
      </c>
      <c r="AH225" s="33">
        <v>5566335.4657161385</v>
      </c>
      <c r="AI225" s="33">
        <v>-4515664.4896768332</v>
      </c>
      <c r="AJ225" s="33">
        <v>166925.99541927874</v>
      </c>
      <c r="AK225" s="33">
        <v>-3304935.4151382744</v>
      </c>
      <c r="AL225" s="33">
        <v>4756479.0986514091</v>
      </c>
      <c r="AM225" s="33">
        <v>-3123162.8807654679</v>
      </c>
    </row>
    <row r="226" spans="30:39" ht="15.75" customHeight="1">
      <c r="AD226" s="92">
        <v>152</v>
      </c>
      <c r="AE226" s="33">
        <v>-5473999.8619890809</v>
      </c>
      <c r="AF226" s="33">
        <v>-6276690.4022517055</v>
      </c>
      <c r="AG226" s="33">
        <v>5260089.9237526506</v>
      </c>
      <c r="AH226" s="33">
        <v>10853187.556666926</v>
      </c>
      <c r="AI226" s="33">
        <v>2792115.79993999</v>
      </c>
      <c r="AJ226" s="33">
        <v>3056831.5204058588</v>
      </c>
      <c r="AK226" s="33">
        <v>-8997151.1895340085</v>
      </c>
      <c r="AL226" s="33">
        <v>-4138804.6327797174</v>
      </c>
      <c r="AM226" s="33">
        <v>-2432920.4813751876</v>
      </c>
    </row>
    <row r="227" spans="30:39" ht="15.75" customHeight="1">
      <c r="AD227" s="92">
        <v>153</v>
      </c>
      <c r="AE227" s="33">
        <v>4725186.5506616682</v>
      </c>
      <c r="AF227" s="33">
        <v>-2052764.4733505845</v>
      </c>
      <c r="AG227" s="33">
        <v>6293446.5951950401</v>
      </c>
      <c r="AH227" s="33">
        <v>-2586842.5793475658</v>
      </c>
      <c r="AI227" s="33">
        <v>-4239954.3839688003</v>
      </c>
      <c r="AJ227" s="33">
        <v>-4283418.530308798</v>
      </c>
      <c r="AK227" s="33">
        <v>-9587085.7444559932</v>
      </c>
      <c r="AL227" s="33">
        <v>2677062.038970679</v>
      </c>
      <c r="AM227" s="33">
        <v>-2725310.3111969829</v>
      </c>
    </row>
    <row r="228" spans="30:39" ht="15.75" customHeight="1">
      <c r="AD228" s="92">
        <v>154</v>
      </c>
      <c r="AE228" s="33">
        <v>9432755.6533540189</v>
      </c>
      <c r="AF228" s="33">
        <v>3167407.4970334023</v>
      </c>
      <c r="AG228" s="33">
        <v>3152445.9960287809</v>
      </c>
      <c r="AH228" s="33">
        <v>4500027.0535638928</v>
      </c>
      <c r="AI228" s="33">
        <v>725191.07696303725</v>
      </c>
      <c r="AJ228" s="33">
        <v>8701500.5509020984</v>
      </c>
      <c r="AK228" s="33">
        <v>15847182.489180401</v>
      </c>
      <c r="AL228" s="33">
        <v>-1344616.4385630339</v>
      </c>
      <c r="AM228" s="33">
        <v>461063.08003178239</v>
      </c>
    </row>
    <row r="229" spans="30:39" ht="15.75" customHeight="1">
      <c r="AD229" s="92">
        <v>155</v>
      </c>
      <c r="AE229" s="33">
        <v>10970266.346268088</v>
      </c>
      <c r="AF229" s="33">
        <v>9257103.9317828119</v>
      </c>
      <c r="AG229" s="33">
        <v>11619595.207304597</v>
      </c>
      <c r="AH229" s="33">
        <v>-4465409.3412570357</v>
      </c>
      <c r="AI229" s="33">
        <v>7190349.9743513316</v>
      </c>
      <c r="AJ229" s="33">
        <v>4667765.8438798189</v>
      </c>
      <c r="AK229" s="33">
        <v>3278351.0534211546</v>
      </c>
      <c r="AL229" s="33">
        <v>2179593.3278117627</v>
      </c>
      <c r="AM229" s="33">
        <v>3134853.410168156</v>
      </c>
    </row>
    <row r="230" spans="30:39" ht="15.75" customHeight="1">
      <c r="AD230" s="92">
        <v>156</v>
      </c>
      <c r="AE230" s="33">
        <v>7658383.1123269796</v>
      </c>
      <c r="AF230" s="33">
        <v>3381582.1736541986</v>
      </c>
      <c r="AG230" s="33">
        <v>7682402.3605147302</v>
      </c>
      <c r="AH230" s="33">
        <v>8371901.3196721822</v>
      </c>
      <c r="AI230" s="33">
        <v>6039213.0063348114</v>
      </c>
      <c r="AJ230" s="33">
        <v>-1510241.5534990877</v>
      </c>
      <c r="AK230" s="33">
        <v>1275884.9440480322</v>
      </c>
      <c r="AL230" s="33">
        <v>5662360.5634529144</v>
      </c>
      <c r="AM230" s="33">
        <v>3919243.6343940198</v>
      </c>
    </row>
    <row r="231" spans="30:39" ht="15.75" customHeight="1">
      <c r="AD231" s="92">
        <v>157</v>
      </c>
      <c r="AE231" s="33">
        <v>10225965.866356164</v>
      </c>
      <c r="AF231" s="33">
        <v>-2683752.4934161305</v>
      </c>
      <c r="AG231" s="33">
        <v>6645205.6526680589</v>
      </c>
      <c r="AH231" s="33">
        <v>4974135.1917529702</v>
      </c>
      <c r="AI231" s="33">
        <v>6517637.5336150527</v>
      </c>
      <c r="AJ231" s="33">
        <v>2094755.1688915491</v>
      </c>
      <c r="AK231" s="33">
        <v>4251519.2529752254</v>
      </c>
      <c r="AL231" s="33">
        <v>-4513059.6138299853</v>
      </c>
      <c r="AM231" s="33">
        <v>-5488211.134054631</v>
      </c>
    </row>
    <row r="232" spans="30:39" ht="15.75" customHeight="1">
      <c r="AD232" s="92">
        <v>158</v>
      </c>
      <c r="AE232" s="33">
        <v>-2384211.3127777874</v>
      </c>
      <c r="AF232" s="33">
        <v>650565.4499797821</v>
      </c>
      <c r="AG232" s="33">
        <v>7207933.7807128727</v>
      </c>
      <c r="AH232" s="33">
        <v>4834143.3895883262</v>
      </c>
      <c r="AI232" s="33">
        <v>5247784.9325422049</v>
      </c>
      <c r="AJ232" s="33">
        <v>6042734.7537636459</v>
      </c>
      <c r="AK232" s="33">
        <v>-3324866.0364213288</v>
      </c>
      <c r="AL232" s="33">
        <v>8439982.5961467326</v>
      </c>
      <c r="AM232" s="33">
        <v>-1750066.7687250376</v>
      </c>
    </row>
    <row r="233" spans="30:39" ht="15.75" customHeight="1">
      <c r="AD233" s="92">
        <v>159</v>
      </c>
      <c r="AE233" s="33">
        <v>8189563.4093150049</v>
      </c>
      <c r="AF233" s="33">
        <v>8212274.5986512899</v>
      </c>
      <c r="AG233" s="33">
        <v>527320.51181453466</v>
      </c>
      <c r="AH233" s="33">
        <v>9324008.5768976957</v>
      </c>
      <c r="AI233" s="33">
        <v>8177599.1353404075</v>
      </c>
      <c r="AJ233" s="33">
        <v>5930859.2047131211</v>
      </c>
      <c r="AK233" s="33">
        <v>133085.66622070968</v>
      </c>
      <c r="AL233" s="33">
        <v>2622840.977539435</v>
      </c>
      <c r="AM233" s="33">
        <v>10487397.597299457</v>
      </c>
    </row>
    <row r="234" spans="30:39" ht="15.75" customHeight="1">
      <c r="AD234" s="92">
        <v>160</v>
      </c>
      <c r="AE234" s="33">
        <v>10830531.286121637</v>
      </c>
      <c r="AF234" s="33">
        <v>7614711.4710789323</v>
      </c>
      <c r="AG234" s="33">
        <v>12063627.195789918</v>
      </c>
      <c r="AH234" s="33">
        <v>7701603.3694171309</v>
      </c>
      <c r="AI234" s="33">
        <v>-3068509.7728363127</v>
      </c>
      <c r="AJ234" s="33">
        <v>4940983.135070771</v>
      </c>
      <c r="AK234" s="33">
        <v>6864868.8040384054</v>
      </c>
      <c r="AL234" s="33">
        <v>-3567718.7624850869</v>
      </c>
      <c r="AM234" s="33">
        <v>6500178.0651909113</v>
      </c>
    </row>
    <row r="235" spans="30:39" ht="15.75" customHeight="1">
      <c r="AD235" s="92">
        <v>161</v>
      </c>
      <c r="AE235" s="33">
        <v>11297996.628184274</v>
      </c>
      <c r="AF235" s="33">
        <v>9632962.7992934287</v>
      </c>
      <c r="AG235" s="33">
        <v>9404139.069224</v>
      </c>
      <c r="AH235" s="33">
        <v>1780600.3952155411</v>
      </c>
      <c r="AI235" s="33">
        <v>-5165223.1997669339</v>
      </c>
      <c r="AJ235" s="33">
        <v>-1440586.7908015102</v>
      </c>
      <c r="AK235" s="33">
        <v>2068955.0253457427</v>
      </c>
      <c r="AL235" s="33">
        <v>10341725.868672371</v>
      </c>
      <c r="AM235" s="33">
        <v>1345278.3030645549</v>
      </c>
    </row>
    <row r="236" spans="30:39" ht="15.75" customHeight="1">
      <c r="AD236" s="92">
        <v>162</v>
      </c>
      <c r="AE236" s="33">
        <v>5846642.1509570479</v>
      </c>
      <c r="AF236" s="33">
        <v>-70745.401610672474</v>
      </c>
      <c r="AG236" s="33">
        <v>-766377.09973429143</v>
      </c>
      <c r="AH236" s="33">
        <v>6133401.7654523253</v>
      </c>
      <c r="AI236" s="33">
        <v>2953778.256392166</v>
      </c>
      <c r="AJ236" s="33">
        <v>12358754.058412701</v>
      </c>
      <c r="AK236" s="33">
        <v>14515258.207445368</v>
      </c>
      <c r="AL236" s="33">
        <v>3838283.3983395696</v>
      </c>
      <c r="AM236" s="33">
        <v>-7759170.2186431885</v>
      </c>
    </row>
    <row r="237" spans="30:39" ht="15.75" customHeight="1">
      <c r="AD237" s="92">
        <v>163</v>
      </c>
      <c r="AE237" s="33">
        <v>7286033.2434539199</v>
      </c>
      <c r="AF237" s="33">
        <v>9442735.5716665983</v>
      </c>
      <c r="AG237" s="33">
        <v>4728353.3019967377</v>
      </c>
      <c r="AH237" s="33">
        <v>5127697.6913942546</v>
      </c>
      <c r="AI237" s="33">
        <v>-4441070.4779115617</v>
      </c>
      <c r="AJ237" s="33">
        <v>3594265.0446481407</v>
      </c>
      <c r="AK237" s="33">
        <v>979890.6029446125</v>
      </c>
      <c r="AL237" s="33">
        <v>-3001208.4856002778</v>
      </c>
      <c r="AM237" s="33">
        <v>5173233.6295893341</v>
      </c>
    </row>
    <row r="238" spans="30:39" ht="15.75" customHeight="1">
      <c r="AD238" s="92">
        <v>164</v>
      </c>
      <c r="AE238" s="33">
        <v>-3927041.1142590791</v>
      </c>
      <c r="AF238" s="33">
        <v>10992834.00369741</v>
      </c>
      <c r="AG238" s="33">
        <v>640451.11028158665</v>
      </c>
      <c r="AH238" s="33">
        <v>3108064.6234715879</v>
      </c>
      <c r="AI238" s="33">
        <v>10941941.045995176</v>
      </c>
      <c r="AJ238" s="33">
        <v>-3913188.7461164892</v>
      </c>
      <c r="AK238" s="33">
        <v>5393117.8065966517</v>
      </c>
      <c r="AL238" s="33">
        <v>11060393.30260849</v>
      </c>
      <c r="AM238" s="33">
        <v>2004907.8514799178</v>
      </c>
    </row>
    <row r="239" spans="30:39" ht="15.75" customHeight="1">
      <c r="AD239" s="92">
        <v>165</v>
      </c>
      <c r="AE239" s="33">
        <v>3308776.8712724596</v>
      </c>
      <c r="AF239" s="33">
        <v>11289693.390326992</v>
      </c>
      <c r="AG239" s="33">
        <v>-7307447.5571134388</v>
      </c>
      <c r="AH239" s="33">
        <v>1955500.9509209394</v>
      </c>
      <c r="AI239" s="33">
        <v>3123305.6003759801</v>
      </c>
      <c r="AJ239" s="33">
        <v>4869932.670212388</v>
      </c>
      <c r="AK239" s="33">
        <v>10340625.191565514</v>
      </c>
      <c r="AL239" s="33">
        <v>-2917921.7545247376</v>
      </c>
      <c r="AM239" s="33">
        <v>7958996.062557444</v>
      </c>
    </row>
    <row r="240" spans="30:39" ht="15.75" customHeight="1">
      <c r="AD240" s="92">
        <v>166</v>
      </c>
      <c r="AE240" s="33">
        <v>9439050.7012128085</v>
      </c>
      <c r="AF240" s="33">
        <v>7587439.2963341624</v>
      </c>
      <c r="AG240" s="33">
        <v>4099921.9548868686</v>
      </c>
      <c r="AH240" s="33">
        <v>3901461.5699181706</v>
      </c>
      <c r="AI240" s="33">
        <v>2141990.7297076285</v>
      </c>
      <c r="AJ240" s="33">
        <v>2575253.0602241606</v>
      </c>
      <c r="AK240" s="33">
        <v>-3731049.1434743106</v>
      </c>
      <c r="AL240" s="33">
        <v>-3259958.5021505356</v>
      </c>
      <c r="AM240" s="33">
        <v>-9993585.0806696415</v>
      </c>
    </row>
    <row r="241" spans="30:39" ht="15.75" customHeight="1">
      <c r="AD241" s="92">
        <v>167</v>
      </c>
      <c r="AE241" s="33">
        <v>13176031.508848324</v>
      </c>
      <c r="AF241" s="33">
        <v>-2674463.6114827991</v>
      </c>
      <c r="AG241" s="33">
        <v>4784853.8095282316</v>
      </c>
      <c r="AH241" s="33">
        <v>4418796.284619838</v>
      </c>
      <c r="AI241" s="33">
        <v>-1592665.5049631149</v>
      </c>
      <c r="AJ241" s="33">
        <v>-7485149.0479973257</v>
      </c>
      <c r="AK241" s="33">
        <v>-2549239.3131357729</v>
      </c>
      <c r="AL241" s="33">
        <v>2262395.3766299784</v>
      </c>
      <c r="AM241" s="33">
        <v>6585700.5984501839</v>
      </c>
    </row>
    <row r="242" spans="30:39" ht="15.75" customHeight="1">
      <c r="AD242" s="92">
        <v>168</v>
      </c>
      <c r="AE242" s="33">
        <v>977362.50905302167</v>
      </c>
      <c r="AF242" s="33">
        <v>5066220.8926327229</v>
      </c>
      <c r="AG242" s="33">
        <v>1520493.2254240215</v>
      </c>
      <c r="AH242" s="33">
        <v>3913700.6529959142</v>
      </c>
      <c r="AI242" s="33">
        <v>-3478208.2694994211</v>
      </c>
      <c r="AJ242" s="33">
        <v>4710164.5220168829</v>
      </c>
      <c r="AK242" s="33">
        <v>-891904.77745507658</v>
      </c>
      <c r="AL242" s="33">
        <v>-122398.21972894669</v>
      </c>
      <c r="AM242" s="33">
        <v>-7030859.531354472</v>
      </c>
    </row>
    <row r="243" spans="30:39" ht="15.75" customHeight="1">
      <c r="AD243" s="92">
        <v>169</v>
      </c>
      <c r="AE243" s="33">
        <v>12039327.915715799</v>
      </c>
      <c r="AF243" s="33">
        <v>6566893.8830720484</v>
      </c>
      <c r="AG243" s="33">
        <v>2012872.3419937193</v>
      </c>
      <c r="AH243" s="33">
        <v>12313747.264826998</v>
      </c>
      <c r="AI243" s="33">
        <v>124812.06469830871</v>
      </c>
      <c r="AJ243" s="33">
        <v>1873610.7984018624</v>
      </c>
      <c r="AK243" s="33">
        <v>-11817992.694290221</v>
      </c>
      <c r="AL243" s="33">
        <v>1548398.001876384</v>
      </c>
      <c r="AM243" s="33">
        <v>-7685626.2881468534</v>
      </c>
    </row>
    <row r="244" spans="30:39" ht="15.75" customHeight="1">
      <c r="AD244" s="92">
        <v>170</v>
      </c>
      <c r="AE244" s="33">
        <v>13240218.761145651</v>
      </c>
      <c r="AF244" s="33">
        <v>10561425.994922206</v>
      </c>
      <c r="AG244" s="33">
        <v>11372116.369172558</v>
      </c>
      <c r="AH244" s="33">
        <v>8943452.6877383441</v>
      </c>
      <c r="AI244" s="33">
        <v>-1642227.3969325572</v>
      </c>
      <c r="AJ244" s="33">
        <v>7174858.4399160743</v>
      </c>
      <c r="AK244" s="33">
        <v>2033624.9929041713</v>
      </c>
      <c r="AL244" s="33">
        <v>-7899314.7421510518</v>
      </c>
      <c r="AM244" s="33">
        <v>3703150.7288966626</v>
      </c>
    </row>
    <row r="245" spans="30:39" ht="15.75" customHeight="1">
      <c r="AD245" s="92">
        <v>171</v>
      </c>
      <c r="AE245" s="33">
        <v>13370631.906763464</v>
      </c>
      <c r="AF245" s="33">
        <v>-180876.55068178475</v>
      </c>
      <c r="AG245" s="33">
        <v>3101138.1903413683</v>
      </c>
      <c r="AH245" s="33">
        <v>8418147.9756383747</v>
      </c>
      <c r="AI245" s="33">
        <v>1960493.73521474</v>
      </c>
      <c r="AJ245" s="33">
        <v>-1193238.4163385779</v>
      </c>
      <c r="AK245" s="33">
        <v>-882300.87209478021</v>
      </c>
      <c r="AL245" s="33">
        <v>-1649814.9562854171</v>
      </c>
      <c r="AM245" s="33">
        <v>3103330.3332977593</v>
      </c>
    </row>
    <row r="246" spans="30:39" ht="15.75" customHeight="1">
      <c r="AD246" s="92">
        <v>172</v>
      </c>
      <c r="AE246" s="33">
        <v>11372611.184033781</v>
      </c>
      <c r="AF246" s="33">
        <v>1721535.3369627744</v>
      </c>
      <c r="AG246" s="33">
        <v>3501472.9364912212</v>
      </c>
      <c r="AH246" s="33">
        <v>3250769.6433218271</v>
      </c>
      <c r="AI246" s="33">
        <v>5922918.9436807632</v>
      </c>
      <c r="AJ246" s="33">
        <v>10201674.230370268</v>
      </c>
      <c r="AK246" s="33">
        <v>770282.00293256342</v>
      </c>
      <c r="AL246" s="33">
        <v>2806444.54289186</v>
      </c>
      <c r="AM246" s="33">
        <v>-5390369.767595768</v>
      </c>
    </row>
    <row r="247" spans="30:39" ht="15.75" customHeight="1">
      <c r="AD247" s="92">
        <v>173</v>
      </c>
      <c r="AE247" s="33">
        <v>3790072.4868523777</v>
      </c>
      <c r="AF247" s="33">
        <v>5626615.2612508386</v>
      </c>
      <c r="AG247" s="33">
        <v>2172755.3087249696</v>
      </c>
      <c r="AH247" s="33">
        <v>2210914.7705921531</v>
      </c>
      <c r="AI247" s="33">
        <v>-1538419.1446248591</v>
      </c>
      <c r="AJ247" s="33">
        <v>4243382.4405369163</v>
      </c>
      <c r="AK247" s="33">
        <v>1585475.8515168428</v>
      </c>
      <c r="AL247" s="33">
        <v>-7652032.4034220576</v>
      </c>
      <c r="AM247" s="33">
        <v>2773608.8351157308</v>
      </c>
    </row>
    <row r="248" spans="30:39" ht="15.75" customHeight="1">
      <c r="AD248" s="92">
        <v>174</v>
      </c>
      <c r="AE248" s="33">
        <v>12561905.755260736</v>
      </c>
      <c r="AF248" s="33">
        <v>-879910.10181643069</v>
      </c>
      <c r="AG248" s="33">
        <v>-2629011.2383050621</v>
      </c>
      <c r="AH248" s="33">
        <v>4276431.2018174678</v>
      </c>
      <c r="AI248" s="33">
        <v>-7294686.4713318497</v>
      </c>
      <c r="AJ248" s="33">
        <v>-6143414.7455054522</v>
      </c>
      <c r="AK248" s="33">
        <v>916295.70008742809</v>
      </c>
      <c r="AL248" s="33">
        <v>-8418477.3707040846</v>
      </c>
      <c r="AM248" s="33">
        <v>2034495.5055106878</v>
      </c>
    </row>
    <row r="249" spans="30:39" ht="15.75" customHeight="1">
      <c r="AD249" s="92">
        <v>175</v>
      </c>
      <c r="AE249" s="33">
        <v>5001481.8144849688</v>
      </c>
      <c r="AF249" s="33">
        <v>4287925.4512223303</v>
      </c>
      <c r="AG249" s="33">
        <v>-285633.47358073294</v>
      </c>
      <c r="AH249" s="33">
        <v>-678744.26513147354</v>
      </c>
      <c r="AI249" s="33">
        <v>7139166.613001734</v>
      </c>
      <c r="AJ249" s="33">
        <v>11129684.681282282</v>
      </c>
      <c r="AK249" s="33">
        <v>3751223.5444612801</v>
      </c>
      <c r="AL249" s="33">
        <v>2068708.5920588374</v>
      </c>
      <c r="AM249" s="33">
        <v>2388126.3732209653</v>
      </c>
    </row>
    <row r="250" spans="30:39" ht="15.75" customHeight="1">
      <c r="AD250" s="92">
        <v>176</v>
      </c>
      <c r="AE250" s="33">
        <v>7863456.9389987886</v>
      </c>
      <c r="AF250" s="33">
        <v>4789395.0139017701</v>
      </c>
      <c r="AG250" s="33">
        <v>687580.06730863452</v>
      </c>
      <c r="AH250" s="33">
        <v>9124298.7290204018</v>
      </c>
      <c r="AI250" s="33">
        <v>-132274.15560974181</v>
      </c>
      <c r="AJ250" s="33">
        <v>2307957.9158148915</v>
      </c>
      <c r="AK250" s="33">
        <v>11969690.064771101</v>
      </c>
      <c r="AL250" s="33">
        <v>7425285.6694942713</v>
      </c>
      <c r="AM250" s="33">
        <v>-14505487.691326648</v>
      </c>
    </row>
    <row r="251" spans="30:39" ht="15.75" customHeight="1">
      <c r="AD251" s="92">
        <v>177</v>
      </c>
      <c r="AE251" s="33">
        <v>16050228.424967661</v>
      </c>
      <c r="AF251" s="33">
        <v>-2401698.9901533872</v>
      </c>
      <c r="AG251" s="33">
        <v>7332670.3299334347</v>
      </c>
      <c r="AH251" s="33">
        <v>16778138.691696376</v>
      </c>
      <c r="AI251" s="33">
        <v>-4578270.3139175177</v>
      </c>
      <c r="AJ251" s="33">
        <v>5015929.5969440639</v>
      </c>
      <c r="AK251" s="33">
        <v>-4127236.8552336097</v>
      </c>
      <c r="AL251" s="33">
        <v>6612459.0775721967</v>
      </c>
      <c r="AM251" s="33">
        <v>2999371.7801858187</v>
      </c>
    </row>
    <row r="252" spans="30:39" ht="15.75" customHeight="1">
      <c r="AD252" s="92">
        <v>178</v>
      </c>
      <c r="AE252" s="33">
        <v>9542294.4674596637</v>
      </c>
      <c r="AF252" s="33">
        <v>6027113.1446763277</v>
      </c>
      <c r="AG252" s="33">
        <v>1636177.3448470682</v>
      </c>
      <c r="AH252" s="33">
        <v>-66876.077124431729</v>
      </c>
      <c r="AI252" s="33">
        <v>-1709724.2789773047</v>
      </c>
      <c r="AJ252" s="33">
        <v>155352.04577043653</v>
      </c>
      <c r="AK252" s="33">
        <v>-525298.99568261206</v>
      </c>
      <c r="AL252" s="33">
        <v>6040452.1042708009</v>
      </c>
      <c r="AM252" s="33">
        <v>-3630972.2008066624</v>
      </c>
    </row>
    <row r="253" spans="30:39" ht="15.75" customHeight="1">
      <c r="AD253" s="92">
        <v>179</v>
      </c>
      <c r="AE253" s="33">
        <v>3559199.1101970822</v>
      </c>
      <c r="AF253" s="33">
        <v>3669034.222372666</v>
      </c>
      <c r="AG253" s="33">
        <v>-3102052.2583876997</v>
      </c>
      <c r="AH253" s="33">
        <v>685510.8450807929</v>
      </c>
      <c r="AI253" s="33">
        <v>-1067354.2815719694</v>
      </c>
      <c r="AJ253" s="33">
        <v>-7099322.9267966598</v>
      </c>
      <c r="AK253" s="33">
        <v>5112565.9021582156</v>
      </c>
      <c r="AL253" s="33">
        <v>4929708.0044347644</v>
      </c>
      <c r="AM253" s="33">
        <v>7326.3567529767752</v>
      </c>
    </row>
    <row r="254" spans="30:39" ht="15.75" customHeight="1">
      <c r="AD254" s="92">
        <v>180</v>
      </c>
      <c r="AE254" s="33">
        <v>5435825.505647704</v>
      </c>
      <c r="AF254" s="33">
        <v>5112810.880368337</v>
      </c>
      <c r="AG254" s="33">
        <v>6042857.4643736929</v>
      </c>
      <c r="AH254" s="33">
        <v>-1023277.493291527</v>
      </c>
      <c r="AI254" s="33">
        <v>7305842.600517422</v>
      </c>
      <c r="AJ254" s="33">
        <v>-2187008.6697075516</v>
      </c>
      <c r="AK254" s="33">
        <v>5977515.5817345977</v>
      </c>
      <c r="AL254" s="33">
        <v>-11790377.783975035</v>
      </c>
      <c r="AM254" s="33">
        <v>-3304562.6739228666</v>
      </c>
    </row>
    <row r="255" spans="30:39" ht="15.75" customHeight="1">
      <c r="AD255" s="92">
        <v>181</v>
      </c>
      <c r="AE255" s="33">
        <v>-1085101.2532176822</v>
      </c>
      <c r="AF255" s="33">
        <v>16110814.153279752</v>
      </c>
      <c r="AG255" s="33">
        <v>15052938.26136601</v>
      </c>
      <c r="AH255" s="33">
        <v>158124.80205576122</v>
      </c>
      <c r="AI255" s="33">
        <v>-1611911.9486364424</v>
      </c>
      <c r="AJ255" s="33">
        <v>6797607.4536616355</v>
      </c>
      <c r="AK255" s="33">
        <v>678372.2747118175</v>
      </c>
      <c r="AL255" s="33">
        <v>3795881.9277436435</v>
      </c>
      <c r="AM255" s="33">
        <v>5828698.4144719243</v>
      </c>
    </row>
    <row r="256" spans="30:39" ht="15.75" customHeight="1">
      <c r="AD256" s="92">
        <v>182</v>
      </c>
      <c r="AE256" s="33">
        <v>3226128.1201397777</v>
      </c>
      <c r="AF256" s="33">
        <v>-1234241.9231158793</v>
      </c>
      <c r="AG256" s="33">
        <v>148184.00967618823</v>
      </c>
      <c r="AH256" s="33">
        <v>9260930.9783268869</v>
      </c>
      <c r="AI256" s="33">
        <v>9608243.6994050145</v>
      </c>
      <c r="AJ256" s="33">
        <v>9786448.6074439138</v>
      </c>
      <c r="AK256" s="33">
        <v>10676210.023894936</v>
      </c>
      <c r="AL256" s="33">
        <v>3641899.5733794421</v>
      </c>
      <c r="AM256" s="33">
        <v>-353366.30338796973</v>
      </c>
    </row>
    <row r="257" spans="30:39" ht="15.75" customHeight="1">
      <c r="AD257" s="92">
        <v>183</v>
      </c>
      <c r="AE257" s="33">
        <v>6196885.2129743993</v>
      </c>
      <c r="AF257" s="33">
        <v>18497700.023629814</v>
      </c>
      <c r="AG257" s="33">
        <v>1953617.5303045064</v>
      </c>
      <c r="AH257" s="33">
        <v>650884.53069317341</v>
      </c>
      <c r="AI257" s="33">
        <v>11962733.005209446</v>
      </c>
      <c r="AJ257" s="33">
        <v>8417965.9467372596</v>
      </c>
      <c r="AK257" s="33">
        <v>11087200.582192227</v>
      </c>
      <c r="AL257" s="33">
        <v>11829212.984006062</v>
      </c>
      <c r="AM257" s="33">
        <v>-4629296.1519269049</v>
      </c>
    </row>
    <row r="258" spans="30:39" ht="15.75" customHeight="1">
      <c r="AD258" s="92">
        <v>184</v>
      </c>
      <c r="AE258" s="33">
        <v>15895765.899657533</v>
      </c>
      <c r="AF258" s="33">
        <v>5400357.1208474785</v>
      </c>
      <c r="AG258" s="33">
        <v>3999534.4256720394</v>
      </c>
      <c r="AH258" s="33">
        <v>6536267.7238158286</v>
      </c>
      <c r="AI258" s="33">
        <v>4200401.905396536</v>
      </c>
      <c r="AJ258" s="33">
        <v>7889539.0896885097</v>
      </c>
      <c r="AK258" s="33">
        <v>4405114.7692451477</v>
      </c>
      <c r="AL258" s="33">
        <v>4952200.8366263211</v>
      </c>
      <c r="AM258" s="33">
        <v>-6502299.3230094314</v>
      </c>
    </row>
    <row r="259" spans="30:39" ht="15.75" customHeight="1">
      <c r="AD259" s="92">
        <v>185</v>
      </c>
      <c r="AE259" s="33">
        <v>14478888.218606591</v>
      </c>
      <c r="AF259" s="33">
        <v>15218974.477267846</v>
      </c>
      <c r="AG259" s="33">
        <v>-1763597.2478397191</v>
      </c>
      <c r="AH259" s="33">
        <v>12470546.318518013</v>
      </c>
      <c r="AI259" s="33">
        <v>6588441.985775739</v>
      </c>
      <c r="AJ259" s="33">
        <v>9881664.8244310766</v>
      </c>
      <c r="AK259" s="33">
        <v>-6399529.3232097775</v>
      </c>
      <c r="AL259" s="33">
        <v>8753210.5562761426</v>
      </c>
      <c r="AM259" s="33">
        <v>969343.12623608112</v>
      </c>
    </row>
    <row r="260" spans="30:39" ht="15.75" customHeight="1">
      <c r="AD260" s="92">
        <v>186</v>
      </c>
      <c r="AE260" s="33">
        <v>11348756.877596527</v>
      </c>
      <c r="AF260" s="33">
        <v>8797005.8500690162</v>
      </c>
      <c r="AG260" s="33">
        <v>9284945.3842856884</v>
      </c>
      <c r="AH260" s="33">
        <v>123253.36750610173</v>
      </c>
      <c r="AI260" s="33">
        <v>-2246778.9860528409</v>
      </c>
      <c r="AJ260" s="33">
        <v>-5860733.629693836</v>
      </c>
      <c r="AK260" s="33">
        <v>6509161.0120067596</v>
      </c>
      <c r="AL260" s="33">
        <v>-122499.31136475503</v>
      </c>
      <c r="AM260" s="33">
        <v>440838.7702536881</v>
      </c>
    </row>
    <row r="261" spans="30:39" ht="15.75" customHeight="1">
      <c r="AD261" s="92">
        <v>187</v>
      </c>
      <c r="AE261" s="33">
        <v>12393718.818145767</v>
      </c>
      <c r="AF261" s="33">
        <v>12874411.283365995</v>
      </c>
      <c r="AG261" s="33">
        <v>-1685858.6498565376</v>
      </c>
      <c r="AH261" s="33">
        <v>5659637.6502322853</v>
      </c>
      <c r="AI261" s="33">
        <v>-977126.81162333488</v>
      </c>
      <c r="AJ261" s="33">
        <v>4103781.225522697</v>
      </c>
      <c r="AK261" s="33">
        <v>-733774.45715564489</v>
      </c>
      <c r="AL261" s="33">
        <v>-4561536.5182209611</v>
      </c>
      <c r="AM261" s="33">
        <v>-454587.71279832721</v>
      </c>
    </row>
    <row r="262" spans="30:39" ht="15.75" customHeight="1">
      <c r="AD262" s="92">
        <v>188</v>
      </c>
      <c r="AE262" s="33">
        <v>2604727.4972761571</v>
      </c>
      <c r="AF262" s="33">
        <v>-1719176.9572300315</v>
      </c>
      <c r="AG262" s="33">
        <v>6476563.5547235608</v>
      </c>
      <c r="AH262" s="33">
        <v>3936023.0150356889</v>
      </c>
      <c r="AI262" s="33">
        <v>15118948.678673267</v>
      </c>
      <c r="AJ262" s="33">
        <v>10994305.613814294</v>
      </c>
      <c r="AK262" s="33">
        <v>-4861481.1124373227</v>
      </c>
      <c r="AL262" s="33">
        <v>-12266365.997973934</v>
      </c>
      <c r="AM262" s="33">
        <v>652888.80671834946</v>
      </c>
    </row>
    <row r="263" spans="30:39" ht="15.75" customHeight="1">
      <c r="AD263" s="92">
        <v>189</v>
      </c>
      <c r="AE263" s="33">
        <v>7468698.2366914153</v>
      </c>
      <c r="AF263" s="33">
        <v>5256177.3581812531</v>
      </c>
      <c r="AG263" s="33">
        <v>4132284.7652210742</v>
      </c>
      <c r="AH263" s="33">
        <v>3438230.5882665515</v>
      </c>
      <c r="AI263" s="33">
        <v>176799.20579333603</v>
      </c>
      <c r="AJ263" s="33">
        <v>-1404431.9794619381</v>
      </c>
      <c r="AK263" s="33">
        <v>-14532587.439061165</v>
      </c>
      <c r="AL263" s="33">
        <v>-285829.7129753679</v>
      </c>
      <c r="AM263" s="33">
        <v>-6693244.2417366803</v>
      </c>
    </row>
    <row r="264" spans="30:39" ht="15.75" customHeight="1">
      <c r="AD264" s="92">
        <v>190</v>
      </c>
      <c r="AE264" s="33">
        <v>3628569.277700305</v>
      </c>
      <c r="AF264" s="33">
        <v>-705912.56488403678</v>
      </c>
      <c r="AG264" s="33">
        <v>2777609.3635199666</v>
      </c>
      <c r="AH264" s="33">
        <v>11214090.20376128</v>
      </c>
      <c r="AI264" s="33">
        <v>8996025.1369164288</v>
      </c>
      <c r="AJ264" s="33">
        <v>-2285302.2021373808</v>
      </c>
      <c r="AK264" s="33">
        <v>12900985.455864906</v>
      </c>
      <c r="AL264" s="33">
        <v>-4274705.7504048347</v>
      </c>
      <c r="AM264" s="33">
        <v>-1758263.6722537577</v>
      </c>
    </row>
    <row r="265" spans="30:39" ht="15.75" customHeight="1">
      <c r="AD265" s="92">
        <v>191</v>
      </c>
      <c r="AE265" s="33">
        <v>5338713.4106326848</v>
      </c>
      <c r="AF265" s="33">
        <v>8463572.4675695896</v>
      </c>
      <c r="AG265" s="33">
        <v>6020450.270885542</v>
      </c>
      <c r="AH265" s="33">
        <v>1900525.1595492065</v>
      </c>
      <c r="AI265" s="33">
        <v>8251304.7754665613</v>
      </c>
      <c r="AJ265" s="33">
        <v>-1197155.1877026856</v>
      </c>
      <c r="AK265" s="33">
        <v>4077109.3096054792</v>
      </c>
      <c r="AL265" s="33">
        <v>-2057980.672232002</v>
      </c>
      <c r="AM265" s="33">
        <v>-3786320.2480559349</v>
      </c>
    </row>
    <row r="266" spans="30:39" ht="15.75" customHeight="1">
      <c r="AD266" s="92">
        <v>192</v>
      </c>
      <c r="AE266" s="33">
        <v>-603150.0614848882</v>
      </c>
      <c r="AF266" s="33">
        <v>7441791.6145124137</v>
      </c>
      <c r="AG266" s="33">
        <v>3556634.7013812065</v>
      </c>
      <c r="AH266" s="33">
        <v>4862141.8352492154</v>
      </c>
      <c r="AI266" s="33">
        <v>-3304670.2845745981</v>
      </c>
      <c r="AJ266" s="33">
        <v>-3101566.9438817054</v>
      </c>
      <c r="AK266" s="33">
        <v>-12712806.173535451</v>
      </c>
      <c r="AL266" s="33">
        <v>-3240287.1827026755</v>
      </c>
      <c r="AM266" s="33">
        <v>1039876.5572466701</v>
      </c>
    </row>
    <row r="267" spans="30:39" ht="15.75" customHeight="1">
      <c r="AD267" s="92">
        <v>193</v>
      </c>
      <c r="AE267" s="33">
        <v>5831752.5287793279</v>
      </c>
      <c r="AF267" s="33">
        <v>6595665.5233357251</v>
      </c>
      <c r="AG267" s="33">
        <v>6883567.2785992175</v>
      </c>
      <c r="AH267" s="33">
        <v>-951681.99707295001</v>
      </c>
      <c r="AI267" s="33">
        <v>714634.18309488893</v>
      </c>
      <c r="AJ267" s="33">
        <v>6734473.8307678401</v>
      </c>
      <c r="AK267" s="33">
        <v>1038255.3825184405</v>
      </c>
      <c r="AL267" s="33">
        <v>3497245.3042764068</v>
      </c>
      <c r="AM267" s="33">
        <v>-6714490.0438869894</v>
      </c>
    </row>
    <row r="268" spans="30:39" ht="15.75" customHeight="1">
      <c r="AD268" s="92">
        <v>194</v>
      </c>
      <c r="AE268" s="33">
        <v>11461406.02902022</v>
      </c>
      <c r="AF268" s="33">
        <v>5276249.2739067227</v>
      </c>
      <c r="AG268" s="33">
        <v>10739810.669903934</v>
      </c>
      <c r="AH268" s="33">
        <v>10573293.094555438</v>
      </c>
      <c r="AI268" s="33">
        <v>-8669464.8659725487</v>
      </c>
      <c r="AJ268" s="33">
        <v>-1670057.9850509912</v>
      </c>
      <c r="AK268" s="33">
        <v>2602114.7748030722</v>
      </c>
      <c r="AL268" s="33">
        <v>-791325.53009420633</v>
      </c>
      <c r="AM268" s="33">
        <v>-6670202.9522397667</v>
      </c>
    </row>
    <row r="269" spans="30:39" ht="15.75" customHeight="1">
      <c r="AD269" s="92">
        <v>195</v>
      </c>
      <c r="AE269" s="33">
        <v>7427759.9199869484</v>
      </c>
      <c r="AF269" s="33">
        <v>760198.4777867496</v>
      </c>
      <c r="AG269" s="33">
        <v>4119355.8648415953</v>
      </c>
      <c r="AH269" s="33">
        <v>3471254.2508844882</v>
      </c>
      <c r="AI269" s="33">
        <v>-1845327.6443846822</v>
      </c>
      <c r="AJ269" s="33">
        <v>-8820795.2521991283</v>
      </c>
      <c r="AK269" s="33">
        <v>-4137470.1929482371</v>
      </c>
      <c r="AL269" s="33">
        <v>9228359.9610813856</v>
      </c>
      <c r="AM269" s="33">
        <v>4394701.8541973829</v>
      </c>
    </row>
    <row r="270" spans="30:39" ht="15.75" customHeight="1">
      <c r="AD270" s="92">
        <v>196</v>
      </c>
      <c r="AE270" s="33">
        <v>9135097.6866621524</v>
      </c>
      <c r="AF270" s="33">
        <v>3157115.2203174978</v>
      </c>
      <c r="AG270" s="33">
        <v>-6796961.5691855997</v>
      </c>
      <c r="AH270" s="33">
        <v>140295.95856557786</v>
      </c>
      <c r="AI270" s="33">
        <v>3233194.0582832396</v>
      </c>
      <c r="AJ270" s="33">
        <v>-9487089.3641391844</v>
      </c>
      <c r="AK270" s="33">
        <v>2637724.4039873928</v>
      </c>
      <c r="AL270" s="33">
        <v>7781730.5047619641</v>
      </c>
      <c r="AM270" s="33">
        <v>2673648.6066845059</v>
      </c>
    </row>
    <row r="271" spans="30:39" ht="15.75" customHeight="1">
      <c r="AD271" s="92">
        <v>197</v>
      </c>
      <c r="AE271" s="33">
        <v>6191574.1030133963</v>
      </c>
      <c r="AF271" s="33">
        <v>14954729.289248586</v>
      </c>
      <c r="AG271" s="33">
        <v>15998582.91942592</v>
      </c>
      <c r="AH271" s="33">
        <v>17049775.254667833</v>
      </c>
      <c r="AI271" s="33">
        <v>291607.56814271212</v>
      </c>
      <c r="AJ271" s="33">
        <v>708812.57254880667</v>
      </c>
      <c r="AK271" s="33">
        <v>-281494.66180080175</v>
      </c>
      <c r="AL271" s="33">
        <v>-5685977.0339501798</v>
      </c>
      <c r="AM271" s="33">
        <v>1113019.2096180022</v>
      </c>
    </row>
    <row r="272" spans="30:39" ht="15.75" customHeight="1">
      <c r="AD272" s="92">
        <v>198</v>
      </c>
      <c r="AE272" s="33">
        <v>1087595.3923768401</v>
      </c>
      <c r="AF272" s="33">
        <v>7908111.0149927437</v>
      </c>
      <c r="AG272" s="33">
        <v>-1915086.2914687395</v>
      </c>
      <c r="AH272" s="33">
        <v>1437432.1759600788</v>
      </c>
      <c r="AI272" s="33">
        <v>11420244.22063154</v>
      </c>
      <c r="AJ272" s="33">
        <v>-4381036.1066497117</v>
      </c>
      <c r="AK272" s="33">
        <v>3932848.0304954648</v>
      </c>
      <c r="AL272" s="33">
        <v>242105.52982494235</v>
      </c>
      <c r="AM272" s="33">
        <v>3318228.9318197668</v>
      </c>
    </row>
    <row r="273" spans="30:39" ht="15.75" customHeight="1">
      <c r="AD273" s="92">
        <v>199</v>
      </c>
      <c r="AE273" s="33">
        <v>5752832.3172217011</v>
      </c>
      <c r="AF273" s="33">
        <v>-3920402.2912612408</v>
      </c>
      <c r="AG273" s="33">
        <v>741103.50730243325</v>
      </c>
      <c r="AH273" s="33">
        <v>-1215463.2405335754</v>
      </c>
      <c r="AI273" s="33">
        <v>5079059.7785181701</v>
      </c>
      <c r="AJ273" s="33">
        <v>11930763.459319904</v>
      </c>
      <c r="AK273" s="33">
        <v>7279245.0239082873</v>
      </c>
      <c r="AL273" s="33">
        <v>-6165465.1386309862</v>
      </c>
      <c r="AM273" s="33">
        <v>-1834778.7974556088</v>
      </c>
    </row>
    <row r="274" spans="30:39" ht="15.75" customHeight="1">
      <c r="AD274" s="92">
        <v>200</v>
      </c>
      <c r="AE274" s="33">
        <v>-119531.48795899749</v>
      </c>
      <c r="AF274" s="33">
        <v>-5830326.2024430335</v>
      </c>
      <c r="AG274" s="33">
        <v>14833406.103079185</v>
      </c>
      <c r="AH274" s="33">
        <v>9201770.6321371794</v>
      </c>
      <c r="AI274" s="33">
        <v>5676244.3761569709</v>
      </c>
      <c r="AJ274" s="33">
        <v>1320735.4137290269</v>
      </c>
      <c r="AK274" s="33">
        <v>4001531.4027739912</v>
      </c>
      <c r="AL274" s="33">
        <v>-3534778.2824536413</v>
      </c>
      <c r="AM274" s="33">
        <v>13057446.123780742</v>
      </c>
    </row>
  </sheetData>
  <conditionalFormatting sqref="F2:P141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1:Z141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70:AM7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Arkusz6">
    <tabColor rgb="FFCC0000"/>
    <outlinePr summaryBelow="0" summaryRight="0"/>
  </sheetPr>
  <dimension ref="A2:T219"/>
  <sheetViews>
    <sheetView topLeftCell="F1" workbookViewId="0">
      <selection activeCell="R9" sqref="R9"/>
    </sheetView>
  </sheetViews>
  <sheetFormatPr defaultColWidth="12.6640625" defaultRowHeight="15.75" customHeight="1"/>
  <cols>
    <col min="1" max="1" width="12.6640625" style="33"/>
    <col min="2" max="2" width="24.109375" style="33" bestFit="1" customWidth="1"/>
    <col min="3" max="4" width="12.6640625" style="33"/>
    <col min="5" max="5" width="18.6640625" style="33" bestFit="1" customWidth="1"/>
    <col min="6" max="6" width="12.77734375" style="33" bestFit="1" customWidth="1"/>
    <col min="7" max="9" width="13.6640625" style="33" bestFit="1" customWidth="1"/>
    <col min="10" max="10" width="24.109375" style="33" bestFit="1" customWidth="1"/>
    <col min="11" max="16" width="13.6640625" style="33" bestFit="1" customWidth="1"/>
    <col min="17" max="17" width="12.6640625" style="33"/>
    <col min="18" max="18" width="15.6640625" style="33" customWidth="1"/>
    <col min="19" max="19" width="35.109375" style="33" customWidth="1"/>
    <col min="20" max="20" width="26.6640625" style="33" customWidth="1"/>
    <col min="21" max="16384" width="12.6640625" style="33"/>
  </cols>
  <sheetData>
    <row r="2" spans="1:20" customFormat="1" ht="15.75" customHeight="1">
      <c r="A2" s="33"/>
      <c r="B2" s="6" t="s">
        <v>60</v>
      </c>
      <c r="C2" s="6" t="s">
        <v>61</v>
      </c>
      <c r="D2" s="6" t="s">
        <v>62</v>
      </c>
      <c r="E2" s="6" t="s">
        <v>63</v>
      </c>
      <c r="F2" s="6" t="s">
        <v>64</v>
      </c>
      <c r="G2" s="6" t="s">
        <v>65</v>
      </c>
      <c r="H2" s="6" t="s">
        <v>66</v>
      </c>
      <c r="I2" s="6" t="s">
        <v>67</v>
      </c>
      <c r="J2" s="6" t="s">
        <v>68</v>
      </c>
      <c r="K2" s="6" t="s">
        <v>69</v>
      </c>
      <c r="L2" s="6" t="s">
        <v>70</v>
      </c>
      <c r="M2" s="6" t="s">
        <v>71</v>
      </c>
      <c r="N2" s="6" t="s">
        <v>72</v>
      </c>
      <c r="O2" s="6" t="s">
        <v>73</v>
      </c>
      <c r="P2" s="7" t="s">
        <v>74</v>
      </c>
      <c r="Q2" s="7" t="s">
        <v>75</v>
      </c>
      <c r="R2" s="7" t="s">
        <v>76</v>
      </c>
      <c r="S2" s="7" t="s">
        <v>77</v>
      </c>
      <c r="T2" s="7" t="s">
        <v>78</v>
      </c>
    </row>
    <row r="3" spans="1:20" ht="15.75" customHeight="1">
      <c r="B3" s="8" t="s">
        <v>79</v>
      </c>
      <c r="C3" s="6">
        <v>357.5</v>
      </c>
      <c r="D3" s="6">
        <v>354.3</v>
      </c>
      <c r="E3" s="6">
        <v>348.3</v>
      </c>
      <c r="F3" s="46">
        <v>346</v>
      </c>
      <c r="G3" s="6">
        <v>340.9</v>
      </c>
      <c r="H3" s="6">
        <v>340.1</v>
      </c>
      <c r="I3" s="6">
        <v>337.9</v>
      </c>
      <c r="J3" s="6">
        <v>332.7</v>
      </c>
      <c r="K3" s="6">
        <v>334.3</v>
      </c>
      <c r="L3" s="6">
        <v>334.4</v>
      </c>
      <c r="M3" s="6">
        <v>330.5</v>
      </c>
      <c r="N3" s="6">
        <v>330.2</v>
      </c>
      <c r="O3" s="6">
        <v>340.6</v>
      </c>
      <c r="P3" s="7">
        <f>STDEV(C3:N3)</f>
        <v>9.1457350550390313</v>
      </c>
      <c r="Q3" s="7">
        <f ca="1">NORMINV(RAND(),O3,P3)*C12</f>
        <v>2289877.0422793459</v>
      </c>
      <c r="R3" s="9">
        <f t="shared" ref="R3:R6" ca="1" si="0">Q3*12</f>
        <v>27478524.507352151</v>
      </c>
      <c r="S3" s="7"/>
    </row>
    <row r="4" spans="1:20" ht="15.75" customHeight="1">
      <c r="B4" s="8" t="s">
        <v>80</v>
      </c>
      <c r="C4" s="6">
        <v>132</v>
      </c>
      <c r="D4" s="6">
        <v>130.69999999999999</v>
      </c>
      <c r="E4" s="6">
        <v>129.19999999999999</v>
      </c>
      <c r="F4" s="46">
        <v>130</v>
      </c>
      <c r="G4" s="6">
        <v>129.19999999999999</v>
      </c>
      <c r="H4" s="6">
        <v>129</v>
      </c>
      <c r="I4" s="6">
        <v>130.5</v>
      </c>
      <c r="J4" s="6">
        <v>128.9</v>
      </c>
      <c r="K4" s="6">
        <v>128</v>
      </c>
      <c r="L4" s="6">
        <v>128.69999999999999</v>
      </c>
      <c r="M4" s="6">
        <v>129.19999999999999</v>
      </c>
      <c r="N4" s="6">
        <v>130.5</v>
      </c>
      <c r="O4" s="6">
        <v>129.6</v>
      </c>
      <c r="P4" s="7">
        <f t="shared" ref="P4" si="1">STDEV(C4:N4)</f>
        <v>1.1040901917484611</v>
      </c>
      <c r="Q4" s="7">
        <f ca="1">NORMINV(RAND(),O4,P4)*C13</f>
        <v>765809.74197897944</v>
      </c>
      <c r="R4" s="9">
        <f t="shared" ca="1" si="0"/>
        <v>9189716.9037477523</v>
      </c>
      <c r="S4" s="7"/>
    </row>
    <row r="5" spans="1:20" ht="15.75" customHeight="1">
      <c r="B5" s="8" t="s">
        <v>81</v>
      </c>
      <c r="C5" s="6">
        <v>53.6</v>
      </c>
      <c r="D5" s="6">
        <v>54.6</v>
      </c>
      <c r="E5" s="6">
        <v>54.6</v>
      </c>
      <c r="F5" s="6">
        <v>54.6</v>
      </c>
      <c r="G5" s="6">
        <v>55</v>
      </c>
      <c r="H5" s="6">
        <v>55.6</v>
      </c>
      <c r="I5" s="6">
        <v>54.8</v>
      </c>
      <c r="J5" s="6">
        <v>53</v>
      </c>
      <c r="K5" s="6">
        <v>53</v>
      </c>
      <c r="L5" s="6">
        <v>54</v>
      </c>
      <c r="M5" s="6">
        <v>55</v>
      </c>
      <c r="N5" s="6">
        <v>56</v>
      </c>
      <c r="O5" s="6">
        <v>54.5</v>
      </c>
      <c r="P5" s="7">
        <f>STDEV(C5:N5)</f>
        <v>0.93598109279012998</v>
      </c>
      <c r="Q5" s="7">
        <f ca="1">NORMINV(RAND(),O5,P5)*C10</f>
        <v>382917.33008126443</v>
      </c>
      <c r="R5" s="9">
        <f t="shared" ca="1" si="0"/>
        <v>4595007.9609751729</v>
      </c>
      <c r="S5" s="7"/>
    </row>
    <row r="6" spans="1:20" ht="15.75" customHeight="1">
      <c r="B6" s="8" t="s">
        <v>82</v>
      </c>
      <c r="C6" s="8">
        <v>543.1</v>
      </c>
      <c r="D6" s="8">
        <v>539.5</v>
      </c>
      <c r="E6" s="8">
        <v>532.1</v>
      </c>
      <c r="F6" s="8">
        <v>530.6</v>
      </c>
      <c r="G6" s="8">
        <v>525.1</v>
      </c>
      <c r="H6" s="8">
        <v>524.70000000000005</v>
      </c>
      <c r="I6" s="8">
        <v>523.20000000000005</v>
      </c>
      <c r="J6" s="8">
        <v>514.6</v>
      </c>
      <c r="K6" s="8">
        <v>515.29999999999995</v>
      </c>
      <c r="L6" s="8">
        <v>517</v>
      </c>
      <c r="M6" s="8">
        <v>514.70000000000005</v>
      </c>
      <c r="N6" s="8">
        <v>516.70000000000005</v>
      </c>
      <c r="O6" s="8">
        <v>524.70000000000005</v>
      </c>
      <c r="P6" s="190">
        <f>STDEV(C6:N6)</f>
        <v>9.831473886853324</v>
      </c>
      <c r="Q6" s="190">
        <f ca="1">SUM(Q3:Q5)</f>
        <v>3438604.1143395901</v>
      </c>
      <c r="R6" s="191">
        <f t="shared" ca="1" si="0"/>
        <v>41263249.372075081</v>
      </c>
      <c r="S6" s="191">
        <f ca="1">R6+108200</f>
        <v>41371449.372075081</v>
      </c>
      <c r="T6" s="188">
        <f ca="1">S6+238220</f>
        <v>41609669.372075081</v>
      </c>
    </row>
    <row r="7" spans="1:20" ht="15.75" customHeight="1">
      <c r="S7" s="33" t="s">
        <v>10</v>
      </c>
    </row>
    <row r="8" spans="1:20" ht="15.75" customHeight="1">
      <c r="B8" s="10" t="s">
        <v>83</v>
      </c>
      <c r="C8" s="10" t="s">
        <v>84</v>
      </c>
      <c r="E8" s="48" t="s">
        <v>109</v>
      </c>
      <c r="R8" s="70" t="s">
        <v>10</v>
      </c>
      <c r="S8" s="33" t="s">
        <v>10</v>
      </c>
    </row>
    <row r="9" spans="1:20" ht="15.75" customHeight="1">
      <c r="B9" s="11" t="s">
        <v>85</v>
      </c>
      <c r="C9" s="10">
        <f>6732.22*(E9)</f>
        <v>6732.22</v>
      </c>
      <c r="E9" s="49">
        <v>1</v>
      </c>
      <c r="S9" s="33" t="s">
        <v>10</v>
      </c>
    </row>
    <row r="10" spans="1:20" ht="15.75" customHeight="1">
      <c r="B10" s="10" t="s">
        <v>86</v>
      </c>
      <c r="C10" s="10">
        <f>7146.95*(E9)</f>
        <v>7146.95</v>
      </c>
      <c r="S10" s="189" t="s">
        <v>134</v>
      </c>
      <c r="T10" s="33">
        <f ca="1">Podsumowanie!J9</f>
        <v>6887229.3562903702</v>
      </c>
    </row>
    <row r="11" spans="1:20" ht="15.75" customHeight="1">
      <c r="B11" s="10" t="s">
        <v>87</v>
      </c>
      <c r="C11" s="10">
        <f>6684.17*(E9)</f>
        <v>6684.17</v>
      </c>
      <c r="P11" s="70" t="s">
        <v>10</v>
      </c>
      <c r="S11" s="70" t="s">
        <v>10</v>
      </c>
    </row>
    <row r="12" spans="1:20" ht="15.75" customHeight="1">
      <c r="B12" s="10" t="s">
        <v>88</v>
      </c>
      <c r="C12" s="10">
        <f>7000.08*(E9)</f>
        <v>7000.08</v>
      </c>
      <c r="H12" s="70" t="s">
        <v>10</v>
      </c>
      <c r="O12" s="33" t="s">
        <v>10</v>
      </c>
      <c r="P12" s="70" t="s">
        <v>10</v>
      </c>
      <c r="S12" s="70" t="s">
        <v>10</v>
      </c>
    </row>
    <row r="13" spans="1:20" ht="15.75" customHeight="1">
      <c r="B13" s="10" t="s">
        <v>89</v>
      </c>
      <c r="C13" s="10">
        <f>5854.27*(E9)</f>
        <v>5854.27</v>
      </c>
      <c r="H13" s="70" t="s">
        <v>10</v>
      </c>
      <c r="O13" s="33" t="s">
        <v>10</v>
      </c>
      <c r="P13" s="70" t="s">
        <v>10</v>
      </c>
      <c r="Q13" s="70" t="s">
        <v>10</v>
      </c>
      <c r="S13" s="70" t="s">
        <v>10</v>
      </c>
    </row>
    <row r="14" spans="1:20" ht="15.75" customHeight="1">
      <c r="B14"/>
      <c r="C14"/>
      <c r="D14"/>
      <c r="J14" s="70" t="s">
        <v>10</v>
      </c>
      <c r="K14" s="70" t="s">
        <v>10</v>
      </c>
      <c r="P14" s="70" t="s">
        <v>10</v>
      </c>
      <c r="Q14" s="70" t="s">
        <v>10</v>
      </c>
      <c r="S14" s="70" t="s">
        <v>10</v>
      </c>
    </row>
    <row r="15" spans="1:20" ht="15.75" customHeight="1">
      <c r="I15" s="70" t="s">
        <v>10</v>
      </c>
      <c r="J15" s="70" t="s">
        <v>10</v>
      </c>
      <c r="K15" s="70" t="s">
        <v>10</v>
      </c>
      <c r="P15" s="70" t="s">
        <v>10</v>
      </c>
      <c r="S15" s="70" t="s">
        <v>10</v>
      </c>
      <c r="T15" s="70" t="s">
        <v>10</v>
      </c>
    </row>
    <row r="16" spans="1:20" ht="15.75" customHeight="1">
      <c r="F16" s="70" t="s">
        <v>121</v>
      </c>
      <c r="G16" s="94">
        <f>AVERAGE(G20:G219)</f>
        <v>10082403.067037465</v>
      </c>
      <c r="H16" s="94">
        <f t="shared" ref="H16:P16" si="2">AVERAGE(H20:H219)</f>
        <v>8715430.6138332728</v>
      </c>
      <c r="I16" s="94">
        <f t="shared" si="2"/>
        <v>8137403.3898292622</v>
      </c>
      <c r="J16" s="94">
        <f t="shared" si="2"/>
        <v>6523647.5296294317</v>
      </c>
      <c r="K16" s="94">
        <f t="shared" si="2"/>
        <v>6373448.9949390404</v>
      </c>
      <c r="L16" s="94">
        <f t="shared" si="2"/>
        <v>5330334.1943917563</v>
      </c>
      <c r="M16" s="94">
        <f t="shared" si="2"/>
        <v>2973175.0002254122</v>
      </c>
      <c r="N16" s="94">
        <f t="shared" si="2"/>
        <v>2854404.6080573648</v>
      </c>
      <c r="O16" s="94">
        <f t="shared" si="2"/>
        <v>1261308.351237813</v>
      </c>
      <c r="P16" s="94">
        <f t="shared" si="2"/>
        <v>802753.25721627648</v>
      </c>
      <c r="S16" s="70" t="s">
        <v>10</v>
      </c>
      <c r="T16" s="70" t="s">
        <v>10</v>
      </c>
    </row>
    <row r="17" spans="6:20" ht="15.75" customHeight="1">
      <c r="K17" s="70" t="s">
        <v>10</v>
      </c>
      <c r="O17" s="70" t="s">
        <v>10</v>
      </c>
      <c r="S17" s="70" t="s">
        <v>10</v>
      </c>
      <c r="T17" s="70" t="s">
        <v>10</v>
      </c>
    </row>
    <row r="18" spans="6:20" ht="15.75" customHeight="1">
      <c r="K18" s="70" t="s">
        <v>10</v>
      </c>
      <c r="S18" s="70" t="s">
        <v>10</v>
      </c>
      <c r="T18" s="70" t="s">
        <v>10</v>
      </c>
    </row>
    <row r="19" spans="6:20" ht="15.75" customHeight="1">
      <c r="F19" s="192">
        <f ca="1">T10</f>
        <v>6887229.3562903702</v>
      </c>
      <c r="G19" s="193">
        <v>37000000</v>
      </c>
      <c r="H19" s="193">
        <v>38000000</v>
      </c>
      <c r="I19" s="193">
        <v>39000000</v>
      </c>
      <c r="J19" s="193">
        <v>40000000</v>
      </c>
      <c r="K19" s="193">
        <v>41000000</v>
      </c>
      <c r="L19" s="193">
        <v>42000000</v>
      </c>
      <c r="M19" s="193">
        <v>43000000</v>
      </c>
      <c r="N19" s="193">
        <v>44000000</v>
      </c>
      <c r="O19" s="193">
        <v>45000000</v>
      </c>
      <c r="P19" s="193">
        <v>46000000</v>
      </c>
      <c r="S19" s="70" t="s">
        <v>10</v>
      </c>
      <c r="T19" s="70" t="s">
        <v>10</v>
      </c>
    </row>
    <row r="20" spans="6:20" ht="15.75" customHeight="1">
      <c r="F20" s="33">
        <v>1</v>
      </c>
      <c r="G20" s="111">
        <f t="dataTable" ref="G20:P219" dt2D="1" dtr="1" r1="T6" r2="Q28" ca="1"/>
        <v>2210574.1422588527</v>
      </c>
      <c r="H20" s="111">
        <v>-9649114.8337945491</v>
      </c>
      <c r="I20" s="111">
        <v>5125639.9913664162</v>
      </c>
      <c r="J20" s="111">
        <v>6234364.3515628278</v>
      </c>
      <c r="K20" s="111">
        <v>2377428.1975869089</v>
      </c>
      <c r="L20" s="111">
        <v>982078.12467488647</v>
      </c>
      <c r="M20" s="111">
        <v>8537147.9409533143</v>
      </c>
      <c r="N20" s="111">
        <v>-1074960.6321460903</v>
      </c>
      <c r="O20" s="111">
        <v>-3690717.6465215534</v>
      </c>
      <c r="P20" s="111">
        <v>3740123.4895904362</v>
      </c>
      <c r="S20" s="70" t="s">
        <v>10</v>
      </c>
    </row>
    <row r="21" spans="6:20" ht="15.75" customHeight="1">
      <c r="F21" s="33">
        <v>2</v>
      </c>
      <c r="G21" s="111">
        <v>11393775.510425419</v>
      </c>
      <c r="H21" s="111">
        <v>5616755.5854503512</v>
      </c>
      <c r="I21" s="111">
        <v>2702833.7312858701</v>
      </c>
      <c r="J21" s="111">
        <v>-6936224.2265339196</v>
      </c>
      <c r="K21" s="111">
        <v>9323102.5165030509</v>
      </c>
      <c r="L21" s="111">
        <v>6604236.933189109</v>
      </c>
      <c r="M21" s="111">
        <v>11073513.17776528</v>
      </c>
      <c r="N21" s="111">
        <v>-3115884.2142256945</v>
      </c>
      <c r="O21" s="111">
        <v>19254255.249812037</v>
      </c>
      <c r="P21" s="111">
        <v>-2084910.0243313164</v>
      </c>
      <c r="S21" s="70" t="s">
        <v>10</v>
      </c>
    </row>
    <row r="22" spans="6:20" ht="15.75" customHeight="1">
      <c r="F22" s="33">
        <v>3</v>
      </c>
      <c r="G22" s="111">
        <v>108999.92348332703</v>
      </c>
      <c r="H22" s="111">
        <v>5553880.8221170604</v>
      </c>
      <c r="I22" s="111">
        <v>5425978.3100477606</v>
      </c>
      <c r="J22" s="111">
        <v>-1908818.1860458255</v>
      </c>
      <c r="K22" s="111">
        <v>17180205.586567014</v>
      </c>
      <c r="L22" s="111">
        <v>7615270.2186053842</v>
      </c>
      <c r="M22" s="111">
        <v>-3965179.748991251</v>
      </c>
      <c r="N22" s="111">
        <v>-2044169.6701218188</v>
      </c>
      <c r="O22" s="111">
        <v>-2892106.9673248529</v>
      </c>
      <c r="P22" s="111">
        <v>-671439.37203727663</v>
      </c>
      <c r="S22" s="70" t="s">
        <v>10</v>
      </c>
    </row>
    <row r="23" spans="6:20" ht="15.75" customHeight="1">
      <c r="F23" s="33">
        <v>4</v>
      </c>
      <c r="G23" s="111">
        <v>13966711.512612671</v>
      </c>
      <c r="H23" s="111">
        <v>12454021.663334191</v>
      </c>
      <c r="I23" s="111">
        <v>11347570.514839858</v>
      </c>
      <c r="J23" s="111">
        <v>12018738.354710415</v>
      </c>
      <c r="K23" s="111">
        <v>11518992.525724441</v>
      </c>
      <c r="L23" s="111">
        <v>8853125.2330329716</v>
      </c>
      <c r="M23" s="111">
        <v>10172052.672273219</v>
      </c>
      <c r="N23" s="111">
        <v>854361.73397170007</v>
      </c>
      <c r="O23" s="111">
        <v>2112102.8328742981</v>
      </c>
      <c r="P23" s="111">
        <v>-3087423.7893272042</v>
      </c>
      <c r="S23" s="70" t="s">
        <v>10</v>
      </c>
    </row>
    <row r="24" spans="6:20" ht="15.75" customHeight="1">
      <c r="F24" s="33">
        <v>5</v>
      </c>
      <c r="G24" s="111">
        <v>13605947.012464687</v>
      </c>
      <c r="H24" s="111">
        <v>9568067.4060856104</v>
      </c>
      <c r="I24" s="111">
        <v>18899938.91772306</v>
      </c>
      <c r="J24" s="111">
        <v>-3300051.4564962536</v>
      </c>
      <c r="K24" s="111">
        <v>7152231.2317814827</v>
      </c>
      <c r="L24" s="111">
        <v>1407587.3077299744</v>
      </c>
      <c r="M24" s="111">
        <v>-4872061.4377710074</v>
      </c>
      <c r="N24" s="111">
        <v>1936111.2090907246</v>
      </c>
      <c r="O24" s="111">
        <v>4876445.4725510031</v>
      </c>
      <c r="P24" s="111">
        <v>-3234575.7094511688</v>
      </c>
      <c r="S24" s="70" t="s">
        <v>10</v>
      </c>
    </row>
    <row r="25" spans="6:20" ht="15.75" customHeight="1">
      <c r="F25" s="33">
        <v>6</v>
      </c>
      <c r="G25" s="111">
        <v>10747509.277299941</v>
      </c>
      <c r="H25" s="111">
        <v>13363976.197833583</v>
      </c>
      <c r="I25" s="111">
        <v>6392420.616740346</v>
      </c>
      <c r="J25" s="111">
        <v>3969770.8049315512</v>
      </c>
      <c r="K25" s="111">
        <v>7794390.6544193923</v>
      </c>
      <c r="L25" s="111">
        <v>-2043957.6606495231</v>
      </c>
      <c r="M25" s="111">
        <v>-2742473.2609986365</v>
      </c>
      <c r="N25" s="111">
        <v>-10082977.647779524</v>
      </c>
      <c r="O25" s="111">
        <v>6333498.2498492599</v>
      </c>
      <c r="P25" s="111">
        <v>5422379.5382108092</v>
      </c>
      <c r="S25" s="70" t="s">
        <v>10</v>
      </c>
    </row>
    <row r="26" spans="6:20" ht="15.75" customHeight="1">
      <c r="F26" s="33">
        <v>7</v>
      </c>
      <c r="G26" s="111">
        <v>8239093.4714883417</v>
      </c>
      <c r="H26" s="111">
        <v>22292803.225436956</v>
      </c>
      <c r="I26" s="111">
        <v>14493501.626283586</v>
      </c>
      <c r="J26" s="111">
        <v>2047459.3818513751</v>
      </c>
      <c r="K26" s="111">
        <v>11863183.012346268</v>
      </c>
      <c r="L26" s="111">
        <v>5825676.5855727196</v>
      </c>
      <c r="M26" s="111">
        <v>8414606.6716193706</v>
      </c>
      <c r="N26" s="111">
        <v>6066912.4635017067</v>
      </c>
      <c r="O26" s="111">
        <v>4618505.0489350259</v>
      </c>
      <c r="P26" s="111">
        <v>-10076849.992861375</v>
      </c>
      <c r="S26" s="70" t="s">
        <v>10</v>
      </c>
    </row>
    <row r="27" spans="6:20" ht="15.75" customHeight="1">
      <c r="F27" s="33">
        <v>8</v>
      </c>
      <c r="G27" s="111">
        <v>9452728.9857996851</v>
      </c>
      <c r="H27" s="111">
        <v>7871573.643491745</v>
      </c>
      <c r="I27" s="111">
        <v>4048152.8495272398</v>
      </c>
      <c r="J27" s="111">
        <v>9028164.1211699247</v>
      </c>
      <c r="K27" s="111">
        <v>7780028.4743989706</v>
      </c>
      <c r="L27" s="111">
        <v>3439170.4432588369</v>
      </c>
      <c r="M27" s="111">
        <v>11099080.520941526</v>
      </c>
      <c r="N27" s="111">
        <v>2466280.9581671953</v>
      </c>
      <c r="O27" s="111">
        <v>3799539.3909507394</v>
      </c>
      <c r="P27" s="111">
        <v>5293208.5585330129</v>
      </c>
      <c r="S27" s="70" t="s">
        <v>10</v>
      </c>
    </row>
    <row r="28" spans="6:20" ht="15.75" customHeight="1">
      <c r="F28" s="33">
        <v>9</v>
      </c>
      <c r="G28" s="111">
        <v>2894855.1851760894</v>
      </c>
      <c r="H28" s="111">
        <v>17581463.162903562</v>
      </c>
      <c r="I28" s="111">
        <v>3301639.5745227635</v>
      </c>
      <c r="J28" s="111">
        <v>283978.6988696605</v>
      </c>
      <c r="K28" s="111">
        <v>-1324470.9874619544</v>
      </c>
      <c r="L28" s="111">
        <v>6051201.916546315</v>
      </c>
      <c r="M28" s="111">
        <v>4569209.5640213937</v>
      </c>
      <c r="N28" s="111">
        <v>8758731.4875844717</v>
      </c>
      <c r="O28" s="111">
        <v>-11272334.890901089</v>
      </c>
      <c r="P28" s="111">
        <v>-1554084.5234876573</v>
      </c>
      <c r="S28" s="70" t="s">
        <v>10</v>
      </c>
    </row>
    <row r="29" spans="6:20" ht="15.75" customHeight="1">
      <c r="F29" s="33">
        <v>10</v>
      </c>
      <c r="G29" s="111">
        <v>786947.18039193749</v>
      </c>
      <c r="H29" s="111">
        <v>10827985.457936943</v>
      </c>
      <c r="I29" s="111">
        <v>978211.28997030854</v>
      </c>
      <c r="J29" s="111">
        <v>9132928.9156509042</v>
      </c>
      <c r="K29" s="111">
        <v>15897170.50377728</v>
      </c>
      <c r="L29" s="111">
        <v>16611934.803114548</v>
      </c>
      <c r="M29" s="111">
        <v>2591347.8786262721</v>
      </c>
      <c r="N29" s="111">
        <v>2311368.7046705037</v>
      </c>
      <c r="O29" s="111">
        <v>6637371.0462931395</v>
      </c>
      <c r="P29" s="111">
        <v>1224234.0078201145</v>
      </c>
      <c r="S29" s="70" t="s">
        <v>10</v>
      </c>
    </row>
    <row r="30" spans="6:20" ht="15.75" customHeight="1">
      <c r="F30" s="33">
        <v>11</v>
      </c>
      <c r="G30" s="111">
        <v>17219293.495479792</v>
      </c>
      <c r="H30" s="111">
        <v>2807805.6664559841</v>
      </c>
      <c r="I30" s="111">
        <v>6079451.238696903</v>
      </c>
      <c r="J30" s="111">
        <v>-1489635.4227852374</v>
      </c>
      <c r="K30" s="111">
        <v>1492828.053978622</v>
      </c>
      <c r="L30" s="111">
        <v>1744785.8037822396</v>
      </c>
      <c r="M30" s="111">
        <v>-2391265.4031689912</v>
      </c>
      <c r="N30" s="111">
        <v>-5345413.1494740695</v>
      </c>
      <c r="O30" s="111">
        <v>4726513.2622948438</v>
      </c>
      <c r="P30" s="111">
        <v>-402385.40706193447</v>
      </c>
      <c r="S30" s="70" t="s">
        <v>10</v>
      </c>
    </row>
    <row r="31" spans="6:20" ht="15.75" customHeight="1">
      <c r="F31" s="33">
        <v>12</v>
      </c>
      <c r="G31" s="111">
        <v>16811309.502677351</v>
      </c>
      <c r="H31" s="111">
        <v>8727725.3377790153</v>
      </c>
      <c r="I31" s="111">
        <v>8202699.8103090525</v>
      </c>
      <c r="J31" s="111">
        <v>4690943.57840617</v>
      </c>
      <c r="K31" s="111">
        <v>1266414.3032705784</v>
      </c>
      <c r="L31" s="111">
        <v>1415726.308383733</v>
      </c>
      <c r="M31" s="111">
        <v>2132817.1845687777</v>
      </c>
      <c r="N31" s="111">
        <v>77917.163499593735</v>
      </c>
      <c r="O31" s="111">
        <v>10027146.646153077</v>
      </c>
      <c r="P31" s="111">
        <v>11401033.066025242</v>
      </c>
      <c r="S31" s="70" t="s">
        <v>10</v>
      </c>
    </row>
    <row r="32" spans="6:20" ht="15.75" customHeight="1">
      <c r="F32" s="33">
        <v>13</v>
      </c>
      <c r="G32" s="111">
        <v>5529829.3488385677</v>
      </c>
      <c r="H32" s="111">
        <v>-5397646.2128239423</v>
      </c>
      <c r="I32" s="111">
        <v>2356034.1103480011</v>
      </c>
      <c r="J32" s="111">
        <v>10821915.228362799</v>
      </c>
      <c r="K32" s="111">
        <v>6944533.9990000874</v>
      </c>
      <c r="L32" s="111">
        <v>-1236619.2138691843</v>
      </c>
      <c r="M32" s="111">
        <v>-5244229.0601893663</v>
      </c>
      <c r="N32" s="111">
        <v>10508246.358734265</v>
      </c>
      <c r="O32" s="111">
        <v>-916870.61522573233</v>
      </c>
      <c r="P32" s="111">
        <v>-166691.19979980588</v>
      </c>
    </row>
    <row r="33" spans="6:19" ht="15.75" customHeight="1">
      <c r="F33" s="33">
        <v>14</v>
      </c>
      <c r="G33" s="111">
        <v>8194928.433379367</v>
      </c>
      <c r="H33" s="111">
        <v>7494606.1969402879</v>
      </c>
      <c r="I33" s="111">
        <v>3777461.4510796368</v>
      </c>
      <c r="J33" s="111">
        <v>14174692.374097869</v>
      </c>
      <c r="K33" s="111">
        <v>-1575720.6277295798</v>
      </c>
      <c r="L33" s="111">
        <v>6533301.0508241355</v>
      </c>
      <c r="M33" s="111">
        <v>5704899.9065472186</v>
      </c>
      <c r="N33" s="111">
        <v>2655619.4594330788</v>
      </c>
      <c r="O33" s="111">
        <v>3791061.8821092546</v>
      </c>
      <c r="P33" s="111">
        <v>6984231.6365157664</v>
      </c>
      <c r="R33" s="70" t="s">
        <v>10</v>
      </c>
      <c r="S33" s="70" t="s">
        <v>10</v>
      </c>
    </row>
    <row r="34" spans="6:19" ht="15.75" customHeight="1">
      <c r="F34" s="33">
        <v>15</v>
      </c>
      <c r="G34" s="111">
        <v>5258013.6235836893</v>
      </c>
      <c r="H34" s="111">
        <v>9655712.8620322645</v>
      </c>
      <c r="I34" s="111">
        <v>17005483.03553915</v>
      </c>
      <c r="J34" s="111">
        <v>5580116.9157893658</v>
      </c>
      <c r="K34" s="111">
        <v>-4175373.46582219</v>
      </c>
      <c r="L34" s="111">
        <v>4493963.9819803536</v>
      </c>
      <c r="M34" s="111">
        <v>6587955.0777120888</v>
      </c>
      <c r="N34" s="111">
        <v>10704381.716711879</v>
      </c>
      <c r="O34" s="111">
        <v>3105881.5615765452</v>
      </c>
      <c r="P34" s="111">
        <v>-5584072.7595156431</v>
      </c>
      <c r="R34" s="70" t="s">
        <v>10</v>
      </c>
      <c r="S34" s="70" t="s">
        <v>10</v>
      </c>
    </row>
    <row r="35" spans="6:19" ht="15.75" customHeight="1">
      <c r="F35" s="33">
        <v>16</v>
      </c>
      <c r="G35" s="111">
        <v>17711196.155610576</v>
      </c>
      <c r="H35" s="111">
        <v>3604439.26869376</v>
      </c>
      <c r="I35" s="111">
        <v>8071218.8332265615</v>
      </c>
      <c r="J35" s="111">
        <v>6090305.7667702734</v>
      </c>
      <c r="K35" s="111">
        <v>3125502.2599523813</v>
      </c>
      <c r="L35" s="111">
        <v>1808940.0081500709</v>
      </c>
      <c r="M35" s="111">
        <v>6799773.5208267719</v>
      </c>
      <c r="N35" s="111">
        <v>2856780.0476427376</v>
      </c>
      <c r="O35" s="111">
        <v>4175819.2078333646</v>
      </c>
      <c r="P35" s="111">
        <v>9448581.2711156905</v>
      </c>
      <c r="S35" s="70" t="s">
        <v>10</v>
      </c>
    </row>
    <row r="36" spans="6:19" ht="15.75" customHeight="1">
      <c r="F36" s="33">
        <v>17</v>
      </c>
      <c r="G36" s="111">
        <v>10366902.338613302</v>
      </c>
      <c r="H36" s="111">
        <v>15247036.359670639</v>
      </c>
      <c r="I36" s="111">
        <v>3848372.2955692112</v>
      </c>
      <c r="J36" s="111">
        <v>1142474.4211235642</v>
      </c>
      <c r="K36" s="111">
        <v>-766702.35909336805</v>
      </c>
      <c r="L36" s="111">
        <v>14084633.346543074</v>
      </c>
      <c r="M36" s="111">
        <v>-926796.9349128902</v>
      </c>
      <c r="N36" s="111">
        <v>638116.4257773757</v>
      </c>
      <c r="O36" s="111">
        <v>491101.80441373587</v>
      </c>
      <c r="P36" s="111">
        <v>-7652197.4980506003</v>
      </c>
      <c r="R36" s="70" t="s">
        <v>10</v>
      </c>
    </row>
    <row r="37" spans="6:19" ht="15.75" customHeight="1">
      <c r="F37" s="33">
        <v>18</v>
      </c>
      <c r="G37" s="111">
        <v>8848638.7720259726</v>
      </c>
      <c r="H37" s="111">
        <v>1921376.5678913891</v>
      </c>
      <c r="I37" s="111">
        <v>7773878.962285921</v>
      </c>
      <c r="J37" s="111">
        <v>-6461787.5487267077</v>
      </c>
      <c r="K37" s="111">
        <v>1001053.52342242</v>
      </c>
      <c r="L37" s="111">
        <v>925621.67051379383</v>
      </c>
      <c r="M37" s="111">
        <v>-577904.14998535812</v>
      </c>
      <c r="N37" s="111">
        <v>13792667.958680138</v>
      </c>
      <c r="O37" s="111">
        <v>1615858.7093048692</v>
      </c>
      <c r="P37" s="111">
        <v>2521078.12901932</v>
      </c>
      <c r="R37" s="70" t="s">
        <v>10</v>
      </c>
      <c r="S37" s="70" t="s">
        <v>10</v>
      </c>
    </row>
    <row r="38" spans="6:19" ht="15.75" customHeight="1">
      <c r="F38" s="33">
        <v>19</v>
      </c>
      <c r="G38" s="111">
        <v>13002047.659799188</v>
      </c>
      <c r="H38" s="111">
        <v>13042987.926467568</v>
      </c>
      <c r="I38" s="111">
        <v>17021991.988551304</v>
      </c>
      <c r="J38" s="111">
        <v>1170515.4846983403</v>
      </c>
      <c r="K38" s="111">
        <v>12939432.068721026</v>
      </c>
      <c r="L38" s="111">
        <v>6512370.4443800896</v>
      </c>
      <c r="M38" s="111">
        <v>-1273326.0788485408</v>
      </c>
      <c r="N38" s="111">
        <v>3703089.9536339343</v>
      </c>
      <c r="O38" s="111">
        <v>5964332.5788024068</v>
      </c>
      <c r="P38" s="111">
        <v>-7188906.9558887035</v>
      </c>
      <c r="R38" s="70" t="s">
        <v>10</v>
      </c>
      <c r="S38" s="70" t="s">
        <v>10</v>
      </c>
    </row>
    <row r="39" spans="6:19" ht="15.75" customHeight="1">
      <c r="F39" s="33">
        <v>20</v>
      </c>
      <c r="G39" s="111">
        <v>7207273.7290912122</v>
      </c>
      <c r="H39" s="111">
        <v>13979024.382517219</v>
      </c>
      <c r="I39" s="111">
        <v>11205562.676830977</v>
      </c>
      <c r="J39" s="111">
        <v>8753711.7840241194</v>
      </c>
      <c r="K39" s="111">
        <v>16212236.782151759</v>
      </c>
      <c r="L39" s="111">
        <v>12236194.367784262</v>
      </c>
      <c r="M39" s="111">
        <v>15839402.309748977</v>
      </c>
      <c r="N39" s="111">
        <v>4386930.1171734333</v>
      </c>
      <c r="O39" s="111">
        <v>321346.69975629449</v>
      </c>
      <c r="P39" s="111">
        <v>5675393.7950814813</v>
      </c>
      <c r="S39" s="70" t="s">
        <v>10</v>
      </c>
    </row>
    <row r="40" spans="6:19" ht="15.75" customHeight="1">
      <c r="F40" s="33">
        <v>21</v>
      </c>
      <c r="G40" s="111">
        <v>11537069.428202063</v>
      </c>
      <c r="H40" s="111">
        <v>7778921.0418083966</v>
      </c>
      <c r="I40" s="111">
        <v>7172935.7195138633</v>
      </c>
      <c r="J40" s="111">
        <v>8178808.3111084253</v>
      </c>
      <c r="K40" s="111">
        <v>6932389.8141392469</v>
      </c>
      <c r="L40" s="111">
        <v>4548109.9427325577</v>
      </c>
      <c r="M40" s="111">
        <v>10613119.610554442</v>
      </c>
      <c r="N40" s="111">
        <v>6458496.4293463975</v>
      </c>
      <c r="O40" s="111">
        <v>-5722482.3136337101</v>
      </c>
      <c r="P40" s="111">
        <v>-2084332.4782405198</v>
      </c>
      <c r="R40" s="70" t="s">
        <v>10</v>
      </c>
    </row>
    <row r="41" spans="6:19" ht="15.75" customHeight="1">
      <c r="F41" s="33">
        <v>22</v>
      </c>
      <c r="G41" s="111">
        <v>1380928.4467867613</v>
      </c>
      <c r="H41" s="111">
        <v>5399376.6788291633</v>
      </c>
      <c r="I41" s="111">
        <v>3854530.0326298475</v>
      </c>
      <c r="J41" s="111">
        <v>15677775.58803755</v>
      </c>
      <c r="K41" s="111">
        <v>11872770.450461462</v>
      </c>
      <c r="L41" s="111">
        <v>-12413903.505094945</v>
      </c>
      <c r="M41" s="111">
        <v>6230393.8023002595</v>
      </c>
      <c r="N41" s="111">
        <v>1460051.5988743454</v>
      </c>
      <c r="O41" s="111">
        <v>8393244.3761434853</v>
      </c>
      <c r="P41" s="111">
        <v>-1471090.7969749272</v>
      </c>
      <c r="R41" s="70" t="s">
        <v>10</v>
      </c>
      <c r="S41" s="70" t="s">
        <v>10</v>
      </c>
    </row>
    <row r="42" spans="6:19" ht="15.75" customHeight="1">
      <c r="F42" s="33">
        <v>23</v>
      </c>
      <c r="G42" s="111">
        <v>13079118.882040918</v>
      </c>
      <c r="H42" s="111">
        <v>-236536.02875703573</v>
      </c>
      <c r="I42" s="111">
        <v>2552358.3081935197</v>
      </c>
      <c r="J42" s="111">
        <v>2725444.2884696424</v>
      </c>
      <c r="K42" s="111">
        <v>6431262.8248030543</v>
      </c>
      <c r="L42" s="111">
        <v>5175297.9139201492</v>
      </c>
      <c r="M42" s="111">
        <v>-245402.47413879633</v>
      </c>
      <c r="N42" s="111">
        <v>4718038.7441832572</v>
      </c>
      <c r="O42" s="111">
        <v>3528933.5986369848</v>
      </c>
      <c r="P42" s="111">
        <v>-3074113.4489898086</v>
      </c>
      <c r="R42" s="70" t="s">
        <v>10</v>
      </c>
      <c r="S42" s="70" t="s">
        <v>10</v>
      </c>
    </row>
    <row r="43" spans="6:19" ht="15.75" customHeight="1">
      <c r="F43" s="33">
        <v>24</v>
      </c>
      <c r="G43" s="111">
        <v>15567300.95541659</v>
      </c>
      <c r="H43" s="111">
        <v>13454519.273849577</v>
      </c>
      <c r="I43" s="111">
        <v>21159104.184417337</v>
      </c>
      <c r="J43" s="111">
        <v>7856641.1759836078</v>
      </c>
      <c r="K43" s="111">
        <v>8902595.1731995046</v>
      </c>
      <c r="L43" s="111">
        <v>-3135152.7481571734</v>
      </c>
      <c r="M43" s="111">
        <v>4580460.0483269393</v>
      </c>
      <c r="N43" s="111">
        <v>2825581.0873366743</v>
      </c>
      <c r="O43" s="111">
        <v>2793139.6793278903</v>
      </c>
      <c r="P43" s="111">
        <v>2551377.0775555819</v>
      </c>
      <c r="R43" s="70" t="s">
        <v>10</v>
      </c>
      <c r="S43" s="70" t="s">
        <v>10</v>
      </c>
    </row>
    <row r="44" spans="6:19" ht="15.75" customHeight="1">
      <c r="F44" s="33">
        <v>25</v>
      </c>
      <c r="G44" s="111">
        <v>13511195.606231466</v>
      </c>
      <c r="H44" s="111">
        <v>8807322.0649711937</v>
      </c>
      <c r="I44" s="111">
        <v>12283512.804058254</v>
      </c>
      <c r="J44" s="111">
        <v>3061061.484157443</v>
      </c>
      <c r="K44" s="111">
        <v>6254506.611904785</v>
      </c>
      <c r="L44" s="111">
        <v>10502034.189056143</v>
      </c>
      <c r="M44" s="111">
        <v>-3981538.0025361776</v>
      </c>
      <c r="N44" s="111">
        <v>11869340.022393569</v>
      </c>
      <c r="O44" s="111">
        <v>-6385510.9526407868</v>
      </c>
      <c r="P44" s="111">
        <v>832779.31476253271</v>
      </c>
    </row>
    <row r="45" spans="6:19" ht="15.75" customHeight="1">
      <c r="F45" s="33">
        <v>26</v>
      </c>
      <c r="G45" s="111">
        <v>13539940.649286196</v>
      </c>
      <c r="H45" s="111">
        <v>10054630.816241458</v>
      </c>
      <c r="I45" s="111">
        <v>6365223.3569625765</v>
      </c>
      <c r="J45" s="111">
        <v>4702163.5181776285</v>
      </c>
      <c r="K45" s="111">
        <v>12943214.530967608</v>
      </c>
      <c r="L45" s="111">
        <v>1528118.4956544042</v>
      </c>
      <c r="M45" s="111">
        <v>8201259.4503412545</v>
      </c>
      <c r="N45" s="111">
        <v>10769828.464737877</v>
      </c>
      <c r="O45" s="111">
        <v>-3533286.8222233802</v>
      </c>
      <c r="P45" s="111">
        <v>5386533.8971308768</v>
      </c>
      <c r="R45" s="70" t="s">
        <v>10</v>
      </c>
      <c r="S45" s="70" t="s">
        <v>10</v>
      </c>
    </row>
    <row r="46" spans="6:19" ht="15.75" customHeight="1">
      <c r="F46" s="33">
        <v>27</v>
      </c>
      <c r="G46" s="111">
        <v>11888554.604182258</v>
      </c>
      <c r="H46" s="111">
        <v>10292028.51149641</v>
      </c>
      <c r="I46" s="111">
        <v>15670331.397971421</v>
      </c>
      <c r="J46" s="111">
        <v>13439965.181182742</v>
      </c>
      <c r="K46" s="111">
        <v>-391748.7030492425</v>
      </c>
      <c r="L46" s="111">
        <v>12963436.592572421</v>
      </c>
      <c r="M46" s="111">
        <v>2409218.2645058632</v>
      </c>
      <c r="N46" s="111">
        <v>-1453148.5993150622</v>
      </c>
      <c r="O46" s="111">
        <v>4401370.3387253582</v>
      </c>
      <c r="P46" s="111">
        <v>7385147.6726442873</v>
      </c>
      <c r="R46" s="70" t="s">
        <v>10</v>
      </c>
    </row>
    <row r="47" spans="6:19" ht="15.75" customHeight="1">
      <c r="F47" s="33">
        <v>28</v>
      </c>
      <c r="G47" s="111">
        <v>1672460.4727103412</v>
      </c>
      <c r="H47" s="111">
        <v>14889020.050129026</v>
      </c>
      <c r="I47" s="111">
        <v>-3725237.5568854511</v>
      </c>
      <c r="J47" s="111">
        <v>13482356.67982012</v>
      </c>
      <c r="K47" s="111">
        <v>13911304.031965673</v>
      </c>
      <c r="L47" s="111">
        <v>9339697.7583657652</v>
      </c>
      <c r="M47" s="111">
        <v>9105886.0375999808</v>
      </c>
      <c r="N47" s="111">
        <v>11938507.312517852</v>
      </c>
      <c r="O47" s="111">
        <v>-1689776.0821794569</v>
      </c>
      <c r="P47" s="111">
        <v>10779063.032254905</v>
      </c>
      <c r="R47" s="70" t="s">
        <v>10</v>
      </c>
      <c r="S47" s="70" t="s">
        <v>10</v>
      </c>
    </row>
    <row r="48" spans="6:19" ht="15.75" customHeight="1">
      <c r="F48" s="33">
        <v>29</v>
      </c>
      <c r="G48" s="111">
        <v>9100765.049250111</v>
      </c>
      <c r="H48" s="111">
        <v>-3648913.5925263315</v>
      </c>
      <c r="I48" s="111">
        <v>-3231627.5753151327</v>
      </c>
      <c r="J48" s="111">
        <v>9247735.1302936673</v>
      </c>
      <c r="K48" s="111">
        <v>3363122.5925427675</v>
      </c>
      <c r="L48" s="111">
        <v>-4624552.1462682784</v>
      </c>
      <c r="M48" s="111">
        <v>3191077.1852748096</v>
      </c>
      <c r="N48" s="111">
        <v>-420385.36353120208</v>
      </c>
      <c r="O48" s="111">
        <v>2507355.2198890299</v>
      </c>
      <c r="P48" s="111">
        <v>242965.49346828461</v>
      </c>
      <c r="S48" s="70" t="s">
        <v>10</v>
      </c>
    </row>
    <row r="49" spans="6:19" ht="15.75" customHeight="1">
      <c r="F49" s="33">
        <v>30</v>
      </c>
      <c r="G49" s="111">
        <v>5978705.2656328976</v>
      </c>
      <c r="H49" s="111">
        <v>9864700.7219360173</v>
      </c>
      <c r="I49" s="111">
        <v>7512745.5392100811</v>
      </c>
      <c r="J49" s="111">
        <v>4754151.5494899899</v>
      </c>
      <c r="K49" s="111">
        <v>17746751.819739923</v>
      </c>
      <c r="L49" s="111">
        <v>-932726.92748743296</v>
      </c>
      <c r="M49" s="111">
        <v>2225046.1889523715</v>
      </c>
      <c r="N49" s="111">
        <v>8863434.6891639829</v>
      </c>
      <c r="O49" s="111">
        <v>3808371.6284537613</v>
      </c>
      <c r="P49" s="111">
        <v>-1600566.8284618407</v>
      </c>
      <c r="R49" s="70" t="s">
        <v>10</v>
      </c>
      <c r="S49" s="70" t="s">
        <v>10</v>
      </c>
    </row>
    <row r="50" spans="6:19" ht="15.75" customHeight="1">
      <c r="F50" s="33">
        <v>31</v>
      </c>
      <c r="G50" s="111">
        <v>9367890.6978721768</v>
      </c>
      <c r="H50" s="111">
        <v>4810142.8696752638</v>
      </c>
      <c r="I50" s="111">
        <v>2938224.2879040241</v>
      </c>
      <c r="J50" s="111">
        <v>-1517423.2172689438</v>
      </c>
      <c r="K50" s="111">
        <v>3252925.8857096434</v>
      </c>
      <c r="L50" s="111">
        <v>5123382.860022366</v>
      </c>
      <c r="M50" s="111">
        <v>3901530.1074063778</v>
      </c>
      <c r="N50" s="111">
        <v>-3322314.2449493408</v>
      </c>
      <c r="O50" s="111">
        <v>-10454570.999480605</v>
      </c>
      <c r="P50" s="111">
        <v>4325285.2186968476</v>
      </c>
      <c r="R50" s="70" t="s">
        <v>10</v>
      </c>
      <c r="S50" s="70" t="s">
        <v>10</v>
      </c>
    </row>
    <row r="51" spans="6:19" ht="15.75" customHeight="1">
      <c r="F51" s="33">
        <v>32</v>
      </c>
      <c r="G51" s="111">
        <v>11942835.993994117</v>
      </c>
      <c r="H51" s="111">
        <v>13101654.836110324</v>
      </c>
      <c r="I51" s="111">
        <v>18913821.836525396</v>
      </c>
      <c r="J51" s="111">
        <v>9340715.4212477058</v>
      </c>
      <c r="K51" s="111">
        <v>-1421043.1397120059</v>
      </c>
      <c r="L51" s="111">
        <v>7574941.2074733675</v>
      </c>
      <c r="M51" s="111">
        <v>71168.882666364312</v>
      </c>
      <c r="N51" s="111">
        <v>-4684824.2156453729</v>
      </c>
      <c r="O51" s="111">
        <v>14808303.585686356</v>
      </c>
      <c r="P51" s="111">
        <v>-3246933.5931795537</v>
      </c>
      <c r="R51" s="70" t="s">
        <v>10</v>
      </c>
      <c r="S51" s="70" t="s">
        <v>10</v>
      </c>
    </row>
    <row r="52" spans="6:19" ht="15.75" customHeight="1">
      <c r="F52" s="33">
        <v>33</v>
      </c>
      <c r="G52" s="111">
        <v>3592290.6918666065</v>
      </c>
      <c r="H52" s="111">
        <v>5497260.4664285183</v>
      </c>
      <c r="I52" s="111">
        <v>-7139630.9713125527</v>
      </c>
      <c r="J52" s="111">
        <v>11392542.1804699</v>
      </c>
      <c r="K52" s="111">
        <v>-7171237.7840816379</v>
      </c>
      <c r="L52" s="111">
        <v>7514591.3051705956</v>
      </c>
      <c r="M52" s="111">
        <v>1376367.9800062031</v>
      </c>
      <c r="N52" s="111">
        <v>-399636.49669480324</v>
      </c>
      <c r="O52" s="111">
        <v>8397564.0163781643</v>
      </c>
      <c r="P52" s="111">
        <v>-8411161.247262314</v>
      </c>
    </row>
    <row r="53" spans="6:19" ht="15.75" customHeight="1">
      <c r="F53" s="33">
        <v>34</v>
      </c>
      <c r="G53" s="111">
        <v>14071924.945882246</v>
      </c>
      <c r="H53" s="111">
        <v>1291022.972292468</v>
      </c>
      <c r="I53" s="111">
        <v>1991604.6683734953</v>
      </c>
      <c r="J53" s="111">
        <v>-6388114.8782951385</v>
      </c>
      <c r="K53" s="111">
        <v>676816.65383216739</v>
      </c>
      <c r="L53" s="111">
        <v>5673675.6847506016</v>
      </c>
      <c r="M53" s="111">
        <v>-3948481.3354662955</v>
      </c>
      <c r="N53" s="111">
        <v>6709208.4755133092</v>
      </c>
      <c r="O53" s="111">
        <v>-2480936.6799683273</v>
      </c>
      <c r="P53" s="111">
        <v>-8086300.4590709656</v>
      </c>
    </row>
    <row r="54" spans="6:19" ht="15.75" customHeight="1">
      <c r="F54" s="33">
        <v>35</v>
      </c>
      <c r="G54" s="111">
        <v>1376316.6212560236</v>
      </c>
      <c r="H54" s="111">
        <v>22304762.661056504</v>
      </c>
      <c r="I54" s="111">
        <v>-9908382.3377925009</v>
      </c>
      <c r="J54" s="111">
        <v>-4248405.9200699627</v>
      </c>
      <c r="K54" s="111">
        <v>7010589.3407322764</v>
      </c>
      <c r="L54" s="111">
        <v>1485576.3592777699</v>
      </c>
      <c r="M54" s="111">
        <v>-50226.655396640301</v>
      </c>
      <c r="N54" s="111">
        <v>7330450.0241485536</v>
      </c>
      <c r="O54" s="111">
        <v>7813894.4198482633</v>
      </c>
      <c r="P54" s="111">
        <v>-1358166.0364727676</v>
      </c>
    </row>
    <row r="55" spans="6:19" ht="15.75" customHeight="1">
      <c r="F55" s="33">
        <v>36</v>
      </c>
      <c r="G55" s="111">
        <v>19855078.354617968</v>
      </c>
      <c r="H55" s="111">
        <v>3345909.443604216</v>
      </c>
      <c r="I55" s="111">
        <v>15532617.076874703</v>
      </c>
      <c r="J55" s="111">
        <v>-4094398.377105087</v>
      </c>
      <c r="K55" s="111">
        <v>3289571.3326897323</v>
      </c>
      <c r="L55" s="111">
        <v>9131429.9729252756</v>
      </c>
      <c r="M55" s="111">
        <v>1613213.6442099214</v>
      </c>
      <c r="N55" s="111">
        <v>5454543.1507214159</v>
      </c>
      <c r="O55" s="111">
        <v>7113725.637037918</v>
      </c>
      <c r="P55" s="111">
        <v>9157304.3586970866</v>
      </c>
    </row>
    <row r="56" spans="6:19" ht="15.75" customHeight="1">
      <c r="F56" s="33">
        <v>37</v>
      </c>
      <c r="G56" s="111">
        <v>12553005.445605353</v>
      </c>
      <c r="H56" s="111">
        <v>2169817.3109292388</v>
      </c>
      <c r="I56" s="111">
        <v>13286879.492937833</v>
      </c>
      <c r="J56" s="111">
        <v>6365598.3185404837</v>
      </c>
      <c r="K56" s="111">
        <v>8492365.4744865596</v>
      </c>
      <c r="L56" s="111">
        <v>-7570440.0799933672</v>
      </c>
      <c r="M56" s="111">
        <v>9372260.5062247813</v>
      </c>
      <c r="N56" s="111">
        <v>-532564.03199507296</v>
      </c>
      <c r="O56" s="111">
        <v>1767531.6763144433</v>
      </c>
      <c r="P56" s="111">
        <v>-2664881.6358234882</v>
      </c>
    </row>
    <row r="57" spans="6:19" ht="15.75" customHeight="1">
      <c r="F57" s="33">
        <v>38</v>
      </c>
      <c r="G57" s="111">
        <v>16252567.135814592</v>
      </c>
      <c r="H57" s="111">
        <v>13536016.134340689</v>
      </c>
      <c r="I57" s="111">
        <v>3161463.1322859228</v>
      </c>
      <c r="J57" s="111">
        <v>9442130.8999597281</v>
      </c>
      <c r="K57" s="111">
        <v>12132305.931286991</v>
      </c>
      <c r="L57" s="111">
        <v>286341.24791562557</v>
      </c>
      <c r="M57" s="111">
        <v>-6436610.8789080977</v>
      </c>
      <c r="N57" s="111">
        <v>-4321109.43313995</v>
      </c>
      <c r="O57" s="111">
        <v>-1840335.9061960131</v>
      </c>
      <c r="P57" s="111">
        <v>3253081.1787890792</v>
      </c>
    </row>
    <row r="58" spans="6:19" ht="15.75" customHeight="1">
      <c r="F58" s="33">
        <v>39</v>
      </c>
      <c r="G58" s="111">
        <v>9043364.2381340414</v>
      </c>
      <c r="H58" s="111">
        <v>3104043.5850646347</v>
      </c>
      <c r="I58" s="111">
        <v>-3373657.0446295738</v>
      </c>
      <c r="J58" s="111">
        <v>147803.54337738454</v>
      </c>
      <c r="K58" s="111">
        <v>9136254.4059346765</v>
      </c>
      <c r="L58" s="111">
        <v>7680644.5420291424</v>
      </c>
      <c r="M58" s="111">
        <v>1764404.728325069</v>
      </c>
      <c r="N58" s="111">
        <v>8254818.4308820516</v>
      </c>
      <c r="O58" s="111">
        <v>-176932.32410804927</v>
      </c>
      <c r="P58" s="111">
        <v>1301602.372546345</v>
      </c>
    </row>
    <row r="59" spans="6:19" ht="15.75" customHeight="1">
      <c r="F59" s="33">
        <v>40</v>
      </c>
      <c r="G59" s="111">
        <v>13981901.351295009</v>
      </c>
      <c r="H59" s="111">
        <v>15754090.088795125</v>
      </c>
      <c r="I59" s="111">
        <v>8064972.013748005</v>
      </c>
      <c r="J59" s="111">
        <v>12903207.554026127</v>
      </c>
      <c r="K59" s="111">
        <v>9261763.5265679806</v>
      </c>
      <c r="L59" s="111">
        <v>9989081.0110010207</v>
      </c>
      <c r="M59" s="111">
        <v>7617225.211180225</v>
      </c>
      <c r="N59" s="111">
        <v>5884541.2058385909</v>
      </c>
      <c r="O59" s="111">
        <v>-2414105.3382234275</v>
      </c>
      <c r="P59" s="111">
        <v>248313.52742914855</v>
      </c>
    </row>
    <row r="60" spans="6:19" ht="15.75" customHeight="1">
      <c r="F60" s="33">
        <v>41</v>
      </c>
      <c r="G60" s="111">
        <v>1878287.0229237527</v>
      </c>
      <c r="H60" s="111">
        <v>6209192.7204312384</v>
      </c>
      <c r="I60" s="111">
        <v>8160741.8220937699</v>
      </c>
      <c r="J60" s="111">
        <v>7608511.7271047682</v>
      </c>
      <c r="K60" s="111">
        <v>7236106.7720210701</v>
      </c>
      <c r="L60" s="111">
        <v>6875524.3519488722</v>
      </c>
      <c r="M60" s="111">
        <v>6004523.0385455042</v>
      </c>
      <c r="N60" s="111">
        <v>10159957.995766118</v>
      </c>
      <c r="O60" s="111">
        <v>6663012.4651105106</v>
      </c>
      <c r="P60" s="111">
        <v>1297840.3190481812</v>
      </c>
    </row>
    <row r="61" spans="6:19" ht="15.75" customHeight="1">
      <c r="F61" s="33">
        <v>42</v>
      </c>
      <c r="G61" s="111">
        <v>15597147.728383183</v>
      </c>
      <c r="H61" s="111">
        <v>1333733.1271189898</v>
      </c>
      <c r="I61" s="111">
        <v>9152205.6046486497</v>
      </c>
      <c r="J61" s="111">
        <v>4334833.1921928227</v>
      </c>
      <c r="K61" s="111">
        <v>6960818.0750378966</v>
      </c>
      <c r="L61" s="111">
        <v>17598181.290135592</v>
      </c>
      <c r="M61" s="111">
        <v>4225902.8846299648</v>
      </c>
      <c r="N61" s="111">
        <v>-1064283.5105615407</v>
      </c>
      <c r="O61" s="111">
        <v>9250548.5691531152</v>
      </c>
      <c r="P61" s="111">
        <v>-923492.0128159374</v>
      </c>
    </row>
    <row r="62" spans="6:19" ht="15.75" customHeight="1">
      <c r="F62" s="33">
        <v>43</v>
      </c>
      <c r="G62" s="111">
        <v>13090747.224686578</v>
      </c>
      <c r="H62" s="111">
        <v>3819515.8385549188</v>
      </c>
      <c r="I62" s="111">
        <v>15300648.841883153</v>
      </c>
      <c r="J62" s="111">
        <v>3752760.764665693</v>
      </c>
      <c r="K62" s="111">
        <v>2442204.1501895189</v>
      </c>
      <c r="L62" s="111">
        <v>4482004.9049441069</v>
      </c>
      <c r="M62" s="111">
        <v>-7274404.1129665822</v>
      </c>
      <c r="N62" s="111">
        <v>3229834.2910394073</v>
      </c>
      <c r="O62" s="111">
        <v>-181214.40855929255</v>
      </c>
      <c r="P62" s="111">
        <v>-1744245.9871340096</v>
      </c>
    </row>
    <row r="63" spans="6:19" ht="15.75" customHeight="1">
      <c r="F63" s="33">
        <v>44</v>
      </c>
      <c r="G63" s="111">
        <v>12167865.145773575</v>
      </c>
      <c r="H63" s="111">
        <v>11371390.898507953</v>
      </c>
      <c r="I63" s="111">
        <v>16498973.776405603</v>
      </c>
      <c r="J63" s="111">
        <v>11888391.157584488</v>
      </c>
      <c r="K63" s="111">
        <v>1919334.7864066958</v>
      </c>
      <c r="L63" s="111">
        <v>2842024.945694983</v>
      </c>
      <c r="M63" s="111">
        <v>-6515725.4978082776</v>
      </c>
      <c r="N63" s="111">
        <v>2420947.1246341765</v>
      </c>
      <c r="O63" s="111">
        <v>4786620.8447306454</v>
      </c>
      <c r="P63" s="111">
        <v>15572383.54737258</v>
      </c>
    </row>
    <row r="64" spans="6:19" ht="15.75" customHeight="1">
      <c r="F64" s="33">
        <v>45</v>
      </c>
      <c r="G64" s="111">
        <v>904902.64758163691</v>
      </c>
      <c r="H64" s="111">
        <v>5521273.4157613665</v>
      </c>
      <c r="I64" s="111">
        <v>14788920.020749539</v>
      </c>
      <c r="J64" s="111">
        <v>6394797.2085503936</v>
      </c>
      <c r="K64" s="111">
        <v>1347815.9217355102</v>
      </c>
      <c r="L64" s="111">
        <v>-30100.839106053114</v>
      </c>
      <c r="M64" s="111">
        <v>-5059190.9347013831</v>
      </c>
      <c r="N64" s="111">
        <v>-268301.42418441176</v>
      </c>
      <c r="O64" s="111">
        <v>-3974595.9072788358</v>
      </c>
      <c r="P64" s="111">
        <v>7130803.8951525688</v>
      </c>
    </row>
    <row r="65" spans="6:16" ht="15.75" customHeight="1">
      <c r="F65" s="33">
        <v>46</v>
      </c>
      <c r="G65" s="111">
        <v>21232523.973195717</v>
      </c>
      <c r="H65" s="111">
        <v>-6129149.95427984</v>
      </c>
      <c r="I65" s="111">
        <v>17763111.093311846</v>
      </c>
      <c r="J65" s="111">
        <v>22658444.368708819</v>
      </c>
      <c r="K65" s="111">
        <v>854661.87531606853</v>
      </c>
      <c r="L65" s="111">
        <v>8733492.8679771125</v>
      </c>
      <c r="M65" s="111">
        <v>-2271615.1450196654</v>
      </c>
      <c r="N65" s="111">
        <v>6830754.2918159664</v>
      </c>
      <c r="O65" s="111">
        <v>-4516451.4651073962</v>
      </c>
      <c r="P65" s="111">
        <v>318801.78096365929</v>
      </c>
    </row>
    <row r="66" spans="6:16" ht="15.75" customHeight="1">
      <c r="F66" s="33">
        <v>47</v>
      </c>
      <c r="G66" s="111">
        <v>12773677.964961186</v>
      </c>
      <c r="H66" s="111">
        <v>712426.50397649407</v>
      </c>
      <c r="I66" s="111">
        <v>9449735.2838834077</v>
      </c>
      <c r="J66" s="111">
        <v>6755500.9102194309</v>
      </c>
      <c r="K66" s="111">
        <v>-7485777.3532558233</v>
      </c>
      <c r="L66" s="111">
        <v>874911.70755603909</v>
      </c>
      <c r="M66" s="111">
        <v>1876234.6969998628</v>
      </c>
      <c r="N66" s="111">
        <v>8006391.8923496008</v>
      </c>
      <c r="O66" s="111">
        <v>2196571.8907824159</v>
      </c>
      <c r="P66" s="111">
        <v>3662631.6123055816</v>
      </c>
    </row>
    <row r="67" spans="6:16" ht="15.75" customHeight="1">
      <c r="F67" s="33">
        <v>48</v>
      </c>
      <c r="G67" s="111">
        <v>2093377.6431624144</v>
      </c>
      <c r="H67" s="111">
        <v>4671579.6861990988</v>
      </c>
      <c r="I67" s="111">
        <v>15248881.404218614</v>
      </c>
      <c r="J67" s="111">
        <v>10571874.275039494</v>
      </c>
      <c r="K67" s="111">
        <v>19715367.900907576</v>
      </c>
      <c r="L67" s="111">
        <v>3824182.6686469615</v>
      </c>
      <c r="M67" s="111">
        <v>3543143.8652237505</v>
      </c>
      <c r="N67" s="111">
        <v>-2061934.956243962</v>
      </c>
      <c r="O67" s="111">
        <v>3058712.3585324138</v>
      </c>
      <c r="P67" s="111">
        <v>5784660.1731761396</v>
      </c>
    </row>
    <row r="68" spans="6:16" ht="15.75" customHeight="1">
      <c r="F68" s="33">
        <v>49</v>
      </c>
      <c r="G68" s="111">
        <v>9383584.022716552</v>
      </c>
      <c r="H68" s="111">
        <v>5645319.2120651603</v>
      </c>
      <c r="I68" s="111">
        <v>1483763.9603338838</v>
      </c>
      <c r="J68" s="111">
        <v>14935341.175931215</v>
      </c>
      <c r="K68" s="111">
        <v>1565258.273065567</v>
      </c>
      <c r="L68" s="111">
        <v>9952429.6531537473</v>
      </c>
      <c r="M68" s="111">
        <v>6272615.2784020156</v>
      </c>
      <c r="N68" s="111">
        <v>5324570.6533451825</v>
      </c>
      <c r="O68" s="111">
        <v>-2829526.169310987</v>
      </c>
      <c r="P68" s="111">
        <v>6560211.603081122</v>
      </c>
    </row>
    <row r="69" spans="6:16" ht="15.75" customHeight="1">
      <c r="F69" s="33">
        <v>50</v>
      </c>
      <c r="G69" s="111">
        <v>16728545.105878502</v>
      </c>
      <c r="H69" s="111">
        <v>2498495.7706438005</v>
      </c>
      <c r="I69" s="111">
        <v>15253110.098422095</v>
      </c>
      <c r="J69" s="111">
        <v>3614428.4381164908</v>
      </c>
      <c r="K69" s="111">
        <v>4085650.6650111377</v>
      </c>
      <c r="L69" s="111">
        <v>14808190.929756284</v>
      </c>
      <c r="M69" s="111">
        <v>9670952.8572450727</v>
      </c>
      <c r="N69" s="111">
        <v>21806775.416028529</v>
      </c>
      <c r="O69" s="111">
        <v>10582687.868902713</v>
      </c>
      <c r="P69" s="111">
        <v>-3487688.6912546158</v>
      </c>
    </row>
    <row r="70" spans="6:16" ht="15.75" customHeight="1">
      <c r="F70" s="33">
        <v>51</v>
      </c>
      <c r="G70" s="111">
        <v>2119108.7704316378</v>
      </c>
      <c r="H70" s="111">
        <v>10100905.28286545</v>
      </c>
      <c r="I70" s="111">
        <v>-3529994.9033014178</v>
      </c>
      <c r="J70" s="111">
        <v>1732117.7532228827</v>
      </c>
      <c r="K70" s="111">
        <v>7504572.0243203938</v>
      </c>
      <c r="L70" s="111">
        <v>679879.24588102102</v>
      </c>
      <c r="M70" s="111">
        <v>346310.98381836712</v>
      </c>
      <c r="N70" s="111">
        <v>11896917.310182631</v>
      </c>
      <c r="O70" s="111">
        <v>5887008.9503318518</v>
      </c>
      <c r="P70" s="111">
        <v>4539888.1059595793</v>
      </c>
    </row>
    <row r="71" spans="6:16" ht="15.75" customHeight="1">
      <c r="F71" s="33">
        <v>52</v>
      </c>
      <c r="G71" s="111">
        <v>4339595.4584835619</v>
      </c>
      <c r="H71" s="111">
        <v>1425150.8659641147</v>
      </c>
      <c r="I71" s="111">
        <v>341482.91573789716</v>
      </c>
      <c r="J71" s="111">
        <v>9755572.9050541818</v>
      </c>
      <c r="K71" s="111">
        <v>7124153.4823639393</v>
      </c>
      <c r="L71" s="111">
        <v>6095722.0616488159</v>
      </c>
      <c r="M71" s="111">
        <v>4859181.9866558909</v>
      </c>
      <c r="N71" s="111">
        <v>407757.45426465571</v>
      </c>
      <c r="O71" s="111">
        <v>-5042605.4224694967</v>
      </c>
      <c r="P71" s="111">
        <v>3940833.6139925122</v>
      </c>
    </row>
    <row r="72" spans="6:16" ht="15.75" customHeight="1">
      <c r="F72" s="33">
        <v>53</v>
      </c>
      <c r="G72" s="111">
        <v>12619962.865906462</v>
      </c>
      <c r="H72" s="111">
        <v>8589010.6436413229</v>
      </c>
      <c r="I72" s="111">
        <v>7589256.9502496868</v>
      </c>
      <c r="J72" s="111">
        <v>4827063.639700532</v>
      </c>
      <c r="K72" s="111">
        <v>12249351.032404304</v>
      </c>
      <c r="L72" s="111">
        <v>21504277.83914423</v>
      </c>
      <c r="M72" s="111">
        <v>-222300.64353197813</v>
      </c>
      <c r="N72" s="111">
        <v>-1488837.6240662634</v>
      </c>
      <c r="O72" s="111">
        <v>3968040.9959054291</v>
      </c>
      <c r="P72" s="111">
        <v>3305509.7254646868</v>
      </c>
    </row>
    <row r="73" spans="6:16" ht="15.75" customHeight="1">
      <c r="F73" s="33">
        <v>54</v>
      </c>
      <c r="G73" s="111">
        <v>13308414.950416699</v>
      </c>
      <c r="H73" s="111">
        <v>3929819.6810190082</v>
      </c>
      <c r="I73" s="111">
        <v>-2767112.2036074698</v>
      </c>
      <c r="J73" s="111">
        <v>2618324.1010991186</v>
      </c>
      <c r="K73" s="111">
        <v>2817599.1572626829</v>
      </c>
      <c r="L73" s="111">
        <v>11410448.050288707</v>
      </c>
      <c r="M73" s="111">
        <v>2985252.0913561583</v>
      </c>
      <c r="N73" s="111">
        <v>-1830004.0039526671</v>
      </c>
      <c r="O73" s="111">
        <v>-630198.21345674992</v>
      </c>
      <c r="P73" s="111">
        <v>1943887.1546802819</v>
      </c>
    </row>
    <row r="74" spans="6:16" ht="15.75" customHeight="1">
      <c r="F74" s="33">
        <v>55</v>
      </c>
      <c r="G74" s="111">
        <v>11863040.707100421</v>
      </c>
      <c r="H74" s="111">
        <v>-3163193.009945482</v>
      </c>
      <c r="I74" s="111">
        <v>9003701.7424936891</v>
      </c>
      <c r="J74" s="111">
        <v>7573893.3744797409</v>
      </c>
      <c r="K74" s="111">
        <v>-4300303.0103164017</v>
      </c>
      <c r="L74" s="111">
        <v>8973942.4554441869</v>
      </c>
      <c r="M74" s="111">
        <v>12610209.883489162</v>
      </c>
      <c r="N74" s="111">
        <v>4588046.2411286831</v>
      </c>
      <c r="O74" s="111">
        <v>10205674.395578757</v>
      </c>
      <c r="P74" s="111">
        <v>-771982.80277982354</v>
      </c>
    </row>
    <row r="75" spans="6:16" ht="15.75" customHeight="1">
      <c r="F75" s="33">
        <v>56</v>
      </c>
      <c r="G75" s="111">
        <v>15052354.745260447</v>
      </c>
      <c r="H75" s="111">
        <v>22091352.281589508</v>
      </c>
      <c r="I75" s="111">
        <v>8432943.6693407595</v>
      </c>
      <c r="J75" s="111">
        <v>5261206.8488765061</v>
      </c>
      <c r="K75" s="111">
        <v>6341602.0949450433</v>
      </c>
      <c r="L75" s="111">
        <v>10030431.418067932</v>
      </c>
      <c r="M75" s="111">
        <v>6995937.4201724827</v>
      </c>
      <c r="N75" s="111">
        <v>1334744.2754244655</v>
      </c>
      <c r="O75" s="111">
        <v>6407414.6850019693</v>
      </c>
      <c r="P75" s="111">
        <v>-1608365.7905233502</v>
      </c>
    </row>
    <row r="76" spans="6:16" ht="15.75" customHeight="1">
      <c r="F76" s="33">
        <v>57</v>
      </c>
      <c r="G76" s="111">
        <v>13546910.321447551</v>
      </c>
      <c r="H76" s="111">
        <v>11127559.586116344</v>
      </c>
      <c r="I76" s="111">
        <v>11144583.068400443</v>
      </c>
      <c r="J76" s="111">
        <v>9296316.5261294842</v>
      </c>
      <c r="K76" s="111">
        <v>-5777428.0691546947</v>
      </c>
      <c r="L76" s="111">
        <v>-8284761.5532029122</v>
      </c>
      <c r="M76" s="111">
        <v>1506116.1672744453</v>
      </c>
      <c r="N76" s="111">
        <v>5618803.2995093465</v>
      </c>
      <c r="O76" s="111">
        <v>4266148.9644480646</v>
      </c>
      <c r="P76" s="111">
        <v>1885750.0565863848</v>
      </c>
    </row>
    <row r="77" spans="6:16" ht="15.75" customHeight="1">
      <c r="F77" s="33">
        <v>58</v>
      </c>
      <c r="G77" s="111">
        <v>6284064.3549441546</v>
      </c>
      <c r="H77" s="111">
        <v>408569.59213587642</v>
      </c>
      <c r="I77" s="111">
        <v>15409129.656804159</v>
      </c>
      <c r="J77" s="111">
        <v>5153831.0473877192</v>
      </c>
      <c r="K77" s="111">
        <v>5304632.8452489525</v>
      </c>
      <c r="L77" s="111">
        <v>2884178.782436043</v>
      </c>
      <c r="M77" s="111">
        <v>-1026386.7702620327</v>
      </c>
      <c r="N77" s="111">
        <v>-4688513.2869573981</v>
      </c>
      <c r="O77" s="111">
        <v>11705553.150465995</v>
      </c>
      <c r="P77" s="111">
        <v>10092638.617586806</v>
      </c>
    </row>
    <row r="78" spans="6:16" ht="15.75" customHeight="1">
      <c r="F78" s="33">
        <v>59</v>
      </c>
      <c r="G78" s="111">
        <v>12689201.260949716</v>
      </c>
      <c r="H78" s="111">
        <v>7124081.2985345572</v>
      </c>
      <c r="I78" s="111">
        <v>11239811.707938179</v>
      </c>
      <c r="J78" s="111">
        <v>14922199.288600475</v>
      </c>
      <c r="K78" s="111">
        <v>-9425605.0345349461</v>
      </c>
      <c r="L78" s="111">
        <v>9893774.4462953508</v>
      </c>
      <c r="M78" s="111">
        <v>-4386298.6984658539</v>
      </c>
      <c r="N78" s="111">
        <v>2852816.0611299127</v>
      </c>
      <c r="O78" s="111">
        <v>16728354.161817342</v>
      </c>
      <c r="P78" s="111">
        <v>4911290.4112115949</v>
      </c>
    </row>
    <row r="79" spans="6:16" ht="15.75" customHeight="1">
      <c r="F79" s="33">
        <v>60</v>
      </c>
      <c r="G79" s="111">
        <v>8293779.7237388194</v>
      </c>
      <c r="H79" s="111">
        <v>1503451.3909799159</v>
      </c>
      <c r="I79" s="111">
        <v>13009288.096014559</v>
      </c>
      <c r="J79" s="111">
        <v>88969.001386538148</v>
      </c>
      <c r="K79" s="111">
        <v>6815371.3378898501</v>
      </c>
      <c r="L79" s="111">
        <v>-3573700.5768017471</v>
      </c>
      <c r="M79" s="111">
        <v>188969.23019586504</v>
      </c>
      <c r="N79" s="111">
        <v>-5298995.1171066761</v>
      </c>
      <c r="O79" s="111">
        <v>-2311071.4569258988</v>
      </c>
      <c r="P79" s="111">
        <v>-2578465.2937979251</v>
      </c>
    </row>
    <row r="80" spans="6:16" ht="15.75" customHeight="1">
      <c r="F80" s="33">
        <v>61</v>
      </c>
      <c r="G80" s="111">
        <v>10631725.506045565</v>
      </c>
      <c r="H80" s="111">
        <v>6430416.4242995232</v>
      </c>
      <c r="I80" s="111">
        <v>5203483.5156855136</v>
      </c>
      <c r="J80" s="111">
        <v>2442675.1763188541</v>
      </c>
      <c r="K80" s="111">
        <v>5561313.341141507</v>
      </c>
      <c r="L80" s="111">
        <v>7563665.8039865941</v>
      </c>
      <c r="M80" s="111">
        <v>-1166528.1737861335</v>
      </c>
      <c r="N80" s="111">
        <v>1949652.7883620262</v>
      </c>
      <c r="O80" s="111">
        <v>887928.94687692821</v>
      </c>
      <c r="P80" s="111">
        <v>2001639.7913887799</v>
      </c>
    </row>
    <row r="81" spans="6:16" ht="15.75" customHeight="1">
      <c r="F81" s="33">
        <v>62</v>
      </c>
      <c r="G81" s="111">
        <v>18145169.525121763</v>
      </c>
      <c r="H81" s="111">
        <v>11910646.256501257</v>
      </c>
      <c r="I81" s="111">
        <v>8546451.0325736851</v>
      </c>
      <c r="J81" s="111">
        <v>-319545.03205510974</v>
      </c>
      <c r="K81" s="111">
        <v>15854397.450519204</v>
      </c>
      <c r="L81" s="111">
        <v>5662016.6430958509</v>
      </c>
      <c r="M81" s="111">
        <v>69851.293060287833</v>
      </c>
      <c r="N81" s="111">
        <v>11962327.586789876</v>
      </c>
      <c r="O81" s="111">
        <v>-1919992.1070146561</v>
      </c>
      <c r="P81" s="111">
        <v>-7839182.9223859012</v>
      </c>
    </row>
    <row r="82" spans="6:16" ht="15.75" customHeight="1">
      <c r="F82" s="33">
        <v>63</v>
      </c>
      <c r="G82" s="111">
        <v>12780214.229269832</v>
      </c>
      <c r="H82" s="111">
        <v>8493840.2623749375</v>
      </c>
      <c r="I82" s="111">
        <v>5824676.4586007744</v>
      </c>
      <c r="J82" s="111">
        <v>8444416.7268071771</v>
      </c>
      <c r="K82" s="111">
        <v>4431457.0360672176</v>
      </c>
      <c r="L82" s="111">
        <v>4197954.6155022532</v>
      </c>
      <c r="M82" s="111">
        <v>3980180.4834936708</v>
      </c>
      <c r="N82" s="111">
        <v>7676200.6235765815</v>
      </c>
      <c r="O82" s="111">
        <v>4614580.9197492898</v>
      </c>
      <c r="P82" s="111">
        <v>2624209.9941473603</v>
      </c>
    </row>
    <row r="83" spans="6:16" ht="15.75" customHeight="1">
      <c r="F83" s="33">
        <v>64</v>
      </c>
      <c r="G83" s="111">
        <v>16270224.24620834</v>
      </c>
      <c r="H83" s="111">
        <v>5031899.493383497</v>
      </c>
      <c r="I83" s="111">
        <v>17750954.11008516</v>
      </c>
      <c r="J83" s="111">
        <v>3487696.6123627275</v>
      </c>
      <c r="K83" s="111">
        <v>2182603.265091747</v>
      </c>
      <c r="L83" s="111">
        <v>5990667.1220549941</v>
      </c>
      <c r="M83" s="111">
        <v>7512526.7821044475</v>
      </c>
      <c r="N83" s="111">
        <v>-2583096.7130701989</v>
      </c>
      <c r="O83" s="111">
        <v>3158891.7498919964</v>
      </c>
      <c r="P83" s="111">
        <v>-4536510.3445442915</v>
      </c>
    </row>
    <row r="84" spans="6:16" ht="15.75" customHeight="1">
      <c r="F84" s="33">
        <v>65</v>
      </c>
      <c r="G84" s="111">
        <v>15068156.218305826</v>
      </c>
      <c r="H84" s="111">
        <v>12919685.310391486</v>
      </c>
      <c r="I84" s="111">
        <v>15386386.074279532</v>
      </c>
      <c r="J84" s="111">
        <v>10976709.744425699</v>
      </c>
      <c r="K84" s="111">
        <v>12051645.853587553</v>
      </c>
      <c r="L84" s="111">
        <v>-6183140.9473662078</v>
      </c>
      <c r="M84" s="111">
        <v>-128693.65842671692</v>
      </c>
      <c r="N84" s="111">
        <v>6732378.3233181387</v>
      </c>
      <c r="O84" s="111">
        <v>-5925548.3268178403</v>
      </c>
      <c r="P84" s="111">
        <v>2901770.727884531</v>
      </c>
    </row>
    <row r="85" spans="6:16" ht="15.75" customHeight="1">
      <c r="F85" s="33">
        <v>66</v>
      </c>
      <c r="G85" s="111">
        <v>17465257.167001605</v>
      </c>
      <c r="H85" s="111">
        <v>14943878.626942873</v>
      </c>
      <c r="I85" s="111">
        <v>20802571.363304853</v>
      </c>
      <c r="J85" s="111">
        <v>4124273.3160242587</v>
      </c>
      <c r="K85" s="111">
        <v>3767844.1767669916</v>
      </c>
      <c r="L85" s="111">
        <v>650135.25562268496</v>
      </c>
      <c r="M85" s="111">
        <v>2819569.8170500547</v>
      </c>
      <c r="N85" s="111">
        <v>4591892.9434315562</v>
      </c>
      <c r="O85" s="111">
        <v>-538086.27539005876</v>
      </c>
      <c r="P85" s="111">
        <v>-3398112.2489835173</v>
      </c>
    </row>
    <row r="86" spans="6:16" ht="15.75" customHeight="1">
      <c r="F86" s="33">
        <v>67</v>
      </c>
      <c r="G86" s="111">
        <v>12805153.384319961</v>
      </c>
      <c r="H86" s="111">
        <v>-104571.93940088153</v>
      </c>
      <c r="I86" s="111">
        <v>5213049.8649813235</v>
      </c>
      <c r="J86" s="111">
        <v>15050003.316681579</v>
      </c>
      <c r="K86" s="111">
        <v>-966245.8579376936</v>
      </c>
      <c r="L86" s="111">
        <v>6489412.3194081634</v>
      </c>
      <c r="M86" s="111">
        <v>3192238.6271934211</v>
      </c>
      <c r="N86" s="111">
        <v>5427557.763223514</v>
      </c>
      <c r="O86" s="111">
        <v>1084547.1020026505</v>
      </c>
      <c r="P86" s="111">
        <v>3846158.377446413</v>
      </c>
    </row>
    <row r="87" spans="6:16" ht="15.75" customHeight="1">
      <c r="F87" s="33">
        <v>68</v>
      </c>
      <c r="G87" s="111">
        <v>4559531.0354411304</v>
      </c>
      <c r="H87" s="111">
        <v>9019838.734716028</v>
      </c>
      <c r="I87" s="111">
        <v>-8774196.9767920971</v>
      </c>
      <c r="J87" s="111">
        <v>4321334.1799330562</v>
      </c>
      <c r="K87" s="111">
        <v>21383724.689745814</v>
      </c>
      <c r="L87" s="111">
        <v>5315723.3548847437</v>
      </c>
      <c r="M87" s="111">
        <v>7355966.3327021003</v>
      </c>
      <c r="N87" s="111">
        <v>2246474.4915625155</v>
      </c>
      <c r="O87" s="111">
        <v>-373107.17598724365</v>
      </c>
      <c r="P87" s="111">
        <v>-1064695.8633115441</v>
      </c>
    </row>
    <row r="88" spans="6:16" ht="15.75" customHeight="1">
      <c r="F88" s="33">
        <v>69</v>
      </c>
      <c r="G88" s="111">
        <v>11311753.374013662</v>
      </c>
      <c r="H88" s="111">
        <v>-440444.14337323606</v>
      </c>
      <c r="I88" s="111">
        <v>1031686.4297692627</v>
      </c>
      <c r="J88" s="111">
        <v>7208483.8626775742</v>
      </c>
      <c r="K88" s="111">
        <v>11159694.027926758</v>
      </c>
      <c r="L88" s="111">
        <v>4817337.5698987097</v>
      </c>
      <c r="M88" s="111">
        <v>3667430.9271840304</v>
      </c>
      <c r="N88" s="111">
        <v>11572940.388217226</v>
      </c>
      <c r="O88" s="111">
        <v>-9364252.8637699634</v>
      </c>
      <c r="P88" s="111">
        <v>-327262.00868073106</v>
      </c>
    </row>
    <row r="89" spans="6:16" ht="15.75" customHeight="1">
      <c r="F89" s="33">
        <v>70</v>
      </c>
      <c r="G89" s="111">
        <v>219732.76049289107</v>
      </c>
      <c r="H89" s="111">
        <v>8511043.8582065105</v>
      </c>
      <c r="I89" s="111">
        <v>12087171.633436576</v>
      </c>
      <c r="J89" s="111">
        <v>10930331.242349252</v>
      </c>
      <c r="K89" s="111">
        <v>252287.09230183065</v>
      </c>
      <c r="L89" s="111">
        <v>3912353.4275517762</v>
      </c>
      <c r="M89" s="111">
        <v>-1095920.0529963523</v>
      </c>
      <c r="N89" s="111">
        <v>-5600702.4417291433</v>
      </c>
      <c r="O89" s="111">
        <v>-1331778.2951882184</v>
      </c>
      <c r="P89" s="111">
        <v>6620417.6395332515</v>
      </c>
    </row>
    <row r="90" spans="6:16" ht="15.75" customHeight="1">
      <c r="F90" s="33">
        <v>71</v>
      </c>
      <c r="G90" s="111">
        <v>11905385.531236187</v>
      </c>
      <c r="H90" s="111">
        <v>10203122.146908224</v>
      </c>
      <c r="I90" s="111">
        <v>2965523.6553511918</v>
      </c>
      <c r="J90" s="111">
        <v>5521924.7955035567</v>
      </c>
      <c r="K90" s="111">
        <v>16069421.833374768</v>
      </c>
      <c r="L90" s="111">
        <v>1232806.1508930624</v>
      </c>
      <c r="M90" s="111">
        <v>-2541295.5549379438</v>
      </c>
      <c r="N90" s="111">
        <v>-87402.984107047319</v>
      </c>
      <c r="O90" s="111">
        <v>-5481922.9899409413</v>
      </c>
      <c r="P90" s="111">
        <v>-3030376.2257059515</v>
      </c>
    </row>
    <row r="91" spans="6:16" ht="15.75" customHeight="1">
      <c r="F91" s="33">
        <v>72</v>
      </c>
      <c r="G91" s="111">
        <v>17496385.328254372</v>
      </c>
      <c r="H91" s="111">
        <v>5930547.3236093819</v>
      </c>
      <c r="I91" s="111">
        <v>13154963.247680068</v>
      </c>
      <c r="J91" s="111">
        <v>4082597.6510822475</v>
      </c>
      <c r="K91" s="111">
        <v>3254263.8215569109</v>
      </c>
      <c r="L91" s="111">
        <v>596892.56327228248</v>
      </c>
      <c r="M91" s="111">
        <v>3953591.1611928344</v>
      </c>
      <c r="N91" s="111">
        <v>1961609.0172422975</v>
      </c>
      <c r="O91" s="111">
        <v>7421559.9479651451</v>
      </c>
      <c r="P91" s="111">
        <v>839825.10556092858</v>
      </c>
    </row>
    <row r="92" spans="6:16" ht="15.75" customHeight="1">
      <c r="F92" s="33">
        <v>73</v>
      </c>
      <c r="G92" s="111">
        <v>14112398.417848051</v>
      </c>
      <c r="H92" s="111">
        <v>2941770.5319309831</v>
      </c>
      <c r="I92" s="111">
        <v>12241791.823465973</v>
      </c>
      <c r="J92" s="111">
        <v>-355115.95087434351</v>
      </c>
      <c r="K92" s="111">
        <v>859741.62704515457</v>
      </c>
      <c r="L92" s="111">
        <v>4419011.3950930089</v>
      </c>
      <c r="M92" s="111">
        <v>-2830911.5343724042</v>
      </c>
      <c r="N92" s="111">
        <v>-1025484.8458739966</v>
      </c>
      <c r="O92" s="111">
        <v>-3471815.771341458</v>
      </c>
      <c r="P92" s="111">
        <v>6570623.9790955931</v>
      </c>
    </row>
    <row r="93" spans="6:16" ht="15.75" customHeight="1">
      <c r="F93" s="33">
        <v>74</v>
      </c>
      <c r="G93" s="111">
        <v>14047418.973424032</v>
      </c>
      <c r="H93" s="111">
        <v>15038750.132129401</v>
      </c>
      <c r="I93" s="111">
        <v>4681548.5241268575</v>
      </c>
      <c r="J93" s="111">
        <v>15789191.712080061</v>
      </c>
      <c r="K93" s="111">
        <v>8215609.4297580719</v>
      </c>
      <c r="L93" s="111">
        <v>8907106.8102816194</v>
      </c>
      <c r="M93" s="111">
        <v>6048532.2919793278</v>
      </c>
      <c r="N93" s="111">
        <v>8285055.8685441315</v>
      </c>
      <c r="O93" s="111">
        <v>1006109.0440806299</v>
      </c>
      <c r="P93" s="111">
        <v>-4002591.8684992343</v>
      </c>
    </row>
    <row r="94" spans="6:16" ht="15.75" customHeight="1">
      <c r="F94" s="33">
        <v>75</v>
      </c>
      <c r="G94" s="111">
        <v>9307356.7349297106</v>
      </c>
      <c r="H94" s="111">
        <v>12732221.659972668</v>
      </c>
      <c r="I94" s="111">
        <v>16291025.079251513</v>
      </c>
      <c r="J94" s="111">
        <v>7318274.5584846139</v>
      </c>
      <c r="K94" s="111">
        <v>3342599.6686401963</v>
      </c>
      <c r="L94" s="111">
        <v>-4451805.4722959548</v>
      </c>
      <c r="M94" s="111">
        <v>2213079.0006801039</v>
      </c>
      <c r="N94" s="111">
        <v>17818966.703285813</v>
      </c>
      <c r="O94" s="111">
        <v>123573.21181954443</v>
      </c>
      <c r="P94" s="111">
        <v>-11049534.266459152</v>
      </c>
    </row>
    <row r="95" spans="6:16" ht="15.75" customHeight="1">
      <c r="F95" s="33">
        <v>76</v>
      </c>
      <c r="G95" s="111">
        <v>19172257.46476534</v>
      </c>
      <c r="H95" s="111">
        <v>8402360.0468840748</v>
      </c>
      <c r="I95" s="111">
        <v>5194378.9058944881</v>
      </c>
      <c r="J95" s="111">
        <v>4218461.9542379081</v>
      </c>
      <c r="K95" s="111">
        <v>9156988.9920906425</v>
      </c>
      <c r="L95" s="111">
        <v>8670026.7695046961</v>
      </c>
      <c r="M95" s="111">
        <v>4720934.0805522501</v>
      </c>
      <c r="N95" s="111">
        <v>8731067.2608871758</v>
      </c>
      <c r="O95" s="111">
        <v>79609.345161572099</v>
      </c>
      <c r="P95" s="111">
        <v>2699327.1221741885</v>
      </c>
    </row>
    <row r="96" spans="6:16" ht="15.75" customHeight="1">
      <c r="F96" s="33">
        <v>77</v>
      </c>
      <c r="G96" s="111">
        <v>17026995.086608708</v>
      </c>
      <c r="H96" s="111">
        <v>6724019.920117408</v>
      </c>
      <c r="I96" s="111">
        <v>4248694.2291883528</v>
      </c>
      <c r="J96" s="111">
        <v>7355343.4940795451</v>
      </c>
      <c r="K96" s="111">
        <v>12304637.875810593</v>
      </c>
      <c r="L96" s="111">
        <v>-4219573.7143061757</v>
      </c>
      <c r="M96" s="111">
        <v>2791563.5469022989</v>
      </c>
      <c r="N96" s="111">
        <v>-2959398.503456682</v>
      </c>
      <c r="O96" s="111">
        <v>1305473.2806599587</v>
      </c>
      <c r="P96" s="111">
        <v>2442254.4591089636</v>
      </c>
    </row>
    <row r="97" spans="6:16" ht="15.75" customHeight="1">
      <c r="F97" s="33">
        <v>78</v>
      </c>
      <c r="G97" s="111">
        <v>4114635.8113290668</v>
      </c>
      <c r="H97" s="111">
        <v>-2609389.1403937638</v>
      </c>
      <c r="I97" s="111">
        <v>13606474.163483337</v>
      </c>
      <c r="J97" s="111">
        <v>11523275.457778871</v>
      </c>
      <c r="K97" s="111">
        <v>8907910.2331026942</v>
      </c>
      <c r="L97" s="111">
        <v>4660461.3584525287</v>
      </c>
      <c r="M97" s="111">
        <v>3142680.7263374776</v>
      </c>
      <c r="N97" s="111">
        <v>-9690398.1545809805</v>
      </c>
      <c r="O97" s="111">
        <v>3176768.5524924845</v>
      </c>
      <c r="P97" s="111">
        <v>-1705396.0765144825</v>
      </c>
    </row>
    <row r="98" spans="6:16" ht="15.75" customHeight="1">
      <c r="F98" s="33">
        <v>79</v>
      </c>
      <c r="G98" s="111">
        <v>7240888.6723580658</v>
      </c>
      <c r="H98" s="111">
        <v>11648559.580272779</v>
      </c>
      <c r="I98" s="111">
        <v>11554440.10357517</v>
      </c>
      <c r="J98" s="111">
        <v>11800051.161539316</v>
      </c>
      <c r="K98" s="111">
        <v>673149.81800219417</v>
      </c>
      <c r="L98" s="111">
        <v>8263902.3276490867</v>
      </c>
      <c r="M98" s="111">
        <v>7694445.7672274858</v>
      </c>
      <c r="N98" s="111">
        <v>3126662.105934605</v>
      </c>
      <c r="O98" s="111">
        <v>-4097839.5867204219</v>
      </c>
      <c r="P98" s="111">
        <v>-4086522.0756157041</v>
      </c>
    </row>
    <row r="99" spans="6:16" ht="15.75" customHeight="1">
      <c r="F99" s="33">
        <v>80</v>
      </c>
      <c r="G99" s="111">
        <v>-2445466.8386576176</v>
      </c>
      <c r="H99" s="111">
        <v>4387918.1500282288</v>
      </c>
      <c r="I99" s="111">
        <v>12187610.179760635</v>
      </c>
      <c r="J99" s="111">
        <v>12930107.974513873</v>
      </c>
      <c r="K99" s="111">
        <v>8059162.5425585508</v>
      </c>
      <c r="L99" s="111">
        <v>1161507.5032814443</v>
      </c>
      <c r="M99" s="111">
        <v>1954862.3974339217</v>
      </c>
      <c r="N99" s="111">
        <v>929665.75796584785</v>
      </c>
      <c r="O99" s="111">
        <v>-3766062.4007169753</v>
      </c>
      <c r="P99" s="111">
        <v>4057467.9354825169</v>
      </c>
    </row>
    <row r="100" spans="6:16" ht="15.75" customHeight="1">
      <c r="F100" s="33">
        <v>81</v>
      </c>
      <c r="G100" s="111">
        <v>1779278.1204967052</v>
      </c>
      <c r="H100" s="111">
        <v>8889946.7290299386</v>
      </c>
      <c r="I100" s="111">
        <v>12256317.216387779</v>
      </c>
      <c r="J100" s="111">
        <v>13949253.632881194</v>
      </c>
      <c r="K100" s="111">
        <v>1309025.2983558178</v>
      </c>
      <c r="L100" s="111">
        <v>7139815.0803905874</v>
      </c>
      <c r="M100" s="111">
        <v>1766759.8600285202</v>
      </c>
      <c r="N100" s="111">
        <v>1986163.218534261</v>
      </c>
      <c r="O100" s="111">
        <v>3563754.9968883693</v>
      </c>
      <c r="P100" s="111">
        <v>2282519.2196462452</v>
      </c>
    </row>
    <row r="101" spans="6:16" ht="15.75" customHeight="1">
      <c r="F101" s="33">
        <v>82</v>
      </c>
      <c r="G101" s="111">
        <v>4592793.3478844464</v>
      </c>
      <c r="H101" s="111">
        <v>12199287.58428432</v>
      </c>
      <c r="I101" s="111">
        <v>2693339.4756815881</v>
      </c>
      <c r="J101" s="111">
        <v>-7115603.3045152426</v>
      </c>
      <c r="K101" s="111">
        <v>2152632.6119134575</v>
      </c>
      <c r="L101" s="111">
        <v>9884092.2410331368</v>
      </c>
      <c r="M101" s="111">
        <v>6994272.4526762664</v>
      </c>
      <c r="N101" s="111">
        <v>4512595.0363260061</v>
      </c>
      <c r="O101" s="111">
        <v>3164268.0405833125</v>
      </c>
      <c r="P101" s="111">
        <v>712370.26903951168</v>
      </c>
    </row>
    <row r="102" spans="6:16" ht="15.75" customHeight="1">
      <c r="F102" s="33">
        <v>83</v>
      </c>
      <c r="G102" s="111">
        <v>17542385.263703674</v>
      </c>
      <c r="H102" s="111">
        <v>12915291.397078946</v>
      </c>
      <c r="I102" s="111">
        <v>14037484.691515535</v>
      </c>
      <c r="J102" s="111">
        <v>8517725.2210289985</v>
      </c>
      <c r="K102" s="111">
        <v>-6136254.036297828</v>
      </c>
      <c r="L102" s="111">
        <v>6946363.9599277377</v>
      </c>
      <c r="M102" s="111">
        <v>9869280.9138244092</v>
      </c>
      <c r="N102" s="111">
        <v>5131167.9081036448</v>
      </c>
      <c r="O102" s="111">
        <v>-721047.70148830116</v>
      </c>
      <c r="P102" s="111">
        <v>6181916.2010141909</v>
      </c>
    </row>
    <row r="103" spans="6:16" ht="15.75" customHeight="1">
      <c r="F103" s="33">
        <v>84</v>
      </c>
      <c r="G103" s="111">
        <v>18712945.585194662</v>
      </c>
      <c r="H103" s="111">
        <v>8174129.9809614122</v>
      </c>
      <c r="I103" s="111">
        <v>12266379.905914307</v>
      </c>
      <c r="J103" s="111">
        <v>12847773.458852991</v>
      </c>
      <c r="K103" s="111">
        <v>12146614.703126609</v>
      </c>
      <c r="L103" s="111">
        <v>617462.17352044582</v>
      </c>
      <c r="M103" s="111">
        <v>4396007.5461163223</v>
      </c>
      <c r="N103" s="111">
        <v>10356132.999893203</v>
      </c>
      <c r="O103" s="111">
        <v>-2376285.6622471362</v>
      </c>
      <c r="P103" s="111">
        <v>-6455294.0125391781</v>
      </c>
    </row>
    <row r="104" spans="6:16" ht="15.75" customHeight="1">
      <c r="F104" s="33">
        <v>85</v>
      </c>
      <c r="G104" s="111">
        <v>11926536.55926916</v>
      </c>
      <c r="H104" s="111">
        <v>6336892.097482726</v>
      </c>
      <c r="I104" s="111">
        <v>12798948.029790372</v>
      </c>
      <c r="J104" s="111">
        <v>2198294.9120099992</v>
      </c>
      <c r="K104" s="111">
        <v>-4291572.3108107299</v>
      </c>
      <c r="L104" s="111">
        <v>-4242135.3588151038</v>
      </c>
      <c r="M104" s="111">
        <v>6353044.7442093492</v>
      </c>
      <c r="N104" s="111">
        <v>1148875.9371162206</v>
      </c>
      <c r="O104" s="111">
        <v>13305146.724602133</v>
      </c>
      <c r="P104" s="111">
        <v>-959746.34161648154</v>
      </c>
    </row>
    <row r="105" spans="6:16" ht="15.75" customHeight="1">
      <c r="F105" s="33">
        <v>86</v>
      </c>
      <c r="G105" s="111">
        <v>6682315.422519803</v>
      </c>
      <c r="H105" s="111">
        <v>7764261.1967144758</v>
      </c>
      <c r="I105" s="111">
        <v>6851682.8433011472</v>
      </c>
      <c r="J105" s="111">
        <v>-2002211.5537683964</v>
      </c>
      <c r="K105" s="111">
        <v>11801375.822328582</v>
      </c>
      <c r="L105" s="111">
        <v>4395120.2604323924</v>
      </c>
      <c r="M105" s="111">
        <v>-273876.99936680496</v>
      </c>
      <c r="N105" s="111">
        <v>8277018.6549590826</v>
      </c>
      <c r="O105" s="111">
        <v>5301161.1835431308</v>
      </c>
      <c r="P105" s="111">
        <v>4304812.4603174776</v>
      </c>
    </row>
    <row r="106" spans="6:16" ht="15.75" customHeight="1">
      <c r="F106" s="33">
        <v>87</v>
      </c>
      <c r="G106" s="111">
        <v>6227238.3442833126</v>
      </c>
      <c r="H106" s="111">
        <v>10120839.904497758</v>
      </c>
      <c r="I106" s="111">
        <v>8993538.5389155746</v>
      </c>
      <c r="J106" s="111">
        <v>1480419.8102064878</v>
      </c>
      <c r="K106" s="111">
        <v>6755832.0490678847</v>
      </c>
      <c r="L106" s="111">
        <v>18418536.844514281</v>
      </c>
      <c r="M106" s="111">
        <v>3450480.6530147791</v>
      </c>
      <c r="N106" s="111">
        <v>3191546.4001873583</v>
      </c>
      <c r="O106" s="111">
        <v>-3866050.4827370197</v>
      </c>
      <c r="P106" s="111">
        <v>-2585936.6835411042</v>
      </c>
    </row>
    <row r="107" spans="6:16" ht="15.75" customHeight="1">
      <c r="F107" s="33">
        <v>88</v>
      </c>
      <c r="G107" s="111">
        <v>17249333.619263709</v>
      </c>
      <c r="H107" s="111">
        <v>-260094.37351438403</v>
      </c>
      <c r="I107" s="111">
        <v>10854376.450365022</v>
      </c>
      <c r="J107" s="111">
        <v>1527754.8013792038</v>
      </c>
      <c r="K107" s="111">
        <v>2306273.9860892296</v>
      </c>
      <c r="L107" s="111">
        <v>2571251.7974336594</v>
      </c>
      <c r="M107" s="111">
        <v>-7988901.0160495043</v>
      </c>
      <c r="N107" s="111">
        <v>883087.56746505201</v>
      </c>
      <c r="O107" s="111">
        <v>2472656.932507053</v>
      </c>
      <c r="P107" s="111">
        <v>-1747905.7227754146</v>
      </c>
    </row>
    <row r="108" spans="6:16" ht="15.75" customHeight="1">
      <c r="F108" s="33">
        <v>89</v>
      </c>
      <c r="G108" s="111">
        <v>-73409.100003018975</v>
      </c>
      <c r="H108" s="111">
        <v>7848718.1864902824</v>
      </c>
      <c r="I108" s="111">
        <v>-2777147.1121521592</v>
      </c>
      <c r="J108" s="111">
        <v>-3567978.9446610212</v>
      </c>
      <c r="K108" s="111">
        <v>2148797.7821608484</v>
      </c>
      <c r="L108" s="111">
        <v>9644624.0250005424</v>
      </c>
      <c r="M108" s="111">
        <v>7271523.468309164</v>
      </c>
      <c r="N108" s="111">
        <v>1452532.9784015417</v>
      </c>
      <c r="O108" s="111">
        <v>3892874.7211785913</v>
      </c>
      <c r="P108" s="111">
        <v>2871122.5172702074</v>
      </c>
    </row>
    <row r="109" spans="6:16" ht="15.75" customHeight="1">
      <c r="F109" s="33">
        <v>90</v>
      </c>
      <c r="G109" s="111">
        <v>9755678.3871898949</v>
      </c>
      <c r="H109" s="111">
        <v>15513460.199038103</v>
      </c>
      <c r="I109" s="111">
        <v>3779188.4476073384</v>
      </c>
      <c r="J109" s="111">
        <v>14694184.330085129</v>
      </c>
      <c r="K109" s="111">
        <v>21969271.247444957</v>
      </c>
      <c r="L109" s="111">
        <v>728135.76892518997</v>
      </c>
      <c r="M109" s="111">
        <v>1570229.9464409947</v>
      </c>
      <c r="N109" s="111">
        <v>10653004.807718605</v>
      </c>
      <c r="O109" s="111">
        <v>-1687135.2603583336</v>
      </c>
      <c r="P109" s="111">
        <v>12737251.62140958</v>
      </c>
    </row>
    <row r="110" spans="6:16" ht="15.75" customHeight="1">
      <c r="F110" s="33">
        <v>91</v>
      </c>
      <c r="G110" s="111">
        <v>3962875.695747748</v>
      </c>
      <c r="H110" s="111">
        <v>9213108.8664404154</v>
      </c>
      <c r="I110" s="111">
        <v>2769673.8298401237</v>
      </c>
      <c r="J110" s="111">
        <v>7047024.4454673529</v>
      </c>
      <c r="K110" s="111">
        <v>1508354.0256528556</v>
      </c>
      <c r="L110" s="111">
        <v>4480694.6277473271</v>
      </c>
      <c r="M110" s="111">
        <v>20098541.286942512</v>
      </c>
      <c r="N110" s="111">
        <v>2469228.3789411336</v>
      </c>
      <c r="O110" s="111">
        <v>309300.57686072588</v>
      </c>
      <c r="P110" s="111">
        <v>3661023.8902962804</v>
      </c>
    </row>
    <row r="111" spans="6:16" ht="15.75" customHeight="1">
      <c r="F111" s="33">
        <v>92</v>
      </c>
      <c r="G111" s="111">
        <v>17289877.585612074</v>
      </c>
      <c r="H111" s="111">
        <v>17304250.048583493</v>
      </c>
      <c r="I111" s="111">
        <v>10438016.223764196</v>
      </c>
      <c r="J111" s="111">
        <v>1548319.560473904</v>
      </c>
      <c r="K111" s="111">
        <v>1423555.5895337462</v>
      </c>
      <c r="L111" s="111">
        <v>1864790.1449016035</v>
      </c>
      <c r="M111" s="111">
        <v>-8191174.8583206832</v>
      </c>
      <c r="N111" s="111">
        <v>2765447.7751390338</v>
      </c>
      <c r="O111" s="111">
        <v>8089427.182739377</v>
      </c>
      <c r="P111" s="111">
        <v>-2739104.1773339063</v>
      </c>
    </row>
    <row r="112" spans="6:16" ht="15.75" customHeight="1">
      <c r="F112" s="33">
        <v>93</v>
      </c>
      <c r="G112" s="111">
        <v>2121790.8856043071</v>
      </c>
      <c r="H112" s="111">
        <v>11146653.361292809</v>
      </c>
      <c r="I112" s="111">
        <v>7645053.1503502727</v>
      </c>
      <c r="J112" s="111">
        <v>5718568.4010377526</v>
      </c>
      <c r="K112" s="111">
        <v>13254193.957461536</v>
      </c>
      <c r="L112" s="111">
        <v>8432165.1347211301</v>
      </c>
      <c r="M112" s="111">
        <v>5726115.7775746137</v>
      </c>
      <c r="N112" s="111">
        <v>-1309302.1163869202</v>
      </c>
      <c r="O112" s="111">
        <v>2546800.983378917</v>
      </c>
      <c r="P112" s="111">
        <v>4404919.2189767063</v>
      </c>
    </row>
    <row r="113" spans="6:16" ht="15.75" customHeight="1">
      <c r="F113" s="33">
        <v>94</v>
      </c>
      <c r="G113" s="111">
        <v>13379360.127527863</v>
      </c>
      <c r="H113" s="111">
        <v>11973379.340771466</v>
      </c>
      <c r="I113" s="111">
        <v>15642505.16766718</v>
      </c>
      <c r="J113" s="111">
        <v>12541965.276202917</v>
      </c>
      <c r="K113" s="111">
        <v>-4707366.3565479517</v>
      </c>
      <c r="L113" s="111">
        <v>15491030.654905871</v>
      </c>
      <c r="M113" s="111">
        <v>239149.51608020067</v>
      </c>
      <c r="N113" s="111">
        <v>-3193380.2685555518</v>
      </c>
      <c r="O113" s="111">
        <v>-1471400.5187329352</v>
      </c>
      <c r="P113" s="111">
        <v>2727411.5162965357</v>
      </c>
    </row>
    <row r="114" spans="6:16" ht="15.75" customHeight="1">
      <c r="F114" s="33">
        <v>95</v>
      </c>
      <c r="G114" s="111">
        <v>7955037.6600475311</v>
      </c>
      <c r="H114" s="111">
        <v>12954903.667529553</v>
      </c>
      <c r="I114" s="111">
        <v>8759054.408982262</v>
      </c>
      <c r="J114" s="111">
        <v>10996035.054646686</v>
      </c>
      <c r="K114" s="111">
        <v>10283146.361960694</v>
      </c>
      <c r="L114" s="111">
        <v>-2266306.4090196341</v>
      </c>
      <c r="M114" s="111">
        <v>3670475.2448323816</v>
      </c>
      <c r="N114" s="111">
        <v>605306.51062077284</v>
      </c>
      <c r="O114" s="111">
        <v>-3346816.3598701358</v>
      </c>
      <c r="P114" s="111">
        <v>3679171.6423970312</v>
      </c>
    </row>
    <row r="115" spans="6:16" ht="15.75" customHeight="1">
      <c r="F115" s="33">
        <v>96</v>
      </c>
      <c r="G115" s="111">
        <v>15033057.951900914</v>
      </c>
      <c r="H115" s="111">
        <v>2757293.3215548992</v>
      </c>
      <c r="I115" s="111">
        <v>906398.943213135</v>
      </c>
      <c r="J115" s="111">
        <v>18201749.894713134</v>
      </c>
      <c r="K115" s="111">
        <v>11428913.956520528</v>
      </c>
      <c r="L115" s="111">
        <v>-2102982.6565321833</v>
      </c>
      <c r="M115" s="111">
        <v>-5126906.7457114309</v>
      </c>
      <c r="N115" s="111">
        <v>-10334462.20471853</v>
      </c>
      <c r="O115" s="111">
        <v>-1006482.1682487428</v>
      </c>
      <c r="P115" s="111">
        <v>5360963.0153094381</v>
      </c>
    </row>
    <row r="116" spans="6:16" ht="15.75" customHeight="1">
      <c r="F116" s="33">
        <v>97</v>
      </c>
      <c r="G116" s="111">
        <v>5793531.2567950785</v>
      </c>
      <c r="H116" s="111">
        <v>6013586.8983203918</v>
      </c>
      <c r="I116" s="111">
        <v>5270053.9706182778</v>
      </c>
      <c r="J116" s="111">
        <v>8455141.7230934203</v>
      </c>
      <c r="K116" s="111">
        <v>-3685897.5225719661</v>
      </c>
      <c r="L116" s="111">
        <v>1171341.3357817829</v>
      </c>
      <c r="M116" s="111">
        <v>-186558.38991133869</v>
      </c>
      <c r="N116" s="111">
        <v>-1347725.8469524384</v>
      </c>
      <c r="O116" s="111">
        <v>356130.86326546967</v>
      </c>
      <c r="P116" s="111">
        <v>-8992322.4480569959</v>
      </c>
    </row>
    <row r="117" spans="6:16" ht="15.75" customHeight="1">
      <c r="F117" s="33">
        <v>98</v>
      </c>
      <c r="G117" s="111">
        <v>890594.4593142271</v>
      </c>
      <c r="H117" s="111">
        <v>8043058.1885056347</v>
      </c>
      <c r="I117" s="111">
        <v>8392646.4668046832</v>
      </c>
      <c r="J117" s="111">
        <v>9734944.532062009</v>
      </c>
      <c r="K117" s="111">
        <v>7828834.6309240907</v>
      </c>
      <c r="L117" s="111">
        <v>11745467.295791388</v>
      </c>
      <c r="M117" s="111">
        <v>6394201.5750805438</v>
      </c>
      <c r="N117" s="111">
        <v>11115933.221799478</v>
      </c>
      <c r="O117" s="111">
        <v>-4028269.7243029028</v>
      </c>
      <c r="P117" s="111">
        <v>5168430.6828203499</v>
      </c>
    </row>
    <row r="118" spans="6:16" ht="15.75" customHeight="1">
      <c r="F118" s="33">
        <v>99</v>
      </c>
      <c r="G118" s="111">
        <v>29827133.547042951</v>
      </c>
      <c r="H118" s="111">
        <v>14519397.866796955</v>
      </c>
      <c r="I118" s="111">
        <v>15290534.604355678</v>
      </c>
      <c r="J118" s="111">
        <v>17739934.718895823</v>
      </c>
      <c r="K118" s="111">
        <v>659466.43742351234</v>
      </c>
      <c r="L118" s="111">
        <v>1564956.799617514</v>
      </c>
      <c r="M118" s="111">
        <v>1745670.5039127618</v>
      </c>
      <c r="N118" s="111">
        <v>-750747.54447773099</v>
      </c>
      <c r="O118" s="111">
        <v>-4041346.0170553774</v>
      </c>
      <c r="P118" s="111">
        <v>5884955.3056676984</v>
      </c>
    </row>
    <row r="119" spans="6:16" ht="15.75" customHeight="1">
      <c r="F119" s="33">
        <v>100</v>
      </c>
      <c r="G119" s="111">
        <v>7547481.8535332382</v>
      </c>
      <c r="H119" s="111">
        <v>14768666.740641743</v>
      </c>
      <c r="I119" s="111">
        <v>7212827.8995316327</v>
      </c>
      <c r="J119" s="111">
        <v>6475572.8427139074</v>
      </c>
      <c r="K119" s="111">
        <v>21558663.822797388</v>
      </c>
      <c r="L119" s="111">
        <v>8391566.8470833004</v>
      </c>
      <c r="M119" s="111">
        <v>-1836927.9293053746</v>
      </c>
      <c r="N119" s="111">
        <v>6419778.2986799181</v>
      </c>
      <c r="O119" s="111">
        <v>4338999.311101824</v>
      </c>
      <c r="P119" s="111">
        <v>1737505.8715789914</v>
      </c>
    </row>
    <row r="120" spans="6:16" ht="15.75" customHeight="1">
      <c r="F120" s="33">
        <v>101</v>
      </c>
      <c r="G120" s="111">
        <v>15528895.182326108</v>
      </c>
      <c r="H120" s="111">
        <v>4096071.429355979</v>
      </c>
      <c r="I120" s="111">
        <v>8287716.6875478625</v>
      </c>
      <c r="J120" s="111">
        <v>4403905.4763140678</v>
      </c>
      <c r="K120" s="111">
        <v>8530514.111571759</v>
      </c>
      <c r="L120" s="111">
        <v>15989460.011160493</v>
      </c>
      <c r="M120" s="111">
        <v>-6498476.5087098777</v>
      </c>
      <c r="N120" s="111">
        <v>3596399.5142957866</v>
      </c>
      <c r="O120" s="111">
        <v>4707835.9866680205</v>
      </c>
      <c r="P120" s="111">
        <v>1689981.8795253634</v>
      </c>
    </row>
    <row r="121" spans="6:16" ht="15.75" customHeight="1">
      <c r="F121" s="33">
        <v>102</v>
      </c>
      <c r="G121" s="111">
        <v>10066640.458244622</v>
      </c>
      <c r="H121" s="111">
        <v>14133995.555391818</v>
      </c>
      <c r="I121" s="111">
        <v>16695263.253641486</v>
      </c>
      <c r="J121" s="111">
        <v>1702005.3960272968</v>
      </c>
      <c r="K121" s="111">
        <v>19435324.570189476</v>
      </c>
      <c r="L121" s="111">
        <v>2624405.8100024462</v>
      </c>
      <c r="M121" s="111">
        <v>-1694166.9887183756</v>
      </c>
      <c r="N121" s="111">
        <v>-7157931.3775669336</v>
      </c>
      <c r="O121" s="111">
        <v>3270331.9740258455</v>
      </c>
      <c r="P121" s="111">
        <v>1412860.0242477357</v>
      </c>
    </row>
    <row r="122" spans="6:16" ht="15.75" customHeight="1">
      <c r="F122" s="33">
        <v>103</v>
      </c>
      <c r="G122" s="111">
        <v>8588708.7791732401</v>
      </c>
      <c r="H122" s="111">
        <v>18615232.58746314</v>
      </c>
      <c r="I122" s="111">
        <v>12040360.055863738</v>
      </c>
      <c r="J122" s="111">
        <v>3930749.2346074134</v>
      </c>
      <c r="K122" s="111">
        <v>1190169.0881726593</v>
      </c>
      <c r="L122" s="111">
        <v>-2036919.9626314938</v>
      </c>
      <c r="M122" s="111">
        <v>-966669.46725156903</v>
      </c>
      <c r="N122" s="111">
        <v>-4749781.61355865</v>
      </c>
      <c r="O122" s="111">
        <v>1616645.1617076993</v>
      </c>
      <c r="P122" s="111">
        <v>1562450.2617970854</v>
      </c>
    </row>
    <row r="123" spans="6:16" ht="15.75" customHeight="1">
      <c r="F123" s="33">
        <v>104</v>
      </c>
      <c r="G123" s="111">
        <v>7753410.4690710008</v>
      </c>
      <c r="H123" s="111">
        <v>12824976.824658662</v>
      </c>
      <c r="I123" s="111">
        <v>15438565.487245381</v>
      </c>
      <c r="J123" s="111">
        <v>653716.99266785383</v>
      </c>
      <c r="K123" s="111">
        <v>11627263.397953123</v>
      </c>
      <c r="L123" s="111">
        <v>7052144.4776717573</v>
      </c>
      <c r="M123" s="111">
        <v>11609880.609574467</v>
      </c>
      <c r="N123" s="111">
        <v>2916708.27852723</v>
      </c>
      <c r="O123" s="111">
        <v>-243622.07405497134</v>
      </c>
      <c r="P123" s="111">
        <v>1935430.1160140038</v>
      </c>
    </row>
    <row r="124" spans="6:16" ht="15.75" customHeight="1">
      <c r="F124" s="33">
        <v>105</v>
      </c>
      <c r="G124" s="111">
        <v>20960773.365309253</v>
      </c>
      <c r="H124" s="111">
        <v>12079729.209843233</v>
      </c>
      <c r="I124" s="111">
        <v>9550084.9919939637</v>
      </c>
      <c r="J124" s="111">
        <v>1138649.1734663546</v>
      </c>
      <c r="K124" s="111">
        <v>20246349.227425441</v>
      </c>
      <c r="L124" s="111">
        <v>14119890.963564783</v>
      </c>
      <c r="M124" s="111">
        <v>8576617.6605942249</v>
      </c>
      <c r="N124" s="111">
        <v>14764773.0085195</v>
      </c>
      <c r="O124" s="111">
        <v>-2227169.4614385813</v>
      </c>
      <c r="P124" s="111">
        <v>1007018.831919238</v>
      </c>
    </row>
    <row r="125" spans="6:16" ht="15.75" customHeight="1">
      <c r="F125" s="33">
        <v>106</v>
      </c>
      <c r="G125" s="111">
        <v>14897010.37396045</v>
      </c>
      <c r="H125" s="111">
        <v>18905446.24043408</v>
      </c>
      <c r="I125" s="111">
        <v>11035221.815038115</v>
      </c>
      <c r="J125" s="111">
        <v>1774305.9191265702</v>
      </c>
      <c r="K125" s="111">
        <v>1294283.6703749597</v>
      </c>
      <c r="L125" s="111">
        <v>7463001.649942413</v>
      </c>
      <c r="M125" s="111">
        <v>8155072.3698352575</v>
      </c>
      <c r="N125" s="111">
        <v>-449051.7032366097</v>
      </c>
      <c r="O125" s="111">
        <v>-1232509.9091314375</v>
      </c>
      <c r="P125" s="111">
        <v>1810814.514354229</v>
      </c>
    </row>
    <row r="126" spans="6:16" ht="15.75" customHeight="1">
      <c r="F126" s="33">
        <v>107</v>
      </c>
      <c r="G126" s="111">
        <v>19058296.732186049</v>
      </c>
      <c r="H126" s="111">
        <v>10206697.201933742</v>
      </c>
      <c r="I126" s="111">
        <v>9564951.1902491897</v>
      </c>
      <c r="J126" s="111">
        <v>7244681.8135721684</v>
      </c>
      <c r="K126" s="111">
        <v>1783832.8506451249</v>
      </c>
      <c r="L126" s="111">
        <v>5678781.1972647756</v>
      </c>
      <c r="M126" s="111">
        <v>-852718.08995817602</v>
      </c>
      <c r="N126" s="111">
        <v>2194535.1133821607</v>
      </c>
      <c r="O126" s="111">
        <v>-7180376.1852577329</v>
      </c>
      <c r="P126" s="111">
        <v>10870823.757213727</v>
      </c>
    </row>
    <row r="127" spans="6:16" ht="15.75" customHeight="1">
      <c r="F127" s="33">
        <v>108</v>
      </c>
      <c r="G127" s="111">
        <v>8554585.1122871637</v>
      </c>
      <c r="H127" s="111">
        <v>3808901.6515944898</v>
      </c>
      <c r="I127" s="111">
        <v>4894051.6044704169</v>
      </c>
      <c r="J127" s="111">
        <v>-1462105.4165840745</v>
      </c>
      <c r="K127" s="111">
        <v>13770108.357606336</v>
      </c>
      <c r="L127" s="111">
        <v>13493107.598252505</v>
      </c>
      <c r="M127" s="111">
        <v>6520434.259487018</v>
      </c>
      <c r="N127" s="111">
        <v>-5285879.5935699642</v>
      </c>
      <c r="O127" s="111">
        <v>2758848.4835661203</v>
      </c>
      <c r="P127" s="111">
        <v>-5247406.4598575681</v>
      </c>
    </row>
    <row r="128" spans="6:16" ht="15.75" customHeight="1">
      <c r="F128" s="33">
        <v>109</v>
      </c>
      <c r="G128" s="111">
        <v>-466307.36471888423</v>
      </c>
      <c r="H128" s="111">
        <v>15126827.991064459</v>
      </c>
      <c r="I128" s="111">
        <v>7941773.4438901842</v>
      </c>
      <c r="J128" s="111">
        <v>16721378.013611034</v>
      </c>
      <c r="K128" s="111">
        <v>10341502.295114428</v>
      </c>
      <c r="L128" s="111">
        <v>20353073.237356946</v>
      </c>
      <c r="M128" s="111">
        <v>-5924066.8927056342</v>
      </c>
      <c r="N128" s="111">
        <v>-9146416.8417976499</v>
      </c>
      <c r="O128" s="111">
        <v>-4736895.4410329461</v>
      </c>
      <c r="P128" s="111">
        <v>-5143253.2377931178</v>
      </c>
    </row>
    <row r="129" spans="6:16" ht="15.75" customHeight="1">
      <c r="F129" s="33">
        <v>110</v>
      </c>
      <c r="G129" s="111">
        <v>2291314.0396475792</v>
      </c>
      <c r="H129" s="111">
        <v>9014205.4129238129</v>
      </c>
      <c r="I129" s="111">
        <v>16573070.673119903</v>
      </c>
      <c r="J129" s="111">
        <v>802816.99876089394</v>
      </c>
      <c r="K129" s="111">
        <v>2220412.4255428016</v>
      </c>
      <c r="L129" s="111">
        <v>-2649261.9179114252</v>
      </c>
      <c r="M129" s="111">
        <v>6000657.7110499442</v>
      </c>
      <c r="N129" s="111">
        <v>4744884.8812841326</v>
      </c>
      <c r="O129" s="111">
        <v>4772124.4270541966</v>
      </c>
      <c r="P129" s="111">
        <v>8511484.4664034545</v>
      </c>
    </row>
    <row r="130" spans="6:16" ht="15.75" customHeight="1">
      <c r="F130" s="33">
        <v>111</v>
      </c>
      <c r="G130" s="111">
        <v>-5081887.6463849694</v>
      </c>
      <c r="H130" s="111">
        <v>11200647.820165172</v>
      </c>
      <c r="I130" s="111">
        <v>-2720958.5504896641</v>
      </c>
      <c r="J130" s="111">
        <v>4382282.7215783596</v>
      </c>
      <c r="K130" s="111">
        <v>12043147.077813566</v>
      </c>
      <c r="L130" s="111">
        <v>14687972.683319435</v>
      </c>
      <c r="M130" s="111">
        <v>994878.68884521723</v>
      </c>
      <c r="N130" s="111">
        <v>751098.67456746101</v>
      </c>
      <c r="O130" s="111">
        <v>6052807.6771330982</v>
      </c>
      <c r="P130" s="111">
        <v>-2798108.1250200123</v>
      </c>
    </row>
    <row r="131" spans="6:16" ht="15.75" customHeight="1">
      <c r="F131" s="33">
        <v>112</v>
      </c>
      <c r="G131" s="111">
        <v>10557455.114628792</v>
      </c>
      <c r="H131" s="111">
        <v>15538114.537640586</v>
      </c>
      <c r="I131" s="111">
        <v>17992269.330324411</v>
      </c>
      <c r="J131" s="111">
        <v>7821600.8405368924</v>
      </c>
      <c r="K131" s="111">
        <v>11548998.921664149</v>
      </c>
      <c r="L131" s="111">
        <v>4056239.4648572057</v>
      </c>
      <c r="M131" s="111">
        <v>-2227869.3907898962</v>
      </c>
      <c r="N131" s="111">
        <v>5363446.1235631853</v>
      </c>
      <c r="O131" s="111">
        <v>1138903.8190127164</v>
      </c>
      <c r="P131" s="111">
        <v>-3978087.337554574</v>
      </c>
    </row>
    <row r="132" spans="6:16" ht="15.75" customHeight="1">
      <c r="F132" s="33">
        <v>113</v>
      </c>
      <c r="G132" s="111">
        <v>-1888979.4237824678</v>
      </c>
      <c r="H132" s="111">
        <v>9150758.1717146635</v>
      </c>
      <c r="I132" s="111">
        <v>-1001298.7337207198</v>
      </c>
      <c r="J132" s="111">
        <v>8600857.8944156021</v>
      </c>
      <c r="K132" s="111">
        <v>16268328.287259445</v>
      </c>
      <c r="L132" s="111">
        <v>5053409.8550725579</v>
      </c>
      <c r="M132" s="111">
        <v>4148024.3508390635</v>
      </c>
      <c r="N132" s="111">
        <v>7572638.4618724138</v>
      </c>
      <c r="O132" s="111">
        <v>6288719.081769377</v>
      </c>
      <c r="P132" s="111">
        <v>3500638.2499546111</v>
      </c>
    </row>
    <row r="133" spans="6:16" ht="15.75" customHeight="1">
      <c r="F133" s="33">
        <v>114</v>
      </c>
      <c r="G133" s="111">
        <v>10147996.03666684</v>
      </c>
      <c r="H133" s="111">
        <v>5591339.25822483</v>
      </c>
      <c r="I133" s="111">
        <v>5971832.5018039942</v>
      </c>
      <c r="J133" s="111">
        <v>-2616048.6076516956</v>
      </c>
      <c r="K133" s="111">
        <v>10250767.491865441</v>
      </c>
      <c r="L133" s="111">
        <v>3983639.5368718803</v>
      </c>
      <c r="M133" s="111">
        <v>-2996053.7912248969</v>
      </c>
      <c r="N133" s="111">
        <v>680380.92857420444</v>
      </c>
      <c r="O133" s="111">
        <v>-6782016.2062447071</v>
      </c>
      <c r="P133" s="111">
        <v>-5418466.347504124</v>
      </c>
    </row>
    <row r="134" spans="6:16" ht="15.75" customHeight="1">
      <c r="F134" s="33">
        <v>115</v>
      </c>
      <c r="G134" s="111">
        <v>10027483.643189222</v>
      </c>
      <c r="H134" s="111">
        <v>2743837.8084128499</v>
      </c>
      <c r="I134" s="111">
        <v>8729404.919316709</v>
      </c>
      <c r="J134" s="111">
        <v>12594487.484534025</v>
      </c>
      <c r="K134" s="111">
        <v>-676279.92386701703</v>
      </c>
      <c r="L134" s="111">
        <v>8820606.0983978957</v>
      </c>
      <c r="M134" s="111">
        <v>8402239.0401397496</v>
      </c>
      <c r="N134" s="111">
        <v>-380850.91464930773</v>
      </c>
      <c r="O134" s="111">
        <v>9159331.0087997764</v>
      </c>
      <c r="P134" s="111">
        <v>-299166.75371089578</v>
      </c>
    </row>
    <row r="135" spans="6:16" ht="15.75" customHeight="1">
      <c r="F135" s="33">
        <v>116</v>
      </c>
      <c r="G135" s="111">
        <v>10224058.801590204</v>
      </c>
      <c r="H135" s="111">
        <v>21915323.723903254</v>
      </c>
      <c r="I135" s="111">
        <v>9647486.0469213724</v>
      </c>
      <c r="J135" s="111">
        <v>5460885.0573309064</v>
      </c>
      <c r="K135" s="111">
        <v>17985013.612399563</v>
      </c>
      <c r="L135" s="111">
        <v>16727296.325195134</v>
      </c>
      <c r="M135" s="111">
        <v>-4001064.8405278027</v>
      </c>
      <c r="N135" s="111">
        <v>522324.68918442726</v>
      </c>
      <c r="O135" s="111">
        <v>3048.0140765160322</v>
      </c>
      <c r="P135" s="111">
        <v>-6192164.4021443427</v>
      </c>
    </row>
    <row r="136" spans="6:16" ht="15.75" customHeight="1">
      <c r="F136" s="33">
        <v>117</v>
      </c>
      <c r="G136" s="111">
        <v>4507186.638284117</v>
      </c>
      <c r="H136" s="111">
        <v>7040030.0235264003</v>
      </c>
      <c r="I136" s="111">
        <v>10159884.700080037</v>
      </c>
      <c r="J136" s="111">
        <v>7061587.9210106879</v>
      </c>
      <c r="K136" s="111">
        <v>115888.53139743209</v>
      </c>
      <c r="L136" s="111">
        <v>-3393018.2818952352</v>
      </c>
      <c r="M136" s="111">
        <v>3539997.4411354363</v>
      </c>
      <c r="N136" s="111">
        <v>7932914.6653621048</v>
      </c>
      <c r="O136" s="111">
        <v>3720903.8199306428</v>
      </c>
      <c r="P136" s="111">
        <v>29202.164010122418</v>
      </c>
    </row>
    <row r="137" spans="6:16" ht="15.75" customHeight="1">
      <c r="F137" s="33">
        <v>118</v>
      </c>
      <c r="G137" s="111">
        <v>7148874.4829675108</v>
      </c>
      <c r="H137" s="111">
        <v>7486041.6312416941</v>
      </c>
      <c r="I137" s="111">
        <v>6854635.3958258629</v>
      </c>
      <c r="J137" s="111">
        <v>15403680.867390305</v>
      </c>
      <c r="K137" s="111">
        <v>5516779.283340171</v>
      </c>
      <c r="L137" s="111">
        <v>54014.70534273982</v>
      </c>
      <c r="M137" s="111">
        <v>6619489.2194758952</v>
      </c>
      <c r="N137" s="111">
        <v>-2342803.5992373377</v>
      </c>
      <c r="O137" s="111">
        <v>-4877051.1495857239</v>
      </c>
      <c r="P137" s="111">
        <v>-2480702.6248660535</v>
      </c>
    </row>
    <row r="138" spans="6:16" ht="15.75" customHeight="1">
      <c r="F138" s="33">
        <v>119</v>
      </c>
      <c r="G138" s="111">
        <v>16002883.317322075</v>
      </c>
      <c r="H138" s="111">
        <v>3367932.5033168197</v>
      </c>
      <c r="I138" s="111">
        <v>11239614.977563038</v>
      </c>
      <c r="J138" s="111">
        <v>9141159.8752934188</v>
      </c>
      <c r="K138" s="111">
        <v>6208773.7615830302</v>
      </c>
      <c r="L138" s="111">
        <v>4225853.795563668</v>
      </c>
      <c r="M138" s="111">
        <v>-392123.57179883122</v>
      </c>
      <c r="N138" s="111">
        <v>1321306.9270867109</v>
      </c>
      <c r="O138" s="111">
        <v>-2635738.7006532401</v>
      </c>
      <c r="P138" s="111">
        <v>4608660.8614547551</v>
      </c>
    </row>
    <row r="139" spans="6:16" ht="15.75" customHeight="1">
      <c r="F139" s="33">
        <v>120</v>
      </c>
      <c r="G139" s="111">
        <v>8293446.6627162099</v>
      </c>
      <c r="H139" s="111">
        <v>7516593.0616837144</v>
      </c>
      <c r="I139" s="111">
        <v>3437219.8947666883</v>
      </c>
      <c r="J139" s="111">
        <v>3854711.2460014373</v>
      </c>
      <c r="K139" s="111">
        <v>5627801.0349918455</v>
      </c>
      <c r="L139" s="111">
        <v>5732957.1633379161</v>
      </c>
      <c r="M139" s="111">
        <v>2109481.403686434</v>
      </c>
      <c r="N139" s="111">
        <v>10025073.31498827</v>
      </c>
      <c r="O139" s="111">
        <v>6779204.8065673113</v>
      </c>
      <c r="P139" s="111">
        <v>7830871.7937496006</v>
      </c>
    </row>
    <row r="140" spans="6:16" ht="15.75" customHeight="1">
      <c r="F140" s="33">
        <v>121</v>
      </c>
      <c r="G140" s="111">
        <v>9860091.4140164256</v>
      </c>
      <c r="H140" s="111">
        <v>16722758.850300714</v>
      </c>
      <c r="I140" s="111">
        <v>9356479.5104184747</v>
      </c>
      <c r="J140" s="111">
        <v>9575232.599967733</v>
      </c>
      <c r="K140" s="111">
        <v>7755471.9744451344</v>
      </c>
      <c r="L140" s="111">
        <v>3017862.9978488088</v>
      </c>
      <c r="M140" s="111">
        <v>8615269.6234220564</v>
      </c>
      <c r="N140" s="111">
        <v>-1394470.3798177093</v>
      </c>
      <c r="O140" s="111">
        <v>2404016.7332362533</v>
      </c>
      <c r="P140" s="111">
        <v>-10388583.141945124</v>
      </c>
    </row>
    <row r="141" spans="6:16" ht="15.75" customHeight="1">
      <c r="F141" s="33">
        <v>122</v>
      </c>
      <c r="G141" s="111">
        <v>9344949.2172196209</v>
      </c>
      <c r="H141" s="111">
        <v>5717733.0315037966</v>
      </c>
      <c r="I141" s="111">
        <v>12194190.432626992</v>
      </c>
      <c r="J141" s="111">
        <v>7071749.901829958</v>
      </c>
      <c r="K141" s="111">
        <v>7061970.6445947438</v>
      </c>
      <c r="L141" s="111">
        <v>12061090.069627866</v>
      </c>
      <c r="M141" s="111">
        <v>-8460397.1727787852</v>
      </c>
      <c r="N141" s="111">
        <v>825737.19536791742</v>
      </c>
      <c r="O141" s="111">
        <v>1389236.0355496407</v>
      </c>
      <c r="P141" s="111">
        <v>-5025949.3564840704</v>
      </c>
    </row>
    <row r="142" spans="6:16" ht="15.75" customHeight="1">
      <c r="F142" s="33">
        <v>123</v>
      </c>
      <c r="G142" s="111">
        <v>13617670.32363838</v>
      </c>
      <c r="H142" s="111">
        <v>5914749.3233600706</v>
      </c>
      <c r="I142" s="111">
        <v>-1942368.6419728696</v>
      </c>
      <c r="J142" s="111">
        <v>11727776.166602761</v>
      </c>
      <c r="K142" s="111">
        <v>17818562.045627981</v>
      </c>
      <c r="L142" s="111">
        <v>2660740.5522928685</v>
      </c>
      <c r="M142" s="111">
        <v>2819681.5350499153</v>
      </c>
      <c r="N142" s="111">
        <v>-3093324.8823047131</v>
      </c>
      <c r="O142" s="111">
        <v>3390935.0567389429</v>
      </c>
      <c r="P142" s="111">
        <v>7300188.4472550005</v>
      </c>
    </row>
    <row r="143" spans="6:16" ht="15.75" customHeight="1">
      <c r="F143" s="33">
        <v>124</v>
      </c>
      <c r="G143" s="111">
        <v>7258265.0493477136</v>
      </c>
      <c r="H143" s="111">
        <v>5789629.7346330434</v>
      </c>
      <c r="I143" s="111">
        <v>9447878.7430029511</v>
      </c>
      <c r="J143" s="111">
        <v>9409030.2974097133</v>
      </c>
      <c r="K143" s="111">
        <v>14417515.970896631</v>
      </c>
      <c r="L143" s="111">
        <v>13158486.072076261</v>
      </c>
      <c r="M143" s="111">
        <v>7420085.6854810864</v>
      </c>
      <c r="N143" s="111">
        <v>6155579.8232293278</v>
      </c>
      <c r="O143" s="111">
        <v>3292500.598954916</v>
      </c>
      <c r="P143" s="111">
        <v>-2341909.4886943549</v>
      </c>
    </row>
    <row r="144" spans="6:16" ht="15.75" customHeight="1">
      <c r="F144" s="33">
        <v>125</v>
      </c>
      <c r="G144" s="111">
        <v>11848464.869909763</v>
      </c>
      <c r="H144" s="111">
        <v>9683351.1105624735</v>
      </c>
      <c r="I144" s="111">
        <v>11730066.389826372</v>
      </c>
      <c r="J144" s="111">
        <v>653670.47197079659</v>
      </c>
      <c r="K144" s="111">
        <v>13899450.923229009</v>
      </c>
      <c r="L144" s="111">
        <v>6491944.0201650858</v>
      </c>
      <c r="M144" s="111">
        <v>9949212.1216829717</v>
      </c>
      <c r="N144" s="111">
        <v>4586051.2130114585</v>
      </c>
      <c r="O144" s="111">
        <v>16893119.365013659</v>
      </c>
      <c r="P144" s="111">
        <v>-1159443.2451060563</v>
      </c>
    </row>
    <row r="145" spans="6:16" ht="15.75" customHeight="1">
      <c r="F145" s="33">
        <v>126</v>
      </c>
      <c r="G145" s="111">
        <v>5708657.9228886962</v>
      </c>
      <c r="H145" s="111">
        <v>8322845.0589155853</v>
      </c>
      <c r="I145" s="111">
        <v>8837633.1839721352</v>
      </c>
      <c r="J145" s="111">
        <v>18740508.330163762</v>
      </c>
      <c r="K145" s="111">
        <v>9012266.1146608591</v>
      </c>
      <c r="L145" s="111">
        <v>5198703.8796660453</v>
      </c>
      <c r="M145" s="111">
        <v>4492246.5756687075</v>
      </c>
      <c r="N145" s="111">
        <v>-8194952.8941144943</v>
      </c>
      <c r="O145" s="111">
        <v>-3375741.0468684584</v>
      </c>
      <c r="P145" s="111">
        <v>3806036.6943024099</v>
      </c>
    </row>
    <row r="146" spans="6:16" ht="15.75" customHeight="1">
      <c r="F146" s="33">
        <v>127</v>
      </c>
      <c r="G146" s="111">
        <v>12057032.016042739</v>
      </c>
      <c r="H146" s="111">
        <v>16526571.010822296</v>
      </c>
      <c r="I146" s="111">
        <v>18509290.895145401</v>
      </c>
      <c r="J146" s="111">
        <v>9997465.3243260831</v>
      </c>
      <c r="K146" s="111">
        <v>16325526.334563285</v>
      </c>
      <c r="L146" s="111">
        <v>8641779.5460400879</v>
      </c>
      <c r="M146" s="111">
        <v>3629661.6065255702</v>
      </c>
      <c r="N146" s="111">
        <v>4420552.1634744406</v>
      </c>
      <c r="O146" s="111">
        <v>-8707445.3910533041</v>
      </c>
      <c r="P146" s="111">
        <v>9536893.621421665</v>
      </c>
    </row>
    <row r="147" spans="6:16" ht="15.75" customHeight="1">
      <c r="F147" s="33">
        <v>128</v>
      </c>
      <c r="G147" s="111">
        <v>10001139.362133875</v>
      </c>
      <c r="H147" s="111">
        <v>2442932.1286537945</v>
      </c>
      <c r="I147" s="111">
        <v>4679405.7639845014</v>
      </c>
      <c r="J147" s="111">
        <v>-6563713.50784114</v>
      </c>
      <c r="K147" s="111">
        <v>1804678.9967985898</v>
      </c>
      <c r="L147" s="111">
        <v>-277038.08468277752</v>
      </c>
      <c r="M147" s="111">
        <v>15775945.859286681</v>
      </c>
      <c r="N147" s="111">
        <v>22471422.53059192</v>
      </c>
      <c r="O147" s="111">
        <v>2386358.5939442515</v>
      </c>
      <c r="P147" s="111">
        <v>-1496182.3679305315</v>
      </c>
    </row>
    <row r="148" spans="6:16" ht="15.75" customHeight="1">
      <c r="F148" s="33">
        <v>129</v>
      </c>
      <c r="G148" s="111">
        <v>8248204.9605096579</v>
      </c>
      <c r="H148" s="111">
        <v>13618250.202217683</v>
      </c>
      <c r="I148" s="111">
        <v>14350978.327826142</v>
      </c>
      <c r="J148" s="111">
        <v>13667543.804195642</v>
      </c>
      <c r="K148" s="111">
        <v>6982603.9514534473</v>
      </c>
      <c r="L148" s="111">
        <v>8512309.2190304995</v>
      </c>
      <c r="M148" s="111">
        <v>-1647406.0222104192</v>
      </c>
      <c r="N148" s="111">
        <v>5491282.9291790426</v>
      </c>
      <c r="O148" s="111">
        <v>-6241324.0912701935</v>
      </c>
      <c r="P148" s="111">
        <v>4082320.3993515968</v>
      </c>
    </row>
    <row r="149" spans="6:16" ht="15.75" customHeight="1">
      <c r="F149" s="33">
        <v>130</v>
      </c>
      <c r="G149" s="111">
        <v>9230490.7921502739</v>
      </c>
      <c r="H149" s="111">
        <v>7594461.9528177083</v>
      </c>
      <c r="I149" s="111">
        <v>10713747.870102137</v>
      </c>
      <c r="J149" s="111">
        <v>1583800.9152273834</v>
      </c>
      <c r="K149" s="111">
        <v>9281393.2350488156</v>
      </c>
      <c r="L149" s="111">
        <v>384092.51917341352</v>
      </c>
      <c r="M149" s="111">
        <v>12699203.421812624</v>
      </c>
      <c r="N149" s="111">
        <v>-4160495.6846370399</v>
      </c>
      <c r="O149" s="111">
        <v>2888952.117266804</v>
      </c>
      <c r="P149" s="111">
        <v>-8206843.8876196146</v>
      </c>
    </row>
    <row r="150" spans="6:16" ht="15.75" customHeight="1">
      <c r="F150" s="33">
        <v>131</v>
      </c>
      <c r="G150" s="111">
        <v>12439674.122188956</v>
      </c>
      <c r="H150" s="111">
        <v>7434640.5366089046</v>
      </c>
      <c r="I150" s="111">
        <v>18409523.283986747</v>
      </c>
      <c r="J150" s="111">
        <v>9306595.4959831685</v>
      </c>
      <c r="K150" s="111">
        <v>-153765.84924548864</v>
      </c>
      <c r="L150" s="111">
        <v>153387.99685254693</v>
      </c>
      <c r="M150" s="111">
        <v>-2900875.9790612459</v>
      </c>
      <c r="N150" s="111">
        <v>6766338.8924412131</v>
      </c>
      <c r="O150" s="111">
        <v>-9426841.8850988448</v>
      </c>
      <c r="P150" s="111">
        <v>9853546.8029591888</v>
      </c>
    </row>
    <row r="151" spans="6:16" ht="15.75" customHeight="1">
      <c r="F151" s="33">
        <v>132</v>
      </c>
      <c r="G151" s="111">
        <v>13653063.426774293</v>
      </c>
      <c r="H151" s="111">
        <v>615390.11362153292</v>
      </c>
      <c r="I151" s="111">
        <v>4837678.1802878082</v>
      </c>
      <c r="J151" s="111">
        <v>4592525.8620197624</v>
      </c>
      <c r="K151" s="111">
        <v>7406204.8364791721</v>
      </c>
      <c r="L151" s="111">
        <v>10880069.890808791</v>
      </c>
      <c r="M151" s="111">
        <v>7717046.9272472411</v>
      </c>
      <c r="N151" s="111">
        <v>8584040.8911820501</v>
      </c>
      <c r="O151" s="111">
        <v>3212118.5117814094</v>
      </c>
      <c r="P151" s="111">
        <v>3353490.5771471113</v>
      </c>
    </row>
    <row r="152" spans="6:16" ht="15.75" customHeight="1">
      <c r="F152" s="33">
        <v>133</v>
      </c>
      <c r="G152" s="111">
        <v>3641367.3453724533</v>
      </c>
      <c r="H152" s="111">
        <v>20842287.366183713</v>
      </c>
      <c r="I152" s="111">
        <v>15412847.202197194</v>
      </c>
      <c r="J152" s="111">
        <v>14930730.739144698</v>
      </c>
      <c r="K152" s="111">
        <v>3552189.2532366514</v>
      </c>
      <c r="L152" s="111">
        <v>7019715.9493545294</v>
      </c>
      <c r="M152" s="111">
        <v>-1117541.558707878</v>
      </c>
      <c r="N152" s="111">
        <v>7731143.769323647</v>
      </c>
      <c r="O152" s="111">
        <v>-579196.05198697746</v>
      </c>
      <c r="P152" s="111">
        <v>-1874632.783688724</v>
      </c>
    </row>
    <row r="153" spans="6:16" ht="15.75" customHeight="1">
      <c r="F153" s="33">
        <v>134</v>
      </c>
      <c r="G153" s="111">
        <v>11361085.384135231</v>
      </c>
      <c r="H153" s="111">
        <v>14710644.159350827</v>
      </c>
      <c r="I153" s="111">
        <v>456442.99281792343</v>
      </c>
      <c r="J153" s="111">
        <v>9520750.6644978523</v>
      </c>
      <c r="K153" s="111">
        <v>6929100.0544864982</v>
      </c>
      <c r="L153" s="111">
        <v>9137972.1240070462</v>
      </c>
      <c r="M153" s="111">
        <v>12577966.525450021</v>
      </c>
      <c r="N153" s="111">
        <v>7299699.844186902</v>
      </c>
      <c r="O153" s="111">
        <v>2842327.3287127465</v>
      </c>
      <c r="P153" s="111">
        <v>-10352553.568522409</v>
      </c>
    </row>
    <row r="154" spans="6:16" ht="15.75" customHeight="1">
      <c r="F154" s="33">
        <v>135</v>
      </c>
      <c r="G154" s="111">
        <v>2182122.6406346858</v>
      </c>
      <c r="H154" s="111">
        <v>9255279.9801694155</v>
      </c>
      <c r="I154" s="111">
        <v>4758083.658205539</v>
      </c>
      <c r="J154" s="111">
        <v>16249654.052218169</v>
      </c>
      <c r="K154" s="111">
        <v>1646545.5116972327</v>
      </c>
      <c r="L154" s="111">
        <v>17550474.635959625</v>
      </c>
      <c r="M154" s="111">
        <v>-5446652.9535949081</v>
      </c>
      <c r="N154" s="111">
        <v>1325772.499781549</v>
      </c>
      <c r="O154" s="111">
        <v>8559355.7254528403</v>
      </c>
      <c r="P154" s="111">
        <v>5130061.2069407701</v>
      </c>
    </row>
    <row r="155" spans="6:16" ht="15.75" customHeight="1">
      <c r="F155" s="33">
        <v>136</v>
      </c>
      <c r="G155" s="111">
        <v>9765780.231803894</v>
      </c>
      <c r="H155" s="111">
        <v>22828497.252800673</v>
      </c>
      <c r="I155" s="111">
        <v>-1676043.1997603029</v>
      </c>
      <c r="J155" s="111">
        <v>-2102852.9716174603</v>
      </c>
      <c r="K155" s="111">
        <v>9161956.0939308852</v>
      </c>
      <c r="L155" s="111">
        <v>5523439.5401761234</v>
      </c>
      <c r="M155" s="111">
        <v>7995889.784887448</v>
      </c>
      <c r="N155" s="111">
        <v>4867737.5346499234</v>
      </c>
      <c r="O155" s="111">
        <v>-5741448.6381846219</v>
      </c>
      <c r="P155" s="111">
        <v>9551759.0615409464</v>
      </c>
    </row>
    <row r="156" spans="6:16" ht="15.75" customHeight="1">
      <c r="F156" s="33">
        <v>137</v>
      </c>
      <c r="G156" s="111">
        <v>5377106.2960272878</v>
      </c>
      <c r="H156" s="111">
        <v>13219716.948158234</v>
      </c>
      <c r="I156" s="111">
        <v>10034382.658152729</v>
      </c>
      <c r="J156" s="111">
        <v>12772258.580874667</v>
      </c>
      <c r="K156" s="111">
        <v>5779507.2928009778</v>
      </c>
      <c r="L156" s="111">
        <v>5370495.6323443949</v>
      </c>
      <c r="M156" s="111">
        <v>2003608.3405151069</v>
      </c>
      <c r="N156" s="111">
        <v>4752977.8805446327</v>
      </c>
      <c r="O156" s="111">
        <v>13709976.92037496</v>
      </c>
      <c r="P156" s="111">
        <v>4142942.6703377962</v>
      </c>
    </row>
    <row r="157" spans="6:16" ht="15.75" customHeight="1">
      <c r="F157" s="33">
        <v>138</v>
      </c>
      <c r="G157" s="111">
        <v>11275111.270299286</v>
      </c>
      <c r="H157" s="111">
        <v>7895218.5882329494</v>
      </c>
      <c r="I157" s="111">
        <v>8275573.8739323914</v>
      </c>
      <c r="J157" s="111">
        <v>5347610.9029121995</v>
      </c>
      <c r="K157" s="111">
        <v>10390025.187488586</v>
      </c>
      <c r="L157" s="111">
        <v>9290220.8399829119</v>
      </c>
      <c r="M157" s="111">
        <v>-2934469.1074410975</v>
      </c>
      <c r="N157" s="111">
        <v>4149754.3255988061</v>
      </c>
      <c r="O157" s="111">
        <v>-1559378.1581746042</v>
      </c>
      <c r="P157" s="111">
        <v>-2412177.4629644454</v>
      </c>
    </row>
    <row r="158" spans="6:16" ht="15.75" customHeight="1">
      <c r="F158" s="33">
        <v>139</v>
      </c>
      <c r="G158" s="111">
        <v>9247342.5575455129</v>
      </c>
      <c r="H158" s="111">
        <v>16765695.048966378</v>
      </c>
      <c r="I158" s="111">
        <v>3868509.8197087944</v>
      </c>
      <c r="J158" s="111">
        <v>7480492.4046044648</v>
      </c>
      <c r="K158" s="111">
        <v>995442.69123497605</v>
      </c>
      <c r="L158" s="111">
        <v>11056236.811647817</v>
      </c>
      <c r="M158" s="111">
        <v>62795.899214461446</v>
      </c>
      <c r="N158" s="111">
        <v>4543293.8177760392</v>
      </c>
      <c r="O158" s="111">
        <v>544120.85431748629</v>
      </c>
      <c r="P158" s="111">
        <v>-1893542.2279601693</v>
      </c>
    </row>
    <row r="159" spans="6:16" ht="15.75" customHeight="1">
      <c r="F159" s="33">
        <v>140</v>
      </c>
      <c r="G159" s="111">
        <v>15092874.045314252</v>
      </c>
      <c r="H159" s="111">
        <v>7671842.0034817457</v>
      </c>
      <c r="I159" s="111">
        <v>10643038.598936141</v>
      </c>
      <c r="J159" s="111">
        <v>15269326.459520578</v>
      </c>
      <c r="K159" s="111">
        <v>5037271.5347349793</v>
      </c>
      <c r="L159" s="111">
        <v>4170754.0778729767</v>
      </c>
      <c r="M159" s="111">
        <v>-6612561.9669117033</v>
      </c>
      <c r="N159" s="111">
        <v>3157886.171413362</v>
      </c>
      <c r="O159" s="111">
        <v>7866698.2096331418</v>
      </c>
      <c r="P159" s="111">
        <v>8912495.5376465619</v>
      </c>
    </row>
    <row r="160" spans="6:16" ht="15.75" customHeight="1">
      <c r="F160" s="33">
        <v>141</v>
      </c>
      <c r="G160" s="111">
        <v>10047554.655822113</v>
      </c>
      <c r="H160" s="111">
        <v>5474420.7884195</v>
      </c>
      <c r="I160" s="111">
        <v>12120069.892636225</v>
      </c>
      <c r="J160" s="111">
        <v>-1683926.2800058872</v>
      </c>
      <c r="K160" s="111">
        <v>4747746.604419589</v>
      </c>
      <c r="L160" s="111">
        <v>5580838.4786002338</v>
      </c>
      <c r="M160" s="111">
        <v>8330441.3766817898</v>
      </c>
      <c r="N160" s="111">
        <v>-539114.90925431252</v>
      </c>
      <c r="O160" s="111">
        <v>-6606674.4475526363</v>
      </c>
      <c r="P160" s="111">
        <v>3496441.030686304</v>
      </c>
    </row>
    <row r="161" spans="6:16" ht="15.75" customHeight="1">
      <c r="F161" s="33">
        <v>142</v>
      </c>
      <c r="G161" s="111">
        <v>17635013.752604723</v>
      </c>
      <c r="H161" s="111">
        <v>10558236.746544465</v>
      </c>
      <c r="I161" s="111">
        <v>10652370.270468682</v>
      </c>
      <c r="J161" s="111">
        <v>379008.81437069178</v>
      </c>
      <c r="K161" s="111">
        <v>11489166.325143889</v>
      </c>
      <c r="L161" s="111">
        <v>13685598.075832963</v>
      </c>
      <c r="M161" s="111">
        <v>2031167.0064528137</v>
      </c>
      <c r="N161" s="111">
        <v>-4518273.0814861059</v>
      </c>
      <c r="O161" s="111">
        <v>-6497109.0691362619</v>
      </c>
      <c r="P161" s="111">
        <v>8285046.0358364582</v>
      </c>
    </row>
    <row r="162" spans="6:16" ht="15.75" customHeight="1">
      <c r="F162" s="33">
        <v>143</v>
      </c>
      <c r="G162" s="111">
        <v>4983139.6955556571</v>
      </c>
      <c r="H162" s="111">
        <v>10467333.07598722</v>
      </c>
      <c r="I162" s="111">
        <v>-767555.46328257024</v>
      </c>
      <c r="J162" s="111">
        <v>12031978.592459515</v>
      </c>
      <c r="K162" s="111">
        <v>-721680.23671804368</v>
      </c>
      <c r="L162" s="111">
        <v>7250576.3325528204</v>
      </c>
      <c r="M162" s="111">
        <v>3343740.6867931485</v>
      </c>
      <c r="N162" s="111">
        <v>-14680.141856342554</v>
      </c>
      <c r="O162" s="111">
        <v>-5363336.0526996255</v>
      </c>
      <c r="P162" s="111">
        <v>2925240.4180284888</v>
      </c>
    </row>
    <row r="163" spans="6:16" ht="15.75" customHeight="1">
      <c r="F163" s="33">
        <v>144</v>
      </c>
      <c r="G163" s="111">
        <v>16530008.761263728</v>
      </c>
      <c r="H163" s="111">
        <v>6642435.8779892325</v>
      </c>
      <c r="I163" s="111">
        <v>6866917.25620538</v>
      </c>
      <c r="J163" s="111">
        <v>11440612.506398559</v>
      </c>
      <c r="K163" s="111">
        <v>13413770.725755125</v>
      </c>
      <c r="L163" s="111">
        <v>8612504.0581381917</v>
      </c>
      <c r="M163" s="111">
        <v>3141801.4328588992</v>
      </c>
      <c r="N163" s="111">
        <v>5415607.7917112261</v>
      </c>
      <c r="O163" s="111">
        <v>-12941964.897968978</v>
      </c>
      <c r="P163" s="111">
        <v>-2425207.0898063481</v>
      </c>
    </row>
    <row r="164" spans="6:16" ht="15.75" customHeight="1">
      <c r="F164" s="33">
        <v>145</v>
      </c>
      <c r="G164" s="111">
        <v>1663387.7907492518</v>
      </c>
      <c r="H164" s="111">
        <v>11248239.846400708</v>
      </c>
      <c r="I164" s="111">
        <v>8087862.7542144358</v>
      </c>
      <c r="J164" s="111">
        <v>14220018.346773401</v>
      </c>
      <c r="K164" s="111">
        <v>2107344.6527502537</v>
      </c>
      <c r="L164" s="111">
        <v>-1935629.8476228267</v>
      </c>
      <c r="M164" s="111">
        <v>4281163.8843798339</v>
      </c>
      <c r="N164" s="111">
        <v>-2018430.9095187038</v>
      </c>
      <c r="O164" s="111">
        <v>3056460.9215085655</v>
      </c>
      <c r="P164" s="111">
        <v>6043334.6014783829</v>
      </c>
    </row>
    <row r="165" spans="6:16" ht="15.75" customHeight="1">
      <c r="F165" s="33">
        <v>146</v>
      </c>
      <c r="G165" s="111">
        <v>-285945.56443078816</v>
      </c>
      <c r="H165" s="111">
        <v>11196277.347050056</v>
      </c>
      <c r="I165" s="111">
        <v>2100680.4394391775</v>
      </c>
      <c r="J165" s="111">
        <v>5883260.516701445</v>
      </c>
      <c r="K165" s="111">
        <v>9908161.9512441456</v>
      </c>
      <c r="L165" s="111">
        <v>8130164.6250561327</v>
      </c>
      <c r="M165" s="111">
        <v>12937071.151342958</v>
      </c>
      <c r="N165" s="111">
        <v>8897900.390225023</v>
      </c>
      <c r="O165" s="111">
        <v>-1227703.4430089444</v>
      </c>
      <c r="P165" s="111">
        <v>1733488.8974513263</v>
      </c>
    </row>
    <row r="166" spans="6:16" ht="15.75" customHeight="1">
      <c r="F166" s="33">
        <v>147</v>
      </c>
      <c r="G166" s="111">
        <v>14984837.29846403</v>
      </c>
      <c r="H166" s="111">
        <v>11581342.277391404</v>
      </c>
      <c r="I166" s="111">
        <v>8868516.218729049</v>
      </c>
      <c r="J166" s="111">
        <v>1015493.0804620087</v>
      </c>
      <c r="K166" s="111">
        <v>10769005.353119552</v>
      </c>
      <c r="L166" s="111">
        <v>3770066.9630536586</v>
      </c>
      <c r="M166" s="111">
        <v>7383250.1218801439</v>
      </c>
      <c r="N166" s="111">
        <v>-5214632.4824406058</v>
      </c>
      <c r="O166" s="111">
        <v>-6422048.8285116255</v>
      </c>
      <c r="P166" s="111">
        <v>235572.22226777673</v>
      </c>
    </row>
    <row r="167" spans="6:16" ht="15.75" customHeight="1">
      <c r="F167" s="33">
        <v>148</v>
      </c>
      <c r="G167" s="111">
        <v>12495375.147547051</v>
      </c>
      <c r="H167" s="111">
        <v>3646274.6303350627</v>
      </c>
      <c r="I167" s="111">
        <v>13942891.11695829</v>
      </c>
      <c r="J167" s="111">
        <v>2740801.7645807862</v>
      </c>
      <c r="K167" s="111">
        <v>12489138.944220304</v>
      </c>
      <c r="L167" s="111">
        <v>-5955269.2924120575</v>
      </c>
      <c r="M167" s="111">
        <v>2287943.7649472803</v>
      </c>
      <c r="N167" s="111">
        <v>4267094.281408444</v>
      </c>
      <c r="O167" s="111">
        <v>3488177.5553042442</v>
      </c>
      <c r="P167" s="111">
        <v>-1371636.2930500805</v>
      </c>
    </row>
    <row r="168" spans="6:16" ht="15.75" customHeight="1">
      <c r="F168" s="33">
        <v>149</v>
      </c>
      <c r="G168" s="111">
        <v>8891366.3503776491</v>
      </c>
      <c r="H168" s="111">
        <v>5289758.1769410372</v>
      </c>
      <c r="I168" s="111">
        <v>4935992.2237381786</v>
      </c>
      <c r="J168" s="111">
        <v>16009461.230360523</v>
      </c>
      <c r="K168" s="111">
        <v>8182125.5722895265</v>
      </c>
      <c r="L168" s="111">
        <v>5110699.1114977449</v>
      </c>
      <c r="M168" s="111">
        <v>10671408.961191639</v>
      </c>
      <c r="N168" s="111">
        <v>6027193.9860344231</v>
      </c>
      <c r="O168" s="111">
        <v>-7500122.2694956213</v>
      </c>
      <c r="P168" s="111">
        <v>7150069.4362011701</v>
      </c>
    </row>
    <row r="169" spans="6:16" ht="15.75" customHeight="1">
      <c r="F169" s="33">
        <v>150</v>
      </c>
      <c r="G169" s="111">
        <v>5684727.7488565296</v>
      </c>
      <c r="H169" s="111">
        <v>3653109.1443349123</v>
      </c>
      <c r="I169" s="111">
        <v>8724049.2755729556</v>
      </c>
      <c r="J169" s="111">
        <v>8589175.4796163738</v>
      </c>
      <c r="K169" s="111">
        <v>9119672.6477014124</v>
      </c>
      <c r="L169" s="111">
        <v>8663573.8749843389</v>
      </c>
      <c r="M169" s="111">
        <v>-1659897.3103626966</v>
      </c>
      <c r="N169" s="111">
        <v>-3428370.4797449857</v>
      </c>
      <c r="O169" s="111">
        <v>1990833.7057891786</v>
      </c>
      <c r="P169" s="111">
        <v>-5819232.3796560913</v>
      </c>
    </row>
    <row r="170" spans="6:16" ht="15.75" customHeight="1">
      <c r="F170" s="33">
        <v>151</v>
      </c>
      <c r="G170" s="111">
        <v>16407763.535537705</v>
      </c>
      <c r="H170" s="111">
        <v>12426273.498305053</v>
      </c>
      <c r="I170" s="111">
        <v>5876999.0556018203</v>
      </c>
      <c r="J170" s="111">
        <v>4440724.0422849059</v>
      </c>
      <c r="K170" s="111">
        <v>2853808.1277773082</v>
      </c>
      <c r="L170" s="111">
        <v>6212897.4306767136</v>
      </c>
      <c r="M170" s="111">
        <v>7845884.938382417</v>
      </c>
      <c r="N170" s="111">
        <v>6236397.512452662</v>
      </c>
      <c r="O170" s="111">
        <v>-5789595.8591138124</v>
      </c>
      <c r="P170" s="111">
        <v>5954743.746751368</v>
      </c>
    </row>
    <row r="171" spans="6:16" ht="15.75" customHeight="1">
      <c r="F171" s="33">
        <v>152</v>
      </c>
      <c r="G171" s="111">
        <v>9845174.9599104226</v>
      </c>
      <c r="H171" s="111">
        <v>15091561.832650378</v>
      </c>
      <c r="I171" s="111">
        <v>3509359.0004568696</v>
      </c>
      <c r="J171" s="111">
        <v>2137244.5976829529</v>
      </c>
      <c r="K171" s="111">
        <v>-139133.38400277495</v>
      </c>
      <c r="L171" s="111">
        <v>-268456.26255044341</v>
      </c>
      <c r="M171" s="111">
        <v>8186099.9185331464</v>
      </c>
      <c r="N171" s="111">
        <v>-5421609.1832043827</v>
      </c>
      <c r="O171" s="111">
        <v>-5337286.1815716028</v>
      </c>
      <c r="P171" s="111">
        <v>597779.82270218432</v>
      </c>
    </row>
    <row r="172" spans="6:16" ht="15.75" customHeight="1">
      <c r="F172" s="33">
        <v>153</v>
      </c>
      <c r="G172" s="111">
        <v>-2451248.6960860193</v>
      </c>
      <c r="H172" s="111">
        <v>7359063.2568878382</v>
      </c>
      <c r="I172" s="111">
        <v>9040281.4667701274</v>
      </c>
      <c r="J172" s="111">
        <v>4193090.8472750932</v>
      </c>
      <c r="K172" s="111">
        <v>1203934.53997159</v>
      </c>
      <c r="L172" s="111">
        <v>3385938.8720389456</v>
      </c>
      <c r="M172" s="111">
        <v>5520551.777504161</v>
      </c>
      <c r="N172" s="111">
        <v>16457002.973496929</v>
      </c>
      <c r="O172" s="111">
        <v>3584190.2936481982</v>
      </c>
      <c r="P172" s="111">
        <v>-4210775.6238485277</v>
      </c>
    </row>
    <row r="173" spans="6:16" ht="15.75" customHeight="1">
      <c r="F173" s="33">
        <v>154</v>
      </c>
      <c r="G173" s="111">
        <v>7412911.9761659205</v>
      </c>
      <c r="H173" s="111">
        <v>12522619.137550563</v>
      </c>
      <c r="I173" s="111">
        <v>20727593.218754649</v>
      </c>
      <c r="J173" s="111">
        <v>2875850.4374407381</v>
      </c>
      <c r="K173" s="111">
        <v>12264815.749773517</v>
      </c>
      <c r="L173" s="111">
        <v>1521563.6257994771</v>
      </c>
      <c r="M173" s="111">
        <v>-2100851.815961659</v>
      </c>
      <c r="N173" s="111">
        <v>938184.29379789531</v>
      </c>
      <c r="O173" s="111">
        <v>6799408.8563791811</v>
      </c>
      <c r="P173" s="111">
        <v>229205.28811919689</v>
      </c>
    </row>
    <row r="174" spans="6:16" ht="15.75" customHeight="1">
      <c r="F174" s="33">
        <v>155</v>
      </c>
      <c r="G174" s="111">
        <v>10175801.803195119</v>
      </c>
      <c r="H174" s="111">
        <v>-3268607.9265472591</v>
      </c>
      <c r="I174" s="111">
        <v>8831218.9310880005</v>
      </c>
      <c r="J174" s="111">
        <v>13952561.723268077</v>
      </c>
      <c r="K174" s="111">
        <v>2686284.9302693307</v>
      </c>
      <c r="L174" s="111">
        <v>12421819.422861084</v>
      </c>
      <c r="M174" s="111">
        <v>16156653.804599226</v>
      </c>
      <c r="N174" s="111">
        <v>1573106.1631065905</v>
      </c>
      <c r="O174" s="111">
        <v>-1342134.5320340693</v>
      </c>
      <c r="P174" s="111">
        <v>4445744.0925770849</v>
      </c>
    </row>
    <row r="175" spans="6:16" ht="15.75" customHeight="1">
      <c r="F175" s="33">
        <v>156</v>
      </c>
      <c r="G175" s="111">
        <v>19074801.096864343</v>
      </c>
      <c r="H175" s="111">
        <v>5582074.7865720391</v>
      </c>
      <c r="I175" s="111">
        <v>3670579.7566815615</v>
      </c>
      <c r="J175" s="111">
        <v>7074192.1024514884</v>
      </c>
      <c r="K175" s="111">
        <v>3353902.99844715</v>
      </c>
      <c r="L175" s="111">
        <v>12252407.284349218</v>
      </c>
      <c r="M175" s="111">
        <v>6132026.8001708388</v>
      </c>
      <c r="N175" s="111">
        <v>935415.8999350816</v>
      </c>
      <c r="O175" s="111">
        <v>6153741.0399177969</v>
      </c>
      <c r="P175" s="111">
        <v>-1081380.5984450877</v>
      </c>
    </row>
    <row r="176" spans="6:16" ht="15.75" customHeight="1">
      <c r="F176" s="33">
        <v>157</v>
      </c>
      <c r="G176" s="111">
        <v>9954066.8959949762</v>
      </c>
      <c r="H176" s="111">
        <v>7648929.4571239054</v>
      </c>
      <c r="I176" s="111">
        <v>6118404.1270914376</v>
      </c>
      <c r="J176" s="111">
        <v>13697876.866692305</v>
      </c>
      <c r="K176" s="111">
        <v>1911570.7784426808</v>
      </c>
      <c r="L176" s="111">
        <v>9961221.4368524551</v>
      </c>
      <c r="M176" s="111">
        <v>-6360792.9742954373</v>
      </c>
      <c r="N176" s="111">
        <v>11822511.962675869</v>
      </c>
      <c r="O176" s="111">
        <v>-921066.73715117574</v>
      </c>
      <c r="P176" s="111">
        <v>8331155.230571717</v>
      </c>
    </row>
    <row r="177" spans="6:16" ht="15.75" customHeight="1">
      <c r="F177" s="33">
        <v>158</v>
      </c>
      <c r="G177" s="111">
        <v>1637133.3915723413</v>
      </c>
      <c r="H177" s="111">
        <v>3756644.2949811518</v>
      </c>
      <c r="I177" s="111">
        <v>-1326690.0230134726</v>
      </c>
      <c r="J177" s="111">
        <v>10524048.662911028</v>
      </c>
      <c r="K177" s="111">
        <v>10489763.090885907</v>
      </c>
      <c r="L177" s="111">
        <v>6414298.3831450343</v>
      </c>
      <c r="M177" s="111">
        <v>-2751093.2536458075</v>
      </c>
      <c r="N177" s="111">
        <v>9577492.6814475358</v>
      </c>
      <c r="O177" s="111">
        <v>4487664.2941781133</v>
      </c>
      <c r="P177" s="111">
        <v>794489.16561420262</v>
      </c>
    </row>
    <row r="178" spans="6:16" ht="15.75" customHeight="1">
      <c r="F178" s="33">
        <v>159</v>
      </c>
      <c r="G178" s="111">
        <v>8945298.6515216082</v>
      </c>
      <c r="H178" s="111">
        <v>13247178.485187411</v>
      </c>
      <c r="I178" s="111">
        <v>2000777.2558929473</v>
      </c>
      <c r="J178" s="111">
        <v>9499933.8641082495</v>
      </c>
      <c r="K178" s="111">
        <v>363611.62492418289</v>
      </c>
      <c r="L178" s="111">
        <v>7380991.6694815308</v>
      </c>
      <c r="M178" s="111">
        <v>8840473.81683366</v>
      </c>
      <c r="N178" s="111">
        <v>13050444.508005396</v>
      </c>
      <c r="O178" s="111">
        <v>1013932.4971461743</v>
      </c>
      <c r="P178" s="111">
        <v>7864466.2489654571</v>
      </c>
    </row>
    <row r="179" spans="6:16" ht="15.75" customHeight="1">
      <c r="F179" s="33">
        <v>160</v>
      </c>
      <c r="G179" s="111">
        <v>1614702.2980997711</v>
      </c>
      <c r="H179" s="111">
        <v>4153338.5207604468</v>
      </c>
      <c r="I179" s="111">
        <v>12722199.165611804</v>
      </c>
      <c r="J179" s="111">
        <v>3795193.8791705221</v>
      </c>
      <c r="K179" s="111">
        <v>3585411.9487535954</v>
      </c>
      <c r="L179" s="111">
        <v>2507309.3243806511</v>
      </c>
      <c r="M179" s="111">
        <v>7392487.8155653775</v>
      </c>
      <c r="N179" s="111">
        <v>11685583.098011136</v>
      </c>
      <c r="O179" s="111">
        <v>7063794.2612959743</v>
      </c>
      <c r="P179" s="111">
        <v>-7751879.6235561967</v>
      </c>
    </row>
    <row r="180" spans="6:16" ht="15.75" customHeight="1">
      <c r="F180" s="33">
        <v>161</v>
      </c>
      <c r="G180" s="111">
        <v>13932372.551754892</v>
      </c>
      <c r="H180" s="111">
        <v>11713170.4187264</v>
      </c>
      <c r="I180" s="111">
        <v>9908645.1863921136</v>
      </c>
      <c r="J180" s="111">
        <v>2101543.6452769041</v>
      </c>
      <c r="K180" s="111">
        <v>6041798.8888424337</v>
      </c>
      <c r="L180" s="111">
        <v>754197.19593039155</v>
      </c>
      <c r="M180" s="111">
        <v>105129.80876426399</v>
      </c>
      <c r="N180" s="111">
        <v>6315196.9432663172</v>
      </c>
      <c r="O180" s="111">
        <v>6244831.8078049868</v>
      </c>
      <c r="P180" s="111">
        <v>-1955689.3349511325</v>
      </c>
    </row>
    <row r="181" spans="6:16" ht="15.75" customHeight="1">
      <c r="F181" s="33">
        <v>162</v>
      </c>
      <c r="G181" s="111">
        <v>13602427.568038881</v>
      </c>
      <c r="H181" s="111">
        <v>4962197.5700215846</v>
      </c>
      <c r="I181" s="111">
        <v>7706925.5814327449</v>
      </c>
      <c r="J181" s="111">
        <v>10531337.195348233</v>
      </c>
      <c r="K181" s="111">
        <v>1058560.0524949431</v>
      </c>
      <c r="L181" s="111">
        <v>3965406.4052262306</v>
      </c>
      <c r="M181" s="111">
        <v>10109493.353339732</v>
      </c>
      <c r="N181" s="111">
        <v>2205498.0466708988</v>
      </c>
      <c r="O181" s="111">
        <v>398537.01827710867</v>
      </c>
      <c r="P181" s="111">
        <v>1954154.3837008178</v>
      </c>
    </row>
    <row r="182" spans="6:16" ht="15.75" customHeight="1">
      <c r="F182" s="33">
        <v>163</v>
      </c>
      <c r="G182" s="111">
        <v>10392086.187875807</v>
      </c>
      <c r="H182" s="111">
        <v>13536546.142356172</v>
      </c>
      <c r="I182" s="111">
        <v>7827980.6211896837</v>
      </c>
      <c r="J182" s="111">
        <v>2062929.4170074463</v>
      </c>
      <c r="K182" s="111">
        <v>9297220.4525002241</v>
      </c>
      <c r="L182" s="111">
        <v>8892242.2109811604</v>
      </c>
      <c r="M182" s="111">
        <v>8187632.566177696</v>
      </c>
      <c r="N182" s="111">
        <v>-4096605.4657938778</v>
      </c>
      <c r="O182" s="111">
        <v>11066663.242180243</v>
      </c>
      <c r="P182" s="111">
        <v>12664453.764850467</v>
      </c>
    </row>
    <row r="183" spans="6:16" ht="15.75" customHeight="1">
      <c r="F183" s="33">
        <v>164</v>
      </c>
      <c r="G183" s="111">
        <v>3573247.9352330565</v>
      </c>
      <c r="H183" s="111">
        <v>12590504.243299365</v>
      </c>
      <c r="I183" s="111">
        <v>4548944.5613393784</v>
      </c>
      <c r="J183" s="111">
        <v>7301728.5765524954</v>
      </c>
      <c r="K183" s="111">
        <v>2273112.0861543417</v>
      </c>
      <c r="L183" s="111">
        <v>7874998.139781788</v>
      </c>
      <c r="M183" s="111">
        <v>-543611.48433528841</v>
      </c>
      <c r="N183" s="111">
        <v>5040399.6696809232</v>
      </c>
      <c r="O183" s="111">
        <v>3625138.9468047023</v>
      </c>
      <c r="P183" s="111">
        <v>-7012285.1362299621</v>
      </c>
    </row>
    <row r="184" spans="6:16" ht="15.75" customHeight="1">
      <c r="F184" s="33">
        <v>165</v>
      </c>
      <c r="G184" s="111">
        <v>9880432.7998215854</v>
      </c>
      <c r="H184" s="111">
        <v>6477513.2414002568</v>
      </c>
      <c r="I184" s="111">
        <v>9836052.7565869987</v>
      </c>
      <c r="J184" s="111">
        <v>3597522.6945864558</v>
      </c>
      <c r="K184" s="111">
        <v>8187105.8798724115</v>
      </c>
      <c r="L184" s="111">
        <v>7594445.4908407778</v>
      </c>
      <c r="M184" s="111">
        <v>-8527845.7223109007</v>
      </c>
      <c r="N184" s="111">
        <v>1263951.4447430223</v>
      </c>
      <c r="O184" s="111">
        <v>-11748056.65994589</v>
      </c>
      <c r="P184" s="111">
        <v>122350.41657143831</v>
      </c>
    </row>
    <row r="185" spans="6:16" ht="15.75" customHeight="1">
      <c r="F185" s="33">
        <v>166</v>
      </c>
      <c r="G185" s="111">
        <v>30966203.449401915</v>
      </c>
      <c r="H185" s="111">
        <v>6354807.352073282</v>
      </c>
      <c r="I185" s="111">
        <v>7467507.5251451135</v>
      </c>
      <c r="J185" s="111">
        <v>6970613.6055159122</v>
      </c>
      <c r="K185" s="111">
        <v>-1197105.890311718</v>
      </c>
      <c r="L185" s="111">
        <v>-4139204.1701537669</v>
      </c>
      <c r="M185" s="111">
        <v>-2554967.6228899062</v>
      </c>
      <c r="N185" s="111">
        <v>7515870.0974168926</v>
      </c>
      <c r="O185" s="111">
        <v>-6667704.4742674679</v>
      </c>
      <c r="P185" s="111">
        <v>-1382523.766040042</v>
      </c>
    </row>
    <row r="186" spans="6:16" ht="15.75" customHeight="1">
      <c r="F186" s="33">
        <v>167</v>
      </c>
      <c r="G186" s="111">
        <v>12092671.490884945</v>
      </c>
      <c r="H186" s="111">
        <v>9366538.4318675101</v>
      </c>
      <c r="I186" s="111">
        <v>10856177.290524349</v>
      </c>
      <c r="J186" s="111">
        <v>12983488.764983907</v>
      </c>
      <c r="K186" s="111">
        <v>13787910.601028785</v>
      </c>
      <c r="L186" s="111">
        <v>1026116.3298313618</v>
      </c>
      <c r="M186" s="111">
        <v>1122751.5446286649</v>
      </c>
      <c r="N186" s="111">
        <v>-634126.03956615925</v>
      </c>
      <c r="O186" s="111">
        <v>5439412.7246169448</v>
      </c>
      <c r="P186" s="111">
        <v>4438436.5411717296</v>
      </c>
    </row>
    <row r="187" spans="6:16" ht="15.75" customHeight="1">
      <c r="F187" s="33">
        <v>168</v>
      </c>
      <c r="G187" s="111">
        <v>5560306.3572552353</v>
      </c>
      <c r="H187" s="111">
        <v>15277295.332677618</v>
      </c>
      <c r="I187" s="111">
        <v>4064636.2195813656</v>
      </c>
      <c r="J187" s="111">
        <v>7396097.9374793768</v>
      </c>
      <c r="K187" s="111">
        <v>10698759.031332254</v>
      </c>
      <c r="L187" s="111">
        <v>7683496.1741030514</v>
      </c>
      <c r="M187" s="111">
        <v>-2784734.2508327365</v>
      </c>
      <c r="N187" s="111">
        <v>986507.22426442802</v>
      </c>
      <c r="O187" s="111">
        <v>-6233008.4907690585</v>
      </c>
      <c r="P187" s="111">
        <v>588636.04846352339</v>
      </c>
    </row>
    <row r="188" spans="6:16" ht="15.75" customHeight="1">
      <c r="F188" s="33">
        <v>169</v>
      </c>
      <c r="G188" s="111">
        <v>671736.57205624878</v>
      </c>
      <c r="H188" s="111">
        <v>5651309.0937165171</v>
      </c>
      <c r="I188" s="111">
        <v>15254989.544454962</v>
      </c>
      <c r="J188" s="111">
        <v>12216574.361447453</v>
      </c>
      <c r="K188" s="111">
        <v>13520679.043075144</v>
      </c>
      <c r="L188" s="111">
        <v>3706818.3165370226</v>
      </c>
      <c r="M188" s="111">
        <v>2290114.329338938</v>
      </c>
      <c r="N188" s="111">
        <v>-17028.137437060475</v>
      </c>
      <c r="O188" s="111">
        <v>-2911972.1526148021</v>
      </c>
      <c r="P188" s="111">
        <v>8666120.4212973565</v>
      </c>
    </row>
    <row r="189" spans="6:16" ht="15.75" customHeight="1">
      <c r="F189" s="33">
        <v>170</v>
      </c>
      <c r="G189" s="111">
        <v>6345690.7474753559</v>
      </c>
      <c r="H189" s="111">
        <v>14013116.914832234</v>
      </c>
      <c r="I189" s="111">
        <v>5602717.3313697278</v>
      </c>
      <c r="J189" s="111">
        <v>4922458.8864049613</v>
      </c>
      <c r="K189" s="111">
        <v>4879408.435082674</v>
      </c>
      <c r="L189" s="111">
        <v>12888761.50605303</v>
      </c>
      <c r="M189" s="111">
        <v>12519052.453936517</v>
      </c>
      <c r="N189" s="111">
        <v>-1822872.7552745789</v>
      </c>
      <c r="O189" s="111">
        <v>-5893937.8318724334</v>
      </c>
      <c r="P189" s="111">
        <v>-278226.51721709967</v>
      </c>
    </row>
    <row r="190" spans="6:16" ht="15.75" customHeight="1">
      <c r="F190" s="33">
        <v>171</v>
      </c>
      <c r="G190" s="111">
        <v>8293766.3338696808</v>
      </c>
      <c r="H190" s="111">
        <v>3514918.1442577094</v>
      </c>
      <c r="I190" s="111">
        <v>303219.99583216012</v>
      </c>
      <c r="J190" s="111">
        <v>6881338.3472321481</v>
      </c>
      <c r="K190" s="111">
        <v>-2977023.4534766078</v>
      </c>
      <c r="L190" s="111">
        <v>-5584056.2589246929</v>
      </c>
      <c r="M190" s="111">
        <v>8764020.7326926291</v>
      </c>
      <c r="N190" s="111">
        <v>1501668.8121316135</v>
      </c>
      <c r="O190" s="111">
        <v>2115995.2816677988</v>
      </c>
      <c r="P190" s="111">
        <v>-2822889.8210532963</v>
      </c>
    </row>
    <row r="191" spans="6:16" ht="15.75" customHeight="1">
      <c r="F191" s="33">
        <v>172</v>
      </c>
      <c r="G191" s="111">
        <v>10737934.52558215</v>
      </c>
      <c r="H191" s="111">
        <v>11510368.658189237</v>
      </c>
      <c r="I191" s="111">
        <v>10241696.681645095</v>
      </c>
      <c r="J191" s="111">
        <v>9155329.5239094943</v>
      </c>
      <c r="K191" s="111">
        <v>21339144.01724571</v>
      </c>
      <c r="L191" s="111">
        <v>1275731.409378022</v>
      </c>
      <c r="M191" s="111">
        <v>-6459571.9833373725</v>
      </c>
      <c r="N191" s="111">
        <v>-2924809.4480763674</v>
      </c>
      <c r="O191" s="111">
        <v>4759608.5800820291</v>
      </c>
      <c r="P191" s="111">
        <v>-3118598.3280167431</v>
      </c>
    </row>
    <row r="192" spans="6:16" ht="15.75" customHeight="1">
      <c r="F192" s="33">
        <v>173</v>
      </c>
      <c r="G192" s="111">
        <v>13705333.870661676</v>
      </c>
      <c r="H192" s="111">
        <v>5396048.3662891239</v>
      </c>
      <c r="I192" s="111">
        <v>8827186.2295395285</v>
      </c>
      <c r="J192" s="111">
        <v>11449320.099268898</v>
      </c>
      <c r="K192" s="111">
        <v>11603805.444911987</v>
      </c>
      <c r="L192" s="111">
        <v>-4145021.1133797765</v>
      </c>
      <c r="M192" s="111">
        <v>-4337700.4008849561</v>
      </c>
      <c r="N192" s="111">
        <v>5121619.64057073</v>
      </c>
      <c r="O192" s="111">
        <v>-1793689.7955963165</v>
      </c>
      <c r="P192" s="111">
        <v>690951.59693479538</v>
      </c>
    </row>
    <row r="193" spans="6:16" ht="15.75" customHeight="1">
      <c r="F193" s="33">
        <v>174</v>
      </c>
      <c r="G193" s="111">
        <v>14867897.686968476</v>
      </c>
      <c r="H193" s="111">
        <v>-3623378.9685250223</v>
      </c>
      <c r="I193" s="111">
        <v>7512547.5448824614</v>
      </c>
      <c r="J193" s="111">
        <v>2256234.9362265617</v>
      </c>
      <c r="K193" s="111">
        <v>11935979.721383795</v>
      </c>
      <c r="L193" s="111">
        <v>8424791.8563331664</v>
      </c>
      <c r="M193" s="111">
        <v>-401330.41901236773</v>
      </c>
      <c r="N193" s="111">
        <v>6420738.6254279763</v>
      </c>
      <c r="O193" s="111">
        <v>-633504.36008404195</v>
      </c>
      <c r="P193" s="111">
        <v>-4357706.6574577838</v>
      </c>
    </row>
    <row r="194" spans="6:16" ht="15.75" customHeight="1">
      <c r="F194" s="33">
        <v>175</v>
      </c>
      <c r="G194" s="111">
        <v>877040.15161409974</v>
      </c>
      <c r="H194" s="111">
        <v>10029479.05589281</v>
      </c>
      <c r="I194" s="111">
        <v>2393595.5762114823</v>
      </c>
      <c r="J194" s="111">
        <v>2949696.5121890754</v>
      </c>
      <c r="K194" s="111">
        <v>13138744.756787121</v>
      </c>
      <c r="L194" s="111">
        <v>-6078220.0406368077</v>
      </c>
      <c r="M194" s="111">
        <v>12800078.835149452</v>
      </c>
      <c r="N194" s="111">
        <v>-6172369.3475353718</v>
      </c>
      <c r="O194" s="111">
        <v>8651750.4393849969</v>
      </c>
      <c r="P194" s="111">
        <v>-1221426.9310899377</v>
      </c>
    </row>
    <row r="195" spans="6:16" ht="15.75" customHeight="1">
      <c r="F195" s="33">
        <v>176</v>
      </c>
      <c r="G195" s="111">
        <v>15155759.83637543</v>
      </c>
      <c r="H195" s="111">
        <v>11941404.163789541</v>
      </c>
      <c r="I195" s="111">
        <v>19096188.840637118</v>
      </c>
      <c r="J195" s="111">
        <v>20474696.232773378</v>
      </c>
      <c r="K195" s="111">
        <v>3915974.2702010721</v>
      </c>
      <c r="L195" s="111">
        <v>12146475.459514022</v>
      </c>
      <c r="M195" s="111">
        <v>3308452.5014055818</v>
      </c>
      <c r="N195" s="111">
        <v>8782789.0049929619</v>
      </c>
      <c r="O195" s="111">
        <v>8150584.5975093544</v>
      </c>
      <c r="P195" s="111">
        <v>-5709730.6498409212</v>
      </c>
    </row>
    <row r="196" spans="6:16" ht="15.75" customHeight="1">
      <c r="F196" s="33">
        <v>177</v>
      </c>
      <c r="G196" s="111">
        <v>5154404.0875572264</v>
      </c>
      <c r="H196" s="111">
        <v>8115571.9807117581</v>
      </c>
      <c r="I196" s="111">
        <v>2738508.7162374854</v>
      </c>
      <c r="J196" s="111">
        <v>2442676.4484118521</v>
      </c>
      <c r="K196" s="111">
        <v>6876361.3772016913</v>
      </c>
      <c r="L196" s="111">
        <v>3948022.500287652</v>
      </c>
      <c r="M196" s="111">
        <v>2498423.3992384523</v>
      </c>
      <c r="N196" s="111">
        <v>9372903.0703508705</v>
      </c>
      <c r="O196" s="111">
        <v>-1981707.1598646939</v>
      </c>
      <c r="P196" s="111">
        <v>-7592417.7796047777</v>
      </c>
    </row>
    <row r="197" spans="6:16" ht="15.75" customHeight="1">
      <c r="F197" s="33">
        <v>178</v>
      </c>
      <c r="G197" s="111">
        <v>22846474.118254736</v>
      </c>
      <c r="H197" s="111">
        <v>24366059.206888974</v>
      </c>
      <c r="I197" s="111">
        <v>17912308.019205153</v>
      </c>
      <c r="J197" s="111">
        <v>3978996.3796983063</v>
      </c>
      <c r="K197" s="111">
        <v>-3152139.0522093773</v>
      </c>
      <c r="L197" s="111">
        <v>7439807.411086157</v>
      </c>
      <c r="M197" s="111">
        <v>-864276.7094784826</v>
      </c>
      <c r="N197" s="111">
        <v>-1670661.1841227859</v>
      </c>
      <c r="O197" s="111">
        <v>3624988.9634745419</v>
      </c>
      <c r="P197" s="111">
        <v>-2893360.9962242842</v>
      </c>
    </row>
    <row r="198" spans="6:16" ht="15.75" customHeight="1">
      <c r="F198" s="33">
        <v>179</v>
      </c>
      <c r="G198" s="111">
        <v>15385996.95381324</v>
      </c>
      <c r="H198" s="111">
        <v>5215043.694397524</v>
      </c>
      <c r="I198" s="111">
        <v>9344229.7193158269</v>
      </c>
      <c r="J198" s="111">
        <v>7599472.4997196794</v>
      </c>
      <c r="K198" s="111">
        <v>6640207.3466509581</v>
      </c>
      <c r="L198" s="111">
        <v>9994289.9382244945</v>
      </c>
      <c r="M198" s="111">
        <v>-962643.55396714807</v>
      </c>
      <c r="N198" s="111">
        <v>5651055.916583553</v>
      </c>
      <c r="O198" s="111">
        <v>-506669.80196820199</v>
      </c>
      <c r="P198" s="111">
        <v>-4339840.4647351801</v>
      </c>
    </row>
    <row r="199" spans="6:16" ht="15.75" customHeight="1">
      <c r="F199" s="33">
        <v>180</v>
      </c>
      <c r="G199" s="111">
        <v>6984586.7221938968</v>
      </c>
      <c r="H199" s="111">
        <v>11203128.768060148</v>
      </c>
      <c r="I199" s="111">
        <v>9948866.5665689707</v>
      </c>
      <c r="J199" s="111">
        <v>5329565.6841609031</v>
      </c>
      <c r="K199" s="111">
        <v>11632421.56897077</v>
      </c>
      <c r="L199" s="111">
        <v>2463251.6431137025</v>
      </c>
      <c r="M199" s="111">
        <v>12434908.826497138</v>
      </c>
      <c r="N199" s="111">
        <v>-82543.533940479159</v>
      </c>
      <c r="O199" s="111">
        <v>3338079.5887227505</v>
      </c>
      <c r="P199" s="111">
        <v>-6057158.0256091356</v>
      </c>
    </row>
    <row r="200" spans="6:16" ht="15.75" customHeight="1">
      <c r="F200" s="33">
        <v>181</v>
      </c>
      <c r="G200" s="111">
        <v>4222700.5266604125</v>
      </c>
      <c r="H200" s="111">
        <v>6282413.0762428641</v>
      </c>
      <c r="I200" s="111">
        <v>14557647.326358438</v>
      </c>
      <c r="J200" s="111">
        <v>6175699.8268363476</v>
      </c>
      <c r="K200" s="111">
        <v>8475204.402862668</v>
      </c>
      <c r="L200" s="111">
        <v>7220820.4319242984</v>
      </c>
      <c r="M200" s="111">
        <v>3164393.7651155293</v>
      </c>
      <c r="N200" s="111">
        <v>2626385.8175990582</v>
      </c>
      <c r="O200" s="111">
        <v>7639749.1548209339</v>
      </c>
      <c r="P200" s="111">
        <v>2947073.2982856482</v>
      </c>
    </row>
    <row r="201" spans="6:16" ht="15.75" customHeight="1">
      <c r="F201" s="33">
        <v>182</v>
      </c>
      <c r="G201" s="111">
        <v>7056427.8343589157</v>
      </c>
      <c r="H201" s="111">
        <v>3362667.3878415972</v>
      </c>
      <c r="I201" s="111">
        <v>2283921.1891099811</v>
      </c>
      <c r="J201" s="111">
        <v>2201750.4216693044</v>
      </c>
      <c r="K201" s="111">
        <v>-512056.48607769608</v>
      </c>
      <c r="L201" s="111">
        <v>10842695.787477762</v>
      </c>
      <c r="M201" s="111">
        <v>-15561513.399129629</v>
      </c>
      <c r="N201" s="111">
        <v>4555554.3709121644</v>
      </c>
      <c r="O201" s="111">
        <v>11635047.426927537</v>
      </c>
      <c r="P201" s="111">
        <v>-4873067.9101369381</v>
      </c>
    </row>
    <row r="202" spans="6:16" ht="15.75" customHeight="1">
      <c r="F202" s="33">
        <v>183</v>
      </c>
      <c r="G202" s="111">
        <v>2565021.5895243585</v>
      </c>
      <c r="H202" s="111">
        <v>10260123.239922628</v>
      </c>
      <c r="I202" s="111">
        <v>9556126.0848997831</v>
      </c>
      <c r="J202" s="111">
        <v>8152254.422022149</v>
      </c>
      <c r="K202" s="111">
        <v>1037084.2781564593</v>
      </c>
      <c r="L202" s="111">
        <v>7703048.6892003268</v>
      </c>
      <c r="M202" s="111">
        <v>-1673627.1475920677</v>
      </c>
      <c r="N202" s="111">
        <v>1972834.2401668429</v>
      </c>
      <c r="O202" s="111">
        <v>-2478936.0683903694</v>
      </c>
      <c r="P202" s="111">
        <v>-3115866.024698332</v>
      </c>
    </row>
    <row r="203" spans="6:16" ht="15.75" customHeight="1">
      <c r="F203" s="33">
        <v>184</v>
      </c>
      <c r="G203" s="111">
        <v>18025690.768311948</v>
      </c>
      <c r="H203" s="111">
        <v>7352605.6059668362</v>
      </c>
      <c r="I203" s="111">
        <v>10799994.082349479</v>
      </c>
      <c r="J203" s="111">
        <v>7700761.7278695107</v>
      </c>
      <c r="K203" s="111">
        <v>-36412.492981925607</v>
      </c>
      <c r="L203" s="111">
        <v>-2238049.4908255935</v>
      </c>
      <c r="M203" s="111">
        <v>8023605.2596316785</v>
      </c>
      <c r="N203" s="111">
        <v>-228460.73042070866</v>
      </c>
      <c r="O203" s="111">
        <v>901292.90697492659</v>
      </c>
      <c r="P203" s="111">
        <v>-4438579.2942677438</v>
      </c>
    </row>
    <row r="204" spans="6:16" ht="15.75" customHeight="1">
      <c r="F204" s="33">
        <v>185</v>
      </c>
      <c r="G204" s="111">
        <v>16418855.165726408</v>
      </c>
      <c r="H204" s="111">
        <v>11053641.006197095</v>
      </c>
      <c r="I204" s="111">
        <v>5918982.3721159548</v>
      </c>
      <c r="J204" s="111">
        <v>5101818.5914161503</v>
      </c>
      <c r="K204" s="111">
        <v>-414430.91617998481</v>
      </c>
      <c r="L204" s="111">
        <v>13653774.435929686</v>
      </c>
      <c r="M204" s="111">
        <v>5325256.6423706114</v>
      </c>
      <c r="N204" s="111">
        <v>4124583.2383318692</v>
      </c>
      <c r="O204" s="111">
        <v>-225436.20520275831</v>
      </c>
      <c r="P204" s="111">
        <v>2577782.8138697594</v>
      </c>
    </row>
    <row r="205" spans="6:16" ht="15.75" customHeight="1">
      <c r="F205" s="33">
        <v>186</v>
      </c>
      <c r="G205" s="111">
        <v>16751233.197248921</v>
      </c>
      <c r="H205" s="111">
        <v>6595244.3341944814</v>
      </c>
      <c r="I205" s="111">
        <v>3029373.7957140952</v>
      </c>
      <c r="J205" s="111">
        <v>5665501.0957900584</v>
      </c>
      <c r="K205" s="111">
        <v>562186.40733957291</v>
      </c>
      <c r="L205" s="111">
        <v>7193431.3371593058</v>
      </c>
      <c r="M205" s="111">
        <v>7271488.4456320703</v>
      </c>
      <c r="N205" s="111">
        <v>2279244.0573946089</v>
      </c>
      <c r="O205" s="111">
        <v>-6654033.0226988792</v>
      </c>
      <c r="P205" s="111">
        <v>2347617.4716224372</v>
      </c>
    </row>
    <row r="206" spans="6:16" ht="15.75" customHeight="1">
      <c r="F206" s="33">
        <v>187</v>
      </c>
      <c r="G206" s="111">
        <v>13486188.37611869</v>
      </c>
      <c r="H206" s="111">
        <v>10673267.945612594</v>
      </c>
      <c r="I206" s="111">
        <v>10614002.444059372</v>
      </c>
      <c r="J206" s="111">
        <v>13105945.828725219</v>
      </c>
      <c r="K206" s="111">
        <v>4822883.5097206086</v>
      </c>
      <c r="L206" s="111">
        <v>5302194.6144609749</v>
      </c>
      <c r="M206" s="111">
        <v>-5504738.5978579819</v>
      </c>
      <c r="N206" s="111">
        <v>-2952780.8696948588</v>
      </c>
      <c r="O206" s="111">
        <v>1764353.0257242024</v>
      </c>
      <c r="P206" s="111">
        <v>5845986.3110241294</v>
      </c>
    </row>
    <row r="207" spans="6:16" ht="15.75" customHeight="1">
      <c r="F207" s="33">
        <v>188</v>
      </c>
      <c r="G207" s="111">
        <v>9749995.0907608271</v>
      </c>
      <c r="H207" s="111">
        <v>17249566.768673956</v>
      </c>
      <c r="I207" s="111">
        <v>3338176.6710560769</v>
      </c>
      <c r="J207" s="111">
        <v>4749068.0226746053</v>
      </c>
      <c r="K207" s="111">
        <v>5416183.3514546901</v>
      </c>
      <c r="L207" s="111">
        <v>1281398.5950629562</v>
      </c>
      <c r="M207" s="111">
        <v>2362749.1636198759</v>
      </c>
      <c r="N207" s="111">
        <v>2287958.0372513682</v>
      </c>
      <c r="O207" s="111">
        <v>2153700.3081861436</v>
      </c>
      <c r="P207" s="111">
        <v>4489536.1965128332</v>
      </c>
    </row>
    <row r="208" spans="6:16" ht="15.75" customHeight="1">
      <c r="F208" s="33">
        <v>189</v>
      </c>
      <c r="G208" s="111">
        <v>13858874.473344415</v>
      </c>
      <c r="H208" s="111">
        <v>12734730.828149915</v>
      </c>
      <c r="I208" s="111">
        <v>14442233.387991861</v>
      </c>
      <c r="J208" s="111">
        <v>5796850.4819813371</v>
      </c>
      <c r="K208" s="111">
        <v>8093096.0871640444</v>
      </c>
      <c r="L208" s="111">
        <v>13138988.537358359</v>
      </c>
      <c r="M208" s="111">
        <v>10519679.770301208</v>
      </c>
      <c r="N208" s="111">
        <v>5639066.0042478144</v>
      </c>
      <c r="O208" s="111">
        <v>5247260.1004585177</v>
      </c>
      <c r="P208" s="111">
        <v>-9517449.4788420796</v>
      </c>
    </row>
    <row r="209" spans="6:16" ht="15.75" customHeight="1">
      <c r="F209" s="33">
        <v>190</v>
      </c>
      <c r="G209" s="111">
        <v>19378836.605325133</v>
      </c>
      <c r="H209" s="111">
        <v>7375103.1065011621</v>
      </c>
      <c r="I209" s="111">
        <v>4271088.3158545345</v>
      </c>
      <c r="J209" s="111">
        <v>6179297.9816852659</v>
      </c>
      <c r="K209" s="111">
        <v>4945584.576693669</v>
      </c>
      <c r="L209" s="111">
        <v>11218086.58649984</v>
      </c>
      <c r="M209" s="111">
        <v>7509183.9943935871</v>
      </c>
      <c r="N209" s="111">
        <v>-435836.17939077318</v>
      </c>
      <c r="O209" s="111">
        <v>-5078644.8996952772</v>
      </c>
      <c r="P209" s="111">
        <v>12165118.369499087</v>
      </c>
    </row>
    <row r="210" spans="6:16" ht="15.75" customHeight="1">
      <c r="F210" s="33">
        <v>191</v>
      </c>
      <c r="G210" s="111">
        <v>9065646.1298593432</v>
      </c>
      <c r="H210" s="111">
        <v>9962260.6090485007</v>
      </c>
      <c r="I210" s="111">
        <v>-272403.63060030341</v>
      </c>
      <c r="J210" s="111">
        <v>2608479.6602401435</v>
      </c>
      <c r="K210" s="111">
        <v>1963566.6813020855</v>
      </c>
      <c r="L210" s="111">
        <v>2958900.3462338001</v>
      </c>
      <c r="M210" s="111">
        <v>5709791.5025996268</v>
      </c>
      <c r="N210" s="111">
        <v>2331344.593916744</v>
      </c>
      <c r="O210" s="111">
        <v>-3071460.5302075446</v>
      </c>
      <c r="P210" s="111">
        <v>4776292.3289832771</v>
      </c>
    </row>
    <row r="211" spans="6:16" ht="15.75" customHeight="1">
      <c r="F211" s="33">
        <v>192</v>
      </c>
      <c r="G211" s="111">
        <v>3201245.8028456271</v>
      </c>
      <c r="H211" s="111">
        <v>3085189.2325823158</v>
      </c>
      <c r="I211" s="111">
        <v>2945174.5767958313</v>
      </c>
      <c r="J211" s="111">
        <v>5459562.5103739947</v>
      </c>
      <c r="K211" s="111">
        <v>6498717.4172129929</v>
      </c>
      <c r="L211" s="111">
        <v>2318518.6354411691</v>
      </c>
      <c r="M211" s="111">
        <v>-1112757.1673429608</v>
      </c>
      <c r="N211" s="111">
        <v>-752477.33023628592</v>
      </c>
      <c r="O211" s="111">
        <v>-5488758.1109665185</v>
      </c>
      <c r="P211" s="111">
        <v>-654111.21695551276</v>
      </c>
    </row>
    <row r="212" spans="6:16" ht="15.75" customHeight="1">
      <c r="F212" s="33">
        <v>193</v>
      </c>
      <c r="G212" s="111">
        <v>19619721.065068364</v>
      </c>
      <c r="H212" s="111">
        <v>7948824.5331086069</v>
      </c>
      <c r="I212" s="111">
        <v>4096495.4118383974</v>
      </c>
      <c r="J212" s="111">
        <v>-2347782.4812218398</v>
      </c>
      <c r="K212" s="111">
        <v>-1609743.918190524</v>
      </c>
      <c r="L212" s="111">
        <v>-3215458.4893274903</v>
      </c>
      <c r="M212" s="111">
        <v>9263779.3279737085</v>
      </c>
      <c r="N212" s="111">
        <v>-1135386.7614298463</v>
      </c>
      <c r="O212" s="111">
        <v>-3054014.2278411686</v>
      </c>
      <c r="P212" s="111">
        <v>-5750698.5626003146</v>
      </c>
    </row>
    <row r="213" spans="6:16" ht="15.75" customHeight="1">
      <c r="F213" s="33">
        <v>194</v>
      </c>
      <c r="G213" s="111">
        <v>2374959.8157416284</v>
      </c>
      <c r="H213" s="111">
        <v>11447983.142372206</v>
      </c>
      <c r="I213" s="111">
        <v>3406115.1828144789</v>
      </c>
      <c r="J213" s="111">
        <v>9363879.6454893053</v>
      </c>
      <c r="K213" s="111">
        <v>7055109.2254961878</v>
      </c>
      <c r="L213" s="111">
        <v>1409094.9910856038</v>
      </c>
      <c r="M213" s="111">
        <v>-1109948.6441283822</v>
      </c>
      <c r="N213" s="111">
        <v>1603199.0952138901</v>
      </c>
      <c r="O213" s="111">
        <v>7433139.945666641</v>
      </c>
      <c r="P213" s="111">
        <v>-838503.07839804888</v>
      </c>
    </row>
    <row r="214" spans="6:16" ht="15.75" customHeight="1">
      <c r="F214" s="33">
        <v>195</v>
      </c>
      <c r="G214" s="111">
        <v>18134593.843004584</v>
      </c>
      <c r="H214" s="111">
        <v>10049697.26207839</v>
      </c>
      <c r="I214" s="111">
        <v>9550278.0596616417</v>
      </c>
      <c r="J214" s="111">
        <v>8139115.3804749101</v>
      </c>
      <c r="K214" s="111">
        <v>9481246.31463027</v>
      </c>
      <c r="L214" s="111">
        <v>270628.70824068785</v>
      </c>
      <c r="M214" s="111">
        <v>1719069.3016304076</v>
      </c>
      <c r="N214" s="111">
        <v>14687087.117893979</v>
      </c>
      <c r="O214" s="111">
        <v>-1171239.8294158429</v>
      </c>
      <c r="P214" s="111">
        <v>-140128.21705526114</v>
      </c>
    </row>
    <row r="215" spans="6:16" ht="15.75" customHeight="1">
      <c r="F215" s="33">
        <v>196</v>
      </c>
      <c r="G215" s="111">
        <v>3309412.5075514615</v>
      </c>
      <c r="H215" s="111">
        <v>14142227.3991822</v>
      </c>
      <c r="I215" s="111">
        <v>764218.60426484048</v>
      </c>
      <c r="J215" s="111">
        <v>-10490418.035550758</v>
      </c>
      <c r="K215" s="111">
        <v>1340078.4025288373</v>
      </c>
      <c r="L215" s="111">
        <v>10075123.044513643</v>
      </c>
      <c r="M215" s="111">
        <v>-299143.78383915126</v>
      </c>
      <c r="N215" s="111">
        <v>-722809.23134812713</v>
      </c>
      <c r="O215" s="111">
        <v>1412607.4358335435</v>
      </c>
      <c r="P215" s="111">
        <v>2992872.6148378551</v>
      </c>
    </row>
    <row r="216" spans="6:16" ht="15.75" customHeight="1">
      <c r="F216" s="33">
        <v>197</v>
      </c>
      <c r="G216" s="111">
        <v>9332123.3809487522</v>
      </c>
      <c r="H216" s="111">
        <v>8263539.7903692573</v>
      </c>
      <c r="I216" s="111">
        <v>13113362.098313898</v>
      </c>
      <c r="J216" s="111">
        <v>2327275.9767203331</v>
      </c>
      <c r="K216" s="111">
        <v>-2673488.2147576213</v>
      </c>
      <c r="L216" s="111">
        <v>-1829789.5397919863</v>
      </c>
      <c r="M216" s="111">
        <v>10026951.036485702</v>
      </c>
      <c r="N216" s="111">
        <v>-2829001.0063278228</v>
      </c>
      <c r="O216" s="111">
        <v>-451948.68051223457</v>
      </c>
      <c r="P216" s="111">
        <v>-4083606.8601519763</v>
      </c>
    </row>
    <row r="217" spans="6:16" ht="15.75" customHeight="1">
      <c r="F217" s="33">
        <v>198</v>
      </c>
      <c r="G217" s="111">
        <v>14287453.661622852</v>
      </c>
      <c r="H217" s="111">
        <v>16009130.230091393</v>
      </c>
      <c r="I217" s="111">
        <v>11885877.822713867</v>
      </c>
      <c r="J217" s="111">
        <v>9192584.574418813</v>
      </c>
      <c r="K217" s="111">
        <v>14366230.215929538</v>
      </c>
      <c r="L217" s="111">
        <v>14637241.167044252</v>
      </c>
      <c r="M217" s="111">
        <v>3271758.9260389209</v>
      </c>
      <c r="N217" s="111">
        <v>-12076013.461422488</v>
      </c>
      <c r="O217" s="111">
        <v>780136.80742046237</v>
      </c>
      <c r="P217" s="111">
        <v>-6998218.0763500929</v>
      </c>
    </row>
    <row r="218" spans="6:16" ht="15.75" customHeight="1">
      <c r="F218" s="33">
        <v>199</v>
      </c>
      <c r="G218" s="111">
        <v>12960372.863436833</v>
      </c>
      <c r="H218" s="111">
        <v>7647637.0505698025</v>
      </c>
      <c r="I218" s="111">
        <v>5201135.5066159964</v>
      </c>
      <c r="J218" s="111">
        <v>11307329.956695914</v>
      </c>
      <c r="K218" s="111">
        <v>13219813.194948673</v>
      </c>
      <c r="L218" s="111">
        <v>2584406.9291448742</v>
      </c>
      <c r="M218" s="111">
        <v>7983965.976853773</v>
      </c>
      <c r="N218" s="111">
        <v>5512694.1222685128</v>
      </c>
      <c r="O218" s="111">
        <v>-1212550.1996719092</v>
      </c>
      <c r="P218" s="111">
        <v>2502784.8353054225</v>
      </c>
    </row>
    <row r="219" spans="6:16" ht="15.75" customHeight="1">
      <c r="F219" s="33">
        <v>200</v>
      </c>
      <c r="G219" s="111">
        <v>9778790.2553557903</v>
      </c>
      <c r="H219" s="111">
        <v>14529028.243729115</v>
      </c>
      <c r="I219" s="111">
        <v>17262379.620776445</v>
      </c>
      <c r="J219" s="111">
        <v>7979781.8745176643</v>
      </c>
      <c r="K219" s="111">
        <v>10462301.628277779</v>
      </c>
      <c r="L219" s="111">
        <v>8854615.4665445983</v>
      </c>
      <c r="M219" s="111">
        <v>8905992.1614672989</v>
      </c>
      <c r="N219" s="111">
        <v>-7584650.8018547297</v>
      </c>
      <c r="O219" s="111">
        <v>10025980.950036868</v>
      </c>
      <c r="P219" s="111">
        <v>-4327994.7863914222</v>
      </c>
    </row>
  </sheetData>
  <conditionalFormatting sqref="G16:P1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Arkusz7">
    <tabColor rgb="FFCC0000"/>
    <outlinePr summaryBelow="0" summaryRight="0"/>
  </sheetPr>
  <dimension ref="A2:CA237"/>
  <sheetViews>
    <sheetView workbookViewId="0">
      <selection activeCell="U37" sqref="U37"/>
    </sheetView>
  </sheetViews>
  <sheetFormatPr defaultColWidth="12.6640625" defaultRowHeight="15.75" customHeight="1"/>
  <cols>
    <col min="1" max="1" width="12.6640625" style="33"/>
    <col min="2" max="2" width="18.77734375" style="33" bestFit="1" customWidth="1"/>
    <col min="3" max="3" width="20.109375" style="33" bestFit="1" customWidth="1"/>
    <col min="4" max="4" width="18.109375" style="33" customWidth="1"/>
    <col min="5" max="6" width="12.6640625" style="33"/>
    <col min="7" max="7" width="19.33203125" style="33" customWidth="1"/>
    <col min="8" max="18" width="12.6640625" style="33"/>
    <col min="19" max="26" width="13.6640625" style="33" bestFit="1" customWidth="1"/>
    <col min="27" max="16384" width="12.6640625" style="33"/>
  </cols>
  <sheetData>
    <row r="2" spans="1:79" ht="15.75" customHeight="1">
      <c r="A2" s="124"/>
      <c r="B2" s="124" t="s">
        <v>90</v>
      </c>
      <c r="C2" s="124"/>
      <c r="D2" s="124"/>
      <c r="E2" s="124"/>
      <c r="F2" s="124"/>
      <c r="G2" s="124"/>
      <c r="H2" s="124"/>
      <c r="I2" s="124"/>
      <c r="J2" s="124"/>
      <c r="K2" s="124"/>
      <c r="L2" s="124"/>
      <c r="M2" s="124"/>
      <c r="N2" s="124"/>
      <c r="O2" s="124"/>
      <c r="P2" s="124"/>
      <c r="Q2" s="124"/>
      <c r="R2" s="124"/>
      <c r="S2" s="124"/>
      <c r="T2" s="124"/>
      <c r="U2" s="124"/>
      <c r="V2" s="124"/>
      <c r="W2" s="124"/>
      <c r="X2" s="124"/>
      <c r="Y2" s="124"/>
      <c r="Z2" s="124"/>
      <c r="AA2" s="124"/>
      <c r="AB2" s="124"/>
      <c r="AC2" s="124"/>
      <c r="AD2" s="124"/>
      <c r="AE2" s="124"/>
      <c r="AF2" s="124"/>
      <c r="AG2" s="124"/>
      <c r="AH2" s="124"/>
      <c r="AI2" s="124"/>
      <c r="AJ2" s="124"/>
      <c r="AK2" s="124"/>
      <c r="AL2" s="124"/>
      <c r="AM2" s="124"/>
      <c r="AN2" s="124"/>
      <c r="AO2" s="124"/>
      <c r="AP2" s="124"/>
      <c r="AQ2" s="124"/>
      <c r="AR2" s="124"/>
      <c r="AS2" s="124"/>
      <c r="AT2" s="124"/>
      <c r="AU2" s="124"/>
      <c r="AV2" s="124"/>
      <c r="AW2" s="124"/>
      <c r="AX2" s="124"/>
      <c r="AY2" s="124"/>
      <c r="AZ2" s="124"/>
      <c r="BA2" s="124"/>
      <c r="BB2" s="124"/>
      <c r="BC2" s="124"/>
      <c r="BD2" s="124"/>
      <c r="BE2" s="124"/>
      <c r="BF2" s="124"/>
      <c r="BG2" s="124"/>
      <c r="BH2" s="124"/>
      <c r="BI2" s="124"/>
      <c r="BJ2" s="124"/>
      <c r="BK2" s="124"/>
      <c r="BL2" s="124"/>
      <c r="BM2" s="124"/>
      <c r="BN2" s="124"/>
      <c r="BO2" s="124"/>
      <c r="BP2" s="124"/>
      <c r="BQ2" s="124"/>
      <c r="BR2" s="124"/>
      <c r="BS2" s="124"/>
      <c r="BT2" s="124"/>
      <c r="BU2" s="124"/>
      <c r="BV2" s="124"/>
      <c r="BW2" s="124"/>
      <c r="BX2" s="124"/>
      <c r="BY2" s="124"/>
      <c r="BZ2" s="124"/>
      <c r="CA2" s="124"/>
    </row>
    <row r="3" spans="1:79" ht="15.75" customHeight="1">
      <c r="A3" s="124"/>
      <c r="B3" s="124"/>
      <c r="C3" s="124"/>
      <c r="D3" s="124"/>
      <c r="E3" s="124"/>
      <c r="F3" s="124"/>
      <c r="G3" s="124"/>
      <c r="H3" s="124"/>
      <c r="I3" s="124"/>
      <c r="J3" s="124"/>
      <c r="K3" s="124"/>
      <c r="L3" s="124"/>
      <c r="M3" s="124"/>
      <c r="N3" s="124"/>
      <c r="O3" s="124"/>
      <c r="P3" s="124"/>
      <c r="Q3" s="124"/>
      <c r="R3" s="124"/>
      <c r="S3" s="124"/>
      <c r="T3" s="124"/>
      <c r="U3" s="124"/>
      <c r="V3" s="124"/>
      <c r="W3" s="124"/>
      <c r="X3" s="124"/>
      <c r="Y3" s="124"/>
      <c r="Z3" s="124"/>
      <c r="AA3" s="124"/>
      <c r="AB3" s="124"/>
      <c r="AC3" s="124"/>
      <c r="AD3" s="124"/>
      <c r="AE3" s="124"/>
      <c r="AF3" s="124"/>
      <c r="AG3" s="124"/>
      <c r="AH3" s="124"/>
      <c r="AI3" s="124"/>
      <c r="AJ3" s="124"/>
      <c r="AK3" s="124"/>
      <c r="AL3" s="124"/>
      <c r="AM3" s="124"/>
      <c r="AN3" s="124"/>
      <c r="AO3" s="124"/>
      <c r="AP3" s="124"/>
      <c r="AQ3" s="124"/>
      <c r="AR3" s="124"/>
      <c r="AS3" s="124"/>
      <c r="AT3" s="124"/>
      <c r="AU3" s="124"/>
      <c r="AV3" s="124"/>
      <c r="AW3" s="124"/>
      <c r="AX3" s="124"/>
      <c r="AY3" s="124"/>
      <c r="AZ3" s="124"/>
      <c r="BA3" s="124"/>
      <c r="BB3" s="124"/>
      <c r="BC3" s="124"/>
      <c r="BD3" s="124"/>
      <c r="BE3" s="124"/>
      <c r="BF3" s="124"/>
      <c r="BG3" s="124"/>
      <c r="BH3" s="124"/>
      <c r="BI3" s="124"/>
      <c r="BJ3" s="124"/>
      <c r="BK3" s="124"/>
      <c r="BL3" s="124"/>
      <c r="BM3" s="124"/>
      <c r="BN3" s="124"/>
      <c r="BO3" s="124"/>
      <c r="BP3" s="124"/>
      <c r="BQ3" s="124"/>
      <c r="BR3" s="124"/>
      <c r="BS3" s="124"/>
      <c r="BT3" s="124"/>
      <c r="BU3" s="124"/>
      <c r="BV3" s="124"/>
      <c r="BW3" s="124"/>
      <c r="BX3" s="124"/>
      <c r="BY3" s="124"/>
      <c r="BZ3" s="124"/>
      <c r="CA3" s="124"/>
    </row>
    <row r="4" spans="1:79" ht="15.75" customHeight="1">
      <c r="A4" s="124"/>
      <c r="B4" s="12" t="s">
        <v>91</v>
      </c>
      <c r="C4" s="12"/>
      <c r="D4" s="12"/>
      <c r="E4" s="12"/>
      <c r="F4" s="12"/>
    </row>
    <row r="5" spans="1:79" ht="15.75" customHeight="1">
      <c r="A5" s="124"/>
      <c r="B5" s="13" t="s">
        <v>92</v>
      </c>
      <c r="C5" s="13" t="s">
        <v>85</v>
      </c>
      <c r="D5" s="13" t="s">
        <v>93</v>
      </c>
      <c r="E5" s="13" t="s">
        <v>94</v>
      </c>
      <c r="F5" s="12"/>
    </row>
    <row r="6" spans="1:79" ht="15.75" customHeight="1">
      <c r="A6" s="125">
        <f ca="1">RANDBETWEEN(45,55)</f>
        <v>55</v>
      </c>
      <c r="B6" s="14" t="s">
        <v>95</v>
      </c>
      <c r="C6" s="15">
        <v>2209113</v>
      </c>
      <c r="D6" s="15">
        <v>2177808</v>
      </c>
      <c r="E6" s="15">
        <v>31305</v>
      </c>
      <c r="F6" s="12"/>
    </row>
    <row r="7" spans="1:79" ht="15.75" customHeight="1">
      <c r="A7" s="125">
        <f ca="1">RANDBETWEEN(36,44)</f>
        <v>37</v>
      </c>
      <c r="B7" s="14" t="s">
        <v>96</v>
      </c>
      <c r="C7" s="15">
        <v>6705081</v>
      </c>
      <c r="D7" s="15">
        <v>6534162</v>
      </c>
      <c r="E7" s="15">
        <v>170919</v>
      </c>
      <c r="F7" s="12"/>
    </row>
    <row r="8" spans="1:79" ht="15.75" customHeight="1">
      <c r="A8" s="125">
        <f ca="1">RANDBETWEEN(27,33)</f>
        <v>28</v>
      </c>
      <c r="B8" s="14" t="s">
        <v>97</v>
      </c>
      <c r="C8" s="15">
        <v>41320</v>
      </c>
      <c r="D8" s="15">
        <v>40021</v>
      </c>
      <c r="E8" s="15">
        <v>1299</v>
      </c>
      <c r="F8" s="12"/>
    </row>
    <row r="9" spans="1:79" ht="15.75" customHeight="1">
      <c r="A9" s="124"/>
      <c r="B9" s="14" t="s">
        <v>98</v>
      </c>
      <c r="C9" s="18">
        <v>8955514</v>
      </c>
      <c r="D9" s="18">
        <v>8751991</v>
      </c>
      <c r="E9" s="18">
        <v>203523</v>
      </c>
      <c r="F9" s="19"/>
    </row>
    <row r="10" spans="1:79" ht="15.75" customHeight="1">
      <c r="A10" s="124"/>
      <c r="B10" s="12"/>
      <c r="C10" s="12"/>
      <c r="D10" s="12"/>
      <c r="E10" s="12"/>
      <c r="F10" s="12"/>
      <c r="G10" s="124"/>
      <c r="H10" s="124"/>
      <c r="I10" s="124"/>
      <c r="J10" s="124"/>
      <c r="K10" s="124"/>
      <c r="L10" s="124"/>
      <c r="M10" s="124"/>
      <c r="N10" s="124"/>
      <c r="O10" s="124"/>
      <c r="P10" s="124"/>
      <c r="Q10" s="124"/>
      <c r="R10" s="124"/>
      <c r="S10" s="124"/>
      <c r="T10" s="124"/>
      <c r="U10" s="124"/>
      <c r="V10" s="124"/>
      <c r="W10" s="124"/>
      <c r="X10" s="124"/>
      <c r="Y10" s="124"/>
      <c r="Z10" s="124"/>
      <c r="AA10" s="124"/>
      <c r="AB10" s="124"/>
      <c r="AC10" s="124"/>
      <c r="AD10" s="124"/>
      <c r="AE10" s="124"/>
      <c r="AF10" s="124"/>
      <c r="AG10" s="124"/>
      <c r="AH10" s="124"/>
      <c r="AI10" s="124"/>
      <c r="AJ10" s="124"/>
      <c r="AK10" s="124"/>
      <c r="AL10" s="124"/>
      <c r="AM10" s="124"/>
      <c r="AN10" s="124"/>
      <c r="AO10" s="124"/>
      <c r="AP10" s="124"/>
      <c r="AQ10" s="124"/>
      <c r="AR10" s="124"/>
      <c r="AS10" s="124"/>
      <c r="AT10" s="124"/>
      <c r="AU10" s="124"/>
      <c r="AV10" s="124"/>
      <c r="AW10" s="124"/>
      <c r="AX10" s="124"/>
      <c r="AY10" s="124"/>
      <c r="AZ10" s="124"/>
      <c r="BA10" s="124"/>
      <c r="BB10" s="124"/>
      <c r="BC10" s="124"/>
      <c r="BD10" s="124"/>
      <c r="BE10" s="124"/>
      <c r="BF10" s="124"/>
      <c r="BG10" s="124"/>
      <c r="BH10" s="124"/>
      <c r="BI10" s="124"/>
      <c r="BJ10" s="124"/>
      <c r="BK10" s="124"/>
      <c r="BL10" s="124"/>
      <c r="BM10" s="124"/>
      <c r="BN10" s="124"/>
      <c r="BO10" s="124"/>
      <c r="BP10" s="124"/>
      <c r="BQ10" s="124"/>
      <c r="BR10" s="124"/>
      <c r="BS10" s="124"/>
      <c r="BT10" s="124"/>
      <c r="BU10" s="124"/>
      <c r="BV10" s="124"/>
      <c r="BW10" s="124"/>
      <c r="BX10" s="124" t="s">
        <v>10</v>
      </c>
      <c r="BY10" s="124"/>
      <c r="BZ10" s="124"/>
      <c r="CA10" s="124"/>
    </row>
    <row r="11" spans="1:79" ht="15.75" customHeight="1">
      <c r="A11" s="124"/>
      <c r="B11" s="12" t="s">
        <v>99</v>
      </c>
      <c r="C11" s="13" t="s">
        <v>85</v>
      </c>
      <c r="D11" s="13" t="s">
        <v>93</v>
      </c>
      <c r="E11" s="13" t="s">
        <v>94</v>
      </c>
      <c r="F11" s="12"/>
      <c r="G11" s="124"/>
      <c r="H11" s="124"/>
      <c r="I11" s="124"/>
      <c r="J11" s="124"/>
      <c r="K11" s="124"/>
      <c r="L11" s="124"/>
      <c r="M11" s="124"/>
      <c r="N11" s="124"/>
      <c r="O11" s="124"/>
      <c r="P11" s="124"/>
      <c r="Q11" s="124"/>
      <c r="R11" s="124"/>
      <c r="S11" s="124"/>
      <c r="T11" s="124"/>
      <c r="U11" s="124"/>
      <c r="V11" s="124"/>
      <c r="W11" s="124"/>
      <c r="X11" s="124"/>
      <c r="Y11" s="124"/>
      <c r="Z11" s="124"/>
      <c r="AA11" s="124"/>
      <c r="AB11" s="124"/>
      <c r="AC11" s="124"/>
      <c r="AD11" s="124"/>
      <c r="AE11" s="124"/>
      <c r="AF11" s="124"/>
      <c r="AG11" s="124"/>
      <c r="AH11" s="124"/>
      <c r="AI11" s="124"/>
      <c r="AJ11" s="124"/>
      <c r="AK11" s="124"/>
      <c r="AL11" s="124"/>
      <c r="AM11" s="124"/>
      <c r="AN11" s="124"/>
      <c r="AO11" s="124"/>
      <c r="AP11" s="124"/>
      <c r="AQ11" s="124"/>
      <c r="AR11" s="124"/>
      <c r="AS11" s="124"/>
      <c r="AT11" s="124"/>
      <c r="AU11" s="124"/>
      <c r="AV11" s="124"/>
      <c r="AW11" s="124"/>
      <c r="AX11" s="124"/>
      <c r="AY11" s="124"/>
      <c r="AZ11" s="124"/>
      <c r="BA11" s="124"/>
      <c r="BB11" s="124"/>
      <c r="BC11" s="124"/>
      <c r="BD11" s="124"/>
      <c r="BE11" s="124"/>
      <c r="BF11" s="124"/>
      <c r="BG11" s="124"/>
      <c r="BH11" s="124"/>
      <c r="BI11" s="124"/>
      <c r="BJ11" s="124"/>
      <c r="BK11" s="124"/>
      <c r="BL11" s="124"/>
      <c r="BM11" s="124"/>
      <c r="BN11" s="124"/>
      <c r="BO11" s="124"/>
      <c r="BP11" s="124"/>
      <c r="BQ11" s="124"/>
      <c r="BR11" s="124"/>
      <c r="BS11" s="124"/>
      <c r="BT11" s="124"/>
      <c r="BU11" s="124"/>
      <c r="BV11" s="124"/>
      <c r="BW11" s="124"/>
      <c r="BX11" s="124" t="s">
        <v>10</v>
      </c>
      <c r="BY11" s="124"/>
      <c r="BZ11" s="124"/>
      <c r="CA11" s="124"/>
    </row>
    <row r="12" spans="1:79" ht="15.75" customHeight="1">
      <c r="A12" s="124"/>
      <c r="B12" s="14" t="s">
        <v>95</v>
      </c>
      <c r="C12" s="20">
        <f ca="1">(A6*C6/100)*$P$25</f>
        <v>7295543.9680851316</v>
      </c>
      <c r="D12" s="20">
        <f t="shared" ref="D12:D14" ca="1" si="0">(A6*D6/100)*$P$25</f>
        <v>7192159.9384221379</v>
      </c>
      <c r="E12" s="20">
        <f t="shared" ref="E12:E14" ca="1" si="1">(A6*E6/100)*$P$25</f>
        <v>103384.02966299372</v>
      </c>
      <c r="F12" s="12"/>
      <c r="G12" s="124"/>
      <c r="H12" s="124"/>
      <c r="I12" s="124"/>
      <c r="J12" s="124"/>
      <c r="K12" s="124"/>
      <c r="L12" s="124"/>
      <c r="M12" s="124"/>
      <c r="N12" s="124"/>
      <c r="O12" s="124"/>
      <c r="P12" s="124"/>
      <c r="Q12" s="124"/>
      <c r="R12" s="124"/>
      <c r="S12" s="124"/>
      <c r="T12" s="124"/>
      <c r="U12" s="124"/>
      <c r="V12" s="124"/>
      <c r="W12" s="124"/>
      <c r="X12" s="124"/>
      <c r="Y12" s="124"/>
      <c r="Z12" s="124"/>
      <c r="AA12" s="124"/>
      <c r="AB12" s="124"/>
      <c r="AC12" s="124"/>
      <c r="AD12" s="124"/>
      <c r="AE12" s="124"/>
      <c r="AF12" s="124"/>
      <c r="AG12" s="124"/>
      <c r="AH12" s="124"/>
      <c r="AI12" s="124"/>
      <c r="AJ12" s="124"/>
      <c r="AK12" s="124"/>
      <c r="AL12" s="124"/>
      <c r="AM12" s="124"/>
      <c r="AN12" s="124"/>
      <c r="AO12" s="124"/>
      <c r="AP12" s="124"/>
      <c r="AQ12" s="124"/>
      <c r="AR12" s="124"/>
      <c r="AS12" s="124"/>
      <c r="AT12" s="124"/>
      <c r="AU12" s="124"/>
      <c r="AV12" s="124"/>
      <c r="AW12" s="124"/>
      <c r="AX12" s="124"/>
      <c r="AY12" s="124"/>
      <c r="AZ12" s="124"/>
      <c r="BA12" s="124"/>
      <c r="BB12" s="124"/>
      <c r="BC12" s="124"/>
      <c r="BD12" s="124"/>
      <c r="BE12" s="124"/>
      <c r="BF12" s="124"/>
      <c r="BG12" s="124"/>
      <c r="BH12" s="124"/>
      <c r="BI12" s="124"/>
      <c r="BJ12" s="124"/>
      <c r="BK12" s="124"/>
      <c r="BL12" s="124"/>
      <c r="BM12" s="124"/>
      <c r="BN12" s="124"/>
      <c r="BO12" s="124"/>
      <c r="BP12" s="124"/>
      <c r="BQ12" s="124"/>
      <c r="BR12" s="124"/>
      <c r="BS12" s="124"/>
      <c r="BT12" s="124"/>
      <c r="BU12" s="124"/>
      <c r="BV12" s="124"/>
      <c r="BW12" s="124"/>
      <c r="BX12" s="124" t="s">
        <v>10</v>
      </c>
      <c r="BY12" s="124"/>
      <c r="BZ12" s="124"/>
      <c r="CA12" s="124"/>
    </row>
    <row r="13" spans="1:79" ht="15.75" customHeight="1">
      <c r="A13" s="124"/>
      <c r="B13" s="14" t="s">
        <v>96</v>
      </c>
      <c r="C13" s="20">
        <f t="shared" ref="C13:C14" ca="1" si="2">(A7*C7/100)*$P$25</f>
        <v>14896450.953742912</v>
      </c>
      <c r="D13" s="20">
        <f t="shared" ca="1" si="0"/>
        <v>14516726.010738824</v>
      </c>
      <c r="E13" s="20">
        <f ca="1">(A7*E7/100)*$P$25</f>
        <v>379724.94300408667</v>
      </c>
      <c r="F13" s="12"/>
      <c r="G13" s="124"/>
      <c r="H13" s="124"/>
      <c r="I13" s="124"/>
      <c r="J13" s="124"/>
      <c r="K13" s="124"/>
      <c r="L13" s="124"/>
      <c r="M13" s="124"/>
      <c r="N13" s="124"/>
      <c r="O13" s="124"/>
      <c r="P13" s="124"/>
      <c r="Q13" s="124"/>
      <c r="R13" s="124"/>
      <c r="S13" s="124"/>
      <c r="T13" s="124"/>
      <c r="U13" s="124"/>
      <c r="V13" s="124"/>
      <c r="W13" s="124"/>
      <c r="X13" s="124"/>
      <c r="Y13" s="124"/>
      <c r="Z13" s="124"/>
      <c r="AA13" s="124"/>
      <c r="AB13" s="124"/>
      <c r="AC13" s="124"/>
      <c r="AD13" s="124"/>
      <c r="AE13" s="124"/>
      <c r="AF13" s="124"/>
      <c r="AG13" s="124"/>
      <c r="AH13" s="124"/>
      <c r="AI13" s="124"/>
      <c r="AJ13" s="124"/>
      <c r="AK13" s="124"/>
      <c r="AL13" s="124"/>
      <c r="AM13" s="124"/>
      <c r="AN13" s="124"/>
      <c r="AO13" s="124"/>
      <c r="AP13" s="124"/>
      <c r="AQ13" s="124"/>
      <c r="AR13" s="124"/>
      <c r="AS13" s="124"/>
      <c r="AT13" s="124"/>
      <c r="AU13" s="124"/>
      <c r="AV13" s="124"/>
      <c r="AW13" s="124"/>
      <c r="AX13" s="124"/>
      <c r="AY13" s="124"/>
      <c r="AZ13" s="124"/>
      <c r="BA13" s="124"/>
      <c r="BB13" s="124"/>
      <c r="BC13" s="124"/>
      <c r="BD13" s="124"/>
      <c r="BE13" s="124"/>
      <c r="BF13" s="124"/>
      <c r="BG13" s="124"/>
      <c r="BH13" s="124"/>
      <c r="BI13" s="124"/>
      <c r="BJ13" s="124"/>
      <c r="BK13" s="124"/>
      <c r="BL13" s="124"/>
      <c r="BM13" s="124"/>
      <c r="BN13" s="124"/>
      <c r="BO13" s="124"/>
      <c r="BP13" s="124"/>
      <c r="BQ13" s="124"/>
      <c r="BR13" s="124"/>
      <c r="BS13" s="124"/>
      <c r="BT13" s="124"/>
      <c r="BU13" s="124"/>
      <c r="BV13" s="124"/>
      <c r="BW13" s="124"/>
      <c r="BX13" s="124" t="s">
        <v>10</v>
      </c>
      <c r="BY13" s="124"/>
      <c r="BZ13" s="124"/>
      <c r="CA13" s="124"/>
    </row>
    <row r="14" spans="1:79" ht="15.75" customHeight="1">
      <c r="A14" s="124"/>
      <c r="B14" s="14" t="s">
        <v>97</v>
      </c>
      <c r="C14" s="20">
        <f t="shared" ca="1" si="2"/>
        <v>69469.696655426655</v>
      </c>
      <c r="D14" s="20">
        <f t="shared" ca="1" si="0"/>
        <v>67285.738863669641</v>
      </c>
      <c r="E14" s="20">
        <f t="shared" ca="1" si="1"/>
        <v>2183.9577917569995</v>
      </c>
      <c r="F14" s="12"/>
      <c r="G14" s="124"/>
      <c r="H14" s="124"/>
      <c r="I14" s="124"/>
      <c r="J14" s="124"/>
      <c r="K14" s="124"/>
      <c r="L14" s="124"/>
      <c r="M14" s="124"/>
      <c r="N14" s="124"/>
      <c r="O14" s="124"/>
      <c r="P14" s="124"/>
      <c r="Q14" s="124"/>
      <c r="R14" s="124"/>
      <c r="S14" s="124"/>
      <c r="T14" s="124"/>
      <c r="U14" s="124"/>
      <c r="V14" s="124"/>
      <c r="W14" s="124"/>
      <c r="X14" s="124"/>
      <c r="Y14" s="124"/>
      <c r="Z14" s="124"/>
      <c r="AA14" s="124"/>
      <c r="AB14" s="124"/>
      <c r="AC14" s="124"/>
      <c r="AD14" s="124"/>
      <c r="AE14" s="124"/>
      <c r="AF14" s="124"/>
      <c r="AG14" s="124"/>
      <c r="AH14" s="124"/>
      <c r="AI14" s="124"/>
      <c r="AJ14" s="124"/>
      <c r="AK14" s="124"/>
      <c r="AL14" s="124"/>
      <c r="AM14" s="124"/>
      <c r="AN14" s="124"/>
      <c r="AO14" s="124"/>
      <c r="AP14" s="124"/>
      <c r="AQ14" s="124"/>
      <c r="AR14" s="124"/>
      <c r="AS14" s="124"/>
      <c r="AT14" s="124"/>
      <c r="AU14" s="124"/>
      <c r="AV14" s="124"/>
      <c r="AW14" s="124"/>
      <c r="AX14" s="124"/>
      <c r="AY14" s="124"/>
      <c r="AZ14" s="124"/>
      <c r="BA14" s="124"/>
      <c r="BB14" s="124"/>
      <c r="BC14" s="124"/>
      <c r="BD14" s="124"/>
      <c r="BE14" s="124"/>
      <c r="BF14" s="124"/>
      <c r="BG14" s="124"/>
      <c r="BH14" s="124"/>
      <c r="BI14" s="124"/>
      <c r="BJ14" s="124"/>
      <c r="BK14" s="124"/>
      <c r="BL14" s="124"/>
      <c r="BM14" s="124"/>
      <c r="BN14" s="124"/>
      <c r="BO14" s="124"/>
      <c r="BP14" s="124"/>
      <c r="BQ14" s="124"/>
      <c r="BR14" s="124"/>
      <c r="BS14" s="124"/>
      <c r="BT14" s="124"/>
      <c r="BU14" s="124"/>
      <c r="BV14" s="124"/>
      <c r="BW14" s="124"/>
      <c r="BX14" s="124"/>
      <c r="BY14" s="124"/>
      <c r="BZ14" s="124"/>
      <c r="CA14" s="124"/>
    </row>
    <row r="15" spans="1:79" ht="15.75" customHeight="1">
      <c r="A15" s="124"/>
      <c r="B15" s="14" t="s">
        <v>98</v>
      </c>
      <c r="C15" s="20">
        <f t="shared" ref="C15:E15" ca="1" si="3">SUM(C12:C14)</f>
        <v>22261464.618483469</v>
      </c>
      <c r="D15" s="20">
        <f t="shared" ca="1" si="3"/>
        <v>21776171.688024633</v>
      </c>
      <c r="E15" s="20">
        <f t="shared" ca="1" si="3"/>
        <v>485292.93045883742</v>
      </c>
      <c r="F15" s="12"/>
      <c r="G15" s="1"/>
      <c r="H15" s="124"/>
      <c r="I15" s="124"/>
      <c r="J15" s="124"/>
      <c r="K15" s="124"/>
      <c r="L15" s="124"/>
      <c r="M15" s="124"/>
      <c r="N15" s="124"/>
      <c r="O15" s="124"/>
      <c r="P15" s="124"/>
      <c r="Q15" s="124"/>
      <c r="R15" s="124"/>
      <c r="S15" s="124"/>
      <c r="T15" s="124"/>
      <c r="U15" s="124"/>
      <c r="V15" s="124"/>
      <c r="W15" s="124"/>
      <c r="X15" s="124"/>
      <c r="Y15" s="124"/>
      <c r="Z15" s="124"/>
      <c r="AA15" s="124"/>
      <c r="AB15" s="124"/>
      <c r="AC15" s="124"/>
      <c r="AD15" s="124"/>
      <c r="AE15" s="124"/>
      <c r="AF15" s="124"/>
      <c r="AG15" s="124"/>
      <c r="AH15" s="124"/>
      <c r="AI15" s="124"/>
      <c r="AJ15" s="124"/>
      <c r="AK15" s="124"/>
      <c r="AL15" s="124"/>
      <c r="AM15" s="124"/>
      <c r="AN15" s="124"/>
      <c r="AO15" s="124"/>
      <c r="AP15" s="124"/>
      <c r="AQ15" s="124"/>
      <c r="AR15" s="124"/>
      <c r="AS15" s="124"/>
      <c r="AT15" s="124"/>
      <c r="AU15" s="124"/>
      <c r="AV15" s="124"/>
      <c r="AW15" s="124"/>
      <c r="AX15" s="124"/>
      <c r="AY15" s="124"/>
      <c r="AZ15" s="124"/>
      <c r="BA15" s="124"/>
      <c r="BB15" s="124"/>
      <c r="BC15" s="124"/>
      <c r="BD15" s="124"/>
      <c r="BE15" s="124"/>
      <c r="BF15" s="124"/>
      <c r="BG15" s="124"/>
      <c r="BH15" s="124"/>
      <c r="BI15" s="124"/>
      <c r="BJ15" s="124"/>
      <c r="BK15" s="124"/>
      <c r="BL15" s="124"/>
      <c r="BM15" s="124"/>
      <c r="BN15" s="124"/>
      <c r="BO15" s="124"/>
      <c r="BP15" s="124"/>
      <c r="BQ15" s="124"/>
      <c r="BR15" s="124"/>
      <c r="BS15" s="124"/>
      <c r="BT15" s="124"/>
      <c r="BU15" s="124"/>
      <c r="BV15" s="124"/>
      <c r="BW15" s="124"/>
      <c r="BX15" s="124"/>
      <c r="BY15" s="124"/>
      <c r="BZ15" s="124"/>
      <c r="CA15" s="124"/>
    </row>
    <row r="16" spans="1:79" ht="15.75" customHeight="1">
      <c r="A16" s="124"/>
      <c r="B16" s="124"/>
      <c r="C16" s="124"/>
      <c r="D16" s="124"/>
      <c r="E16" s="124"/>
      <c r="F16" s="124"/>
      <c r="G16" s="124"/>
      <c r="H16" s="124"/>
      <c r="I16" s="124"/>
      <c r="J16" s="124"/>
      <c r="K16" s="124"/>
      <c r="L16" s="124"/>
      <c r="M16" s="124"/>
      <c r="N16" s="124"/>
      <c r="O16" s="124"/>
      <c r="P16" s="124"/>
      <c r="Q16" s="124"/>
      <c r="R16" s="124"/>
      <c r="S16" s="124"/>
      <c r="T16" s="124"/>
      <c r="U16" s="124"/>
      <c r="V16" s="124"/>
      <c r="W16" s="124"/>
      <c r="X16" s="124"/>
      <c r="Y16" s="124"/>
      <c r="Z16" s="124"/>
      <c r="AA16" s="124"/>
      <c r="AB16" s="124"/>
      <c r="AC16" s="124"/>
      <c r="AD16" s="124"/>
      <c r="AE16" s="124"/>
      <c r="AF16" s="124"/>
      <c r="AG16" s="124"/>
      <c r="AH16" s="124"/>
      <c r="AI16" s="124"/>
      <c r="AJ16" s="124"/>
      <c r="AK16" s="124"/>
      <c r="AL16" s="124"/>
      <c r="AM16" s="124"/>
      <c r="AN16" s="124"/>
      <c r="AO16" s="124"/>
      <c r="AP16" s="124"/>
      <c r="AQ16" s="124"/>
      <c r="AR16" s="124"/>
      <c r="AS16" s="124"/>
      <c r="AT16" s="124"/>
      <c r="AU16" s="124"/>
      <c r="AV16" s="124"/>
      <c r="AW16" s="124"/>
      <c r="AX16" s="124"/>
      <c r="AY16" s="124"/>
      <c r="AZ16" s="124"/>
      <c r="BA16" s="124"/>
      <c r="BB16" s="124"/>
      <c r="BC16" s="124"/>
      <c r="BD16" s="124"/>
      <c r="BE16" s="124"/>
      <c r="BF16" s="124"/>
      <c r="BG16" s="124"/>
      <c r="BH16" s="124"/>
      <c r="BI16" s="124"/>
      <c r="BJ16" s="124"/>
      <c r="BK16" s="124"/>
      <c r="BL16" s="124"/>
      <c r="BM16" s="124"/>
      <c r="BN16" s="124"/>
      <c r="BO16" s="124"/>
      <c r="BP16" s="124"/>
      <c r="BQ16" s="124"/>
      <c r="BR16" s="124"/>
      <c r="BS16" s="124"/>
      <c r="BT16" s="124"/>
      <c r="BU16" s="124"/>
      <c r="BV16" s="124"/>
      <c r="BW16" s="124"/>
      <c r="BX16" s="124"/>
      <c r="BY16" s="124"/>
      <c r="BZ16" s="124"/>
      <c r="CA16" s="124"/>
    </row>
    <row r="17" spans="1:79" ht="15.75" customHeight="1">
      <c r="A17" s="124"/>
      <c r="B17" s="126"/>
      <c r="C17" s="126"/>
      <c r="D17" s="126"/>
      <c r="E17" s="126"/>
      <c r="F17" s="126"/>
      <c r="G17" s="126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126"/>
      <c r="BT17" s="126"/>
      <c r="BU17" s="126"/>
      <c r="BV17" s="126"/>
      <c r="BW17" s="126"/>
      <c r="BX17" s="126"/>
      <c r="BY17" s="126"/>
      <c r="BZ17" s="126"/>
      <c r="CA17" s="126"/>
    </row>
    <row r="18" spans="1:79" ht="15.75" customHeight="1">
      <c r="A18" s="124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2"/>
      <c r="BQ18" s="2"/>
      <c r="BR18" s="2"/>
      <c r="BS18" s="126"/>
      <c r="BT18" s="126"/>
      <c r="BU18" s="126"/>
      <c r="BV18" s="126"/>
      <c r="BW18" s="126"/>
      <c r="BX18" s="126"/>
      <c r="BY18" s="126"/>
      <c r="BZ18" s="126"/>
      <c r="CA18" s="126"/>
    </row>
    <row r="19" spans="1:79" ht="15.75" customHeight="1">
      <c r="A19" s="124"/>
      <c r="B19" s="12"/>
      <c r="C19" s="12"/>
      <c r="D19" s="12"/>
      <c r="E19" s="12"/>
      <c r="F19" s="1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126"/>
      <c r="BT19" s="126"/>
      <c r="BU19" s="126"/>
      <c r="BV19" s="126"/>
      <c r="BW19" s="126"/>
      <c r="BX19" s="126"/>
      <c r="BY19" s="126"/>
      <c r="BZ19" s="126"/>
      <c r="CA19" s="126"/>
    </row>
    <row r="20" spans="1:79" ht="15.75" customHeight="1">
      <c r="A20" s="124"/>
      <c r="B20" s="12" t="s">
        <v>100</v>
      </c>
      <c r="C20" s="12"/>
      <c r="D20" s="12"/>
      <c r="E20" s="12"/>
      <c r="F20" s="1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  <c r="BO20" s="2"/>
      <c r="BP20" s="2"/>
      <c r="BQ20" s="2"/>
      <c r="BR20" s="2"/>
      <c r="BS20" s="126"/>
      <c r="BT20" s="126"/>
      <c r="BU20" s="126"/>
      <c r="BV20" s="126"/>
      <c r="BW20" s="126"/>
      <c r="BX20" s="126"/>
      <c r="BY20" s="126"/>
      <c r="BZ20" s="126"/>
      <c r="CA20" s="126"/>
    </row>
    <row r="21" spans="1:79" ht="15.75" customHeight="1">
      <c r="A21" s="124"/>
      <c r="B21" s="13" t="s">
        <v>92</v>
      </c>
      <c r="C21" s="13" t="s">
        <v>85</v>
      </c>
      <c r="D21" s="13" t="s">
        <v>93</v>
      </c>
      <c r="E21" s="13" t="s">
        <v>94</v>
      </c>
      <c r="F21" s="1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  <c r="BO21" s="2"/>
      <c r="BP21" s="2"/>
      <c r="BQ21" s="2"/>
      <c r="BR21" s="2"/>
      <c r="BS21" s="126"/>
      <c r="BT21" s="126"/>
      <c r="BU21" s="126"/>
      <c r="BV21" s="126"/>
      <c r="BW21" s="126"/>
      <c r="BX21" s="126"/>
      <c r="BY21" s="126"/>
      <c r="BZ21" s="126"/>
      <c r="CA21" s="126"/>
    </row>
    <row r="22" spans="1:79" ht="15.75" customHeight="1">
      <c r="A22" s="125">
        <f ca="1">RANDBETWEEN(31.5,38.5)</f>
        <v>37</v>
      </c>
      <c r="B22" s="14" t="s">
        <v>95</v>
      </c>
      <c r="C22" s="15">
        <v>539625</v>
      </c>
      <c r="D22" s="15">
        <v>518622</v>
      </c>
      <c r="E22" s="15">
        <v>21003</v>
      </c>
      <c r="F22" s="12"/>
      <c r="G22" s="2"/>
      <c r="H22" s="2"/>
      <c r="I22" s="16">
        <v>44927</v>
      </c>
      <c r="J22" s="16">
        <v>44958</v>
      </c>
      <c r="K22" s="16">
        <v>44986</v>
      </c>
      <c r="L22" s="16">
        <v>45017</v>
      </c>
      <c r="M22" s="16">
        <v>45047</v>
      </c>
      <c r="N22" s="16">
        <v>45078</v>
      </c>
      <c r="O22" s="16">
        <v>45108</v>
      </c>
      <c r="P22" s="16">
        <v>45139</v>
      </c>
      <c r="Q22" s="16">
        <v>45170</v>
      </c>
      <c r="R22" s="16">
        <v>45200</v>
      </c>
      <c r="S22" s="16">
        <v>45231</v>
      </c>
      <c r="T22" s="16">
        <v>45261</v>
      </c>
      <c r="U22" s="16">
        <v>45292</v>
      </c>
      <c r="V22" s="16">
        <v>45323</v>
      </c>
      <c r="W22" s="16">
        <v>45352</v>
      </c>
      <c r="X22" s="16">
        <v>45383</v>
      </c>
      <c r="Y22" s="16">
        <v>45413</v>
      </c>
      <c r="Z22" s="16">
        <v>45444</v>
      </c>
      <c r="AA22" s="16">
        <v>45474</v>
      </c>
      <c r="AB22" s="16">
        <v>45505</v>
      </c>
      <c r="AC22" s="16">
        <v>45536</v>
      </c>
      <c r="AD22" s="16">
        <v>45566</v>
      </c>
      <c r="AE22" s="16">
        <v>45597</v>
      </c>
      <c r="AF22" s="16">
        <v>45627</v>
      </c>
      <c r="AG22" s="16">
        <v>45658</v>
      </c>
      <c r="AH22" s="16">
        <v>45689</v>
      </c>
      <c r="AI22" s="16">
        <v>45717</v>
      </c>
      <c r="AJ22" s="16">
        <v>45748</v>
      </c>
      <c r="AK22" s="16">
        <v>45778</v>
      </c>
      <c r="AL22" s="16">
        <v>45809</v>
      </c>
      <c r="AM22" s="16">
        <v>45839</v>
      </c>
      <c r="AN22" s="16">
        <v>45870</v>
      </c>
      <c r="AO22" s="16">
        <v>45901</v>
      </c>
      <c r="AP22" s="16">
        <v>45931</v>
      </c>
      <c r="AQ22" s="16">
        <v>45962</v>
      </c>
      <c r="AR22" s="16">
        <v>45992</v>
      </c>
      <c r="AS22" s="142">
        <v>46023</v>
      </c>
      <c r="AT22" s="142">
        <v>46054</v>
      </c>
      <c r="AU22" s="142">
        <v>46082</v>
      </c>
      <c r="AV22" s="142">
        <v>46113</v>
      </c>
      <c r="AW22" s="142">
        <v>46143</v>
      </c>
      <c r="AX22" s="142">
        <v>46174</v>
      </c>
      <c r="AY22" s="142">
        <v>46204</v>
      </c>
      <c r="AZ22" s="142">
        <v>46235</v>
      </c>
      <c r="BA22" s="142">
        <v>46266</v>
      </c>
      <c r="BB22" s="142">
        <v>46296</v>
      </c>
      <c r="BC22" s="142">
        <v>46327</v>
      </c>
      <c r="BD22" s="142">
        <v>46357</v>
      </c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126"/>
      <c r="BT22" s="126"/>
      <c r="BU22" s="126"/>
      <c r="BV22" s="126"/>
      <c r="BW22" s="126"/>
      <c r="BX22" s="126"/>
      <c r="BY22" s="126"/>
      <c r="BZ22" s="126"/>
      <c r="CA22" s="126"/>
    </row>
    <row r="23" spans="1:79" ht="15.75" customHeight="1">
      <c r="A23" s="125">
        <f ca="1">RANDBETWEEN(25.2,30.8)</f>
        <v>29</v>
      </c>
      <c r="B23" s="14" t="s">
        <v>96</v>
      </c>
      <c r="C23" s="15">
        <v>960693</v>
      </c>
      <c r="D23" s="15">
        <v>927702</v>
      </c>
      <c r="E23" s="15">
        <v>32991</v>
      </c>
      <c r="F23" s="12"/>
      <c r="G23" s="2"/>
      <c r="H23" s="2"/>
      <c r="I23" s="17">
        <v>7.66</v>
      </c>
      <c r="J23" s="17">
        <v>7.35</v>
      </c>
      <c r="K23" s="17">
        <v>6.87</v>
      </c>
      <c r="L23" s="17">
        <v>6.71</v>
      </c>
      <c r="M23" s="17">
        <v>6.19</v>
      </c>
      <c r="N23" s="17">
        <v>6.14</v>
      </c>
      <c r="O23" s="17">
        <v>6.15</v>
      </c>
      <c r="P23" s="17">
        <v>6.22</v>
      </c>
      <c r="Q23" s="17">
        <v>6.18</v>
      </c>
      <c r="R23" s="17">
        <v>6.12</v>
      </c>
      <c r="S23" s="17">
        <v>6.75</v>
      </c>
      <c r="T23" s="17">
        <v>6.49</v>
      </c>
      <c r="U23" s="17">
        <v>6.46</v>
      </c>
      <c r="V23" s="17">
        <v>6.79</v>
      </c>
      <c r="W23" s="17">
        <v>6.73</v>
      </c>
      <c r="X23" s="17">
        <v>6.66</v>
      </c>
      <c r="Y23" s="17">
        <v>6.54</v>
      </c>
      <c r="Z23" s="17">
        <v>6.44</v>
      </c>
      <c r="AA23" s="17">
        <v>6.35</v>
      </c>
      <c r="AB23" s="17">
        <v>6.21</v>
      </c>
      <c r="AC23" s="17">
        <v>6</v>
      </c>
      <c r="AD23" s="17">
        <v>6.1</v>
      </c>
      <c r="AE23" s="17">
        <v>6.07</v>
      </c>
      <c r="AF23" s="17">
        <v>6.15</v>
      </c>
      <c r="AG23" s="17">
        <v>6.32</v>
      </c>
      <c r="AH23" s="17">
        <v>6.38</v>
      </c>
      <c r="AI23" s="17">
        <v>6.27</v>
      </c>
      <c r="AJ23" s="17">
        <v>6.03</v>
      </c>
      <c r="AK23" s="17">
        <v>5.98</v>
      </c>
      <c r="AL23" s="17">
        <v>5.88</v>
      </c>
      <c r="AM23" s="17">
        <v>6.11</v>
      </c>
      <c r="AN23" s="17">
        <v>6.01</v>
      </c>
      <c r="AO23" s="17">
        <v>5.94</v>
      </c>
      <c r="AP23" s="17">
        <v>6.03</v>
      </c>
      <c r="AQ23" s="17">
        <v>6.21</v>
      </c>
      <c r="AR23" s="21">
        <v>6.19</v>
      </c>
      <c r="AS23" s="143">
        <v>6.2156047000000001</v>
      </c>
      <c r="AT23" s="143">
        <v>6.3485981000000002</v>
      </c>
      <c r="AU23" s="143">
        <v>6.2744445000000004</v>
      </c>
      <c r="AV23" s="143">
        <v>6.2062223999999997</v>
      </c>
      <c r="AW23" s="143">
        <v>6.1226374999999997</v>
      </c>
      <c r="AX23" s="143">
        <v>5.9483296000000001</v>
      </c>
      <c r="AY23" s="143">
        <v>5.9150223999999998</v>
      </c>
      <c r="AZ23" s="143">
        <v>5.7821812000000001</v>
      </c>
      <c r="BA23" s="143">
        <v>5.6621870999999997</v>
      </c>
      <c r="BB23" s="143">
        <v>5.6976880000000003</v>
      </c>
      <c r="BC23" s="143">
        <v>5.9350911999999996</v>
      </c>
      <c r="BD23" s="143">
        <v>5.9460280000000001</v>
      </c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126"/>
      <c r="BT23" s="126"/>
      <c r="BU23" s="126"/>
      <c r="BV23" s="126"/>
      <c r="BW23" s="126"/>
      <c r="BX23" s="126"/>
      <c r="BY23" s="126"/>
      <c r="BZ23" s="126"/>
      <c r="CA23" s="126"/>
    </row>
    <row r="24" spans="1:79" ht="15.75" customHeight="1">
      <c r="A24" s="124"/>
      <c r="B24" s="14" t="s">
        <v>98</v>
      </c>
      <c r="C24" s="18">
        <v>1500318</v>
      </c>
      <c r="D24" s="18">
        <v>1446324</v>
      </c>
      <c r="E24" s="18">
        <v>53994</v>
      </c>
      <c r="F24" s="1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  <c r="BS24" s="126"/>
      <c r="BT24" s="126"/>
      <c r="BU24" s="126"/>
      <c r="BV24" s="126"/>
      <c r="BW24" s="126"/>
      <c r="BX24" s="126"/>
      <c r="BY24" s="126"/>
      <c r="BZ24" s="126"/>
      <c r="CA24" s="126"/>
    </row>
    <row r="25" spans="1:79" ht="15.75" customHeight="1">
      <c r="A25" s="124"/>
      <c r="B25" s="12"/>
      <c r="C25" s="12"/>
      <c r="D25" s="12"/>
      <c r="E25" s="12"/>
      <c r="F25" s="12"/>
      <c r="G25" s="2"/>
      <c r="H25" s="2"/>
      <c r="I25" s="2"/>
      <c r="J25" s="2"/>
      <c r="K25" s="2"/>
      <c r="L25" s="2"/>
      <c r="M25" s="2"/>
      <c r="N25" s="2"/>
      <c r="O25" s="123" t="s">
        <v>101</v>
      </c>
      <c r="P25" s="123">
        <v>6.0045028916666654</v>
      </c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"/>
      <c r="BP25" s="2"/>
      <c r="BQ25" s="2"/>
      <c r="BR25" s="2"/>
      <c r="BS25" s="126"/>
      <c r="BT25" s="126"/>
      <c r="BU25" s="126"/>
      <c r="BV25" s="126"/>
      <c r="BW25" s="126"/>
      <c r="BX25" s="126"/>
      <c r="BY25" s="126"/>
      <c r="BZ25" s="126"/>
      <c r="CA25" s="126"/>
    </row>
    <row r="26" spans="1:79" ht="15.75" customHeight="1">
      <c r="A26" s="124"/>
      <c r="B26" s="12" t="s">
        <v>100</v>
      </c>
      <c r="C26" s="12"/>
      <c r="D26" s="12"/>
      <c r="E26" s="12"/>
      <c r="F26" s="12"/>
      <c r="G26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2"/>
      <c r="AR26" s="2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s="2"/>
      <c r="BP26" s="2"/>
      <c r="BQ26" s="2"/>
      <c r="BR26" s="2"/>
      <c r="BS26" s="126"/>
      <c r="BT26" s="126"/>
      <c r="BU26" s="126"/>
      <c r="BV26" s="126"/>
      <c r="BW26" s="126"/>
      <c r="BX26" s="126"/>
      <c r="BY26" s="126"/>
      <c r="BZ26" s="126"/>
      <c r="CA26" s="126"/>
    </row>
    <row r="27" spans="1:79" ht="15.75" customHeight="1">
      <c r="A27" s="124"/>
      <c r="B27" s="13" t="s">
        <v>92</v>
      </c>
      <c r="C27" s="13" t="s">
        <v>85</v>
      </c>
      <c r="D27" s="13" t="s">
        <v>93</v>
      </c>
      <c r="E27" s="13" t="s">
        <v>94</v>
      </c>
      <c r="F27" s="12"/>
      <c r="G27" s="2" t="s">
        <v>10</v>
      </c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2"/>
      <c r="AR27" s="2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126"/>
      <c r="BT27" s="126"/>
      <c r="BU27" s="126"/>
      <c r="BV27" s="126"/>
      <c r="BW27" s="126"/>
      <c r="BX27" s="126"/>
      <c r="BY27" s="126"/>
      <c r="BZ27" s="126"/>
      <c r="CA27" s="126"/>
    </row>
    <row r="28" spans="1:79" ht="15.75" customHeight="1">
      <c r="A28" s="124"/>
      <c r="B28" s="14" t="s">
        <v>102</v>
      </c>
      <c r="C28" s="20">
        <f ca="1">A22 * C22/100 *$P$25</f>
        <v>1198866.5529787811</v>
      </c>
      <c r="D28" s="20">
        <f t="shared" ref="D28" ca="1" si="4">A22 * D22/100 * $P$25</f>
        <v>1152204.9005123214</v>
      </c>
      <c r="E28" s="20">
        <f t="shared" ref="E28:E29" ca="1" si="5">A22 * E22/100 * $P$25</f>
        <v>46661.652466459738</v>
      </c>
      <c r="F28" s="23"/>
      <c r="G28" s="129"/>
      <c r="H28" s="129"/>
      <c r="I28" s="129"/>
      <c r="J28" s="126"/>
      <c r="K28" s="126"/>
      <c r="L28" s="126"/>
      <c r="M28" s="126"/>
      <c r="N28" s="126"/>
      <c r="O28" s="126"/>
      <c r="P28" s="126"/>
      <c r="Q28" s="126"/>
      <c r="R28" s="126"/>
      <c r="S28" s="126"/>
      <c r="T28" s="126"/>
      <c r="U28" s="126"/>
      <c r="V28" s="126"/>
      <c r="W28" s="126"/>
      <c r="X28" s="126"/>
      <c r="Y28" s="126"/>
      <c r="Z28" s="126"/>
      <c r="AA28" s="126"/>
      <c r="AB28" s="126"/>
      <c r="AC28" s="126"/>
      <c r="AD28" s="126"/>
      <c r="AE28" s="126"/>
      <c r="AF28" s="126"/>
      <c r="AG28" s="126"/>
      <c r="AH28" s="126"/>
      <c r="AI28" s="126"/>
      <c r="AJ28" s="126"/>
      <c r="AK28" s="126"/>
      <c r="AL28" s="126"/>
      <c r="AM28" s="126"/>
      <c r="AN28" s="126"/>
      <c r="AO28" s="126"/>
      <c r="AP28" s="126"/>
      <c r="AQ28" s="130"/>
      <c r="AR28" s="130"/>
      <c r="AS28" s="126"/>
      <c r="AT28" s="126"/>
      <c r="AU28" s="126"/>
      <c r="AV28" s="126"/>
      <c r="AW28" s="126"/>
      <c r="AX28" s="126"/>
      <c r="AY28" s="126"/>
      <c r="AZ28" s="126"/>
      <c r="BA28" s="126"/>
      <c r="BB28" s="126"/>
      <c r="BC28" s="126"/>
      <c r="BD28" s="126"/>
      <c r="BE28" s="126"/>
      <c r="BF28" s="126"/>
      <c r="BG28" s="126"/>
      <c r="BH28" s="126"/>
      <c r="BI28" s="126"/>
      <c r="BJ28" s="126"/>
      <c r="BK28" s="126"/>
      <c r="BL28" s="126"/>
      <c r="BM28" s="126"/>
      <c r="BN28" s="126"/>
      <c r="BO28" s="126"/>
      <c r="BP28" s="126"/>
      <c r="BQ28" s="126"/>
      <c r="BR28" s="126"/>
      <c r="BS28" s="126"/>
      <c r="BT28" s="126"/>
      <c r="BU28" s="126"/>
      <c r="BV28" s="126"/>
      <c r="BW28" s="126"/>
      <c r="BX28" s="126"/>
      <c r="BY28" s="126"/>
      <c r="BZ28" s="126"/>
      <c r="CA28" s="126"/>
    </row>
    <row r="29" spans="1:79" ht="15.75" customHeight="1">
      <c r="A29" s="124"/>
      <c r="B29" s="14" t="s">
        <v>103</v>
      </c>
      <c r="C29" s="20">
        <f ca="1">A23 * C23/100 * $P$25</f>
        <v>1672860.3299861378</v>
      </c>
      <c r="D29" s="20">
        <f ca="1">A23 * D23/100 * $P$25</f>
        <v>1615412.9090654352</v>
      </c>
      <c r="E29" s="20">
        <f t="shared" ca="1" si="5"/>
        <v>57447.420920702738</v>
      </c>
      <c r="F29" s="12"/>
      <c r="G29" s="124"/>
      <c r="H29" s="124"/>
      <c r="I29" s="124"/>
      <c r="J29" s="126"/>
      <c r="K29" s="126"/>
      <c r="L29" s="126"/>
      <c r="M29" s="126"/>
      <c r="N29" s="126"/>
      <c r="O29" s="126"/>
      <c r="P29" s="126"/>
      <c r="Q29" s="126"/>
      <c r="R29" s="126"/>
      <c r="S29" s="126"/>
      <c r="T29" s="126"/>
      <c r="U29" s="126"/>
      <c r="V29" s="126"/>
      <c r="W29" s="126"/>
      <c r="X29" s="126"/>
      <c r="Y29" s="126"/>
      <c r="Z29" s="126"/>
      <c r="AA29" s="126"/>
      <c r="AB29" s="126"/>
      <c r="AC29" s="126"/>
      <c r="AD29" s="126"/>
      <c r="AE29" s="126"/>
      <c r="AF29" s="126"/>
      <c r="AG29" s="126"/>
      <c r="AH29" s="126"/>
      <c r="AI29" s="126"/>
      <c r="AJ29" s="126"/>
      <c r="AK29" s="126"/>
      <c r="AL29" s="126"/>
      <c r="AM29" s="126"/>
      <c r="AN29" s="126"/>
      <c r="AO29" s="126"/>
      <c r="AP29" s="126"/>
      <c r="AQ29" s="130"/>
      <c r="AR29" s="130"/>
      <c r="AS29" s="126"/>
      <c r="AT29" s="126"/>
      <c r="AU29" s="126"/>
      <c r="AV29" s="126"/>
      <c r="AW29" s="126"/>
      <c r="AX29" s="126"/>
      <c r="AY29" s="126"/>
      <c r="AZ29" s="126"/>
      <c r="BA29" s="126"/>
      <c r="BB29" s="126"/>
      <c r="BC29" s="126"/>
      <c r="BD29" s="126"/>
      <c r="BE29" s="126"/>
      <c r="BF29" s="126"/>
      <c r="BG29" s="126"/>
      <c r="BH29" s="126"/>
      <c r="BI29" s="126"/>
      <c r="BJ29" s="126"/>
      <c r="BK29" s="126"/>
      <c r="BL29" s="126"/>
      <c r="BM29" s="126"/>
      <c r="BN29" s="126"/>
      <c r="BO29" s="126"/>
      <c r="BP29" s="126"/>
      <c r="BQ29" s="126"/>
      <c r="BR29" s="126"/>
      <c r="BS29" s="126"/>
      <c r="BT29" s="126"/>
      <c r="BU29" s="126"/>
      <c r="BV29" s="126"/>
      <c r="BW29" s="126"/>
      <c r="BX29" s="126"/>
      <c r="BY29" s="126"/>
      <c r="BZ29" s="126"/>
      <c r="CA29" s="126"/>
    </row>
    <row r="30" spans="1:79" ht="15.75" customHeight="1">
      <c r="A30" s="124"/>
      <c r="B30" s="14" t="s">
        <v>98</v>
      </c>
      <c r="C30" s="24">
        <f t="shared" ref="C30:E30" ca="1" si="6">SUM(C28:C29)</f>
        <v>2871726.8829649189</v>
      </c>
      <c r="D30" s="24">
        <f t="shared" ca="1" si="6"/>
        <v>2767617.8095777566</v>
      </c>
      <c r="E30" s="24">
        <f t="shared" ca="1" si="6"/>
        <v>104109.07338716247</v>
      </c>
      <c r="F30" s="12" t="s">
        <v>10</v>
      </c>
      <c r="G30" s="126"/>
      <c r="H30" s="126"/>
      <c r="I30" s="126"/>
      <c r="J30" s="126"/>
      <c r="K30" s="126"/>
      <c r="L30" s="126"/>
      <c r="M30" s="126"/>
      <c r="N30" s="126"/>
      <c r="O30" s="126"/>
      <c r="P30" s="126"/>
      <c r="Q30" s="126"/>
      <c r="R30" s="126"/>
      <c r="S30" s="126"/>
      <c r="T30" s="126"/>
      <c r="U30" s="126"/>
      <c r="V30" s="126"/>
      <c r="W30" s="126"/>
      <c r="X30" s="126"/>
      <c r="Y30" s="126"/>
      <c r="Z30" s="126"/>
      <c r="AA30" s="126"/>
      <c r="AB30" s="126"/>
      <c r="AC30" s="126"/>
      <c r="AD30" s="126"/>
      <c r="AE30" s="126"/>
      <c r="AF30" s="126"/>
      <c r="AG30" s="126"/>
      <c r="AH30" s="126"/>
      <c r="AI30" s="126"/>
      <c r="AJ30" s="126"/>
      <c r="AK30" s="126"/>
      <c r="AL30" s="126"/>
      <c r="AM30" s="126"/>
      <c r="AN30" s="126"/>
      <c r="AO30" s="126"/>
      <c r="AP30" s="126"/>
      <c r="AQ30" s="130"/>
      <c r="AR30" s="130"/>
      <c r="AS30" s="126"/>
      <c r="AT30" s="126"/>
      <c r="AU30" s="126"/>
      <c r="AV30" s="126"/>
      <c r="AW30" s="126"/>
      <c r="AX30" s="126"/>
      <c r="AY30" s="126"/>
      <c r="AZ30" s="126"/>
      <c r="BA30" s="126"/>
      <c r="BB30" s="126"/>
      <c r="BC30" s="126"/>
      <c r="BD30" s="126"/>
      <c r="BE30" s="126"/>
      <c r="BF30" s="126"/>
      <c r="BG30" s="126"/>
      <c r="BH30" s="126"/>
      <c r="BI30" s="126"/>
      <c r="BJ30" s="126"/>
      <c r="BK30" s="126"/>
      <c r="BL30" s="126"/>
      <c r="BM30" s="126"/>
      <c r="BN30" s="126"/>
      <c r="BO30" s="126"/>
      <c r="BP30" s="126"/>
      <c r="BQ30" s="126"/>
      <c r="BR30" s="126"/>
      <c r="BS30" s="126"/>
      <c r="BT30" s="126"/>
      <c r="BU30" s="126"/>
      <c r="BV30" s="126"/>
      <c r="BW30" s="126"/>
      <c r="BX30" s="126"/>
      <c r="BY30" s="126"/>
      <c r="BZ30" s="126"/>
      <c r="CA30" s="126"/>
    </row>
    <row r="31" spans="1:79" ht="15.75" customHeight="1">
      <c r="A31" s="124"/>
      <c r="B31" s="2"/>
      <c r="C31" s="2"/>
      <c r="D31" s="2"/>
      <c r="E31" s="2"/>
      <c r="F31" s="2" t="s">
        <v>10</v>
      </c>
      <c r="G31" s="126"/>
      <c r="H31" s="126"/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6"/>
      <c r="U31" s="126"/>
      <c r="V31" s="126"/>
      <c r="W31" s="126"/>
      <c r="X31" s="126"/>
      <c r="Y31" s="126"/>
      <c r="Z31" s="126"/>
      <c r="AA31" s="126"/>
      <c r="AB31" s="126"/>
      <c r="AC31" s="126"/>
      <c r="AD31" s="126"/>
      <c r="AE31" s="126"/>
      <c r="AF31" s="126"/>
      <c r="AG31" s="126"/>
      <c r="AH31" s="126"/>
      <c r="AI31" s="126"/>
      <c r="AJ31" s="126"/>
      <c r="AK31" s="126"/>
      <c r="AL31" s="126"/>
      <c r="AM31" s="126"/>
      <c r="AN31" s="126"/>
      <c r="AO31" s="126"/>
      <c r="AP31" s="126"/>
      <c r="AQ31" s="130"/>
      <c r="AR31" s="130"/>
      <c r="AS31" s="126"/>
      <c r="AT31" s="126"/>
      <c r="AU31" s="126"/>
      <c r="AV31" s="126"/>
      <c r="AW31" s="126"/>
      <c r="AX31" s="126"/>
      <c r="AY31" s="126"/>
      <c r="AZ31" s="126"/>
      <c r="BA31" s="126"/>
      <c r="BB31" s="126"/>
      <c r="BC31" s="126"/>
      <c r="BD31" s="126"/>
      <c r="BE31" s="126"/>
      <c r="BF31" s="126"/>
      <c r="BG31" s="126"/>
      <c r="BH31" s="126"/>
      <c r="BI31" s="126"/>
      <c r="BJ31" s="126"/>
      <c r="BK31" s="126"/>
      <c r="BL31" s="126"/>
      <c r="BM31" s="126"/>
      <c r="BN31" s="126"/>
      <c r="BO31" s="126"/>
      <c r="BP31" s="126"/>
      <c r="BQ31" s="126"/>
      <c r="BR31" s="126"/>
      <c r="BS31" s="126"/>
      <c r="BT31" s="126"/>
      <c r="BU31" s="126"/>
      <c r="BV31" s="126"/>
      <c r="BW31" s="126"/>
      <c r="BX31" s="126"/>
      <c r="BY31" s="126"/>
      <c r="BZ31" s="126"/>
      <c r="CA31" s="126"/>
    </row>
    <row r="32" spans="1:79" ht="15.75" customHeight="1">
      <c r="A32" s="124"/>
      <c r="B32" s="2"/>
      <c r="C32" s="2"/>
      <c r="D32" s="2" t="s">
        <v>10</v>
      </c>
      <c r="E32" s="2"/>
      <c r="F32" s="2" t="s">
        <v>10</v>
      </c>
      <c r="G32" s="126"/>
      <c r="H32" s="126"/>
      <c r="I32" s="126"/>
      <c r="J32" s="126"/>
      <c r="K32" s="126"/>
      <c r="L32" s="126"/>
      <c r="M32" s="126"/>
      <c r="N32" s="126"/>
      <c r="O32" s="126"/>
      <c r="P32" s="126"/>
      <c r="Q32" s="126"/>
      <c r="R32" s="126"/>
      <c r="S32" s="126"/>
      <c r="T32" s="126"/>
      <c r="U32" s="126"/>
      <c r="V32" s="126"/>
      <c r="W32" s="126"/>
      <c r="X32" s="126"/>
      <c r="Y32" s="126"/>
      <c r="Z32" s="126"/>
      <c r="AA32" s="126"/>
      <c r="AB32" s="126"/>
      <c r="AC32" s="126"/>
      <c r="AD32" s="126"/>
      <c r="AE32" s="126"/>
      <c r="AF32" s="126"/>
      <c r="AG32" s="126"/>
      <c r="AH32" s="126"/>
      <c r="AI32" s="126"/>
      <c r="AJ32" s="126"/>
      <c r="AK32" s="126"/>
      <c r="AL32" s="126"/>
      <c r="AM32" s="126"/>
      <c r="AN32" s="126"/>
      <c r="AO32" s="126"/>
      <c r="AP32" s="126"/>
      <c r="AQ32" s="130"/>
      <c r="AR32" s="130"/>
      <c r="AS32" s="126"/>
      <c r="AT32" s="126"/>
      <c r="AU32" s="126"/>
      <c r="AV32" s="126"/>
      <c r="AW32" s="126"/>
      <c r="AX32" s="126"/>
      <c r="AY32" s="126"/>
      <c r="AZ32" s="126"/>
      <c r="BA32" s="126"/>
      <c r="BB32" s="126"/>
      <c r="BC32" s="126"/>
      <c r="BD32" s="126"/>
      <c r="BE32" s="126"/>
      <c r="BF32" s="126"/>
      <c r="BG32" s="126"/>
      <c r="BH32" s="126"/>
      <c r="BI32" s="126"/>
      <c r="BJ32" s="126"/>
      <c r="BK32" s="126"/>
      <c r="BL32" s="126"/>
      <c r="BM32" s="126"/>
      <c r="BN32" s="126"/>
      <c r="BO32" s="126"/>
      <c r="BP32" s="126"/>
      <c r="BQ32" s="126"/>
      <c r="BR32" s="126"/>
      <c r="BS32" s="126"/>
      <c r="BT32" s="126"/>
      <c r="BU32" s="126"/>
      <c r="BV32" s="126"/>
      <c r="BW32" s="126"/>
      <c r="BX32" s="126"/>
      <c r="BY32" s="126"/>
      <c r="BZ32" s="126"/>
      <c r="CA32" s="126"/>
    </row>
    <row r="33" spans="1:79" ht="15.75" customHeight="1">
      <c r="A33" s="124"/>
      <c r="B33" s="2"/>
      <c r="C33" s="2"/>
      <c r="D33" s="2"/>
      <c r="E33" s="2"/>
      <c r="F33" s="2" t="s">
        <v>10</v>
      </c>
      <c r="G33" s="126"/>
      <c r="H33" s="126" t="s">
        <v>10</v>
      </c>
      <c r="I33" s="126"/>
      <c r="J33" s="126"/>
      <c r="K33" s="126"/>
      <c r="L33" s="126"/>
      <c r="M33" s="126"/>
      <c r="N33" s="126"/>
      <c r="O33" s="126"/>
      <c r="P33" s="126"/>
      <c r="Q33" s="126"/>
      <c r="R33" s="126" t="s">
        <v>121</v>
      </c>
      <c r="S33" s="201">
        <f>AVERAGE(S38:S237)</f>
        <v>7665299.0429394711</v>
      </c>
      <c r="T33" s="201">
        <f t="shared" ref="T33:Z33" si="7">AVERAGE(T38:T237)</f>
        <v>7839460.0016908078</v>
      </c>
      <c r="U33" s="201">
        <f t="shared" si="7"/>
        <v>6794735.9186484553</v>
      </c>
      <c r="V33" s="201">
        <f t="shared" si="7"/>
        <v>4587559.620971106</v>
      </c>
      <c r="W33" s="201">
        <f t="shared" si="7"/>
        <v>4445166.4075744841</v>
      </c>
      <c r="X33" s="201">
        <f t="shared" si="7"/>
        <v>3539126.9149522544</v>
      </c>
      <c r="Y33" s="201">
        <f t="shared" si="7"/>
        <v>1813187.7809861994</v>
      </c>
      <c r="Z33" s="201">
        <f t="shared" si="7"/>
        <v>1102868.5406234064</v>
      </c>
      <c r="AA33" s="126"/>
      <c r="AB33" s="126"/>
      <c r="AC33" s="126"/>
      <c r="AD33" s="126"/>
      <c r="AE33" s="126"/>
      <c r="AF33" s="126"/>
      <c r="AG33" s="126"/>
      <c r="AH33" s="126"/>
      <c r="AI33" s="126"/>
      <c r="AJ33" s="126"/>
      <c r="AK33" s="126"/>
      <c r="AL33" s="126"/>
      <c r="AM33" s="126"/>
      <c r="AN33" s="126"/>
      <c r="AO33" s="126"/>
      <c r="AP33" s="126"/>
      <c r="AQ33" s="130"/>
      <c r="AR33" s="130"/>
      <c r="AS33" s="126"/>
      <c r="AT33" s="126"/>
      <c r="AU33" s="126"/>
      <c r="AV33" s="126"/>
      <c r="AW33" s="126"/>
      <c r="AX33" s="126"/>
      <c r="AY33" s="126"/>
      <c r="AZ33" s="126"/>
      <c r="BA33" s="126"/>
      <c r="BB33" s="126"/>
      <c r="BC33" s="126"/>
      <c r="BD33" s="126"/>
      <c r="BE33" s="126"/>
      <c r="BF33" s="126"/>
      <c r="BG33" s="126"/>
      <c r="BH33" s="126"/>
      <c r="BI33" s="126"/>
      <c r="BJ33" s="126"/>
      <c r="BK33" s="126"/>
      <c r="BL33" s="126"/>
      <c r="BM33" s="126"/>
      <c r="BN33" s="126"/>
      <c r="BO33" s="126"/>
      <c r="BP33" s="126"/>
      <c r="BQ33" s="126"/>
      <c r="BR33" s="126"/>
      <c r="BS33" s="126"/>
      <c r="BT33" s="126"/>
      <c r="BU33" s="126"/>
      <c r="BV33" s="126"/>
      <c r="BW33" s="126"/>
      <c r="BX33" s="126"/>
      <c r="BY33" s="126"/>
      <c r="BZ33" s="126"/>
      <c r="CA33" s="126"/>
    </row>
    <row r="34" spans="1:79" ht="21" customHeight="1">
      <c r="A34" s="124"/>
      <c r="B34" s="194" t="s">
        <v>167</v>
      </c>
      <c r="C34" s="195">
        <f ca="1">SUM(C24,C15)</f>
        <v>23761782.618483469</v>
      </c>
      <c r="D34"/>
      <c r="E34" s="2" t="s">
        <v>10</v>
      </c>
      <c r="F34" s="2" t="s">
        <v>10</v>
      </c>
      <c r="G34" s="126"/>
      <c r="H34" s="126" t="s">
        <v>10</v>
      </c>
      <c r="I34" s="126"/>
      <c r="J34" s="126"/>
      <c r="K34" s="126"/>
      <c r="L34" s="126"/>
      <c r="M34" s="126"/>
      <c r="N34" s="126"/>
      <c r="O34" s="126"/>
      <c r="P34" s="126" t="s">
        <v>10</v>
      </c>
      <c r="Q34" s="126"/>
      <c r="R34" s="126"/>
      <c r="S34" s="126"/>
      <c r="T34" s="126"/>
      <c r="U34" s="126"/>
      <c r="V34" s="126"/>
      <c r="W34" s="126"/>
      <c r="X34" s="126"/>
      <c r="Y34" s="126"/>
      <c r="Z34" s="126"/>
      <c r="AA34" s="126"/>
      <c r="AB34" s="126"/>
      <c r="AC34" s="126"/>
      <c r="AD34" s="126"/>
      <c r="AE34" s="126"/>
      <c r="AF34" s="126"/>
      <c r="AG34" s="126"/>
      <c r="AH34" s="126"/>
      <c r="AI34" s="126"/>
      <c r="AJ34" s="126"/>
      <c r="AK34" s="126"/>
      <c r="AL34" s="126"/>
      <c r="AM34" s="126"/>
      <c r="AN34" s="126"/>
      <c r="AO34" s="126"/>
      <c r="AP34" s="126"/>
      <c r="AQ34" s="130"/>
      <c r="AR34" s="130"/>
      <c r="AS34" s="126"/>
      <c r="AT34" s="126"/>
      <c r="AU34" s="126"/>
      <c r="AV34" s="126"/>
      <c r="AW34" s="126"/>
      <c r="AX34" s="126"/>
      <c r="AY34" s="126"/>
      <c r="AZ34" s="126"/>
      <c r="BA34" s="126"/>
      <c r="BB34" s="126"/>
      <c r="BC34" s="126"/>
      <c r="BD34" s="126"/>
      <c r="BE34" s="126"/>
      <c r="BF34" s="126"/>
      <c r="BG34" s="126"/>
      <c r="BH34" s="126"/>
      <c r="BI34" s="126"/>
      <c r="BJ34" s="126"/>
      <c r="BK34" s="126"/>
      <c r="BL34" s="126"/>
      <c r="BM34" s="126"/>
      <c r="BN34" s="126"/>
      <c r="BO34" s="126"/>
      <c r="BP34" s="126"/>
      <c r="BQ34" s="126"/>
      <c r="BR34" s="126"/>
      <c r="BS34" s="126"/>
      <c r="BT34" s="126"/>
      <c r="BU34" s="126"/>
      <c r="BV34" s="126"/>
      <c r="BW34" s="126"/>
      <c r="BX34" s="126"/>
      <c r="BY34" s="126"/>
      <c r="BZ34" s="126"/>
      <c r="CA34" s="126"/>
    </row>
    <row r="35" spans="1:79" ht="15.75" customHeight="1">
      <c r="A35" s="124"/>
      <c r="B35" s="2" t="s">
        <v>134</v>
      </c>
      <c r="C35" s="196">
        <f ca="1">Podsumowanie!J9</f>
        <v>6887229.3562903702</v>
      </c>
      <c r="D35" s="2"/>
      <c r="E35" s="2" t="s">
        <v>10</v>
      </c>
      <c r="F35" s="2" t="s">
        <v>10</v>
      </c>
      <c r="G35" s="126"/>
      <c r="H35" s="126" t="s">
        <v>10</v>
      </c>
      <c r="I35" s="126"/>
      <c r="J35" s="126"/>
      <c r="K35" s="126"/>
      <c r="L35" s="126"/>
      <c r="M35" s="126"/>
      <c r="N35" s="126"/>
      <c r="O35" s="126"/>
      <c r="P35" s="126" t="s">
        <v>10</v>
      </c>
      <c r="Q35" s="126"/>
      <c r="R35" s="126"/>
      <c r="S35" s="126"/>
      <c r="T35" s="126"/>
      <c r="U35" s="126"/>
      <c r="V35" s="126"/>
      <c r="W35" s="126"/>
      <c r="X35" s="126"/>
      <c r="Y35" s="126"/>
      <c r="Z35" s="126"/>
      <c r="AA35" s="126"/>
      <c r="AB35" s="126"/>
      <c r="AC35" s="126"/>
      <c r="AD35" s="126"/>
      <c r="AE35" s="126"/>
      <c r="AF35" s="126"/>
      <c r="AG35" s="126"/>
      <c r="AH35" s="126"/>
      <c r="AI35" s="126"/>
      <c r="AJ35" s="126"/>
      <c r="AK35" s="126"/>
      <c r="AL35" s="126"/>
      <c r="AM35" s="126"/>
      <c r="AN35" s="126"/>
      <c r="AO35" s="126"/>
      <c r="AP35" s="126"/>
      <c r="AQ35" s="130"/>
      <c r="AR35" s="130"/>
      <c r="AS35" s="126"/>
      <c r="AT35" s="126"/>
      <c r="AU35" s="126"/>
      <c r="AV35" s="126"/>
      <c r="AW35" s="126"/>
      <c r="AX35" s="126"/>
      <c r="AY35" s="126"/>
      <c r="AZ35" s="126"/>
      <c r="BA35" s="126"/>
      <c r="BB35" s="126"/>
      <c r="BC35" s="126"/>
      <c r="BD35" s="126"/>
      <c r="BE35" s="126"/>
      <c r="BF35" s="126"/>
      <c r="BG35" s="126"/>
      <c r="BH35" s="126"/>
      <c r="BI35" s="126"/>
      <c r="BJ35" s="126"/>
      <c r="BK35" s="126"/>
      <c r="BL35" s="126"/>
      <c r="BM35" s="126"/>
      <c r="BN35" s="126"/>
      <c r="BO35" s="126"/>
      <c r="BP35" s="126"/>
      <c r="BQ35" s="126"/>
      <c r="BR35" s="126"/>
      <c r="BS35" s="126"/>
      <c r="BT35" s="126"/>
      <c r="BU35" s="126"/>
      <c r="BV35" s="126"/>
      <c r="BW35" s="126"/>
      <c r="BX35" s="126"/>
      <c r="BY35" s="126"/>
      <c r="BZ35" s="126"/>
      <c r="CA35" s="126"/>
    </row>
    <row r="36" spans="1:79" ht="15.75" customHeight="1">
      <c r="A36" s="124"/>
      <c r="B36" s="126"/>
      <c r="C36" s="126"/>
      <c r="D36" s="126"/>
      <c r="E36" s="126" t="s">
        <v>10</v>
      </c>
      <c r="F36" s="126" t="s">
        <v>10</v>
      </c>
      <c r="G36" s="126"/>
      <c r="H36" s="126"/>
      <c r="I36" s="126"/>
      <c r="J36" s="126"/>
      <c r="K36" s="126"/>
      <c r="L36" s="126"/>
      <c r="M36" s="126"/>
      <c r="N36" s="126"/>
      <c r="O36" s="126"/>
      <c r="P36" s="126" t="s">
        <v>10</v>
      </c>
      <c r="Q36" s="126"/>
      <c r="R36" s="126"/>
      <c r="S36" s="126"/>
      <c r="T36" s="126"/>
      <c r="U36" s="126"/>
      <c r="V36" s="126"/>
      <c r="W36" s="126"/>
      <c r="X36" s="126"/>
      <c r="Y36" s="126"/>
      <c r="Z36" s="126"/>
      <c r="AA36" s="126"/>
      <c r="AB36" s="126"/>
      <c r="AC36" s="126"/>
      <c r="AD36" s="126"/>
      <c r="AE36" s="126"/>
      <c r="AF36" s="126"/>
      <c r="AG36" s="126"/>
      <c r="AH36" s="126"/>
      <c r="AI36" s="126"/>
      <c r="AJ36" s="126"/>
      <c r="AK36" s="126"/>
      <c r="AL36" s="126"/>
      <c r="AM36" s="126"/>
      <c r="AN36" s="126"/>
      <c r="AO36" s="126"/>
      <c r="AP36" s="126"/>
      <c r="AQ36" s="130"/>
      <c r="AR36" s="130"/>
      <c r="AS36" s="126"/>
      <c r="AT36" s="126"/>
      <c r="AU36" s="126"/>
      <c r="AV36" s="126"/>
      <c r="AW36" s="126"/>
      <c r="AX36" s="126"/>
      <c r="AY36" s="126"/>
      <c r="AZ36" s="126"/>
      <c r="BA36" s="126"/>
      <c r="BB36" s="126"/>
      <c r="BC36" s="126"/>
      <c r="BD36" s="126"/>
      <c r="BE36" s="126"/>
      <c r="BF36" s="126"/>
      <c r="BG36" s="126"/>
      <c r="BH36" s="126"/>
      <c r="BI36" s="126"/>
      <c r="BJ36" s="126"/>
      <c r="BK36" s="126"/>
      <c r="BL36" s="126"/>
      <c r="BM36" s="126"/>
      <c r="BN36" s="126"/>
      <c r="BO36" s="126"/>
      <c r="BP36" s="126"/>
      <c r="BQ36" s="126"/>
      <c r="BR36" s="126"/>
      <c r="BS36" s="126"/>
      <c r="BT36" s="126"/>
      <c r="BU36" s="126"/>
      <c r="BV36" s="126"/>
      <c r="BW36" s="126"/>
      <c r="BX36" s="126"/>
      <c r="BY36" s="126"/>
      <c r="BZ36" s="126"/>
      <c r="CA36" s="126"/>
    </row>
    <row r="37" spans="1:79" ht="15.75" customHeight="1">
      <c r="A37" s="124"/>
      <c r="B37" s="126"/>
      <c r="C37" s="126"/>
      <c r="D37" s="126"/>
      <c r="E37" s="126" t="s">
        <v>10</v>
      </c>
      <c r="F37" s="126" t="s">
        <v>10</v>
      </c>
      <c r="G37" s="126"/>
      <c r="H37" s="126"/>
      <c r="I37" s="126"/>
      <c r="J37" s="126"/>
      <c r="K37" s="126"/>
      <c r="L37" s="126"/>
      <c r="M37" s="126"/>
      <c r="N37" s="126"/>
      <c r="O37" s="126"/>
      <c r="P37" s="126" t="s">
        <v>10</v>
      </c>
      <c r="Q37" s="126"/>
      <c r="R37" s="199">
        <f ca="1">C35</f>
        <v>6887229.3562903702</v>
      </c>
      <c r="S37" s="200">
        <v>20000000</v>
      </c>
      <c r="T37" s="200">
        <v>21000000</v>
      </c>
      <c r="U37" s="200">
        <v>22000000</v>
      </c>
      <c r="V37" s="200">
        <v>23000000</v>
      </c>
      <c r="W37" s="200">
        <v>24000000</v>
      </c>
      <c r="X37" s="200">
        <v>25000000</v>
      </c>
      <c r="Y37" s="200">
        <v>26000000</v>
      </c>
      <c r="Z37" s="200">
        <v>27000000</v>
      </c>
      <c r="AA37" s="126"/>
      <c r="AB37" s="126"/>
      <c r="AC37" s="126"/>
      <c r="AD37" s="126"/>
      <c r="AE37" s="126"/>
      <c r="AF37" s="126"/>
      <c r="AG37" s="126"/>
      <c r="AH37" s="126"/>
      <c r="AI37" s="126"/>
      <c r="AJ37" s="126"/>
      <c r="AK37" s="126"/>
      <c r="AL37" s="126"/>
      <c r="AM37" s="126"/>
      <c r="AN37" s="126"/>
      <c r="AO37" s="126"/>
      <c r="AP37" s="126"/>
      <c r="AQ37" s="130"/>
      <c r="AR37" s="130"/>
      <c r="AS37" s="126"/>
      <c r="AT37" s="126"/>
      <c r="AU37" s="126"/>
      <c r="AV37" s="126"/>
      <c r="AW37" s="126"/>
      <c r="AX37" s="126"/>
      <c r="AY37" s="126"/>
      <c r="AZ37" s="126"/>
      <c r="BA37" s="126"/>
      <c r="BB37" s="126"/>
      <c r="BC37" s="126"/>
      <c r="BD37" s="126"/>
      <c r="BE37" s="126"/>
      <c r="BF37" s="126"/>
      <c r="BG37" s="126"/>
      <c r="BH37" s="126"/>
      <c r="BI37" s="126"/>
      <c r="BJ37" s="126"/>
      <c r="BK37" s="126"/>
      <c r="BL37" s="126"/>
      <c r="BM37" s="126"/>
      <c r="BN37" s="126"/>
      <c r="BO37" s="126"/>
      <c r="BP37" s="126"/>
      <c r="BQ37" s="126"/>
      <c r="BR37" s="126"/>
      <c r="BS37" s="126"/>
      <c r="BT37" s="126"/>
      <c r="BU37" s="126"/>
      <c r="BV37" s="126"/>
      <c r="BW37" s="126"/>
      <c r="BX37" s="126"/>
      <c r="BY37" s="126"/>
      <c r="BZ37" s="126"/>
      <c r="CA37" s="126"/>
    </row>
    <row r="38" spans="1:79" ht="15.75" customHeight="1">
      <c r="A38" s="124"/>
      <c r="B38" s="181" t="s">
        <v>92</v>
      </c>
      <c r="C38" s="211" t="s">
        <v>151</v>
      </c>
      <c r="D38" s="211"/>
      <c r="E38" s="211" t="s">
        <v>152</v>
      </c>
      <c r="F38" s="211"/>
      <c r="G38" s="126"/>
      <c r="H38" s="126"/>
      <c r="I38" s="126"/>
      <c r="J38" s="126"/>
      <c r="K38" s="126"/>
      <c r="L38" s="126"/>
      <c r="M38" s="126"/>
      <c r="N38" s="126"/>
      <c r="O38" s="126"/>
      <c r="P38" s="126"/>
      <c r="Q38" s="126"/>
      <c r="R38" s="126">
        <v>1</v>
      </c>
      <c r="S38" s="197">
        <f t="dataTable" ref="S38:Z237" dt2D="1" dtr="1" r1="C34" r2="Q44" ca="1"/>
        <v>1197427.3197334707</v>
      </c>
      <c r="T38" s="197">
        <v>473916.75190423429</v>
      </c>
      <c r="U38" s="197">
        <v>3909295.7231887728</v>
      </c>
      <c r="V38" s="197">
        <v>1077062.6290184408</v>
      </c>
      <c r="W38" s="197">
        <v>13899116.796177328</v>
      </c>
      <c r="X38" s="197">
        <v>8506424.5583260953</v>
      </c>
      <c r="Y38" s="197">
        <v>5958965.8426703811</v>
      </c>
      <c r="Z38" s="197">
        <v>7133494.614249438</v>
      </c>
      <c r="AA38" s="126"/>
      <c r="AB38" s="126"/>
      <c r="AC38" s="126"/>
      <c r="AD38" s="126"/>
      <c r="AE38" s="126"/>
      <c r="AF38" s="126"/>
      <c r="AG38" s="126"/>
      <c r="AH38" s="126"/>
      <c r="AI38" s="126"/>
      <c r="AJ38" s="126"/>
      <c r="AK38" s="126"/>
      <c r="AL38" s="126"/>
      <c r="AM38" s="126"/>
      <c r="AN38" s="126"/>
      <c r="AO38" s="126"/>
      <c r="AP38" s="126"/>
      <c r="AQ38" s="130"/>
      <c r="AR38" s="126"/>
      <c r="AS38" s="126"/>
      <c r="AT38" s="126"/>
      <c r="AU38" s="126"/>
      <c r="AV38" s="126"/>
      <c r="AW38" s="126"/>
      <c r="AX38" s="126"/>
      <c r="AY38" s="126"/>
      <c r="AZ38" s="126"/>
      <c r="BA38" s="126"/>
      <c r="BB38" s="126"/>
      <c r="BC38" s="126"/>
      <c r="BD38" s="126"/>
      <c r="BE38" s="126"/>
      <c r="BF38" s="126"/>
      <c r="BG38" s="126"/>
      <c r="BH38" s="126"/>
      <c r="BI38" s="126"/>
      <c r="BJ38" s="126"/>
      <c r="BK38" s="126"/>
      <c r="BL38" s="126"/>
      <c r="BM38" s="126"/>
      <c r="BN38" s="126"/>
      <c r="BO38" s="126"/>
      <c r="BP38" s="126"/>
      <c r="BQ38" s="126"/>
      <c r="BR38" s="126"/>
      <c r="BS38" s="126"/>
      <c r="BT38" s="126"/>
      <c r="BU38" s="126"/>
      <c r="BV38" s="126"/>
      <c r="BW38" s="126"/>
      <c r="BX38" s="126"/>
      <c r="BY38" s="126"/>
      <c r="BZ38" s="126"/>
      <c r="CA38" s="126"/>
    </row>
    <row r="39" spans="1:79" ht="15.75" customHeight="1">
      <c r="A39" s="124"/>
      <c r="B39" s="182"/>
      <c r="C39" s="181" t="s">
        <v>162</v>
      </c>
      <c r="D39" s="181" t="s">
        <v>161</v>
      </c>
      <c r="E39" s="181" t="s">
        <v>162</v>
      </c>
      <c r="F39" s="181" t="s">
        <v>161</v>
      </c>
      <c r="G39" s="177"/>
      <c r="H39" s="126"/>
      <c r="I39" s="126"/>
      <c r="J39" s="126"/>
      <c r="K39" s="126"/>
      <c r="L39" s="126"/>
      <c r="M39" s="126"/>
      <c r="N39" s="126"/>
      <c r="O39" s="126"/>
      <c r="P39" s="126" t="s">
        <v>10</v>
      </c>
      <c r="Q39" s="126"/>
      <c r="R39" s="126">
        <v>2</v>
      </c>
      <c r="S39" s="197">
        <v>5488587.0292480588</v>
      </c>
      <c r="T39" s="197">
        <v>10558777.963313937</v>
      </c>
      <c r="U39" s="197">
        <v>7152383.3681772947</v>
      </c>
      <c r="V39" s="197">
        <v>8713228.3736377656</v>
      </c>
      <c r="W39" s="197">
        <v>5422203.8257247359</v>
      </c>
      <c r="X39" s="197">
        <v>12769348.937094435</v>
      </c>
      <c r="Y39" s="197">
        <v>4003752.1188545972</v>
      </c>
      <c r="Z39" s="197">
        <v>-6686154.5787254721</v>
      </c>
      <c r="AA39" s="126"/>
      <c r="AB39" s="126"/>
      <c r="AC39" s="126"/>
      <c r="AD39" s="126"/>
      <c r="AE39" s="126"/>
      <c r="AF39" s="126"/>
      <c r="AG39" s="126"/>
      <c r="AH39" s="126"/>
      <c r="AI39" s="126"/>
      <c r="AJ39" s="126"/>
      <c r="AK39" s="126"/>
      <c r="AL39" s="126"/>
      <c r="AM39" s="126"/>
      <c r="AN39" s="126"/>
      <c r="AO39" s="126"/>
      <c r="AP39" s="126"/>
      <c r="AQ39" s="130"/>
      <c r="AR39" s="126"/>
      <c r="AS39" s="126"/>
      <c r="AT39" s="126"/>
      <c r="AU39" s="126"/>
      <c r="AV39" s="126"/>
      <c r="AW39" s="126"/>
      <c r="AX39" s="126"/>
      <c r="AY39" s="126"/>
      <c r="AZ39" s="126"/>
      <c r="BA39" s="126"/>
      <c r="BB39" s="126"/>
      <c r="BC39" s="126"/>
      <c r="BD39" s="126"/>
      <c r="BE39" s="126"/>
      <c r="BF39" s="126"/>
      <c r="BG39" s="126"/>
      <c r="BH39" s="126"/>
      <c r="BI39" s="126"/>
      <c r="BJ39" s="126"/>
      <c r="BK39" s="126"/>
      <c r="BL39" s="126"/>
      <c r="BM39" s="126"/>
      <c r="BN39" s="126"/>
      <c r="BO39" s="126"/>
      <c r="BP39" s="126"/>
      <c r="BQ39" s="126"/>
      <c r="BR39" s="126"/>
      <c r="BS39" s="126"/>
      <c r="BT39" s="126"/>
      <c r="BU39" s="126"/>
      <c r="BV39" s="126"/>
      <c r="BW39" s="126"/>
      <c r="BX39" s="126"/>
      <c r="BY39" s="126"/>
      <c r="BZ39" s="126"/>
      <c r="CA39" s="126"/>
    </row>
    <row r="40" spans="1:79" ht="13.8">
      <c r="B40" s="183" t="s">
        <v>95</v>
      </c>
      <c r="C40" s="184" t="s">
        <v>153</v>
      </c>
      <c r="D40" s="182" t="s">
        <v>163</v>
      </c>
      <c r="E40" s="184" t="s">
        <v>154</v>
      </c>
      <c r="F40" s="185" t="s">
        <v>160</v>
      </c>
      <c r="G40" s="178"/>
      <c r="I40" s="144" t="s">
        <v>104</v>
      </c>
      <c r="J40" s="145" t="s">
        <v>105</v>
      </c>
      <c r="K40" s="145" t="s">
        <v>106</v>
      </c>
      <c r="L40" s="145" t="s">
        <v>107</v>
      </c>
      <c r="M40" s="146" t="s">
        <v>108</v>
      </c>
      <c r="P40" s="70" t="s">
        <v>10</v>
      </c>
      <c r="R40" s="126">
        <v>3</v>
      </c>
      <c r="S40" s="198">
        <v>13118556.447816804</v>
      </c>
      <c r="T40" s="198">
        <v>7581419.8380112052</v>
      </c>
      <c r="U40" s="198">
        <v>7901639.5330814719</v>
      </c>
      <c r="V40" s="198">
        <v>-703512.30622446537</v>
      </c>
      <c r="W40" s="198">
        <v>-2915022.4870239943</v>
      </c>
      <c r="X40" s="198">
        <v>3276073.4803409129</v>
      </c>
      <c r="Y40" s="198">
        <v>-6121712.3829089701</v>
      </c>
      <c r="Z40" s="198">
        <v>-4238320.7333634943</v>
      </c>
      <c r="AP40" s="131"/>
      <c r="AQ40" s="130"/>
      <c r="AR40" s="131"/>
      <c r="AS40" s="131"/>
      <c r="AT40" s="131"/>
    </row>
    <row r="41" spans="1:79" ht="15.75" customHeight="1">
      <c r="B41" s="183" t="s">
        <v>96</v>
      </c>
      <c r="C41" s="184" t="s">
        <v>155</v>
      </c>
      <c r="D41" s="182" t="s">
        <v>166</v>
      </c>
      <c r="E41" s="184" t="s">
        <v>156</v>
      </c>
      <c r="F41" s="185" t="s">
        <v>164</v>
      </c>
      <c r="G41" s="178"/>
      <c r="I41" s="132">
        <v>46045</v>
      </c>
      <c r="J41" s="133">
        <v>7.66</v>
      </c>
      <c r="K41" s="134"/>
      <c r="L41" s="134"/>
      <c r="M41" s="135"/>
      <c r="P41" s="70" t="s">
        <v>10</v>
      </c>
      <c r="R41" s="126">
        <v>4</v>
      </c>
      <c r="S41" s="198">
        <v>5256453.1126985252</v>
      </c>
      <c r="T41" s="198">
        <v>6082884.5607150942</v>
      </c>
      <c r="U41" s="198">
        <v>11717704.458963513</v>
      </c>
      <c r="V41" s="198">
        <v>3875332.1130532771</v>
      </c>
      <c r="W41" s="198">
        <v>11195022.928342178</v>
      </c>
      <c r="X41" s="198">
        <v>1466873.3466856778</v>
      </c>
      <c r="Y41" s="198">
        <v>6123085.0069368482</v>
      </c>
      <c r="Z41" s="198">
        <v>5613092.1559851766</v>
      </c>
      <c r="AP41" s="131"/>
      <c r="AQ41" s="130"/>
      <c r="AR41" s="131"/>
      <c r="AS41" s="131"/>
      <c r="AT41" s="131"/>
    </row>
    <row r="42" spans="1:79" ht="15.75" customHeight="1">
      <c r="B42" s="183" t="s">
        <v>97</v>
      </c>
      <c r="C42" s="184" t="s">
        <v>157</v>
      </c>
      <c r="D42" s="182" t="s">
        <v>165</v>
      </c>
      <c r="E42" s="186"/>
      <c r="F42" s="184"/>
      <c r="G42" s="179"/>
      <c r="I42" s="136">
        <v>46076</v>
      </c>
      <c r="J42" s="137">
        <v>7.35</v>
      </c>
      <c r="K42" s="138"/>
      <c r="L42" s="138"/>
      <c r="M42" s="139"/>
      <c r="R42" s="126">
        <v>5</v>
      </c>
      <c r="S42" s="198">
        <v>7139176.3490193486</v>
      </c>
      <c r="T42" s="198">
        <v>2750289.8178184777</v>
      </c>
      <c r="U42" s="198">
        <v>1399008.9236589819</v>
      </c>
      <c r="V42" s="198">
        <v>4564021.2268815637</v>
      </c>
      <c r="W42" s="198">
        <v>12546676.044671983</v>
      </c>
      <c r="X42" s="198">
        <v>10157821.945598543</v>
      </c>
      <c r="Y42" s="198">
        <v>1356818.4732525647</v>
      </c>
      <c r="Z42" s="198">
        <v>1759185.3876567185</v>
      </c>
      <c r="AP42" s="131"/>
      <c r="AQ42" s="130"/>
      <c r="AR42" s="131"/>
      <c r="AS42" s="131"/>
      <c r="AT42" s="131"/>
    </row>
    <row r="43" spans="1:79" ht="15.75" customHeight="1">
      <c r="B43" s="183" t="s">
        <v>98</v>
      </c>
      <c r="C43" s="187" t="s">
        <v>158</v>
      </c>
      <c r="D43" s="182"/>
      <c r="E43" s="187" t="s">
        <v>159</v>
      </c>
      <c r="F43" s="187"/>
      <c r="G43" s="180"/>
      <c r="I43" s="132">
        <v>46104</v>
      </c>
      <c r="J43" s="133">
        <v>6.87</v>
      </c>
      <c r="K43" s="134"/>
      <c r="L43" s="134"/>
      <c r="M43" s="135"/>
      <c r="P43" s="70" t="s">
        <v>10</v>
      </c>
      <c r="R43" s="126">
        <v>6</v>
      </c>
      <c r="S43" s="198">
        <v>11189146.638563916</v>
      </c>
      <c r="T43" s="198">
        <v>13576529.826578349</v>
      </c>
      <c r="U43" s="198">
        <v>14549487.044671252</v>
      </c>
      <c r="V43" s="198">
        <v>8840841.2105711997</v>
      </c>
      <c r="W43" s="198">
        <v>803768.20958164334</v>
      </c>
      <c r="X43" s="198">
        <v>4001513.1253440678</v>
      </c>
      <c r="Y43" s="198">
        <v>5344738.3045776486</v>
      </c>
      <c r="Z43" s="198">
        <v>-3777840.8953672498</v>
      </c>
      <c r="AP43" s="131"/>
      <c r="AQ43" s="130"/>
      <c r="AR43" s="131"/>
      <c r="AS43" s="131"/>
      <c r="AT43" s="131"/>
    </row>
    <row r="44" spans="1:79" ht="15.75" customHeight="1">
      <c r="I44" s="136">
        <v>46135</v>
      </c>
      <c r="J44" s="137">
        <v>6.71</v>
      </c>
      <c r="K44" s="138"/>
      <c r="L44" s="138"/>
      <c r="M44" s="139"/>
      <c r="P44" s="70" t="s">
        <v>10</v>
      </c>
      <c r="R44" s="126">
        <v>7</v>
      </c>
      <c r="S44" s="198">
        <v>13198254.896843761</v>
      </c>
      <c r="T44" s="198">
        <v>12784117.027184844</v>
      </c>
      <c r="U44" s="198">
        <v>2074189.7402154654</v>
      </c>
      <c r="V44" s="198">
        <v>3393162.1511821747</v>
      </c>
      <c r="W44" s="198">
        <v>9228540.2869517505</v>
      </c>
      <c r="X44" s="198">
        <v>4732601.585570693</v>
      </c>
      <c r="Y44" s="198">
        <v>3053856.9691459239</v>
      </c>
      <c r="Z44" s="198">
        <v>879168.99006232619</v>
      </c>
      <c r="AP44" s="131"/>
      <c r="AQ44" s="130"/>
      <c r="AR44" s="131"/>
      <c r="AS44" s="131"/>
      <c r="AT44" s="131"/>
    </row>
    <row r="45" spans="1:79" ht="15.75" customHeight="1">
      <c r="I45" s="132">
        <v>46165</v>
      </c>
      <c r="J45" s="133">
        <v>6.19</v>
      </c>
      <c r="K45" s="134"/>
      <c r="L45" s="134"/>
      <c r="M45" s="135"/>
      <c r="R45" s="126">
        <v>8</v>
      </c>
      <c r="S45" s="198">
        <v>1803759.5665365309</v>
      </c>
      <c r="T45" s="198">
        <v>1713839.5363501012</v>
      </c>
      <c r="U45" s="198">
        <v>-6173585.8805702478</v>
      </c>
      <c r="V45" s="198">
        <v>2242975.190516293</v>
      </c>
      <c r="W45" s="198">
        <v>1824972.6985710561</v>
      </c>
      <c r="X45" s="198">
        <v>12533780.492608994</v>
      </c>
      <c r="Y45" s="198">
        <v>6631379.8981609792</v>
      </c>
      <c r="Z45" s="198">
        <v>-86345.009832441807</v>
      </c>
      <c r="AP45" s="131"/>
      <c r="AQ45" s="130"/>
      <c r="AR45" s="131"/>
      <c r="AS45" s="131"/>
      <c r="AT45" s="131"/>
    </row>
    <row r="46" spans="1:79" ht="15.75" customHeight="1">
      <c r="I46" s="136">
        <v>46196</v>
      </c>
      <c r="J46" s="137">
        <v>6.14</v>
      </c>
      <c r="K46" s="138"/>
      <c r="L46" s="138"/>
      <c r="M46" s="139"/>
      <c r="R46" s="126">
        <v>9</v>
      </c>
      <c r="S46" s="198">
        <v>5158343.1165063679</v>
      </c>
      <c r="T46" s="198">
        <v>15208890.714350849</v>
      </c>
      <c r="U46" s="198">
        <v>4294234.5443415642</v>
      </c>
      <c r="V46" s="198">
        <v>901548.42944590747</v>
      </c>
      <c r="W46" s="198">
        <v>5603724.7614362836</v>
      </c>
      <c r="X46" s="198">
        <v>2804355.040559411</v>
      </c>
      <c r="Y46" s="198">
        <v>4375129.1278469414</v>
      </c>
      <c r="Z46" s="198">
        <v>-2154148.8281131089</v>
      </c>
      <c r="AP46" s="131"/>
      <c r="AQ46" s="130"/>
      <c r="AR46" s="131"/>
      <c r="AS46" s="131"/>
      <c r="AT46" s="131"/>
    </row>
    <row r="47" spans="1:79" ht="15.75" customHeight="1">
      <c r="I47" s="132">
        <v>46226</v>
      </c>
      <c r="J47" s="133">
        <v>6.15</v>
      </c>
      <c r="K47" s="134"/>
      <c r="L47" s="134"/>
      <c r="M47" s="135"/>
      <c r="R47" s="126">
        <v>10</v>
      </c>
      <c r="S47" s="198">
        <v>9952609.3710401505</v>
      </c>
      <c r="T47" s="198">
        <v>7739429.2112459242</v>
      </c>
      <c r="U47" s="198">
        <v>3759641.8132474571</v>
      </c>
      <c r="V47" s="198">
        <v>4748075.7018502951</v>
      </c>
      <c r="W47" s="198">
        <v>9217803.390405342</v>
      </c>
      <c r="X47" s="198">
        <v>2114715.6461184025</v>
      </c>
      <c r="Y47" s="198">
        <v>-1883770.2484954149</v>
      </c>
      <c r="Z47" s="198">
        <v>7137925.7339444458</v>
      </c>
      <c r="AP47" s="131"/>
      <c r="AQ47" s="130"/>
      <c r="AR47" s="131"/>
      <c r="AS47" s="131"/>
      <c r="AT47" s="131"/>
    </row>
    <row r="48" spans="1:79" ht="15.75" customHeight="1">
      <c r="I48" s="136">
        <v>46257</v>
      </c>
      <c r="J48" s="137">
        <v>6.22</v>
      </c>
      <c r="K48" s="138"/>
      <c r="L48" s="138"/>
      <c r="M48" s="139"/>
      <c r="R48" s="126">
        <v>11</v>
      </c>
      <c r="S48" s="198">
        <v>7214560.0248738378</v>
      </c>
      <c r="T48" s="198">
        <v>5213001.8141364753</v>
      </c>
      <c r="U48" s="198">
        <v>9490230.8847428858</v>
      </c>
      <c r="V48" s="198">
        <v>10596067.109189019</v>
      </c>
      <c r="W48" s="198">
        <v>8475564.5782602876</v>
      </c>
      <c r="X48" s="198">
        <v>4143647.5779856294</v>
      </c>
      <c r="Y48" s="198">
        <v>7442108.389396131</v>
      </c>
      <c r="Z48" s="198">
        <v>6327036.6076680124</v>
      </c>
      <c r="AP48" s="131"/>
      <c r="AQ48" s="130"/>
      <c r="AR48" s="131"/>
      <c r="AS48" s="131"/>
      <c r="AT48" s="131"/>
    </row>
    <row r="49" spans="9:46" ht="13.8">
      <c r="I49" s="132">
        <v>46288</v>
      </c>
      <c r="J49" s="133">
        <v>6.18</v>
      </c>
      <c r="K49" s="134"/>
      <c r="L49" s="134"/>
      <c r="M49" s="135"/>
      <c r="R49" s="126">
        <v>12</v>
      </c>
      <c r="S49" s="198">
        <v>3641338.9884792864</v>
      </c>
      <c r="T49" s="198">
        <v>3007238.6252080947</v>
      </c>
      <c r="U49" s="198">
        <v>11238174.999450967</v>
      </c>
      <c r="V49" s="198">
        <v>4397931.3247494698</v>
      </c>
      <c r="W49" s="198">
        <v>-2615613.0566474795</v>
      </c>
      <c r="X49" s="198">
        <v>4029056.6311260015</v>
      </c>
      <c r="Y49" s="198">
        <v>6850550.8115588427</v>
      </c>
      <c r="Z49" s="198">
        <v>-2461590.9314537942</v>
      </c>
      <c r="AP49" s="131"/>
      <c r="AQ49" s="130"/>
      <c r="AR49" s="131"/>
      <c r="AS49" s="131"/>
      <c r="AT49" s="131"/>
    </row>
    <row r="50" spans="9:46" ht="13.8">
      <c r="I50" s="136">
        <v>46318</v>
      </c>
      <c r="J50" s="137">
        <v>6.12</v>
      </c>
      <c r="K50" s="138"/>
      <c r="L50" s="138"/>
      <c r="M50" s="139"/>
      <c r="R50" s="126">
        <v>13</v>
      </c>
      <c r="S50" s="198">
        <v>401873.79036229849</v>
      </c>
      <c r="T50" s="198">
        <v>9144800.8491889387</v>
      </c>
      <c r="U50" s="198">
        <v>8584472.6684106886</v>
      </c>
      <c r="V50" s="198">
        <v>6673565.2088928819</v>
      </c>
      <c r="W50" s="198">
        <v>-2121908.2114725113</v>
      </c>
      <c r="X50" s="198">
        <v>6681094.8760708869</v>
      </c>
      <c r="Y50" s="198">
        <v>-1823150.9659428298</v>
      </c>
      <c r="Z50" s="198">
        <v>5332531.3224233687</v>
      </c>
      <c r="AP50" s="131"/>
      <c r="AQ50" s="130"/>
      <c r="AR50" s="131"/>
      <c r="AS50" s="131"/>
      <c r="AT50" s="131"/>
    </row>
    <row r="51" spans="9:46" ht="13.8">
      <c r="I51" s="132">
        <v>46349</v>
      </c>
      <c r="J51" s="133">
        <v>6.75</v>
      </c>
      <c r="K51" s="134"/>
      <c r="L51" s="134"/>
      <c r="M51" s="135"/>
      <c r="R51" s="126">
        <v>14</v>
      </c>
      <c r="S51" s="198">
        <v>5125582.0865472555</v>
      </c>
      <c r="T51" s="198">
        <v>8950628.0681761056</v>
      </c>
      <c r="U51" s="198">
        <v>-5805141.0253069103</v>
      </c>
      <c r="V51" s="198">
        <v>6282320.313720569</v>
      </c>
      <c r="W51" s="198">
        <v>8454578.573156029</v>
      </c>
      <c r="X51" s="198">
        <v>8590170.731899634</v>
      </c>
      <c r="Y51" s="198">
        <v>3024512.6377832144</v>
      </c>
      <c r="Z51" s="198">
        <v>1567550.1923616976</v>
      </c>
    </row>
    <row r="52" spans="9:46" ht="13.8">
      <c r="I52" s="136">
        <v>46379</v>
      </c>
      <c r="J52" s="137">
        <v>6.49</v>
      </c>
      <c r="K52" s="138"/>
      <c r="L52" s="138"/>
      <c r="M52" s="139"/>
      <c r="R52" s="126">
        <v>15</v>
      </c>
      <c r="S52" s="198">
        <v>3503323.0496587902</v>
      </c>
      <c r="T52" s="198">
        <v>3732834.8584994823</v>
      </c>
      <c r="U52" s="198">
        <v>14058865.764003664</v>
      </c>
      <c r="V52" s="198">
        <v>6064583.815038994</v>
      </c>
      <c r="W52" s="198">
        <v>7585332.8420368433</v>
      </c>
      <c r="X52" s="198">
        <v>1907652.6557998657</v>
      </c>
      <c r="Y52" s="198">
        <v>-3997256.1019136012</v>
      </c>
      <c r="Z52" s="198">
        <v>-141188.26428854465</v>
      </c>
    </row>
    <row r="53" spans="9:46" ht="13.8">
      <c r="I53" s="132">
        <v>46046</v>
      </c>
      <c r="J53" s="133">
        <v>6.46</v>
      </c>
      <c r="K53" s="134"/>
      <c r="L53" s="134"/>
      <c r="M53" s="135"/>
      <c r="R53" s="126">
        <v>16</v>
      </c>
      <c r="S53" s="198">
        <v>462945.36622688174</v>
      </c>
      <c r="T53" s="198">
        <v>-1803649.608138442</v>
      </c>
      <c r="U53" s="198">
        <v>20874547.050737575</v>
      </c>
      <c r="V53" s="198">
        <v>3947086.492895335</v>
      </c>
      <c r="W53" s="198">
        <v>6848941.2830440551</v>
      </c>
      <c r="X53" s="198">
        <v>10135760.638694465</v>
      </c>
      <c r="Y53" s="198">
        <v>5300668.3243649155</v>
      </c>
      <c r="Z53" s="198">
        <v>10977719.377603203</v>
      </c>
    </row>
    <row r="54" spans="9:46" ht="13.8">
      <c r="I54" s="136">
        <v>46077</v>
      </c>
      <c r="J54" s="137">
        <v>6.79</v>
      </c>
      <c r="K54" s="138"/>
      <c r="L54" s="138"/>
      <c r="M54" s="139"/>
      <c r="R54" s="126">
        <v>17</v>
      </c>
      <c r="S54" s="198">
        <v>-219929.74738287926</v>
      </c>
      <c r="T54" s="198">
        <v>5623978.0111705363</v>
      </c>
      <c r="U54" s="198">
        <v>9320710.2630073428</v>
      </c>
      <c r="V54" s="198">
        <v>-1981772.0720595717</v>
      </c>
      <c r="W54" s="198">
        <v>-944353.94534285367</v>
      </c>
      <c r="X54" s="198">
        <v>5854978.8569492698</v>
      </c>
      <c r="Y54" s="198">
        <v>10416980.202323183</v>
      </c>
      <c r="Z54" s="198">
        <v>3894380.6232758462</v>
      </c>
    </row>
    <row r="55" spans="9:46" ht="13.8">
      <c r="I55" s="132">
        <v>46105</v>
      </c>
      <c r="J55" s="133">
        <v>6.73</v>
      </c>
      <c r="K55" s="134"/>
      <c r="L55" s="134"/>
      <c r="M55" s="135"/>
      <c r="R55" s="126">
        <v>18</v>
      </c>
      <c r="S55" s="198">
        <v>8275830.9724793732</v>
      </c>
      <c r="T55" s="198">
        <v>6853433.7868335098</v>
      </c>
      <c r="U55" s="198">
        <v>2629391.6462302953</v>
      </c>
      <c r="V55" s="198">
        <v>9199260.0745487064</v>
      </c>
      <c r="W55" s="198">
        <v>9501576.4989741147</v>
      </c>
      <c r="X55" s="198">
        <v>2349159.260038048</v>
      </c>
      <c r="Y55" s="198">
        <v>7887238.6942513883</v>
      </c>
      <c r="Z55" s="198">
        <v>-4882912.5523825288</v>
      </c>
    </row>
    <row r="56" spans="9:46" ht="13.8">
      <c r="I56" s="136">
        <v>46136</v>
      </c>
      <c r="J56" s="137">
        <v>6.66</v>
      </c>
      <c r="K56" s="138"/>
      <c r="L56" s="138"/>
      <c r="M56" s="139"/>
      <c r="R56" s="126">
        <v>19</v>
      </c>
      <c r="S56" s="198">
        <v>3496854.4494670331</v>
      </c>
      <c r="T56" s="198">
        <v>-254034.93202912807</v>
      </c>
      <c r="U56" s="198">
        <v>5810420.8107017428</v>
      </c>
      <c r="V56" s="198">
        <v>1830935.9404529035</v>
      </c>
      <c r="W56" s="198">
        <v>10969765.875355735</v>
      </c>
      <c r="X56" s="198">
        <v>8728225.5407162011</v>
      </c>
      <c r="Y56" s="198">
        <v>3486067.8846111447</v>
      </c>
      <c r="Z56" s="198">
        <v>-6912135.1612138003</v>
      </c>
    </row>
    <row r="57" spans="9:46" ht="13.8">
      <c r="I57" s="132">
        <v>46166</v>
      </c>
      <c r="J57" s="133">
        <v>6.54</v>
      </c>
      <c r="K57" s="134"/>
      <c r="L57" s="134"/>
      <c r="M57" s="135"/>
      <c r="R57" s="126">
        <v>20</v>
      </c>
      <c r="S57" s="198">
        <v>13600515.164270148</v>
      </c>
      <c r="T57" s="198">
        <v>19468556.685763657</v>
      </c>
      <c r="U57" s="198">
        <v>2476429.4810883254</v>
      </c>
      <c r="V57" s="198">
        <v>1629442.4976395518</v>
      </c>
      <c r="W57" s="198">
        <v>3006260.1698551029</v>
      </c>
      <c r="X57" s="198">
        <v>10116477.756692484</v>
      </c>
      <c r="Y57" s="198">
        <v>1847089.6922177225</v>
      </c>
      <c r="Z57" s="198">
        <v>1646439.5357697606</v>
      </c>
    </row>
    <row r="58" spans="9:46" ht="13.8">
      <c r="I58" s="136">
        <v>46197</v>
      </c>
      <c r="J58" s="137">
        <v>6.44</v>
      </c>
      <c r="K58" s="138"/>
      <c r="L58" s="138"/>
      <c r="M58" s="139"/>
      <c r="R58" s="126">
        <v>21</v>
      </c>
      <c r="S58" s="198">
        <v>8668921.5264444798</v>
      </c>
      <c r="T58" s="198">
        <v>4904405.6220920682</v>
      </c>
      <c r="U58" s="198">
        <v>8173928.4594355375</v>
      </c>
      <c r="V58" s="198">
        <v>15678290.959242061</v>
      </c>
      <c r="W58" s="198">
        <v>5451071.4835893214</v>
      </c>
      <c r="X58" s="198">
        <v>11086579.779223442</v>
      </c>
      <c r="Y58" s="198">
        <v>8661936.1614701301</v>
      </c>
      <c r="Z58" s="198">
        <v>3399866.7334821671</v>
      </c>
    </row>
    <row r="59" spans="9:46" ht="13.8">
      <c r="I59" s="132">
        <v>46227</v>
      </c>
      <c r="J59" s="133">
        <v>6.35</v>
      </c>
      <c r="K59" s="134"/>
      <c r="L59" s="134"/>
      <c r="M59" s="135"/>
      <c r="R59" s="126">
        <v>22</v>
      </c>
      <c r="S59" s="198">
        <v>5661480.2178405076</v>
      </c>
      <c r="T59" s="198">
        <v>16061564.308401525</v>
      </c>
      <c r="U59" s="198">
        <v>19137471.722650185</v>
      </c>
      <c r="V59" s="198">
        <v>6895255.1755152941</v>
      </c>
      <c r="W59" s="198">
        <v>2862662.9387459159</v>
      </c>
      <c r="X59" s="198">
        <v>7045996.3354063779</v>
      </c>
      <c r="Y59" s="198">
        <v>8310331.1326116174</v>
      </c>
      <c r="Z59" s="198">
        <v>-553073.54909294844</v>
      </c>
    </row>
    <row r="60" spans="9:46" ht="13.8">
      <c r="I60" s="136">
        <v>46258</v>
      </c>
      <c r="J60" s="137">
        <v>6.21</v>
      </c>
      <c r="K60" s="138"/>
      <c r="L60" s="138"/>
      <c r="M60" s="139"/>
      <c r="R60" s="126">
        <v>23</v>
      </c>
      <c r="S60" s="198">
        <v>18170343.970685691</v>
      </c>
      <c r="T60" s="198">
        <v>4107874.5803677738</v>
      </c>
      <c r="U60" s="198">
        <v>4050050.4327065051</v>
      </c>
      <c r="V60" s="198">
        <v>9715241.6991266161</v>
      </c>
      <c r="W60" s="198">
        <v>3948837.275296241</v>
      </c>
      <c r="X60" s="198">
        <v>-690754.19461086392</v>
      </c>
      <c r="Y60" s="198">
        <v>-4820387.262037605</v>
      </c>
      <c r="Z60" s="198">
        <v>-14623506.876373455</v>
      </c>
    </row>
    <row r="61" spans="9:46" ht="13.8">
      <c r="I61" s="132">
        <v>46289</v>
      </c>
      <c r="J61" s="133">
        <v>6</v>
      </c>
      <c r="K61" s="134"/>
      <c r="L61" s="134"/>
      <c r="M61" s="135"/>
      <c r="R61" s="126">
        <v>24</v>
      </c>
      <c r="S61" s="198">
        <v>6507326.0586159229</v>
      </c>
      <c r="T61" s="198">
        <v>13185339.689299077</v>
      </c>
      <c r="U61" s="198">
        <v>7144104.8835331053</v>
      </c>
      <c r="V61" s="198">
        <v>-4466486.2173512578</v>
      </c>
      <c r="W61" s="198">
        <v>-4928129.4481041729</v>
      </c>
      <c r="X61" s="198">
        <v>870527.79284462333</v>
      </c>
      <c r="Y61" s="198">
        <v>6633942.3683293313</v>
      </c>
      <c r="Z61" s="198">
        <v>-7860169.8224044591</v>
      </c>
    </row>
    <row r="62" spans="9:46" ht="13.8">
      <c r="I62" s="136">
        <v>46319</v>
      </c>
      <c r="J62" s="137">
        <v>6.1</v>
      </c>
      <c r="K62" s="138"/>
      <c r="L62" s="138"/>
      <c r="M62" s="139"/>
      <c r="R62" s="126">
        <v>25</v>
      </c>
      <c r="S62" s="198">
        <v>-649206.7435489893</v>
      </c>
      <c r="T62" s="198">
        <v>-1616712.4733113796</v>
      </c>
      <c r="U62" s="198">
        <v>10950428.6336364</v>
      </c>
      <c r="V62" s="198">
        <v>8168770.4019130766</v>
      </c>
      <c r="W62" s="198">
        <v>2671784.5374111831</v>
      </c>
      <c r="X62" s="198">
        <v>1464225.3778405339</v>
      </c>
      <c r="Y62" s="198">
        <v>-3497689.1461481154</v>
      </c>
      <c r="Z62" s="198">
        <v>3057639.1254917085</v>
      </c>
    </row>
    <row r="63" spans="9:46" ht="13.8">
      <c r="I63" s="132">
        <v>46350</v>
      </c>
      <c r="J63" s="133">
        <v>6.07</v>
      </c>
      <c r="K63" s="134"/>
      <c r="L63" s="134"/>
      <c r="M63" s="135"/>
      <c r="R63" s="126">
        <v>26</v>
      </c>
      <c r="S63" s="198">
        <v>310989.97483643889</v>
      </c>
      <c r="T63" s="198">
        <v>5487663.9234915227</v>
      </c>
      <c r="U63" s="198">
        <v>13611328.363520026</v>
      </c>
      <c r="V63" s="198">
        <v>-1035641.8334484547</v>
      </c>
      <c r="W63" s="198">
        <v>9746826.8018796146</v>
      </c>
      <c r="X63" s="198">
        <v>11266129.072416976</v>
      </c>
      <c r="Y63" s="198">
        <v>2432968.7666978985</v>
      </c>
      <c r="Z63" s="198">
        <v>11693166.275306672</v>
      </c>
    </row>
    <row r="64" spans="9:46" ht="13.8">
      <c r="I64" s="136">
        <v>46380</v>
      </c>
      <c r="J64" s="137">
        <v>6.15</v>
      </c>
      <c r="K64" s="138"/>
      <c r="L64" s="138"/>
      <c r="M64" s="139"/>
      <c r="R64" s="126">
        <v>27</v>
      </c>
      <c r="S64" s="198">
        <v>4722708.8345588297</v>
      </c>
      <c r="T64" s="198">
        <v>5363819.1323506981</v>
      </c>
      <c r="U64" s="198">
        <v>10612365.805029333</v>
      </c>
      <c r="V64" s="198">
        <v>9294245.8183838427</v>
      </c>
      <c r="W64" s="198">
        <v>2071117.2379830182</v>
      </c>
      <c r="X64" s="198">
        <v>19866396.977998897</v>
      </c>
      <c r="Y64" s="198">
        <v>910486.68849675357</v>
      </c>
      <c r="Z64" s="198">
        <v>1603942.2150407434</v>
      </c>
    </row>
    <row r="65" spans="9:26" ht="13.8">
      <c r="I65" s="132">
        <v>46047</v>
      </c>
      <c r="J65" s="133">
        <v>6.32</v>
      </c>
      <c r="K65" s="134"/>
      <c r="L65" s="134"/>
      <c r="M65" s="135"/>
      <c r="R65" s="126">
        <v>28</v>
      </c>
      <c r="S65" s="198">
        <v>4177718.3619332612</v>
      </c>
      <c r="T65" s="198">
        <v>12529814.779795945</v>
      </c>
      <c r="U65" s="198">
        <v>14652812.097487122</v>
      </c>
      <c r="V65" s="198">
        <v>8438885.9079105556</v>
      </c>
      <c r="W65" s="198">
        <v>13910637.973637193</v>
      </c>
      <c r="X65" s="198">
        <v>9403315.6431809813</v>
      </c>
      <c r="Y65" s="198">
        <v>5812390.9934020638</v>
      </c>
      <c r="Z65" s="198">
        <v>-9192216.6861055344</v>
      </c>
    </row>
    <row r="66" spans="9:26" ht="13.8">
      <c r="I66" s="136">
        <v>46078</v>
      </c>
      <c r="J66" s="137">
        <v>6.38</v>
      </c>
      <c r="K66" s="138"/>
      <c r="L66" s="138"/>
      <c r="M66" s="139"/>
      <c r="R66" s="126">
        <v>29</v>
      </c>
      <c r="S66" s="198">
        <v>2786831.7524725497</v>
      </c>
      <c r="T66" s="198">
        <v>3562322.0452373922</v>
      </c>
      <c r="U66" s="198">
        <v>12129198.107771724</v>
      </c>
      <c r="V66" s="198">
        <v>8485771.044801861</v>
      </c>
      <c r="W66" s="198">
        <v>2095488.7833985388</v>
      </c>
      <c r="X66" s="198">
        <v>-1454211.4036676139</v>
      </c>
      <c r="Y66" s="198">
        <v>-1419434.8987604976</v>
      </c>
      <c r="Z66" s="198">
        <v>-1061769.7495898306</v>
      </c>
    </row>
    <row r="67" spans="9:26" ht="13.8">
      <c r="I67" s="132">
        <v>46106</v>
      </c>
      <c r="J67" s="133">
        <v>6.27</v>
      </c>
      <c r="K67" s="134"/>
      <c r="L67" s="134"/>
      <c r="M67" s="135"/>
      <c r="R67" s="126">
        <v>30</v>
      </c>
      <c r="S67" s="198">
        <v>-2816192.407356441</v>
      </c>
      <c r="T67" s="198">
        <v>1251771.3736313432</v>
      </c>
      <c r="U67" s="198">
        <v>3411437.2958191484</v>
      </c>
      <c r="V67" s="198">
        <v>4124727.2803235352</v>
      </c>
      <c r="W67" s="198">
        <v>5262433.8476042151</v>
      </c>
      <c r="X67" s="198">
        <v>7607847.3561860025</v>
      </c>
      <c r="Y67" s="198">
        <v>12727252.468886405</v>
      </c>
      <c r="Z67" s="198">
        <v>6695681.8251064122</v>
      </c>
    </row>
    <row r="68" spans="9:26" ht="13.8">
      <c r="I68" s="136">
        <v>46137</v>
      </c>
      <c r="J68" s="137">
        <v>6.03</v>
      </c>
      <c r="K68" s="138"/>
      <c r="L68" s="138"/>
      <c r="M68" s="139"/>
      <c r="R68" s="126">
        <v>31</v>
      </c>
      <c r="S68" s="198">
        <v>11993381.415958419</v>
      </c>
      <c r="T68" s="198">
        <v>8775679.972034052</v>
      </c>
      <c r="U68" s="198">
        <v>17139035.267829612</v>
      </c>
      <c r="V68" s="198">
        <v>5974956.4044529796</v>
      </c>
      <c r="W68" s="198">
        <v>5671568.5466050655</v>
      </c>
      <c r="X68" s="198">
        <v>2646095.1914266944</v>
      </c>
      <c r="Y68" s="198">
        <v>9063605.2579289526</v>
      </c>
      <c r="Z68" s="198">
        <v>181738.18516215682</v>
      </c>
    </row>
    <row r="69" spans="9:26" ht="13.8">
      <c r="I69" s="132">
        <v>46167</v>
      </c>
      <c r="J69" s="133">
        <v>5.98</v>
      </c>
      <c r="K69" s="134"/>
      <c r="L69" s="134"/>
      <c r="M69" s="135"/>
      <c r="R69" s="126">
        <v>32</v>
      </c>
      <c r="S69" s="198">
        <v>9162127.6437698454</v>
      </c>
      <c r="T69" s="198">
        <v>11667605.544986695</v>
      </c>
      <c r="U69" s="198">
        <v>14846668.633805111</v>
      </c>
      <c r="V69" s="198">
        <v>164111.33757857978</v>
      </c>
      <c r="W69" s="198">
        <v>4883192.8201494217</v>
      </c>
      <c r="X69" s="198">
        <v>5372318.2134781182</v>
      </c>
      <c r="Y69" s="198">
        <v>451224.22949056327</v>
      </c>
      <c r="Z69" s="198">
        <v>7432261.1159392297</v>
      </c>
    </row>
    <row r="70" spans="9:26" ht="13.8">
      <c r="I70" s="136">
        <v>46198</v>
      </c>
      <c r="J70" s="137">
        <v>5.88</v>
      </c>
      <c r="K70" s="138"/>
      <c r="L70" s="138"/>
      <c r="M70" s="139"/>
      <c r="R70" s="126">
        <v>33</v>
      </c>
      <c r="S70" s="198">
        <v>1182063.201439172</v>
      </c>
      <c r="T70" s="198">
        <v>-3900236.0528988093</v>
      </c>
      <c r="U70" s="198">
        <v>5882649.5042922795</v>
      </c>
      <c r="V70" s="198">
        <v>5256054.0716235936</v>
      </c>
      <c r="W70" s="198">
        <v>1513450.8032182157</v>
      </c>
      <c r="X70" s="198">
        <v>10255220.668123767</v>
      </c>
      <c r="Y70" s="198">
        <v>8112488.8596499264</v>
      </c>
      <c r="Z70" s="198">
        <v>-364914.4967790097</v>
      </c>
    </row>
    <row r="71" spans="9:26" ht="13.8">
      <c r="I71" s="132">
        <v>46228</v>
      </c>
      <c r="J71" s="133">
        <v>6.11</v>
      </c>
      <c r="K71" s="134"/>
      <c r="L71" s="134"/>
      <c r="M71" s="135"/>
      <c r="R71" s="126">
        <v>34</v>
      </c>
      <c r="S71" s="198">
        <v>7139117.8246217519</v>
      </c>
      <c r="T71" s="198">
        <v>10255578.420677558</v>
      </c>
      <c r="U71" s="198">
        <v>10142344.062862307</v>
      </c>
      <c r="V71" s="198">
        <v>4030042.1028210372</v>
      </c>
      <c r="W71" s="198">
        <v>8690093.0026816279</v>
      </c>
      <c r="X71" s="198">
        <v>9587293.7779373527</v>
      </c>
      <c r="Y71" s="198">
        <v>-8006452.8809933513</v>
      </c>
      <c r="Z71" s="198">
        <v>3724136.6369960755</v>
      </c>
    </row>
    <row r="72" spans="9:26" ht="13.8">
      <c r="I72" s="136">
        <v>46259</v>
      </c>
      <c r="J72" s="137">
        <v>6.01</v>
      </c>
      <c r="K72" s="138"/>
      <c r="L72" s="138"/>
      <c r="M72" s="139"/>
      <c r="R72" s="126">
        <v>35</v>
      </c>
      <c r="S72" s="198">
        <v>3378443.3011659384</v>
      </c>
      <c r="T72" s="198">
        <v>11944116.01426436</v>
      </c>
      <c r="U72" s="198">
        <v>-4232454.2986724675</v>
      </c>
      <c r="V72" s="198">
        <v>2684483.7943179011</v>
      </c>
      <c r="W72" s="198">
        <v>5608647.1563418508</v>
      </c>
      <c r="X72" s="198">
        <v>9969181.0083004981</v>
      </c>
      <c r="Y72" s="198">
        <v>-7202539.8297838122</v>
      </c>
      <c r="Z72" s="198">
        <v>5117204.8375214338</v>
      </c>
    </row>
    <row r="73" spans="9:26" ht="13.8">
      <c r="I73" s="132">
        <v>46290</v>
      </c>
      <c r="J73" s="133">
        <v>5.94</v>
      </c>
      <c r="K73" s="134"/>
      <c r="L73" s="134"/>
      <c r="M73" s="135"/>
      <c r="R73" s="126">
        <v>36</v>
      </c>
      <c r="S73" s="198">
        <v>10929431.221050516</v>
      </c>
      <c r="T73" s="198">
        <v>11877378.551046461</v>
      </c>
      <c r="U73" s="198">
        <v>11925466.160522938</v>
      </c>
      <c r="V73" s="198">
        <v>5766839.7606803775</v>
      </c>
      <c r="W73" s="198">
        <v>1508090.9439951628</v>
      </c>
      <c r="X73" s="198">
        <v>5130066.3230597675</v>
      </c>
      <c r="Y73" s="198">
        <v>7594641.4700253606</v>
      </c>
      <c r="Z73" s="198">
        <v>-7594318.3647649735</v>
      </c>
    </row>
    <row r="74" spans="9:26" ht="13.8">
      <c r="I74" s="136">
        <v>46320</v>
      </c>
      <c r="J74" s="137">
        <v>6.03</v>
      </c>
      <c r="K74" s="138"/>
      <c r="L74" s="138"/>
      <c r="M74" s="139"/>
      <c r="R74" s="126">
        <v>37</v>
      </c>
      <c r="S74" s="198">
        <v>13961807.633406296</v>
      </c>
      <c r="T74" s="198">
        <v>4874512.2220104635</v>
      </c>
      <c r="U74" s="198">
        <v>12509459.88889949</v>
      </c>
      <c r="V74" s="198">
        <v>8871213.6153189093</v>
      </c>
      <c r="W74" s="198">
        <v>-2346663.6703331918</v>
      </c>
      <c r="X74" s="198">
        <v>4450656.2874550372</v>
      </c>
      <c r="Y74" s="198">
        <v>9879082.8233279139</v>
      </c>
      <c r="Z74" s="198">
        <v>-1417828.5645662844</v>
      </c>
    </row>
    <row r="75" spans="9:26" ht="13.8">
      <c r="I75" s="132">
        <v>46351</v>
      </c>
      <c r="J75" s="133">
        <v>6.21</v>
      </c>
      <c r="K75" s="134"/>
      <c r="L75" s="134"/>
      <c r="M75" s="135"/>
      <c r="R75" s="126">
        <v>38</v>
      </c>
      <c r="S75" s="198">
        <v>6696911.0967439413</v>
      </c>
      <c r="T75" s="198">
        <v>19381652.694063559</v>
      </c>
      <c r="U75" s="198">
        <v>-6199304.9315976799</v>
      </c>
      <c r="V75" s="198">
        <v>1652485.415244624</v>
      </c>
      <c r="W75" s="198">
        <v>4890377.178837657</v>
      </c>
      <c r="X75" s="198">
        <v>-4194539.3745547086</v>
      </c>
      <c r="Y75" s="198">
        <v>1024546.0941008478</v>
      </c>
      <c r="Z75" s="198">
        <v>2334387.9557954073</v>
      </c>
    </row>
    <row r="76" spans="9:26" ht="13.8">
      <c r="I76" s="136">
        <v>46381</v>
      </c>
      <c r="J76" s="137">
        <v>6.19</v>
      </c>
      <c r="K76" s="137">
        <v>6.19</v>
      </c>
      <c r="L76" s="137">
        <v>6.19</v>
      </c>
      <c r="M76" s="140">
        <v>6.19</v>
      </c>
      <c r="R76" s="126">
        <v>39</v>
      </c>
      <c r="S76" s="198">
        <v>-368743.35717049241</v>
      </c>
      <c r="T76" s="198">
        <v>6378606.7903902531</v>
      </c>
      <c r="U76" s="198">
        <v>2144900.5158768445</v>
      </c>
      <c r="V76" s="198">
        <v>17062802.382142991</v>
      </c>
      <c r="W76" s="198">
        <v>2966055.215156883</v>
      </c>
      <c r="X76" s="198">
        <v>-1306216.094572261</v>
      </c>
      <c r="Y76" s="198">
        <v>-2115809.4586760253</v>
      </c>
      <c r="Z76" s="198">
        <v>-9856445.9474153072</v>
      </c>
    </row>
    <row r="77" spans="9:26" ht="13.8">
      <c r="I77" s="132">
        <v>46048</v>
      </c>
      <c r="J77" s="134"/>
      <c r="K77" s="133">
        <v>6.2156047000000001</v>
      </c>
      <c r="L77" s="133">
        <v>5.79</v>
      </c>
      <c r="M77" s="141">
        <v>6.64</v>
      </c>
      <c r="R77" s="126">
        <v>40</v>
      </c>
      <c r="S77" s="198">
        <v>5347687.3972324133</v>
      </c>
      <c r="T77" s="198">
        <v>6780664.2567190826</v>
      </c>
      <c r="U77" s="198">
        <v>49499.126295253634</v>
      </c>
      <c r="V77" s="198">
        <v>6534921.4210816175</v>
      </c>
      <c r="W77" s="198">
        <v>-8051226.6298293173</v>
      </c>
      <c r="X77" s="198">
        <v>5938662.3535054624</v>
      </c>
      <c r="Y77" s="198">
        <v>-208240.40547499061</v>
      </c>
      <c r="Z77" s="198">
        <v>16481763.426032051</v>
      </c>
    </row>
    <row r="78" spans="9:26" ht="13.8">
      <c r="I78" s="136">
        <v>46079</v>
      </c>
      <c r="J78" s="138"/>
      <c r="K78" s="137">
        <v>6.3485981000000002</v>
      </c>
      <c r="L78" s="137">
        <v>5.82</v>
      </c>
      <c r="M78" s="140">
        <v>6.88</v>
      </c>
      <c r="R78" s="126">
        <v>41</v>
      </c>
      <c r="S78" s="198">
        <v>5372617.0799580812</v>
      </c>
      <c r="T78" s="198">
        <v>14249641.192056879</v>
      </c>
      <c r="U78" s="198">
        <v>6081245.6090154499</v>
      </c>
      <c r="V78" s="198">
        <v>5809928.2720398754</v>
      </c>
      <c r="W78" s="198">
        <v>11557520.845342383</v>
      </c>
      <c r="X78" s="198">
        <v>-6282120.1990118325</v>
      </c>
      <c r="Y78" s="198">
        <v>9889964.7532623559</v>
      </c>
      <c r="Z78" s="198">
        <v>-1158699.6355905086</v>
      </c>
    </row>
    <row r="79" spans="9:26" ht="13.8">
      <c r="I79" s="132">
        <v>46107</v>
      </c>
      <c r="J79" s="134"/>
      <c r="K79" s="133">
        <v>6.2744445000000004</v>
      </c>
      <c r="L79" s="133">
        <v>5.65</v>
      </c>
      <c r="M79" s="141">
        <v>6.9</v>
      </c>
      <c r="R79" s="126">
        <v>42</v>
      </c>
      <c r="S79" s="198">
        <v>5476883.1989020258</v>
      </c>
      <c r="T79" s="198">
        <v>5188691.5677829981</v>
      </c>
      <c r="U79" s="198">
        <v>7034956.9279303253</v>
      </c>
      <c r="V79" s="198">
        <v>-3548271.7913212627</v>
      </c>
      <c r="W79" s="198">
        <v>6677186.0824597478</v>
      </c>
      <c r="X79" s="198">
        <v>-2084346.2563013583</v>
      </c>
      <c r="Y79" s="198">
        <v>1297569.6914111525</v>
      </c>
      <c r="Z79" s="198">
        <v>-1654453.9344105124</v>
      </c>
    </row>
    <row r="80" spans="9:26" ht="13.8">
      <c r="I80" s="136">
        <v>46138</v>
      </c>
      <c r="J80" s="138"/>
      <c r="K80" s="137">
        <v>6.2062223999999997</v>
      </c>
      <c r="L80" s="137">
        <v>5.51</v>
      </c>
      <c r="M80" s="140">
        <v>6.91</v>
      </c>
      <c r="R80" s="126">
        <v>43</v>
      </c>
      <c r="S80" s="198">
        <v>11131681.310105696</v>
      </c>
      <c r="T80" s="198">
        <v>13515466.664838254</v>
      </c>
      <c r="U80" s="198">
        <v>-681331.83187457919</v>
      </c>
      <c r="V80" s="198">
        <v>-4117467.4772358239</v>
      </c>
      <c r="W80" s="198">
        <v>-4538414.2110615075</v>
      </c>
      <c r="X80" s="198">
        <v>8731941.5176234841</v>
      </c>
      <c r="Y80" s="198">
        <v>3326231.6149556041</v>
      </c>
      <c r="Z80" s="198">
        <v>-5177118.7566980422</v>
      </c>
    </row>
    <row r="81" spans="9:26" ht="13.8">
      <c r="I81" s="132">
        <v>46168</v>
      </c>
      <c r="J81" s="134"/>
      <c r="K81" s="133">
        <v>6.1226374999999997</v>
      </c>
      <c r="L81" s="133">
        <v>5.35</v>
      </c>
      <c r="M81" s="141">
        <v>6.89</v>
      </c>
      <c r="R81" s="126">
        <v>44</v>
      </c>
      <c r="S81" s="198">
        <v>12445738.057144478</v>
      </c>
      <c r="T81" s="198">
        <v>-3535676.9234606326</v>
      </c>
      <c r="U81" s="198">
        <v>10367448.603087917</v>
      </c>
      <c r="V81" s="198">
        <v>11659437.656182125</v>
      </c>
      <c r="W81" s="198">
        <v>9515092.4100380242</v>
      </c>
      <c r="X81" s="198">
        <v>8887071.6209454238</v>
      </c>
      <c r="Y81" s="198">
        <v>4005259.5341947824</v>
      </c>
      <c r="Z81" s="198">
        <v>8154560.756756261</v>
      </c>
    </row>
    <row r="82" spans="9:26" ht="13.8">
      <c r="I82" s="136">
        <v>46199</v>
      </c>
      <c r="J82" s="138"/>
      <c r="K82" s="137">
        <v>5.9483296000000001</v>
      </c>
      <c r="L82" s="137">
        <v>5.1100000000000003</v>
      </c>
      <c r="M82" s="140">
        <v>6.78</v>
      </c>
      <c r="R82" s="126">
        <v>45</v>
      </c>
      <c r="S82" s="198">
        <v>12396916.711234927</v>
      </c>
      <c r="T82" s="198">
        <v>12232856.117102385</v>
      </c>
      <c r="U82" s="198">
        <v>8476868.25206545</v>
      </c>
      <c r="V82" s="198">
        <v>14500383.470756441</v>
      </c>
      <c r="W82" s="198">
        <v>5593698.9514051676</v>
      </c>
      <c r="X82" s="198">
        <v>-801820.75244060159</v>
      </c>
      <c r="Y82" s="198">
        <v>8533034.7150427699</v>
      </c>
      <c r="Z82" s="198">
        <v>4969035.8561548591</v>
      </c>
    </row>
    <row r="83" spans="9:26" ht="13.8">
      <c r="I83" s="132">
        <v>46229</v>
      </c>
      <c r="J83" s="134"/>
      <c r="K83" s="133">
        <v>5.9150223999999998</v>
      </c>
      <c r="L83" s="133">
        <v>5.0199999999999996</v>
      </c>
      <c r="M83" s="141">
        <v>6.81</v>
      </c>
      <c r="R83" s="126">
        <v>46</v>
      </c>
      <c r="S83" s="198">
        <v>14638345.692137569</v>
      </c>
      <c r="T83" s="198">
        <v>2130510.0474788845</v>
      </c>
      <c r="U83" s="198">
        <v>1620306.8496780396</v>
      </c>
      <c r="V83" s="198">
        <v>13865448.391014457</v>
      </c>
      <c r="W83" s="198">
        <v>6729869.7066877782</v>
      </c>
      <c r="X83" s="198">
        <v>856895.94610343874</v>
      </c>
      <c r="Y83" s="198">
        <v>-6111315.3336454928</v>
      </c>
      <c r="Z83" s="198">
        <v>1100703.3289762884</v>
      </c>
    </row>
    <row r="84" spans="9:26" ht="13.8">
      <c r="I84" s="136">
        <v>46260</v>
      </c>
      <c r="J84" s="138"/>
      <c r="K84" s="137">
        <v>5.7821812000000001</v>
      </c>
      <c r="L84" s="137">
        <v>4.83</v>
      </c>
      <c r="M84" s="140">
        <v>6.73</v>
      </c>
      <c r="R84" s="126">
        <v>47</v>
      </c>
      <c r="S84" s="198">
        <v>4614073.7797007263</v>
      </c>
      <c r="T84" s="198">
        <v>9707922.6233328432</v>
      </c>
      <c r="U84" s="198">
        <v>14208182.751414597</v>
      </c>
      <c r="V84" s="198">
        <v>3096402.5371982902</v>
      </c>
      <c r="W84" s="198">
        <v>-3543142.639288038</v>
      </c>
      <c r="X84" s="198">
        <v>-4486072.1260640621</v>
      </c>
      <c r="Y84" s="198">
        <v>5237023.3025458604</v>
      </c>
      <c r="Z84" s="198">
        <v>2396302.1298814863</v>
      </c>
    </row>
    <row r="85" spans="9:26" ht="13.8">
      <c r="I85" s="132">
        <v>46291</v>
      </c>
      <c r="J85" s="134"/>
      <c r="K85" s="133">
        <v>5.6621870999999997</v>
      </c>
      <c r="L85" s="133">
        <v>4.66</v>
      </c>
      <c r="M85" s="141">
        <v>6.67</v>
      </c>
      <c r="R85" s="126">
        <v>48</v>
      </c>
      <c r="S85" s="198">
        <v>22300.215216875076</v>
      </c>
      <c r="T85" s="198">
        <v>7243275.5591214001</v>
      </c>
      <c r="U85" s="198">
        <v>9260301.8330549002</v>
      </c>
      <c r="V85" s="198">
        <v>6271571.5305699706</v>
      </c>
      <c r="W85" s="198">
        <v>-5513256.0845380276</v>
      </c>
      <c r="X85" s="198">
        <v>-5315323.2796147764</v>
      </c>
      <c r="Y85" s="198">
        <v>-2512196.3454108834</v>
      </c>
      <c r="Z85" s="198">
        <v>-2253330.3291058838</v>
      </c>
    </row>
    <row r="86" spans="9:26" ht="13.8">
      <c r="I86" s="136">
        <v>46321</v>
      </c>
      <c r="J86" s="138"/>
      <c r="K86" s="137">
        <v>5.6976880000000003</v>
      </c>
      <c r="L86" s="137">
        <v>4.6399999999999997</v>
      </c>
      <c r="M86" s="140">
        <v>6.75</v>
      </c>
      <c r="R86" s="126">
        <v>49</v>
      </c>
      <c r="S86" s="198">
        <v>10884823.974931359</v>
      </c>
      <c r="T86" s="198">
        <v>14174804.888111368</v>
      </c>
      <c r="U86" s="198">
        <v>7112527.5664453208</v>
      </c>
      <c r="V86" s="198">
        <v>5376119.9545882046</v>
      </c>
      <c r="W86" s="198">
        <v>-3085.0451494455338</v>
      </c>
      <c r="X86" s="198">
        <v>-2831857.6095001101</v>
      </c>
      <c r="Y86" s="198">
        <v>10965890.685400814</v>
      </c>
      <c r="Z86" s="198">
        <v>2194940.0989500284</v>
      </c>
    </row>
    <row r="87" spans="9:26" ht="13.8">
      <c r="I87" s="132">
        <v>46352</v>
      </c>
      <c r="J87" s="134"/>
      <c r="K87" s="133">
        <v>5.9350911999999996</v>
      </c>
      <c r="L87" s="133">
        <v>4.83</v>
      </c>
      <c r="M87" s="141">
        <v>7.04</v>
      </c>
      <c r="R87" s="126">
        <v>50</v>
      </c>
      <c r="S87" s="198">
        <v>3431659.151422888</v>
      </c>
      <c r="T87" s="198">
        <v>8563792.9946111441</v>
      </c>
      <c r="U87" s="198">
        <v>2111716.3840640187</v>
      </c>
      <c r="V87" s="198">
        <v>3467536.789034158</v>
      </c>
      <c r="W87" s="198">
        <v>3444327.5103074014</v>
      </c>
      <c r="X87" s="198">
        <v>3101663.3111919165</v>
      </c>
      <c r="Y87" s="198">
        <v>-6790295.4520032108</v>
      </c>
      <c r="Z87" s="198">
        <v>2068586.7007350475</v>
      </c>
    </row>
    <row r="88" spans="9:26" ht="13.8">
      <c r="I88" s="136">
        <v>46382</v>
      </c>
      <c r="J88" s="138"/>
      <c r="K88" s="137">
        <v>5.9460280000000001</v>
      </c>
      <c r="L88" s="137">
        <v>4.79</v>
      </c>
      <c r="M88" s="140">
        <v>7.1</v>
      </c>
      <c r="R88" s="126">
        <v>51</v>
      </c>
      <c r="S88" s="198">
        <v>2814178.1322998106</v>
      </c>
      <c r="T88" s="198">
        <v>8886948.0241139084</v>
      </c>
      <c r="U88" s="198">
        <v>-1721414.9724006653</v>
      </c>
      <c r="V88" s="198">
        <v>4624985.5297832191</v>
      </c>
      <c r="W88" s="198">
        <v>3281239.2289766669</v>
      </c>
      <c r="X88" s="198">
        <v>5475005.3980639577</v>
      </c>
      <c r="Y88" s="198">
        <v>-378854.35433870554</v>
      </c>
      <c r="Z88" s="198">
        <v>2775985.1985440999</v>
      </c>
    </row>
    <row r="89" spans="9:26" ht="13.8">
      <c r="I89" s="132">
        <v>46049</v>
      </c>
      <c r="J89" s="134"/>
      <c r="K89" s="133">
        <v>5.9715914000000003</v>
      </c>
      <c r="L89" s="133">
        <v>4.74</v>
      </c>
      <c r="M89" s="141">
        <v>7.2</v>
      </c>
      <c r="R89" s="126">
        <v>52</v>
      </c>
      <c r="S89" s="198">
        <v>4827077.1533631086</v>
      </c>
      <c r="T89" s="198">
        <v>15418308.461147487</v>
      </c>
      <c r="U89" s="198">
        <v>4813996.6083488464</v>
      </c>
      <c r="V89" s="198">
        <v>729675.27286812663</v>
      </c>
      <c r="W89" s="198">
        <v>4190204.6049606204</v>
      </c>
      <c r="X89" s="198">
        <v>-472781.60223719478</v>
      </c>
      <c r="Y89" s="198">
        <v>-4525180.3214065135</v>
      </c>
      <c r="Z89" s="198">
        <v>7219082.8301773816</v>
      </c>
    </row>
    <row r="90" spans="9:26" ht="13.8">
      <c r="I90" s="136">
        <v>46080</v>
      </c>
      <c r="J90" s="138"/>
      <c r="K90" s="137">
        <v>6.1045847999999996</v>
      </c>
      <c r="L90" s="137">
        <v>4.83</v>
      </c>
      <c r="M90" s="140">
        <v>7.38</v>
      </c>
      <c r="R90" s="126">
        <v>53</v>
      </c>
      <c r="S90" s="198">
        <v>1570610.0861372352</v>
      </c>
      <c r="T90" s="198">
        <v>17689565.83834666</v>
      </c>
      <c r="U90" s="198">
        <v>11717125.107408658</v>
      </c>
      <c r="V90" s="198">
        <v>3906722.9793635756</v>
      </c>
      <c r="W90" s="198">
        <v>4709930.6541528106</v>
      </c>
      <c r="X90" s="198">
        <v>-1698780.3685320616</v>
      </c>
      <c r="Y90" s="198">
        <v>-3956682.2662866861</v>
      </c>
      <c r="Z90" s="198">
        <v>260008.29513989389</v>
      </c>
    </row>
    <row r="91" spans="9:26" ht="13.8">
      <c r="I91" s="132">
        <v>46108</v>
      </c>
      <c r="J91" s="134"/>
      <c r="K91" s="133">
        <v>6.0304311999999998</v>
      </c>
      <c r="L91" s="133">
        <v>4.72</v>
      </c>
      <c r="M91" s="141">
        <v>7.34</v>
      </c>
      <c r="R91" s="126">
        <v>54</v>
      </c>
      <c r="S91" s="198">
        <v>6990698.4298042655</v>
      </c>
      <c r="T91" s="198">
        <v>10418801.332659915</v>
      </c>
      <c r="U91" s="198">
        <v>5672223.7393547148</v>
      </c>
      <c r="V91" s="198">
        <v>12921405.142343432</v>
      </c>
      <c r="W91" s="198">
        <v>7993054.352298364</v>
      </c>
      <c r="X91" s="198">
        <v>6256050.221981138</v>
      </c>
      <c r="Y91" s="198">
        <v>1310499.4170629084</v>
      </c>
      <c r="Z91" s="198">
        <v>-2939824.5980179757</v>
      </c>
    </row>
    <row r="92" spans="9:26" ht="13.8">
      <c r="I92" s="136">
        <v>46139</v>
      </c>
      <c r="J92" s="138"/>
      <c r="K92" s="137">
        <v>5.9622090999999999</v>
      </c>
      <c r="L92" s="137">
        <v>4.6100000000000003</v>
      </c>
      <c r="M92" s="140">
        <v>7.32</v>
      </c>
      <c r="R92" s="126">
        <v>55</v>
      </c>
      <c r="S92" s="198">
        <v>1542697.6109262556</v>
      </c>
      <c r="T92" s="198">
        <v>10750780.791389063</v>
      </c>
      <c r="U92" s="198">
        <v>13917457.362356514</v>
      </c>
      <c r="V92" s="198">
        <v>933625.55889490247</v>
      </c>
      <c r="W92" s="198">
        <v>4346329.8899140507</v>
      </c>
      <c r="X92" s="198">
        <v>-326910.03827780485</v>
      </c>
      <c r="Y92" s="198">
        <v>3888460.5680675656</v>
      </c>
      <c r="Z92" s="198">
        <v>10512104.921439067</v>
      </c>
    </row>
    <row r="93" spans="9:26" ht="13.8">
      <c r="I93" s="132">
        <v>46169</v>
      </c>
      <c r="J93" s="134"/>
      <c r="K93" s="133">
        <v>5.8786242</v>
      </c>
      <c r="L93" s="133">
        <v>4.49</v>
      </c>
      <c r="M93" s="141">
        <v>7.27</v>
      </c>
      <c r="R93" s="126">
        <v>56</v>
      </c>
      <c r="S93" s="198">
        <v>14243025.72518006</v>
      </c>
      <c r="T93" s="198">
        <v>11527317.198027074</v>
      </c>
      <c r="U93" s="198">
        <v>3420154.0654693693</v>
      </c>
      <c r="V93" s="198">
        <v>9108075.8406391144</v>
      </c>
      <c r="W93" s="198">
        <v>9511706.8449055254</v>
      </c>
      <c r="X93" s="198">
        <v>865515.42870530486</v>
      </c>
      <c r="Y93" s="198">
        <v>-7473025.6136911064</v>
      </c>
      <c r="Z93" s="198">
        <v>10927036.331382275</v>
      </c>
    </row>
    <row r="94" spans="9:26" ht="13.8">
      <c r="I94" s="136">
        <v>46200</v>
      </c>
      <c r="J94" s="138"/>
      <c r="K94" s="137">
        <v>5.7043162000000001</v>
      </c>
      <c r="L94" s="137">
        <v>4.2699999999999996</v>
      </c>
      <c r="M94" s="140">
        <v>7.13</v>
      </c>
      <c r="R94" s="126">
        <v>57</v>
      </c>
      <c r="S94" s="198">
        <v>10177101.579267114</v>
      </c>
      <c r="T94" s="198">
        <v>12418589.52021715</v>
      </c>
      <c r="U94" s="198">
        <v>6835382.0998332798</v>
      </c>
      <c r="V94" s="198">
        <v>-2373126.923792243</v>
      </c>
      <c r="W94" s="198">
        <v>5258202.6498937607</v>
      </c>
      <c r="X94" s="198">
        <v>6122469.2331609726</v>
      </c>
      <c r="Y94" s="198">
        <v>-2420321.8328412771</v>
      </c>
      <c r="Z94" s="198">
        <v>-1754688.5547668338</v>
      </c>
    </row>
    <row r="95" spans="9:26" ht="13.8">
      <c r="I95" s="132">
        <v>46230</v>
      </c>
      <c r="J95" s="134"/>
      <c r="K95" s="133">
        <v>5.6710091</v>
      </c>
      <c r="L95" s="133">
        <v>4.2</v>
      </c>
      <c r="M95" s="141">
        <v>7.14</v>
      </c>
      <c r="R95" s="126">
        <v>58</v>
      </c>
      <c r="S95" s="198">
        <v>10036170.103349656</v>
      </c>
      <c r="T95" s="198">
        <v>6297862.3547272086</v>
      </c>
      <c r="U95" s="198">
        <v>9468534.4062111378</v>
      </c>
      <c r="V95" s="198">
        <v>2231677.2658107877</v>
      </c>
      <c r="W95" s="198">
        <v>-5568265.136311844</v>
      </c>
      <c r="X95" s="198">
        <v>3124131.093112275</v>
      </c>
      <c r="Y95" s="198">
        <v>-5688990.6120964885</v>
      </c>
      <c r="Z95" s="198">
        <v>-6562711.9573744386</v>
      </c>
    </row>
    <row r="96" spans="9:26" ht="13.8">
      <c r="I96" s="136">
        <v>46261</v>
      </c>
      <c r="J96" s="138"/>
      <c r="K96" s="137">
        <v>5.5381679000000004</v>
      </c>
      <c r="L96" s="137">
        <v>4.04</v>
      </c>
      <c r="M96" s="140">
        <v>7.04</v>
      </c>
      <c r="R96" s="126">
        <v>59</v>
      </c>
      <c r="S96" s="198">
        <v>-8163763.8373855799</v>
      </c>
      <c r="T96" s="198">
        <v>19957404.775641978</v>
      </c>
      <c r="U96" s="198">
        <v>9405575.2037068307</v>
      </c>
      <c r="V96" s="198">
        <v>-12118606.696582988</v>
      </c>
      <c r="W96" s="198">
        <v>6865742.3945416361</v>
      </c>
      <c r="X96" s="198">
        <v>5713053.8776863664</v>
      </c>
      <c r="Y96" s="198">
        <v>1598956.5412745774</v>
      </c>
      <c r="Z96" s="198">
        <v>3146884.2951638699</v>
      </c>
    </row>
    <row r="97" spans="9:26" ht="13.8">
      <c r="I97" s="132">
        <v>46292</v>
      </c>
      <c r="J97" s="134"/>
      <c r="K97" s="133">
        <v>5.4181737999999999</v>
      </c>
      <c r="L97" s="133">
        <v>3.88</v>
      </c>
      <c r="M97" s="141">
        <v>6.96</v>
      </c>
      <c r="R97" s="126">
        <v>60</v>
      </c>
      <c r="S97" s="198">
        <v>13673702.759012341</v>
      </c>
      <c r="T97" s="198">
        <v>11541764.586726278</v>
      </c>
      <c r="U97" s="198">
        <v>9598076.1623650342</v>
      </c>
      <c r="V97" s="198">
        <v>-2303050.4778308868</v>
      </c>
      <c r="W97" s="198">
        <v>-6142302.4846960157</v>
      </c>
      <c r="X97" s="198">
        <v>4504330.0190902799</v>
      </c>
      <c r="Y97" s="198">
        <v>1864203.6598853469</v>
      </c>
      <c r="Z97" s="198">
        <v>5713471.1603460312</v>
      </c>
    </row>
    <row r="98" spans="9:26" ht="13.8">
      <c r="I98" s="136">
        <v>46322</v>
      </c>
      <c r="J98" s="138"/>
      <c r="K98" s="137">
        <v>5.4536746999999997</v>
      </c>
      <c r="L98" s="137">
        <v>3.88</v>
      </c>
      <c r="M98" s="140">
        <v>7.03</v>
      </c>
      <c r="R98" s="126">
        <v>61</v>
      </c>
      <c r="S98" s="198">
        <v>10641433.14619191</v>
      </c>
      <c r="T98" s="198">
        <v>7373058.3481386751</v>
      </c>
      <c r="U98" s="198">
        <v>8352936.6041100025</v>
      </c>
      <c r="V98" s="198">
        <v>1212633.5866719186</v>
      </c>
      <c r="W98" s="198">
        <v>6353447.1458314359</v>
      </c>
      <c r="X98" s="198">
        <v>3771793.632222563</v>
      </c>
      <c r="Y98" s="198">
        <v>240442.68433725834</v>
      </c>
      <c r="Z98" s="198">
        <v>-9658316.9933574796</v>
      </c>
    </row>
    <row r="99" spans="9:26" ht="13.8">
      <c r="I99" s="132">
        <v>46353</v>
      </c>
      <c r="J99" s="134"/>
      <c r="K99" s="133">
        <v>5.6910778000000004</v>
      </c>
      <c r="L99" s="133">
        <v>4.08</v>
      </c>
      <c r="M99" s="141">
        <v>7.3</v>
      </c>
      <c r="R99" s="126">
        <v>62</v>
      </c>
      <c r="S99" s="198">
        <v>6930710.3514903188</v>
      </c>
      <c r="T99" s="198">
        <v>10314121.115224332</v>
      </c>
      <c r="U99" s="198">
        <v>12348140.202492803</v>
      </c>
      <c r="V99" s="198">
        <v>10001948.594219193</v>
      </c>
      <c r="W99" s="198">
        <v>-5225656.0953860581</v>
      </c>
      <c r="X99" s="198">
        <v>13388144.646197706</v>
      </c>
      <c r="Y99" s="198">
        <v>-1037764.4430007488</v>
      </c>
      <c r="Z99" s="198">
        <v>12808896.37750566</v>
      </c>
    </row>
    <row r="100" spans="9:26" ht="13.8">
      <c r="I100" s="136">
        <v>46383</v>
      </c>
      <c r="J100" s="138"/>
      <c r="K100" s="137">
        <v>5.7020147000000003</v>
      </c>
      <c r="L100" s="137">
        <v>4.0599999999999996</v>
      </c>
      <c r="M100" s="140">
        <v>7.34</v>
      </c>
      <c r="R100" s="126">
        <v>63</v>
      </c>
      <c r="S100" s="198">
        <v>10552532.035003901</v>
      </c>
      <c r="T100" s="198">
        <v>-3711469.1707469523</v>
      </c>
      <c r="U100" s="198">
        <v>10961302.858438462</v>
      </c>
      <c r="V100" s="198">
        <v>-953510.33672611415</v>
      </c>
      <c r="W100" s="198">
        <v>5778862.9206433147</v>
      </c>
      <c r="X100" s="198">
        <v>11037301.978489608</v>
      </c>
      <c r="Y100" s="198">
        <v>12884549.141669169</v>
      </c>
      <c r="Z100" s="198">
        <v>11037789.149574161</v>
      </c>
    </row>
    <row r="101" spans="9:26" ht="15.75" customHeight="1">
      <c r="R101" s="126">
        <v>64</v>
      </c>
      <c r="S101" s="198">
        <v>2130699.1180444658</v>
      </c>
      <c r="T101" s="198">
        <v>1567927.5331909209</v>
      </c>
      <c r="U101" s="198">
        <v>14588371.184860185</v>
      </c>
      <c r="V101" s="198">
        <v>-107929.80198824406</v>
      </c>
      <c r="W101" s="198">
        <v>8362246.9797924608</v>
      </c>
      <c r="X101" s="198">
        <v>-3868296.6078191847</v>
      </c>
      <c r="Y101" s="198">
        <v>4328209.1632018238</v>
      </c>
      <c r="Z101" s="198">
        <v>-4400619.9779267609</v>
      </c>
    </row>
    <row r="102" spans="9:26" ht="15.75" customHeight="1">
      <c r="R102" s="126">
        <v>65</v>
      </c>
      <c r="S102" s="198">
        <v>2101506.1606827676</v>
      </c>
      <c r="T102" s="198">
        <v>1504073.2744237483</v>
      </c>
      <c r="U102" s="198">
        <v>-948952.93675689399</v>
      </c>
      <c r="V102" s="198">
        <v>-1428139.0641450733</v>
      </c>
      <c r="W102" s="198">
        <v>3567652.8263108581</v>
      </c>
      <c r="X102" s="198">
        <v>477485.00075784326</v>
      </c>
      <c r="Y102" s="198">
        <v>7749422.7515868694</v>
      </c>
      <c r="Z102" s="198">
        <v>3668722.9238838106</v>
      </c>
    </row>
    <row r="103" spans="9:26" ht="15.75" customHeight="1">
      <c r="R103" s="126">
        <v>66</v>
      </c>
      <c r="S103" s="198">
        <v>15285112.8044983</v>
      </c>
      <c r="T103" s="198">
        <v>6614064.3021784574</v>
      </c>
      <c r="U103" s="198">
        <v>11207682.556458458</v>
      </c>
      <c r="V103" s="198">
        <v>10312150.374984995</v>
      </c>
      <c r="W103" s="198">
        <v>8166354.5231174231</v>
      </c>
      <c r="X103" s="198">
        <v>7368636.7003546357</v>
      </c>
      <c r="Y103" s="198">
        <v>5497896.8225260824</v>
      </c>
      <c r="Z103" s="198">
        <v>2427922.1849339008</v>
      </c>
    </row>
    <row r="104" spans="9:26" ht="15.75" customHeight="1">
      <c r="R104" s="126">
        <v>67</v>
      </c>
      <c r="S104" s="198">
        <v>8439611.0911079794</v>
      </c>
      <c r="T104" s="198">
        <v>8212388.4604786336</v>
      </c>
      <c r="U104" s="198">
        <v>1513919.7665196657</v>
      </c>
      <c r="V104" s="198">
        <v>12581419.936026156</v>
      </c>
      <c r="W104" s="198">
        <v>1524897.1563436538</v>
      </c>
      <c r="X104" s="198">
        <v>16877060.923829183</v>
      </c>
      <c r="Y104" s="198">
        <v>-3373044.9113936722</v>
      </c>
      <c r="Z104" s="198">
        <v>3921600.4283674806</v>
      </c>
    </row>
    <row r="105" spans="9:26" ht="15.75" customHeight="1">
      <c r="R105" s="126">
        <v>68</v>
      </c>
      <c r="S105" s="198">
        <v>7426798.1231674105</v>
      </c>
      <c r="T105" s="198">
        <v>1405266.9495547265</v>
      </c>
      <c r="U105" s="198">
        <v>6796754.4435150772</v>
      </c>
      <c r="V105" s="198">
        <v>-1674789.4820291698</v>
      </c>
      <c r="W105" s="198">
        <v>3085138.7114098668</v>
      </c>
      <c r="X105" s="198">
        <v>-1413586.9617845565</v>
      </c>
      <c r="Y105" s="198">
        <v>6538076.3721933067</v>
      </c>
      <c r="Z105" s="198">
        <v>1559979.4977141023</v>
      </c>
    </row>
    <row r="106" spans="9:26" ht="15.75" customHeight="1">
      <c r="R106" s="126">
        <v>69</v>
      </c>
      <c r="S106" s="198">
        <v>2265816.9955335855</v>
      </c>
      <c r="T106" s="198">
        <v>7189026.4949322045</v>
      </c>
      <c r="U106" s="198">
        <v>4966181.9273315072</v>
      </c>
      <c r="V106" s="198">
        <v>-4793803.1855940223</v>
      </c>
      <c r="W106" s="198">
        <v>3756677.3170134425</v>
      </c>
      <c r="X106" s="198">
        <v>-6461363.4889122844</v>
      </c>
      <c r="Y106" s="198">
        <v>4367869.7999565601</v>
      </c>
      <c r="Z106" s="198">
        <v>-2363027.5589917153</v>
      </c>
    </row>
    <row r="107" spans="9:26" ht="15.75" customHeight="1">
      <c r="R107" s="126">
        <v>70</v>
      </c>
      <c r="S107" s="198">
        <v>6877834.4580178857</v>
      </c>
      <c r="T107" s="198">
        <v>9310495.3525624573</v>
      </c>
      <c r="U107" s="198">
        <v>-33814.826658353209</v>
      </c>
      <c r="V107" s="198">
        <v>566357.7372366339</v>
      </c>
      <c r="W107" s="198">
        <v>7180444.284270227</v>
      </c>
      <c r="X107" s="198">
        <v>33724.555856302381</v>
      </c>
      <c r="Y107" s="198">
        <v>8107090.6738285124</v>
      </c>
      <c r="Z107" s="198">
        <v>2465989.062704891</v>
      </c>
    </row>
    <row r="108" spans="9:26" ht="15.75" customHeight="1">
      <c r="R108" s="126">
        <v>71</v>
      </c>
      <c r="S108" s="198">
        <v>8088148.1237841845</v>
      </c>
      <c r="T108" s="198">
        <v>6048477.2637347877</v>
      </c>
      <c r="U108" s="198">
        <v>11064419.468090117</v>
      </c>
      <c r="V108" s="198">
        <v>14286988.396881506</v>
      </c>
      <c r="W108" s="198">
        <v>17668098.606849417</v>
      </c>
      <c r="X108" s="198">
        <v>4671798.8509574234</v>
      </c>
      <c r="Y108" s="198">
        <v>-9590133.9613734037</v>
      </c>
      <c r="Z108" s="198">
        <v>8553768.183630228</v>
      </c>
    </row>
    <row r="109" spans="9:26" ht="15.75" customHeight="1">
      <c r="R109" s="126">
        <v>72</v>
      </c>
      <c r="S109" s="198">
        <v>357524.65624004602</v>
      </c>
      <c r="T109" s="198">
        <v>10842542.927472413</v>
      </c>
      <c r="U109" s="198">
        <v>10273737.557484969</v>
      </c>
      <c r="V109" s="198">
        <v>-2699935.3690758944</v>
      </c>
      <c r="W109" s="198">
        <v>7181416.2402998507</v>
      </c>
      <c r="X109" s="198">
        <v>4990736.5933075398</v>
      </c>
      <c r="Y109" s="198">
        <v>2744687.4894163758</v>
      </c>
      <c r="Z109" s="198">
        <v>-3188615.7842779011</v>
      </c>
    </row>
    <row r="110" spans="9:26" ht="15.75" customHeight="1">
      <c r="R110" s="126">
        <v>73</v>
      </c>
      <c r="S110" s="198">
        <v>7350013.0135174096</v>
      </c>
      <c r="T110" s="198">
        <v>13057811.367156699</v>
      </c>
      <c r="U110" s="198">
        <v>5910438.3933848888</v>
      </c>
      <c r="V110" s="198">
        <v>10412933.04672499</v>
      </c>
      <c r="W110" s="198">
        <v>4404891.499750644</v>
      </c>
      <c r="X110" s="198">
        <v>3900837.7539544106</v>
      </c>
      <c r="Y110" s="198">
        <v>-371970.47526344657</v>
      </c>
      <c r="Z110" s="198">
        <v>-10217559.703300148</v>
      </c>
    </row>
    <row r="111" spans="9:26" ht="15.75" customHeight="1">
      <c r="R111" s="126">
        <v>74</v>
      </c>
      <c r="S111" s="198">
        <v>1616243.6422953904</v>
      </c>
      <c r="T111" s="198">
        <v>6374813.4004067034</v>
      </c>
      <c r="U111" s="198">
        <v>9484796.9252707958</v>
      </c>
      <c r="V111" s="198">
        <v>3437353.5719416738</v>
      </c>
      <c r="W111" s="198">
        <v>-4177901.5760627985</v>
      </c>
      <c r="X111" s="198">
        <v>6246811.3943805695</v>
      </c>
      <c r="Y111" s="198">
        <v>1616667.0568595976</v>
      </c>
      <c r="Z111" s="198">
        <v>6243348.3717915565</v>
      </c>
    </row>
    <row r="112" spans="9:26" ht="15.75" customHeight="1">
      <c r="R112" s="126">
        <v>75</v>
      </c>
      <c r="S112" s="198">
        <v>25672902.283829868</v>
      </c>
      <c r="T112" s="198">
        <v>26860176.920858666</v>
      </c>
      <c r="U112" s="198">
        <v>10684617.314193055</v>
      </c>
      <c r="V112" s="198">
        <v>-3591310.2064463943</v>
      </c>
      <c r="W112" s="198">
        <v>14829552.638477534</v>
      </c>
      <c r="X112" s="198">
        <v>-1341911.9170294404</v>
      </c>
      <c r="Y112" s="198">
        <v>4623415.265834704</v>
      </c>
      <c r="Z112" s="198">
        <v>7546439.5079923123</v>
      </c>
    </row>
    <row r="113" spans="18:26" ht="15.75" customHeight="1">
      <c r="R113" s="126">
        <v>76</v>
      </c>
      <c r="S113" s="198">
        <v>10586257.190994576</v>
      </c>
      <c r="T113" s="198">
        <v>9153619.0617165416</v>
      </c>
      <c r="U113" s="198">
        <v>12630883.174708545</v>
      </c>
      <c r="V113" s="198">
        <v>8324505.052295953</v>
      </c>
      <c r="W113" s="198">
        <v>2836581.6787995994</v>
      </c>
      <c r="X113" s="198">
        <v>5424099.4850586057</v>
      </c>
      <c r="Y113" s="198">
        <v>2371158.1862164736</v>
      </c>
      <c r="Z113" s="198">
        <v>1092803.2124808431</v>
      </c>
    </row>
    <row r="114" spans="18:26" ht="15.75" customHeight="1">
      <c r="R114" s="126">
        <v>77</v>
      </c>
      <c r="S114" s="198">
        <v>-8803137.823637858</v>
      </c>
      <c r="T114" s="198">
        <v>17493100.99893643</v>
      </c>
      <c r="U114" s="198">
        <v>5470333.5901813656</v>
      </c>
      <c r="V114" s="198">
        <v>5530742.7900811881</v>
      </c>
      <c r="W114" s="198">
        <v>6860007.9389206171</v>
      </c>
      <c r="X114" s="198">
        <v>-9932663.3410655707</v>
      </c>
      <c r="Y114" s="198">
        <v>7920716.6590599716</v>
      </c>
      <c r="Z114" s="198">
        <v>-6006606.2059056461</v>
      </c>
    </row>
    <row r="115" spans="18:26" ht="15.75" customHeight="1">
      <c r="R115" s="126">
        <v>78</v>
      </c>
      <c r="S115" s="198">
        <v>16187514.222012788</v>
      </c>
      <c r="T115" s="198">
        <v>10380127.604605272</v>
      </c>
      <c r="U115" s="198">
        <v>5574689.9100848734</v>
      </c>
      <c r="V115" s="198">
        <v>-2332688.3274131566</v>
      </c>
      <c r="W115" s="198">
        <v>7244613.1679237187</v>
      </c>
      <c r="X115" s="198">
        <v>-1677161.2590300441</v>
      </c>
      <c r="Y115" s="198">
        <v>-8943127.9355334491</v>
      </c>
      <c r="Z115" s="198">
        <v>3604999.3655098975</v>
      </c>
    </row>
    <row r="116" spans="18:26" ht="15.75" customHeight="1">
      <c r="R116" s="126">
        <v>79</v>
      </c>
      <c r="S116" s="198">
        <v>6021086.8799089193</v>
      </c>
      <c r="T116" s="198">
        <v>1293334.9879648387</v>
      </c>
      <c r="U116" s="198">
        <v>14062792.350474805</v>
      </c>
      <c r="V116" s="198">
        <v>12259659.916171551</v>
      </c>
      <c r="W116" s="198">
        <v>2767335.438903898</v>
      </c>
      <c r="X116" s="198">
        <v>8898540.5449745208</v>
      </c>
      <c r="Y116" s="198">
        <v>-755385.79484042525</v>
      </c>
      <c r="Z116" s="198">
        <v>2239677.0178231448</v>
      </c>
    </row>
    <row r="117" spans="18:26" ht="15.75" customHeight="1">
      <c r="R117" s="126">
        <v>80</v>
      </c>
      <c r="S117" s="198">
        <v>10724789.991110533</v>
      </c>
      <c r="T117" s="198">
        <v>11933075.655434072</v>
      </c>
      <c r="U117" s="198">
        <v>5847026.2032459378</v>
      </c>
      <c r="V117" s="198">
        <v>9346258.8927883506</v>
      </c>
      <c r="W117" s="198">
        <v>6081911.0492105186</v>
      </c>
      <c r="X117" s="198">
        <v>-2401854.7131394595</v>
      </c>
      <c r="Y117" s="198">
        <v>-6519433.7652923167</v>
      </c>
      <c r="Z117" s="198">
        <v>13999971.803010434</v>
      </c>
    </row>
    <row r="118" spans="18:26" ht="15.75" customHeight="1">
      <c r="R118" s="126">
        <v>81</v>
      </c>
      <c r="S118" s="198">
        <v>3493416.3511933982</v>
      </c>
      <c r="T118" s="198">
        <v>6432957.6128941625</v>
      </c>
      <c r="U118" s="198">
        <v>643735.72362606227</v>
      </c>
      <c r="V118" s="198">
        <v>15991075.83745116</v>
      </c>
      <c r="W118" s="198">
        <v>9641783.7520171553</v>
      </c>
      <c r="X118" s="198">
        <v>1234833.8899210691</v>
      </c>
      <c r="Y118" s="198">
        <v>6403394.9439707398</v>
      </c>
      <c r="Z118" s="198">
        <v>5949441.8036345989</v>
      </c>
    </row>
    <row r="119" spans="18:26" ht="15.75" customHeight="1">
      <c r="R119" s="126">
        <v>82</v>
      </c>
      <c r="S119" s="198">
        <v>13994550.531727165</v>
      </c>
      <c r="T119" s="198">
        <v>9535572.3318274021</v>
      </c>
      <c r="U119" s="198">
        <v>8913437.4744905531</v>
      </c>
      <c r="V119" s="198">
        <v>6471033.5162828118</v>
      </c>
      <c r="W119" s="198">
        <v>3481044.4331494868</v>
      </c>
      <c r="X119" s="198">
        <v>1549314.5280710757</v>
      </c>
      <c r="Y119" s="198">
        <v>6996938.0210248977</v>
      </c>
      <c r="Z119" s="198">
        <v>9668277.8993939757</v>
      </c>
    </row>
    <row r="120" spans="18:26" ht="15.75" customHeight="1">
      <c r="R120" s="126">
        <v>83</v>
      </c>
      <c r="S120" s="198">
        <v>5333288.3218437135</v>
      </c>
      <c r="T120" s="198">
        <v>11404063.118657678</v>
      </c>
      <c r="U120" s="198">
        <v>9102670.2343798876</v>
      </c>
      <c r="V120" s="198">
        <v>147582.74990525842</v>
      </c>
      <c r="W120" s="198">
        <v>7913297.3241503835</v>
      </c>
      <c r="X120" s="198">
        <v>6380184.2539851069</v>
      </c>
      <c r="Y120" s="198">
        <v>7146029.3339591175</v>
      </c>
      <c r="Z120" s="198">
        <v>-8179814.6706613451</v>
      </c>
    </row>
    <row r="121" spans="18:26" ht="15.75" customHeight="1">
      <c r="R121" s="126">
        <v>84</v>
      </c>
      <c r="S121" s="198">
        <v>2504484.2105132639</v>
      </c>
      <c r="T121" s="198">
        <v>9866149.2649341524</v>
      </c>
      <c r="U121" s="198">
        <v>7552574.6025857627</v>
      </c>
      <c r="V121" s="198">
        <v>-5471221.8648193479</v>
      </c>
      <c r="W121" s="198">
        <v>-10318419.066471249</v>
      </c>
      <c r="X121" s="198">
        <v>2391427.000970155</v>
      </c>
      <c r="Y121" s="198">
        <v>9948597.7565299869</v>
      </c>
      <c r="Z121" s="198">
        <v>-5601426.2102700025</v>
      </c>
    </row>
    <row r="122" spans="18:26" ht="15.75" customHeight="1">
      <c r="R122" s="126">
        <v>85</v>
      </c>
      <c r="S122" s="198">
        <v>4307723.7218688279</v>
      </c>
      <c r="T122" s="198">
        <v>4647226.857563138</v>
      </c>
      <c r="U122" s="198">
        <v>-143676.81186279655</v>
      </c>
      <c r="V122" s="198">
        <v>15735791.467404693</v>
      </c>
      <c r="W122" s="198">
        <v>1436863.5207800567</v>
      </c>
      <c r="X122" s="198">
        <v>7931864.3064139187</v>
      </c>
      <c r="Y122" s="198">
        <v>-6470567.8907356262</v>
      </c>
      <c r="Z122" s="198">
        <v>8796662.4603541046</v>
      </c>
    </row>
    <row r="123" spans="18:26" ht="15.75" customHeight="1">
      <c r="R123" s="126">
        <v>86</v>
      </c>
      <c r="S123" s="198">
        <v>-2946555.9100972414</v>
      </c>
      <c r="T123" s="198">
        <v>13345202.633985981</v>
      </c>
      <c r="U123" s="198">
        <v>11225299.022032619</v>
      </c>
      <c r="V123" s="198">
        <v>8864804.4762776196</v>
      </c>
      <c r="W123" s="198">
        <v>8456871.4658569098</v>
      </c>
      <c r="X123" s="198">
        <v>-41604.453324183822</v>
      </c>
      <c r="Y123" s="198">
        <v>1044563.9616564214</v>
      </c>
      <c r="Z123" s="198">
        <v>-2768248.3604274392</v>
      </c>
    </row>
    <row r="124" spans="18:26" ht="15.75" customHeight="1">
      <c r="R124" s="126">
        <v>87</v>
      </c>
      <c r="S124" s="198">
        <v>12463230.788815916</v>
      </c>
      <c r="T124" s="198">
        <v>7106235.6153139472</v>
      </c>
      <c r="U124" s="198">
        <v>12830502.367118329</v>
      </c>
      <c r="V124" s="198">
        <v>6452805.7022570521</v>
      </c>
      <c r="W124" s="198">
        <v>4557763.698947221</v>
      </c>
      <c r="X124" s="198">
        <v>-820573.45722417533</v>
      </c>
      <c r="Y124" s="198">
        <v>-1009231.1909226477</v>
      </c>
      <c r="Z124" s="198">
        <v>5680024.1700198948</v>
      </c>
    </row>
    <row r="125" spans="18:26" ht="15.75" customHeight="1">
      <c r="R125" s="126">
        <v>88</v>
      </c>
      <c r="S125" s="198">
        <v>11967833.725060597</v>
      </c>
      <c r="T125" s="198">
        <v>1313425.2228567004</v>
      </c>
      <c r="U125" s="198">
        <v>8830734.236189276</v>
      </c>
      <c r="V125" s="198">
        <v>1020894.8697731793</v>
      </c>
      <c r="W125" s="198">
        <v>7445647.6820851117</v>
      </c>
      <c r="X125" s="198">
        <v>3303994.9404802322</v>
      </c>
      <c r="Y125" s="198">
        <v>1555067.8093129098</v>
      </c>
      <c r="Z125" s="198">
        <v>4482233.0690659583</v>
      </c>
    </row>
    <row r="126" spans="18:26" ht="15.75" customHeight="1">
      <c r="R126" s="126">
        <v>89</v>
      </c>
      <c r="S126" s="198">
        <v>6713673.9696881771</v>
      </c>
      <c r="T126" s="198">
        <v>12857327.040372476</v>
      </c>
      <c r="U126" s="198">
        <v>8325616.7888112664</v>
      </c>
      <c r="V126" s="198">
        <v>6416627.2303135693</v>
      </c>
      <c r="W126" s="198">
        <v>9544770.9664205909</v>
      </c>
      <c r="X126" s="198">
        <v>5346885.4496643692</v>
      </c>
      <c r="Y126" s="198">
        <v>-3992376.1851939708</v>
      </c>
      <c r="Z126" s="198">
        <v>-5254574.5005483031</v>
      </c>
    </row>
    <row r="127" spans="18:26" ht="15.75" customHeight="1">
      <c r="R127" s="126">
        <v>90</v>
      </c>
      <c r="S127" s="198">
        <v>16206548.786421075</v>
      </c>
      <c r="T127" s="198">
        <v>6020970.9111225307</v>
      </c>
      <c r="U127" s="198">
        <v>7362573.3593567014</v>
      </c>
      <c r="V127" s="198">
        <v>4538628.2992367744</v>
      </c>
      <c r="W127" s="198">
        <v>3189287.5164304972</v>
      </c>
      <c r="X127" s="198">
        <v>312121.99787843227</v>
      </c>
      <c r="Y127" s="198">
        <v>8129835.7265189439</v>
      </c>
      <c r="Z127" s="198">
        <v>2175500.8680855334</v>
      </c>
    </row>
    <row r="128" spans="18:26" ht="15.75" customHeight="1">
      <c r="R128" s="126">
        <v>91</v>
      </c>
      <c r="S128" s="198">
        <v>12670930.897231102</v>
      </c>
      <c r="T128" s="198">
        <v>2583190.3885241896</v>
      </c>
      <c r="U128" s="198">
        <v>7613107.8336794674</v>
      </c>
      <c r="V128" s="198">
        <v>15440067.52087155</v>
      </c>
      <c r="W128" s="198">
        <v>5915122.1060429364</v>
      </c>
      <c r="X128" s="198">
        <v>398079.94825138152</v>
      </c>
      <c r="Y128" s="198">
        <v>1946451.4239148796</v>
      </c>
      <c r="Z128" s="198">
        <v>4358943.8268608153</v>
      </c>
    </row>
    <row r="129" spans="18:26" ht="15.75" customHeight="1">
      <c r="R129" s="126">
        <v>92</v>
      </c>
      <c r="S129" s="198">
        <v>12426059.985458463</v>
      </c>
      <c r="T129" s="198">
        <v>-304666.93788123131</v>
      </c>
      <c r="U129" s="198">
        <v>12785293.37774384</v>
      </c>
      <c r="V129" s="198">
        <v>-6457137.4764433801</v>
      </c>
      <c r="W129" s="198">
        <v>187555.19788233936</v>
      </c>
      <c r="X129" s="198">
        <v>5614803.2985140085</v>
      </c>
      <c r="Y129" s="198">
        <v>-2745976.4536963254</v>
      </c>
      <c r="Z129" s="198">
        <v>1270706.7863389254</v>
      </c>
    </row>
    <row r="130" spans="18:26" ht="15.75" customHeight="1">
      <c r="R130" s="126">
        <v>93</v>
      </c>
      <c r="S130" s="198">
        <v>5250024.2871908545</v>
      </c>
      <c r="T130" s="198">
        <v>8555599.9621458948</v>
      </c>
      <c r="U130" s="198">
        <v>10250648.036855534</v>
      </c>
      <c r="V130" s="198">
        <v>9107213.807574749</v>
      </c>
      <c r="W130" s="198">
        <v>9407614.2932000458</v>
      </c>
      <c r="X130" s="198">
        <v>219212.71296618879</v>
      </c>
      <c r="Y130" s="198">
        <v>6199319.5575658828</v>
      </c>
      <c r="Z130" s="198">
        <v>-3153853.2471704483</v>
      </c>
    </row>
    <row r="131" spans="18:26" ht="15.75" customHeight="1">
      <c r="R131" s="126">
        <v>94</v>
      </c>
      <c r="S131" s="198">
        <v>8003021.7274189144</v>
      </c>
      <c r="T131" s="198">
        <v>9479458.4933872372</v>
      </c>
      <c r="U131" s="198">
        <v>1134443.4540345967</v>
      </c>
      <c r="V131" s="198">
        <v>-7175228.7564265281</v>
      </c>
      <c r="W131" s="198">
        <v>-2319890.942758292</v>
      </c>
      <c r="X131" s="198">
        <v>10426285.688507095</v>
      </c>
      <c r="Y131" s="198">
        <v>-1610346.5580407828</v>
      </c>
      <c r="Z131" s="198">
        <v>5183843.1990012825</v>
      </c>
    </row>
    <row r="132" spans="18:26" ht="15.75" customHeight="1">
      <c r="R132" s="126">
        <v>95</v>
      </c>
      <c r="S132" s="198">
        <v>12218355.183674544</v>
      </c>
      <c r="T132" s="198">
        <v>5333745.7619398385</v>
      </c>
      <c r="U132" s="198">
        <v>13604375.176001221</v>
      </c>
      <c r="V132" s="198">
        <v>3628308.6839530766</v>
      </c>
      <c r="W132" s="198">
        <v>5541553.0204099119</v>
      </c>
      <c r="X132" s="198">
        <v>3963932.97351785</v>
      </c>
      <c r="Y132" s="198">
        <v>226880.59307470918</v>
      </c>
      <c r="Z132" s="198">
        <v>-789841.22571121156</v>
      </c>
    </row>
    <row r="133" spans="18:26" ht="15.75" customHeight="1">
      <c r="R133" s="126">
        <v>96</v>
      </c>
      <c r="S133" s="198">
        <v>9662728.950646162</v>
      </c>
      <c r="T133" s="198">
        <v>10156232.026981458</v>
      </c>
      <c r="U133" s="198">
        <v>6915734.4939586222</v>
      </c>
      <c r="V133" s="198">
        <v>2276733.9406585246</v>
      </c>
      <c r="W133" s="198">
        <v>12503731.992791235</v>
      </c>
      <c r="X133" s="198">
        <v>2480618.8030469418</v>
      </c>
      <c r="Y133" s="198">
        <v>5883199.0958027691</v>
      </c>
      <c r="Z133" s="198">
        <v>1826477.527350843</v>
      </c>
    </row>
    <row r="134" spans="18:26" ht="15.75" customHeight="1">
      <c r="R134" s="126">
        <v>97</v>
      </c>
      <c r="S134" s="198">
        <v>-1815464.2895800918</v>
      </c>
      <c r="T134" s="198">
        <v>5234732.6917452812</v>
      </c>
      <c r="U134" s="198">
        <v>5315577.6132089496</v>
      </c>
      <c r="V134" s="198">
        <v>3112372.9075848758</v>
      </c>
      <c r="W134" s="198">
        <v>-299395.09351481497</v>
      </c>
      <c r="X134" s="198">
        <v>8132748.9128246307</v>
      </c>
      <c r="Y134" s="198">
        <v>-7478434.6951655149</v>
      </c>
      <c r="Z134" s="198">
        <v>-3360687.8405808955</v>
      </c>
    </row>
    <row r="135" spans="18:26" ht="15.75" customHeight="1">
      <c r="R135" s="126">
        <v>98</v>
      </c>
      <c r="S135" s="198">
        <v>1003286.8332761377</v>
      </c>
      <c r="T135" s="198">
        <v>21581371.862768173</v>
      </c>
      <c r="U135" s="198">
        <v>2427265.3184110075</v>
      </c>
      <c r="V135" s="198">
        <v>1353055.1852221936</v>
      </c>
      <c r="W135" s="198">
        <v>5488641.3442325592</v>
      </c>
      <c r="X135" s="198">
        <v>6697173.8132160306</v>
      </c>
      <c r="Y135" s="198">
        <v>-107874.07706542313</v>
      </c>
      <c r="Z135" s="198">
        <v>9480569.0604187697</v>
      </c>
    </row>
    <row r="136" spans="18:26" ht="15.75" customHeight="1">
      <c r="R136" s="126">
        <v>99</v>
      </c>
      <c r="S136" s="198">
        <v>1755611.7021690011</v>
      </c>
      <c r="T136" s="198">
        <v>3667468.5998750627</v>
      </c>
      <c r="U136" s="198">
        <v>13855224.780529976</v>
      </c>
      <c r="V136" s="198">
        <v>2921759.613575235</v>
      </c>
      <c r="W136" s="198">
        <v>16583885.837545544</v>
      </c>
      <c r="X136" s="198">
        <v>-2966806.8855751455</v>
      </c>
      <c r="Y136" s="198">
        <v>-4022021.5852974057</v>
      </c>
      <c r="Z136" s="198">
        <v>4899308.8307874054</v>
      </c>
    </row>
    <row r="137" spans="18:26" ht="15.75" customHeight="1">
      <c r="R137" s="126">
        <v>100</v>
      </c>
      <c r="S137" s="198">
        <v>3101107.9760091901</v>
      </c>
      <c r="T137" s="198">
        <v>2710091.2978862375</v>
      </c>
      <c r="U137" s="198">
        <v>-2194450.270280838</v>
      </c>
      <c r="V137" s="198">
        <v>6891326.1906830519</v>
      </c>
      <c r="W137" s="198">
        <v>5626478.5861049294</v>
      </c>
      <c r="X137" s="198">
        <v>5750226.9821611345</v>
      </c>
      <c r="Y137" s="198">
        <v>2391369.6485270262</v>
      </c>
      <c r="Z137" s="198">
        <v>-6100116.5190845132</v>
      </c>
    </row>
    <row r="138" spans="18:26" ht="15.75" customHeight="1">
      <c r="R138" s="126">
        <v>101</v>
      </c>
      <c r="S138" s="198">
        <v>6529383.7897121757</v>
      </c>
      <c r="T138" s="198">
        <v>4630615.4745459408</v>
      </c>
      <c r="U138" s="198">
        <v>5641.5662311315536</v>
      </c>
      <c r="V138" s="198">
        <v>11269616.561669886</v>
      </c>
      <c r="W138" s="198">
        <v>11296194.362638116</v>
      </c>
      <c r="X138" s="198">
        <v>-1425677.2796970904</v>
      </c>
      <c r="Y138" s="198">
        <v>679829.24017801881</v>
      </c>
      <c r="Z138" s="198">
        <v>1590227.9287663549</v>
      </c>
    </row>
    <row r="139" spans="18:26" ht="15.75" customHeight="1">
      <c r="R139" s="126">
        <v>102</v>
      </c>
      <c r="S139" s="198">
        <v>7936422.7752918601</v>
      </c>
      <c r="T139" s="198">
        <v>1394490.6858617365</v>
      </c>
      <c r="U139" s="198">
        <v>20763712.152098954</v>
      </c>
      <c r="V139" s="198">
        <v>110125.80946479738</v>
      </c>
      <c r="W139" s="198">
        <v>-3050442.5961852074</v>
      </c>
      <c r="X139" s="198">
        <v>5442231.8233591914</v>
      </c>
      <c r="Y139" s="198">
        <v>-7855296.494339034</v>
      </c>
      <c r="Z139" s="198">
        <v>2794446.8101981729</v>
      </c>
    </row>
    <row r="140" spans="18:26" ht="15.75" customHeight="1">
      <c r="R140" s="126">
        <v>103</v>
      </c>
      <c r="S140" s="198">
        <v>-484256.12846907973</v>
      </c>
      <c r="T140" s="198">
        <v>10764663.425244793</v>
      </c>
      <c r="U140" s="198">
        <v>-7374530.0415152907</v>
      </c>
      <c r="V140" s="198">
        <v>2199087.6262353659</v>
      </c>
      <c r="W140" s="198">
        <v>-590608.66399505734</v>
      </c>
      <c r="X140" s="198">
        <v>8628458.92076841</v>
      </c>
      <c r="Y140" s="198">
        <v>-2325480.6446384192</v>
      </c>
      <c r="Z140" s="198">
        <v>1786544.9259180874</v>
      </c>
    </row>
    <row r="141" spans="18:26" ht="15.75" customHeight="1">
      <c r="R141" s="126">
        <v>104</v>
      </c>
      <c r="S141" s="198">
        <v>10305114.588038623</v>
      </c>
      <c r="T141" s="198">
        <v>14687357.699093461</v>
      </c>
      <c r="U141" s="198">
        <v>8260974.733225286</v>
      </c>
      <c r="V141" s="198">
        <v>4069250.973160252</v>
      </c>
      <c r="W141" s="198">
        <v>4381557.5261487514</v>
      </c>
      <c r="X141" s="198">
        <v>-2815974.2933898568</v>
      </c>
      <c r="Y141" s="198">
        <v>3131191.2099196613</v>
      </c>
      <c r="Z141" s="198">
        <v>-850743.37867760658</v>
      </c>
    </row>
    <row r="142" spans="18:26" ht="15.75" customHeight="1">
      <c r="R142" s="126">
        <v>105</v>
      </c>
      <c r="S142" s="198">
        <v>5923618.6025353968</v>
      </c>
      <c r="T142" s="198">
        <v>8253977.5642724782</v>
      </c>
      <c r="U142" s="198">
        <v>8458086.1199352294</v>
      </c>
      <c r="V142" s="198">
        <v>3772380.3337933421</v>
      </c>
      <c r="W142" s="198">
        <v>-5230407.3384252787</v>
      </c>
      <c r="X142" s="198">
        <v>6675238.9856216013</v>
      </c>
      <c r="Y142" s="198">
        <v>-3651333.806530118</v>
      </c>
      <c r="Z142" s="198">
        <v>5666780.5813710243</v>
      </c>
    </row>
    <row r="143" spans="18:26" ht="15.75" customHeight="1">
      <c r="R143" s="126">
        <v>106</v>
      </c>
      <c r="S143" s="198">
        <v>4079553.0666325092</v>
      </c>
      <c r="T143" s="198">
        <v>8380694.5355818272</v>
      </c>
      <c r="U143" s="198">
        <v>4526450.2677460164</v>
      </c>
      <c r="V143" s="198">
        <v>729719.44329154491</v>
      </c>
      <c r="W143" s="198">
        <v>8240247.1092488617</v>
      </c>
      <c r="X143" s="198">
        <v>-1841566.8277978152</v>
      </c>
      <c r="Y143" s="198">
        <v>-2564577.226276353</v>
      </c>
      <c r="Z143" s="198">
        <v>-4394746.0259707868</v>
      </c>
    </row>
    <row r="144" spans="18:26" ht="15.75" customHeight="1">
      <c r="R144" s="126">
        <v>107</v>
      </c>
      <c r="S144" s="198">
        <v>13857927.585409552</v>
      </c>
      <c r="T144" s="198">
        <v>3132754.7552387863</v>
      </c>
      <c r="U144" s="198">
        <v>2872838.7815304697</v>
      </c>
      <c r="V144" s="198">
        <v>15105702.730583608</v>
      </c>
      <c r="W144" s="198">
        <v>5140022.4217394441</v>
      </c>
      <c r="X144" s="198">
        <v>4082093.1783789396</v>
      </c>
      <c r="Y144" s="198">
        <v>7497261.4441901147</v>
      </c>
      <c r="Z144" s="198">
        <v>-1805014.9354892969</v>
      </c>
    </row>
    <row r="145" spans="18:26" ht="15.75" customHeight="1">
      <c r="R145" s="126">
        <v>108</v>
      </c>
      <c r="S145" s="198">
        <v>8515022.8271341324</v>
      </c>
      <c r="T145" s="198">
        <v>1845953.6934844702</v>
      </c>
      <c r="U145" s="198">
        <v>11445418.86857897</v>
      </c>
      <c r="V145" s="198">
        <v>5796348.9020031542</v>
      </c>
      <c r="W145" s="198">
        <v>4067793.2417165339</v>
      </c>
      <c r="X145" s="198">
        <v>392445.18633581698</v>
      </c>
      <c r="Y145" s="198">
        <v>8482208.5965135992</v>
      </c>
      <c r="Z145" s="198">
        <v>2993026.9700605571</v>
      </c>
    </row>
    <row r="146" spans="18:26" ht="15.75" customHeight="1">
      <c r="R146" s="126">
        <v>109</v>
      </c>
      <c r="S146" s="198">
        <v>3667949.4225227535</v>
      </c>
      <c r="T146" s="198">
        <v>12375951.374147773</v>
      </c>
      <c r="U146" s="198">
        <v>689195.30476111174</v>
      </c>
      <c r="V146" s="198">
        <v>-8428583.946821928</v>
      </c>
      <c r="W146" s="198">
        <v>-6953840.1037418991</v>
      </c>
      <c r="X146" s="198">
        <v>-10210251.1517912</v>
      </c>
      <c r="Y146" s="198">
        <v>2161288.9265126288</v>
      </c>
      <c r="Z146" s="198">
        <v>113372.77132250369</v>
      </c>
    </row>
    <row r="147" spans="18:26" ht="15.75" customHeight="1">
      <c r="R147" s="126">
        <v>110</v>
      </c>
      <c r="S147" s="198">
        <v>10628367.002015844</v>
      </c>
      <c r="T147" s="198">
        <v>12765442.178167105</v>
      </c>
      <c r="U147" s="198">
        <v>6489760.8582640588</v>
      </c>
      <c r="V147" s="198">
        <v>8969687.6775069982</v>
      </c>
      <c r="W147" s="198">
        <v>522622.47184044123</v>
      </c>
      <c r="X147" s="198">
        <v>6359073.0917491615</v>
      </c>
      <c r="Y147" s="198">
        <v>3317848.6768267453</v>
      </c>
      <c r="Z147" s="198">
        <v>-9432508.191931501</v>
      </c>
    </row>
    <row r="148" spans="18:26" ht="15.75" customHeight="1">
      <c r="R148" s="126">
        <v>111</v>
      </c>
      <c r="S148" s="198">
        <v>14064615.278100431</v>
      </c>
      <c r="T148" s="198">
        <v>13744992.901684955</v>
      </c>
      <c r="U148" s="198">
        <v>2349705.7447497547</v>
      </c>
      <c r="V148" s="198">
        <v>10099701.884955212</v>
      </c>
      <c r="W148" s="198">
        <v>-2499627.6997934878</v>
      </c>
      <c r="X148" s="198">
        <v>277638.60691690445</v>
      </c>
      <c r="Y148" s="198">
        <v>3218685.7423124909</v>
      </c>
      <c r="Z148" s="198">
        <v>-13635805.220588982</v>
      </c>
    </row>
    <row r="149" spans="18:26" ht="15.75" customHeight="1">
      <c r="R149" s="126">
        <v>112</v>
      </c>
      <c r="S149" s="198">
        <v>11738392.322189033</v>
      </c>
      <c r="T149" s="198">
        <v>-1791174.3905223757</v>
      </c>
      <c r="U149" s="198">
        <v>4754271.0395742208</v>
      </c>
      <c r="V149" s="198">
        <v>481520.64610624313</v>
      </c>
      <c r="W149" s="198">
        <v>2681231.3618242145</v>
      </c>
      <c r="X149" s="198">
        <v>3395320.6899196804</v>
      </c>
      <c r="Y149" s="198">
        <v>3538401.9180422872</v>
      </c>
      <c r="Z149" s="198">
        <v>4344221.0530457199</v>
      </c>
    </row>
    <row r="150" spans="18:26" ht="15.75" customHeight="1">
      <c r="R150" s="126">
        <v>113</v>
      </c>
      <c r="S150" s="198">
        <v>7718519.9436012357</v>
      </c>
      <c r="T150" s="198">
        <v>3048554.4563003182</v>
      </c>
      <c r="U150" s="198">
        <v>3323432.3048795909</v>
      </c>
      <c r="V150" s="198">
        <v>3814187.0717652738</v>
      </c>
      <c r="W150" s="198">
        <v>-3235836.8319546282</v>
      </c>
      <c r="X150" s="198">
        <v>510100.60135468841</v>
      </c>
      <c r="Y150" s="198">
        <v>6359562.8066372871</v>
      </c>
      <c r="Z150" s="198">
        <v>-5551507.788191855</v>
      </c>
    </row>
    <row r="151" spans="18:26" ht="15.75" customHeight="1">
      <c r="R151" s="126">
        <v>114</v>
      </c>
      <c r="S151" s="198">
        <v>15521410.006468102</v>
      </c>
      <c r="T151" s="198">
        <v>7148622.6734360158</v>
      </c>
      <c r="U151" s="198">
        <v>14349698.243285924</v>
      </c>
      <c r="V151" s="198">
        <v>12550177.731411278</v>
      </c>
      <c r="W151" s="198">
        <v>3909187.9778504521</v>
      </c>
      <c r="X151" s="198">
        <v>-8432562.1506423503</v>
      </c>
      <c r="Y151" s="198">
        <v>287853.67659580708</v>
      </c>
      <c r="Z151" s="198">
        <v>4031801.5481063277</v>
      </c>
    </row>
    <row r="152" spans="18:26" ht="15.75" customHeight="1">
      <c r="R152" s="126">
        <v>115</v>
      </c>
      <c r="S152" s="198">
        <v>-633321.96411196887</v>
      </c>
      <c r="T152" s="198">
        <v>-1206056.9009959102</v>
      </c>
      <c r="U152" s="198">
        <v>12920059.272500709</v>
      </c>
      <c r="V152" s="198">
        <v>-10113103.352205023</v>
      </c>
      <c r="W152" s="198">
        <v>1671103.8499580026</v>
      </c>
      <c r="X152" s="198">
        <v>2644212.0432088226</v>
      </c>
      <c r="Y152" s="198">
        <v>-1564888.6821906269</v>
      </c>
      <c r="Z152" s="198">
        <v>7042637.5544556528</v>
      </c>
    </row>
    <row r="153" spans="18:26" ht="15.75" customHeight="1">
      <c r="R153" s="126">
        <v>116</v>
      </c>
      <c r="S153" s="198">
        <v>15447668.465269476</v>
      </c>
      <c r="T153" s="198">
        <v>3003585.7750884295</v>
      </c>
      <c r="U153" s="198">
        <v>9795337.2876207381</v>
      </c>
      <c r="V153" s="198">
        <v>1813505.9083822966</v>
      </c>
      <c r="W153" s="198">
        <v>10995805.312306374</v>
      </c>
      <c r="X153" s="198">
        <v>3207961.5547666401</v>
      </c>
      <c r="Y153" s="198">
        <v>-961534.11585086584</v>
      </c>
      <c r="Z153" s="198">
        <v>-4266158.7673718035</v>
      </c>
    </row>
    <row r="154" spans="18:26" ht="15.75" customHeight="1">
      <c r="R154" s="126">
        <v>117</v>
      </c>
      <c r="S154" s="198">
        <v>3579803.9172831029</v>
      </c>
      <c r="T154" s="198">
        <v>11495094.285346851</v>
      </c>
      <c r="U154" s="198">
        <v>-2272809.0111160725</v>
      </c>
      <c r="V154" s="198">
        <v>7958546.7938949168</v>
      </c>
      <c r="W154" s="198">
        <v>3175894.5928129256</v>
      </c>
      <c r="X154" s="198">
        <v>3876904.1066488475</v>
      </c>
      <c r="Y154" s="198">
        <v>10660648.930126533</v>
      </c>
      <c r="Z154" s="198">
        <v>-1135900.5000965893</v>
      </c>
    </row>
    <row r="155" spans="18:26" ht="15.75" customHeight="1">
      <c r="R155" s="126">
        <v>118</v>
      </c>
      <c r="S155" s="198">
        <v>11096991.363467157</v>
      </c>
      <c r="T155" s="198">
        <v>14131134.531467989</v>
      </c>
      <c r="U155" s="198">
        <v>2923084.6558974385</v>
      </c>
      <c r="V155" s="198">
        <v>8687523.9191083908</v>
      </c>
      <c r="W155" s="198">
        <v>3565101.7387709618</v>
      </c>
      <c r="X155" s="198">
        <v>1081940.3866065592</v>
      </c>
      <c r="Y155" s="198">
        <v>822096.8979960084</v>
      </c>
      <c r="Z155" s="198">
        <v>-6376233.7858975679</v>
      </c>
    </row>
    <row r="156" spans="18:26" ht="15.75" customHeight="1">
      <c r="R156" s="126">
        <v>119</v>
      </c>
      <c r="S156" s="198">
        <v>8187466.3579962403</v>
      </c>
      <c r="T156" s="198">
        <v>13520588.983765483</v>
      </c>
      <c r="U156" s="198">
        <v>8251349.4327197671</v>
      </c>
      <c r="V156" s="198">
        <v>3604037.0275930166</v>
      </c>
      <c r="W156" s="198">
        <v>3358777.0672928244</v>
      </c>
      <c r="X156" s="198">
        <v>323186.57122331858</v>
      </c>
      <c r="Y156" s="198">
        <v>-1603317.673656866</v>
      </c>
      <c r="Z156" s="198">
        <v>1400679.8859809488</v>
      </c>
    </row>
    <row r="157" spans="18:26" ht="15.75" customHeight="1">
      <c r="R157" s="126">
        <v>120</v>
      </c>
      <c r="S157" s="198">
        <v>10704578.760701939</v>
      </c>
      <c r="T157" s="198">
        <v>14120067.545046926</v>
      </c>
      <c r="U157" s="198">
        <v>10164658.536379859</v>
      </c>
      <c r="V157" s="198">
        <v>11014460.531335726</v>
      </c>
      <c r="W157" s="198">
        <v>9709570.2741977572</v>
      </c>
      <c r="X157" s="198">
        <v>6593375.8544099331</v>
      </c>
      <c r="Y157" s="198">
        <v>-33137.291140690446</v>
      </c>
      <c r="Z157" s="198">
        <v>8510728.220702678</v>
      </c>
    </row>
    <row r="158" spans="18:26" ht="15.75" customHeight="1">
      <c r="R158" s="126">
        <v>121</v>
      </c>
      <c r="S158" s="198">
        <v>4688272.2349973768</v>
      </c>
      <c r="T158" s="198">
        <v>8018134.7692850977</v>
      </c>
      <c r="U158" s="198">
        <v>6272133.3806800246</v>
      </c>
      <c r="V158" s="198">
        <v>-1268642.2102675885</v>
      </c>
      <c r="W158" s="198">
        <v>-9834948.19080773</v>
      </c>
      <c r="X158" s="198">
        <v>4878738.3774939477</v>
      </c>
      <c r="Y158" s="198">
        <v>-10952151.007300913</v>
      </c>
      <c r="Z158" s="198">
        <v>-3839914.2465717345</v>
      </c>
    </row>
    <row r="159" spans="18:26" ht="15.75" customHeight="1">
      <c r="R159" s="126">
        <v>122</v>
      </c>
      <c r="S159" s="198">
        <v>10141375.941622868</v>
      </c>
      <c r="T159" s="198">
        <v>3509443.7150929868</v>
      </c>
      <c r="U159" s="198">
        <v>10450777.354825407</v>
      </c>
      <c r="V159" s="198">
        <v>10721533.62233068</v>
      </c>
      <c r="W159" s="198">
        <v>4058190.1291364729</v>
      </c>
      <c r="X159" s="198">
        <v>6480646.9664845765</v>
      </c>
      <c r="Y159" s="198">
        <v>-4701953.1126852632</v>
      </c>
      <c r="Z159" s="198">
        <v>-8241924.3975561112</v>
      </c>
    </row>
    <row r="160" spans="18:26" ht="15.75" customHeight="1">
      <c r="R160" s="126">
        <v>123</v>
      </c>
      <c r="S160" s="198">
        <v>7842840.8293030262</v>
      </c>
      <c r="T160" s="198">
        <v>2221488.164753139</v>
      </c>
      <c r="U160" s="198">
        <v>7031584.3868466616</v>
      </c>
      <c r="V160" s="198">
        <v>4656051.064419806</v>
      </c>
      <c r="W160" s="198">
        <v>9864295.7691431642</v>
      </c>
      <c r="X160" s="198">
        <v>-4297701.6954194307</v>
      </c>
      <c r="Y160" s="198">
        <v>11957662.405656397</v>
      </c>
      <c r="Z160" s="198">
        <v>-5651510.1652015299</v>
      </c>
    </row>
    <row r="161" spans="18:26" ht="15.75" customHeight="1">
      <c r="R161" s="126">
        <v>124</v>
      </c>
      <c r="S161" s="198">
        <v>10244585.17734918</v>
      </c>
      <c r="T161" s="198">
        <v>8078763.9613131583</v>
      </c>
      <c r="U161" s="198">
        <v>7329834.5434082747</v>
      </c>
      <c r="V161" s="198">
        <v>9035649.7228261381</v>
      </c>
      <c r="W161" s="198">
        <v>11376313.218808204</v>
      </c>
      <c r="X161" s="198">
        <v>4547620.8645458072</v>
      </c>
      <c r="Y161" s="198">
        <v>6961856.6327724159</v>
      </c>
      <c r="Z161" s="198">
        <v>3986121.6323767155</v>
      </c>
    </row>
    <row r="162" spans="18:26" ht="15.75" customHeight="1">
      <c r="R162" s="126">
        <v>125</v>
      </c>
      <c r="S162" s="198">
        <v>15106174.148683652</v>
      </c>
      <c r="T162" s="198">
        <v>8031441.4232722968</v>
      </c>
      <c r="U162" s="198">
        <v>5025128.9183509499</v>
      </c>
      <c r="V162" s="198">
        <v>4640295.5795845389</v>
      </c>
      <c r="W162" s="198">
        <v>8208458.4389621466</v>
      </c>
      <c r="X162" s="198">
        <v>-2752569.5072722286</v>
      </c>
      <c r="Y162" s="198">
        <v>-73745.360276848078</v>
      </c>
      <c r="Z162" s="198">
        <v>6244905.86323753</v>
      </c>
    </row>
    <row r="163" spans="18:26" ht="15.75" customHeight="1">
      <c r="R163" s="126">
        <v>126</v>
      </c>
      <c r="S163" s="198">
        <v>10052192.966325402</v>
      </c>
      <c r="T163" s="198">
        <v>1861695.4624840021</v>
      </c>
      <c r="U163" s="198">
        <v>-3854725.6086586714</v>
      </c>
      <c r="V163" s="198">
        <v>7781275.8956647664</v>
      </c>
      <c r="W163" s="198">
        <v>-981246.89999201894</v>
      </c>
      <c r="X163" s="198">
        <v>7750248.5074480623</v>
      </c>
      <c r="Y163" s="198">
        <v>568272.71140567958</v>
      </c>
      <c r="Z163" s="198">
        <v>110678.10001149774</v>
      </c>
    </row>
    <row r="164" spans="18:26" ht="15.75" customHeight="1">
      <c r="R164" s="126">
        <v>127</v>
      </c>
      <c r="S164" s="198">
        <v>7363377.0523305684</v>
      </c>
      <c r="T164" s="198">
        <v>16262269.776736245</v>
      </c>
      <c r="U164" s="198">
        <v>6175322.7001593411</v>
      </c>
      <c r="V164" s="198">
        <v>13690672.981993407</v>
      </c>
      <c r="W164" s="198">
        <v>8431577.6856027842</v>
      </c>
      <c r="X164" s="198">
        <v>2654409.9830063432</v>
      </c>
      <c r="Y164" s="198">
        <v>10724266.345798537</v>
      </c>
      <c r="Z164" s="198">
        <v>-1367113.7200580537</v>
      </c>
    </row>
    <row r="165" spans="18:26" ht="15.75" customHeight="1">
      <c r="R165" s="126">
        <v>128</v>
      </c>
      <c r="S165" s="198">
        <v>5722441.7539171278</v>
      </c>
      <c r="T165" s="198">
        <v>5143095.8111889511</v>
      </c>
      <c r="U165" s="198">
        <v>2520802.764217183</v>
      </c>
      <c r="V165" s="198">
        <v>16566509.099848032</v>
      </c>
      <c r="W165" s="198">
        <v>11213599.681486487</v>
      </c>
      <c r="X165" s="198">
        <v>4089842.1925164163</v>
      </c>
      <c r="Y165" s="198">
        <v>-4385086.7922617346</v>
      </c>
      <c r="Z165" s="198">
        <v>-7124249.812157318</v>
      </c>
    </row>
    <row r="166" spans="18:26" ht="15.75" customHeight="1">
      <c r="R166" s="126">
        <v>129</v>
      </c>
      <c r="S166" s="198">
        <v>10599706.840558842</v>
      </c>
      <c r="T166" s="198">
        <v>17134304.23455596</v>
      </c>
      <c r="U166" s="198">
        <v>1350279.0736174285</v>
      </c>
      <c r="V166" s="198">
        <v>-4224616.6744586676</v>
      </c>
      <c r="W166" s="198">
        <v>5913310.3623688966</v>
      </c>
      <c r="X166" s="198">
        <v>-1951731.703227818</v>
      </c>
      <c r="Y166" s="198">
        <v>3242427.264516905</v>
      </c>
      <c r="Z166" s="198">
        <v>2570243.5688808858</v>
      </c>
    </row>
    <row r="167" spans="18:26" ht="15.75" customHeight="1">
      <c r="R167" s="126">
        <v>130</v>
      </c>
      <c r="S167" s="198">
        <v>565007.08971107006</v>
      </c>
      <c r="T167" s="198">
        <v>6540851.3475352824</v>
      </c>
      <c r="U167" s="198">
        <v>2027311.2656957954</v>
      </c>
      <c r="V167" s="198">
        <v>-2855577.1029478014</v>
      </c>
      <c r="W167" s="198">
        <v>5731870.526268512</v>
      </c>
      <c r="X167" s="198">
        <v>-627672.31119531393</v>
      </c>
      <c r="Y167" s="198">
        <v>5772734.8927591592</v>
      </c>
      <c r="Z167" s="198">
        <v>-1541118.063163206</v>
      </c>
    </row>
    <row r="168" spans="18:26" ht="15.75" customHeight="1">
      <c r="R168" s="126">
        <v>131</v>
      </c>
      <c r="S168" s="198">
        <v>12810045.240853757</v>
      </c>
      <c r="T168" s="198">
        <v>-142352.48681099713</v>
      </c>
      <c r="U168" s="198">
        <v>14648700.429228306</v>
      </c>
      <c r="V168" s="198">
        <v>377386.80812859535</v>
      </c>
      <c r="W168" s="198">
        <v>1156437.2859268337</v>
      </c>
      <c r="X168" s="198">
        <v>3504376.4579016268</v>
      </c>
      <c r="Y168" s="198">
        <v>-3703154.8196091652</v>
      </c>
      <c r="Z168" s="198">
        <v>1374680.5775111169</v>
      </c>
    </row>
    <row r="169" spans="18:26" ht="15.75" customHeight="1">
      <c r="R169" s="126">
        <v>132</v>
      </c>
      <c r="S169" s="198">
        <v>11493907.975560233</v>
      </c>
      <c r="T169" s="198">
        <v>-54276.941558554769</v>
      </c>
      <c r="U169" s="198">
        <v>6853549.0102014989</v>
      </c>
      <c r="V169" s="198">
        <v>9254057.5788383037</v>
      </c>
      <c r="W169" s="198">
        <v>3247537.3773939461</v>
      </c>
      <c r="X169" s="198">
        <v>1148325.7960504293</v>
      </c>
      <c r="Y169" s="198">
        <v>-1672213.0188942105</v>
      </c>
      <c r="Z169" s="198">
        <v>2998232.5421354771</v>
      </c>
    </row>
    <row r="170" spans="18:26" ht="15.75" customHeight="1">
      <c r="R170" s="126">
        <v>133</v>
      </c>
      <c r="S170" s="198">
        <v>3915356.7080873847</v>
      </c>
      <c r="T170" s="198">
        <v>343801.59711046517</v>
      </c>
      <c r="U170" s="198">
        <v>7666429.541369617</v>
      </c>
      <c r="V170" s="198">
        <v>-1117380.4573981017</v>
      </c>
      <c r="W170" s="198">
        <v>13456010.115812823</v>
      </c>
      <c r="X170" s="198">
        <v>628845.57925434411</v>
      </c>
      <c r="Y170" s="198">
        <v>-1831616.1022568047</v>
      </c>
      <c r="Z170" s="198">
        <v>-206821.13832339644</v>
      </c>
    </row>
    <row r="171" spans="18:26" ht="15.75" customHeight="1">
      <c r="R171" s="126">
        <v>134</v>
      </c>
      <c r="S171" s="198">
        <v>9892264.4438146204</v>
      </c>
      <c r="T171" s="198">
        <v>12498858.829376698</v>
      </c>
      <c r="U171" s="198">
        <v>9829182.3027675599</v>
      </c>
      <c r="V171" s="198">
        <v>1404354.4956966788</v>
      </c>
      <c r="W171" s="198">
        <v>17492719.121036917</v>
      </c>
      <c r="X171" s="198">
        <v>11708435.343611941</v>
      </c>
      <c r="Y171" s="198">
        <v>9969004.1686331332</v>
      </c>
      <c r="Z171" s="198">
        <v>948963.29768949747</v>
      </c>
    </row>
    <row r="172" spans="18:26" ht="15.75" customHeight="1">
      <c r="R172" s="126">
        <v>135</v>
      </c>
      <c r="S172" s="198">
        <v>16124561.888763994</v>
      </c>
      <c r="T172" s="198">
        <v>12563023.389774039</v>
      </c>
      <c r="U172" s="198">
        <v>7260781.0785210431</v>
      </c>
      <c r="V172" s="198">
        <v>889083.4508997798</v>
      </c>
      <c r="W172" s="198">
        <v>-351893.45711252093</v>
      </c>
      <c r="X172" s="198">
        <v>1985170.0249505043</v>
      </c>
      <c r="Y172" s="198">
        <v>-8126332.351374954</v>
      </c>
      <c r="Z172" s="198">
        <v>1145855.0549669415</v>
      </c>
    </row>
    <row r="173" spans="18:26" ht="15.75" customHeight="1">
      <c r="R173" s="126">
        <v>136</v>
      </c>
      <c r="S173" s="198">
        <v>8288161.4371520281</v>
      </c>
      <c r="T173" s="198">
        <v>10232218.580437347</v>
      </c>
      <c r="U173" s="198">
        <v>14513246.379788995</v>
      </c>
      <c r="V173" s="198">
        <v>2880272.7431844473</v>
      </c>
      <c r="W173" s="198">
        <v>10220663.353344813</v>
      </c>
      <c r="X173" s="198">
        <v>1888985.3734002709</v>
      </c>
      <c r="Y173" s="198">
        <v>629920.95126593113</v>
      </c>
      <c r="Z173" s="198">
        <v>6768389.0115659237</v>
      </c>
    </row>
    <row r="174" spans="18:26" ht="15.75" customHeight="1">
      <c r="R174" s="126">
        <v>137</v>
      </c>
      <c r="S174" s="198">
        <v>12122517.28034766</v>
      </c>
      <c r="T174" s="198">
        <v>4571882.7547999322</v>
      </c>
      <c r="U174" s="198">
        <v>5420268.7770987749</v>
      </c>
      <c r="V174" s="198">
        <v>5558006.1606571525</v>
      </c>
      <c r="W174" s="198">
        <v>-2139486.5823278576</v>
      </c>
      <c r="X174" s="198">
        <v>6427391.2669359893</v>
      </c>
      <c r="Y174" s="198">
        <v>3154473.9537870288</v>
      </c>
      <c r="Z174" s="198">
        <v>2010599.3333087265</v>
      </c>
    </row>
    <row r="175" spans="18:26" ht="15.75" customHeight="1">
      <c r="R175" s="126">
        <v>138</v>
      </c>
      <c r="S175" s="198">
        <v>10238643.123453632</v>
      </c>
      <c r="T175" s="198">
        <v>5991386.1174628288</v>
      </c>
      <c r="U175" s="198">
        <v>-1464861.7012617141</v>
      </c>
      <c r="V175" s="198">
        <v>-680497.46377512813</v>
      </c>
      <c r="W175" s="198">
        <v>16105820.337316453</v>
      </c>
      <c r="X175" s="198">
        <v>10547586.594245911</v>
      </c>
      <c r="Y175" s="198">
        <v>338663.53042005002</v>
      </c>
      <c r="Z175" s="198">
        <v>-5882599.3230187446</v>
      </c>
    </row>
    <row r="176" spans="18:26" ht="15.75" customHeight="1">
      <c r="R176" s="126">
        <v>139</v>
      </c>
      <c r="S176" s="198">
        <v>47783.661839038134</v>
      </c>
      <c r="T176" s="198">
        <v>274469.60856027901</v>
      </c>
      <c r="U176" s="198">
        <v>11295149.602762789</v>
      </c>
      <c r="V176" s="198">
        <v>7753246.4120470732</v>
      </c>
      <c r="W176" s="198">
        <v>4658927.8504721522</v>
      </c>
      <c r="X176" s="198">
        <v>-1960356.0353452861</v>
      </c>
      <c r="Y176" s="198">
        <v>-617817.73701417446</v>
      </c>
      <c r="Z176" s="198">
        <v>-9127427.8562491387</v>
      </c>
    </row>
    <row r="177" spans="18:26" ht="15.75" customHeight="1">
      <c r="R177" s="126">
        <v>140</v>
      </c>
      <c r="S177" s="198">
        <v>6840802.1971931756</v>
      </c>
      <c r="T177" s="198">
        <v>12626335.540558428</v>
      </c>
      <c r="U177" s="198">
        <v>9117868.0919972509</v>
      </c>
      <c r="V177" s="198">
        <v>-3452727.032017529</v>
      </c>
      <c r="W177" s="198">
        <v>8220218.3053885847</v>
      </c>
      <c r="X177" s="198">
        <v>5476925.6595700383</v>
      </c>
      <c r="Y177" s="198">
        <v>-4441957.2189179957</v>
      </c>
      <c r="Z177" s="198">
        <v>-1675906.0374287367</v>
      </c>
    </row>
    <row r="178" spans="18:26" ht="15.75" customHeight="1">
      <c r="R178" s="126">
        <v>141</v>
      </c>
      <c r="S178" s="198">
        <v>1720034.2429806888</v>
      </c>
      <c r="T178" s="198">
        <v>8553181.3976317048</v>
      </c>
      <c r="U178" s="198">
        <v>9364435.1540793926</v>
      </c>
      <c r="V178" s="198">
        <v>-1055434.9517189264</v>
      </c>
      <c r="W178" s="198">
        <v>5642136.9131829143</v>
      </c>
      <c r="X178" s="198">
        <v>8608802.0173197091</v>
      </c>
      <c r="Y178" s="198">
        <v>4394999.3258612454</v>
      </c>
      <c r="Z178" s="198">
        <v>10593796.815378189</v>
      </c>
    </row>
    <row r="179" spans="18:26" ht="15.75" customHeight="1">
      <c r="R179" s="126">
        <v>142</v>
      </c>
      <c r="S179" s="198">
        <v>9807761.506342113</v>
      </c>
      <c r="T179" s="198">
        <v>4966590.392646715</v>
      </c>
      <c r="U179" s="198">
        <v>633188.26984956861</v>
      </c>
      <c r="V179" s="198">
        <v>5106517.7206965983</v>
      </c>
      <c r="W179" s="198">
        <v>4070203.1385876089</v>
      </c>
      <c r="X179" s="198">
        <v>71670.525343924761</v>
      </c>
      <c r="Y179" s="198">
        <v>-6102976.2729066312</v>
      </c>
      <c r="Z179" s="198">
        <v>7467026.8332553059</v>
      </c>
    </row>
    <row r="180" spans="18:26" ht="15.75" customHeight="1">
      <c r="R180" s="126">
        <v>143</v>
      </c>
      <c r="S180" s="198">
        <v>8914874.5822248608</v>
      </c>
      <c r="T180" s="198">
        <v>979420.95217752457</v>
      </c>
      <c r="U180" s="198">
        <v>8459737.6403585672</v>
      </c>
      <c r="V180" s="198">
        <v>6287126.7335438132</v>
      </c>
      <c r="W180" s="198">
        <v>-333720.78311508894</v>
      </c>
      <c r="X180" s="198">
        <v>-1718246.0036468804</v>
      </c>
      <c r="Y180" s="198">
        <v>5763244.8841079175</v>
      </c>
      <c r="Z180" s="198">
        <v>-2214464.1807335168</v>
      </c>
    </row>
    <row r="181" spans="18:26" ht="15.75" customHeight="1">
      <c r="R181" s="126">
        <v>144</v>
      </c>
      <c r="S181" s="198">
        <v>12868688.868655011</v>
      </c>
      <c r="T181" s="198">
        <v>-5323921.3694510162</v>
      </c>
      <c r="U181" s="198">
        <v>-2012893.1555848271</v>
      </c>
      <c r="V181" s="198">
        <v>-2491389.4489862621</v>
      </c>
      <c r="W181" s="198">
        <v>4470872.4713371098</v>
      </c>
      <c r="X181" s="198">
        <v>8490923.6131014675</v>
      </c>
      <c r="Y181" s="198">
        <v>3284701.936070472</v>
      </c>
      <c r="Z181" s="198">
        <v>3972684.8207210749</v>
      </c>
    </row>
    <row r="182" spans="18:26" ht="15.75" customHeight="1">
      <c r="R182" s="126">
        <v>145</v>
      </c>
      <c r="S182" s="198">
        <v>6585235.4961049259</v>
      </c>
      <c r="T182" s="198">
        <v>17900779.939240336</v>
      </c>
      <c r="U182" s="198">
        <v>-2422032.4036086202</v>
      </c>
      <c r="V182" s="198">
        <v>3017886.4678757191</v>
      </c>
      <c r="W182" s="198">
        <v>1849244.8062355518</v>
      </c>
      <c r="X182" s="198">
        <v>6574196.9775350094</v>
      </c>
      <c r="Y182" s="198">
        <v>5100116.1422548294</v>
      </c>
      <c r="Z182" s="198">
        <v>4419883.5496871471</v>
      </c>
    </row>
    <row r="183" spans="18:26" ht="15.75" customHeight="1">
      <c r="R183" s="126">
        <v>146</v>
      </c>
      <c r="S183" s="198">
        <v>16510682.992638052</v>
      </c>
      <c r="T183" s="198">
        <v>3635273.3163852096</v>
      </c>
      <c r="U183" s="198">
        <v>7189084.1764268279</v>
      </c>
      <c r="V183" s="198">
        <v>-5403998.7128239125</v>
      </c>
      <c r="W183" s="198">
        <v>12219008.729668766</v>
      </c>
      <c r="X183" s="198">
        <v>6578399.955267489</v>
      </c>
      <c r="Y183" s="198">
        <v>-4378127.2937909067</v>
      </c>
      <c r="Z183" s="198">
        <v>5089229.5699207038</v>
      </c>
    </row>
    <row r="184" spans="18:26" ht="15.75" customHeight="1">
      <c r="R184" s="126">
        <v>147</v>
      </c>
      <c r="S184" s="198">
        <v>12898223.299955785</v>
      </c>
      <c r="T184" s="198">
        <v>17330484.260322437</v>
      </c>
      <c r="U184" s="198">
        <v>5312308.0715067834</v>
      </c>
      <c r="V184" s="198">
        <v>5215125.4521691799</v>
      </c>
      <c r="W184" s="198">
        <v>4356808.0165532827</v>
      </c>
      <c r="X184" s="198">
        <v>6272523.29769063</v>
      </c>
      <c r="Y184" s="198">
        <v>11813195.72722061</v>
      </c>
      <c r="Z184" s="198">
        <v>-5332372.7066578567</v>
      </c>
    </row>
    <row r="185" spans="18:26" ht="15.75" customHeight="1">
      <c r="R185" s="126">
        <v>148</v>
      </c>
      <c r="S185" s="198">
        <v>9604876.2489771098</v>
      </c>
      <c r="T185" s="198">
        <v>16263617.532614335</v>
      </c>
      <c r="U185" s="198">
        <v>10118804.224608764</v>
      </c>
      <c r="V185" s="198">
        <v>7935432.2875169814</v>
      </c>
      <c r="W185" s="198">
        <v>3334197.8631719202</v>
      </c>
      <c r="X185" s="198">
        <v>7957216.0579699278</v>
      </c>
      <c r="Y185" s="198">
        <v>14249374.752440944</v>
      </c>
      <c r="Z185" s="198">
        <v>2605200.9615116417</v>
      </c>
    </row>
    <row r="186" spans="18:26" ht="15.75" customHeight="1">
      <c r="R186" s="126">
        <v>149</v>
      </c>
      <c r="S186" s="198">
        <v>571895.59117563069</v>
      </c>
      <c r="T186" s="198">
        <v>6670529.0610620826</v>
      </c>
      <c r="U186" s="198">
        <v>2394692.8013961017</v>
      </c>
      <c r="V186" s="198">
        <v>18786629.115101039</v>
      </c>
      <c r="W186" s="198">
        <v>7500284.9847590625</v>
      </c>
      <c r="X186" s="198">
        <v>-14000780.321366593</v>
      </c>
      <c r="Y186" s="198">
        <v>-309605.60632064939</v>
      </c>
      <c r="Z186" s="198">
        <v>11021700.49804002</v>
      </c>
    </row>
    <row r="187" spans="18:26" ht="15.75" customHeight="1">
      <c r="R187" s="126">
        <v>150</v>
      </c>
      <c r="S187" s="198">
        <v>13830751.59505406</v>
      </c>
      <c r="T187" s="198">
        <v>7197772.7685697675</v>
      </c>
      <c r="U187" s="198">
        <v>19844402.918507472</v>
      </c>
      <c r="V187" s="198">
        <v>-6111491.1338874996</v>
      </c>
      <c r="W187" s="198">
        <v>7403710.6606764197</v>
      </c>
      <c r="X187" s="198">
        <v>5808996.9839198291</v>
      </c>
      <c r="Y187" s="198">
        <v>3264293.0949152559</v>
      </c>
      <c r="Z187" s="198">
        <v>-3816939.0266790092</v>
      </c>
    </row>
    <row r="188" spans="18:26" ht="15.75" customHeight="1">
      <c r="R188" s="126">
        <v>151</v>
      </c>
      <c r="S188" s="198">
        <v>-3504442.267665416</v>
      </c>
      <c r="T188" s="198">
        <v>4331628.7186432928</v>
      </c>
      <c r="U188" s="198">
        <v>4614565.7863804847</v>
      </c>
      <c r="V188" s="198">
        <v>902720.45409762859</v>
      </c>
      <c r="W188" s="198">
        <v>-2599454.4699304551</v>
      </c>
      <c r="X188" s="198">
        <v>2597875.3604255617</v>
      </c>
      <c r="Y188" s="198">
        <v>730594.21529236436</v>
      </c>
      <c r="Z188" s="198">
        <v>-3633906.5576051772</v>
      </c>
    </row>
    <row r="189" spans="18:26" ht="15.75" customHeight="1">
      <c r="R189" s="126">
        <v>152</v>
      </c>
      <c r="S189" s="198">
        <v>808599.52309966087</v>
      </c>
      <c r="T189" s="198">
        <v>-992860.24954426289</v>
      </c>
      <c r="U189" s="198">
        <v>7984648.9474405348</v>
      </c>
      <c r="V189" s="198">
        <v>8033710.616528362</v>
      </c>
      <c r="W189" s="198">
        <v>-4370380.8131965697</v>
      </c>
      <c r="X189" s="198">
        <v>3296156.9338014275</v>
      </c>
      <c r="Y189" s="198">
        <v>9278450.9664804488</v>
      </c>
      <c r="Z189" s="198">
        <v>5045985.8814130127</v>
      </c>
    </row>
    <row r="190" spans="18:26" ht="15.75" customHeight="1">
      <c r="R190" s="126">
        <v>153</v>
      </c>
      <c r="S190" s="198">
        <v>12262926.225648195</v>
      </c>
      <c r="T190" s="198">
        <v>11239970.885323256</v>
      </c>
      <c r="U190" s="198">
        <v>2013003.447071895</v>
      </c>
      <c r="V190" s="198">
        <v>16798133.854047611</v>
      </c>
      <c r="W190" s="198">
        <v>-5099807.6098653078</v>
      </c>
      <c r="X190" s="198">
        <v>-3299727.9907869995</v>
      </c>
      <c r="Y190" s="198">
        <v>-2962433.6736935526</v>
      </c>
      <c r="Z190" s="198">
        <v>4032767.3371752948</v>
      </c>
    </row>
    <row r="191" spans="18:26" ht="15.75" customHeight="1">
      <c r="R191" s="126">
        <v>154</v>
      </c>
      <c r="S191" s="198">
        <v>16205349.139412224</v>
      </c>
      <c r="T191" s="198">
        <v>-1458445.1338919401</v>
      </c>
      <c r="U191" s="198">
        <v>7231001.9951705188</v>
      </c>
      <c r="V191" s="198">
        <v>-2122958.98570849</v>
      </c>
      <c r="W191" s="198">
        <v>-586326.87600700557</v>
      </c>
      <c r="X191" s="198">
        <v>2475642.0137214661</v>
      </c>
      <c r="Y191" s="198">
        <v>2844616.1106802225</v>
      </c>
      <c r="Z191" s="198">
        <v>5476195.2549266815</v>
      </c>
    </row>
    <row r="192" spans="18:26" ht="15.75" customHeight="1">
      <c r="R192" s="126">
        <v>155</v>
      </c>
      <c r="S192" s="198">
        <v>4773187.4119899273</v>
      </c>
      <c r="T192" s="198">
        <v>2110042.0202354193</v>
      </c>
      <c r="U192" s="198">
        <v>12816009.953147799</v>
      </c>
      <c r="V192" s="198">
        <v>4136954.1645179838</v>
      </c>
      <c r="W192" s="198">
        <v>-2581100.3189430088</v>
      </c>
      <c r="X192" s="198">
        <v>-1466179.7939019054</v>
      </c>
      <c r="Y192" s="198">
        <v>10746834.773367733</v>
      </c>
      <c r="Z192" s="198">
        <v>1066270.3803655505</v>
      </c>
    </row>
    <row r="193" spans="18:26" ht="15.75" customHeight="1">
      <c r="R193" s="126">
        <v>156</v>
      </c>
      <c r="S193" s="198">
        <v>9637549.5942513049</v>
      </c>
      <c r="T193" s="198">
        <v>9294331.6527224183</v>
      </c>
      <c r="U193" s="198">
        <v>13734356.180567414</v>
      </c>
      <c r="V193" s="198">
        <v>8291058.7228377312</v>
      </c>
      <c r="W193" s="198">
        <v>3645594.4978171289</v>
      </c>
      <c r="X193" s="198">
        <v>-7151479.3459866047</v>
      </c>
      <c r="Y193" s="198">
        <v>-3463985.4205213785</v>
      </c>
      <c r="Z193" s="198">
        <v>11094509.573345542</v>
      </c>
    </row>
    <row r="194" spans="18:26" ht="15.75" customHeight="1">
      <c r="R194" s="126">
        <v>157</v>
      </c>
      <c r="S194" s="198">
        <v>9743191.9724161625</v>
      </c>
      <c r="T194" s="198">
        <v>8343223.4697238207</v>
      </c>
      <c r="U194" s="198">
        <v>9462274.073608458</v>
      </c>
      <c r="V194" s="198">
        <v>10368982.296468347</v>
      </c>
      <c r="W194" s="198">
        <v>8692851.031051293</v>
      </c>
      <c r="X194" s="198">
        <v>7370481.3330548406</v>
      </c>
      <c r="Y194" s="198">
        <v>-4818846.5650127083</v>
      </c>
      <c r="Z194" s="198">
        <v>8287256.2794731259</v>
      </c>
    </row>
    <row r="195" spans="18:26" ht="15.75" customHeight="1">
      <c r="R195" s="126">
        <v>158</v>
      </c>
      <c r="S195" s="198">
        <v>7910203.2772973031</v>
      </c>
      <c r="T195" s="198">
        <v>4760978.7716230601</v>
      </c>
      <c r="U195" s="198">
        <v>6984185.0723188072</v>
      </c>
      <c r="V195" s="198">
        <v>-2763727.7770425081</v>
      </c>
      <c r="W195" s="198">
        <v>11339092.287298471</v>
      </c>
      <c r="X195" s="198">
        <v>8084170.6441644132</v>
      </c>
      <c r="Y195" s="198">
        <v>-4018641.3143646568</v>
      </c>
      <c r="Z195" s="198">
        <v>9574682.3713772893</v>
      </c>
    </row>
    <row r="196" spans="18:26" ht="15.75" customHeight="1">
      <c r="R196" s="126">
        <v>159</v>
      </c>
      <c r="S196" s="198">
        <v>6167347.4685597122</v>
      </c>
      <c r="T196" s="198">
        <v>9948162.7668205202</v>
      </c>
      <c r="U196" s="198">
        <v>2788800.6251941472</v>
      </c>
      <c r="V196" s="198">
        <v>11358422.594364673</v>
      </c>
      <c r="W196" s="198">
        <v>3525524.0670138597</v>
      </c>
      <c r="X196" s="198">
        <v>8487407.9408917129</v>
      </c>
      <c r="Y196" s="198">
        <v>-554800.21195749938</v>
      </c>
      <c r="Z196" s="198">
        <v>-2459502.2695801556</v>
      </c>
    </row>
    <row r="197" spans="18:26" ht="15.75" customHeight="1">
      <c r="R197" s="126">
        <v>160</v>
      </c>
      <c r="S197" s="198">
        <v>11345825.611253396</v>
      </c>
      <c r="T197" s="198">
        <v>6770478.7698425353</v>
      </c>
      <c r="U197" s="198">
        <v>-304693.21688017249</v>
      </c>
      <c r="V197" s="198">
        <v>1448784.6941943765</v>
      </c>
      <c r="W197" s="198">
        <v>13511033.952949405</v>
      </c>
      <c r="X197" s="198">
        <v>-2322711.1438807845</v>
      </c>
      <c r="Y197" s="198">
        <v>-2521975.9513255358</v>
      </c>
      <c r="Z197" s="198">
        <v>12197809.075439602</v>
      </c>
    </row>
    <row r="198" spans="18:26" ht="15.75" customHeight="1">
      <c r="R198" s="126">
        <v>161</v>
      </c>
      <c r="S198" s="198">
        <v>10223084.625299737</v>
      </c>
      <c r="T198" s="198">
        <v>8692989.6549520195</v>
      </c>
      <c r="U198" s="198">
        <v>-4244193.4995109588</v>
      </c>
      <c r="V198" s="198">
        <v>-2310858.8192707896</v>
      </c>
      <c r="W198" s="198">
        <v>2369512.428757742</v>
      </c>
      <c r="X198" s="198">
        <v>-2737822.4625711292</v>
      </c>
      <c r="Y198" s="198">
        <v>9104712.485457778</v>
      </c>
      <c r="Z198" s="198">
        <v>-941275.99110361934</v>
      </c>
    </row>
    <row r="199" spans="18:26" ht="15.75" customHeight="1">
      <c r="R199" s="126">
        <v>162</v>
      </c>
      <c r="S199" s="198">
        <v>10916995.405028909</v>
      </c>
      <c r="T199" s="198">
        <v>13661612.65794839</v>
      </c>
      <c r="U199" s="198">
        <v>9153177.7115180045</v>
      </c>
      <c r="V199" s="198">
        <v>8956933.585888803</v>
      </c>
      <c r="W199" s="198">
        <v>9093844.5099016875</v>
      </c>
      <c r="X199" s="198">
        <v>8245606.9004781395</v>
      </c>
      <c r="Y199" s="198">
        <v>6986870.0674464852</v>
      </c>
      <c r="Z199" s="198">
        <v>-5260096.1635930836</v>
      </c>
    </row>
    <row r="200" spans="18:26" ht="15.75" customHeight="1">
      <c r="R200" s="126">
        <v>163</v>
      </c>
      <c r="S200" s="198">
        <v>-3788952.9469878227</v>
      </c>
      <c r="T200" s="198">
        <v>8361287.7108072788</v>
      </c>
      <c r="U200" s="198">
        <v>-826253.68059128523</v>
      </c>
      <c r="V200" s="198">
        <v>3462092.322449401</v>
      </c>
      <c r="W200" s="198">
        <v>8150652.3141846061</v>
      </c>
      <c r="X200" s="198">
        <v>3628797.246718049</v>
      </c>
      <c r="Y200" s="198">
        <v>-3216961.9600148797</v>
      </c>
      <c r="Z200" s="198">
        <v>1356517.0177535415</v>
      </c>
    </row>
    <row r="201" spans="18:26" ht="15.75" customHeight="1">
      <c r="R201" s="126">
        <v>164</v>
      </c>
      <c r="S201" s="198">
        <v>15288779.165395737</v>
      </c>
      <c r="T201" s="198">
        <v>12028631.682654306</v>
      </c>
      <c r="U201" s="198">
        <v>12723624.574248612</v>
      </c>
      <c r="V201" s="198">
        <v>8552012.5943382978</v>
      </c>
      <c r="W201" s="198">
        <v>-1798131.8963194638</v>
      </c>
      <c r="X201" s="198">
        <v>1819719.8120781928</v>
      </c>
      <c r="Y201" s="198">
        <v>-3970232.384307161</v>
      </c>
      <c r="Z201" s="198">
        <v>-3045206.5490471125</v>
      </c>
    </row>
    <row r="202" spans="18:26" ht="15.75" customHeight="1">
      <c r="R202" s="126">
        <v>165</v>
      </c>
      <c r="S202" s="198">
        <v>11137003.370514035</v>
      </c>
      <c r="T202" s="198">
        <v>4713279.3631486595</v>
      </c>
      <c r="U202" s="198">
        <v>6332210.2402628958</v>
      </c>
      <c r="V202" s="198">
        <v>133569.19184426963</v>
      </c>
      <c r="W202" s="198">
        <v>893422.92314574122</v>
      </c>
      <c r="X202" s="198">
        <v>4956924.1191401184</v>
      </c>
      <c r="Y202" s="198">
        <v>-5594502.4825145602</v>
      </c>
      <c r="Z202" s="198">
        <v>-1034568.5177968442</v>
      </c>
    </row>
    <row r="203" spans="18:26" ht="15.75" customHeight="1">
      <c r="R203" s="126">
        <v>166</v>
      </c>
      <c r="S203" s="198">
        <v>10000645.029461429</v>
      </c>
      <c r="T203" s="198">
        <v>15970090.627903387</v>
      </c>
      <c r="U203" s="198">
        <v>-650883.2658534646</v>
      </c>
      <c r="V203" s="198">
        <v>3791791.9121320993</v>
      </c>
      <c r="W203" s="198">
        <v>107233.39641618729</v>
      </c>
      <c r="X203" s="198">
        <v>7656724.0534951836</v>
      </c>
      <c r="Y203" s="198">
        <v>2561990.7594888359</v>
      </c>
      <c r="Z203" s="198">
        <v>-1296416.5577755272</v>
      </c>
    </row>
    <row r="204" spans="18:26" ht="15.75" customHeight="1">
      <c r="R204" s="126">
        <v>167</v>
      </c>
      <c r="S204" s="198">
        <v>9501211.5766003877</v>
      </c>
      <c r="T204" s="198">
        <v>7747114.7015464902</v>
      </c>
      <c r="U204" s="198">
        <v>-85773.444427102804</v>
      </c>
      <c r="V204" s="198">
        <v>6023114.0724143684</v>
      </c>
      <c r="W204" s="198">
        <v>757961.58625024557</v>
      </c>
      <c r="X204" s="198">
        <v>5337200.5514912456</v>
      </c>
      <c r="Y204" s="198">
        <v>8916323.8595395833</v>
      </c>
      <c r="Z204" s="198">
        <v>-498349.27711217105</v>
      </c>
    </row>
    <row r="205" spans="18:26" ht="15.75" customHeight="1">
      <c r="R205" s="126">
        <v>168</v>
      </c>
      <c r="S205" s="198">
        <v>2900273.3682623506</v>
      </c>
      <c r="T205" s="198">
        <v>4870525.1170873642</v>
      </c>
      <c r="U205" s="198">
        <v>-8210536.9193762094</v>
      </c>
      <c r="V205" s="198">
        <v>149479.21206089854</v>
      </c>
      <c r="W205" s="198">
        <v>9980294.0968700945</v>
      </c>
      <c r="X205" s="198">
        <v>-7464136.9240957797</v>
      </c>
      <c r="Y205" s="198">
        <v>6274556.1273387671</v>
      </c>
      <c r="Z205" s="198">
        <v>3277205.8947873563</v>
      </c>
    </row>
    <row r="206" spans="18:26" ht="15.75" customHeight="1">
      <c r="R206" s="126">
        <v>169</v>
      </c>
      <c r="S206" s="198">
        <v>10958243.007357895</v>
      </c>
      <c r="T206" s="198">
        <v>6568654.4249698371</v>
      </c>
      <c r="U206" s="198">
        <v>9658459.1900252402</v>
      </c>
      <c r="V206" s="198">
        <v>9270843.3151209503</v>
      </c>
      <c r="W206" s="198">
        <v>12007366.775292695</v>
      </c>
      <c r="X206" s="198">
        <v>1826582.6269308925</v>
      </c>
      <c r="Y206" s="198">
        <v>529199.56349530816</v>
      </c>
      <c r="Z206" s="198">
        <v>-2438166.8533709943</v>
      </c>
    </row>
    <row r="207" spans="18:26" ht="15.75" customHeight="1">
      <c r="R207" s="126">
        <v>170</v>
      </c>
      <c r="S207" s="198">
        <v>10686179.363087356</v>
      </c>
      <c r="T207" s="198">
        <v>4592800.8326342851</v>
      </c>
      <c r="U207" s="198">
        <v>9771140.6277408898</v>
      </c>
      <c r="V207" s="198">
        <v>-292140.7497715652</v>
      </c>
      <c r="W207" s="198">
        <v>-4905447.891537413</v>
      </c>
      <c r="X207" s="198">
        <v>-4948680.2134509981</v>
      </c>
      <c r="Y207" s="198">
        <v>-635611.57815219462</v>
      </c>
      <c r="Z207" s="198">
        <v>-631376.29217016697</v>
      </c>
    </row>
    <row r="208" spans="18:26" ht="15.75" customHeight="1">
      <c r="R208" s="126">
        <v>171</v>
      </c>
      <c r="S208" s="198">
        <v>15878131.792218298</v>
      </c>
      <c r="T208" s="198">
        <v>8091789.5051020682</v>
      </c>
      <c r="U208" s="198">
        <v>4678844.0620308518</v>
      </c>
      <c r="V208" s="198">
        <v>12584416.004608005</v>
      </c>
      <c r="W208" s="198">
        <v>10513792.531636685</v>
      </c>
      <c r="X208" s="198">
        <v>4323541.2251780033</v>
      </c>
      <c r="Y208" s="198">
        <v>3293050.5410229117</v>
      </c>
      <c r="Z208" s="198">
        <v>9117406.2958641648</v>
      </c>
    </row>
    <row r="209" spans="18:26" ht="15.75" customHeight="1">
      <c r="R209" s="126">
        <v>172</v>
      </c>
      <c r="S209" s="198">
        <v>10429101.372912079</v>
      </c>
      <c r="T209" s="198">
        <v>4924031.0888052732</v>
      </c>
      <c r="U209" s="198">
        <v>-514421.68425695598</v>
      </c>
      <c r="V209" s="198">
        <v>-2861176.7497157753</v>
      </c>
      <c r="W209" s="198">
        <v>-1965902.8845414072</v>
      </c>
      <c r="X209" s="198">
        <v>-8563182.5717435181</v>
      </c>
      <c r="Y209" s="198">
        <v>-1639659.5102512538</v>
      </c>
      <c r="Z209" s="198">
        <v>-732006.25316721201</v>
      </c>
    </row>
    <row r="210" spans="18:26" ht="15.75" customHeight="1">
      <c r="R210" s="126">
        <v>173</v>
      </c>
      <c r="S210" s="198">
        <v>16231447.861293405</v>
      </c>
      <c r="T210" s="198">
        <v>12156597.772043541</v>
      </c>
      <c r="U210" s="198">
        <v>10004970.959721968</v>
      </c>
      <c r="V210" s="198">
        <v>5480597.9142183065</v>
      </c>
      <c r="W210" s="198">
        <v>16914672.662224978</v>
      </c>
      <c r="X210" s="198">
        <v>-25338.437741607428</v>
      </c>
      <c r="Y210" s="198">
        <v>-4193879.7618544698</v>
      </c>
      <c r="Z210" s="198">
        <v>-8725473.5910665244</v>
      </c>
    </row>
    <row r="211" spans="18:26" ht="15.75" customHeight="1">
      <c r="R211" s="126">
        <v>174</v>
      </c>
      <c r="S211" s="198">
        <v>7696830.2977581322</v>
      </c>
      <c r="T211" s="198">
        <v>4015056.5967927873</v>
      </c>
      <c r="U211" s="198">
        <v>5932761.2267716974</v>
      </c>
      <c r="V211" s="198">
        <v>15695337.408205062</v>
      </c>
      <c r="W211" s="198">
        <v>4488817.4937838465</v>
      </c>
      <c r="X211" s="198">
        <v>12926051.618641689</v>
      </c>
      <c r="Y211" s="198">
        <v>2519062.4882986993</v>
      </c>
      <c r="Z211" s="198">
        <v>-198205.84339445829</v>
      </c>
    </row>
    <row r="212" spans="18:26" ht="15.75" customHeight="1">
      <c r="R212" s="126">
        <v>175</v>
      </c>
      <c r="S212" s="198">
        <v>16863375.224004805</v>
      </c>
      <c r="T212" s="198">
        <v>-1815305.8186186999</v>
      </c>
      <c r="U212" s="198">
        <v>5700524.1682738662</v>
      </c>
      <c r="V212" s="198">
        <v>7933328.950112015</v>
      </c>
      <c r="W212" s="198">
        <v>11390356.797430232</v>
      </c>
      <c r="X212" s="198">
        <v>5185780.0136450827</v>
      </c>
      <c r="Y212" s="198">
        <v>1450259.4801062644</v>
      </c>
      <c r="Z212" s="198">
        <v>-915635.83315831423</v>
      </c>
    </row>
    <row r="213" spans="18:26" ht="15.75" customHeight="1">
      <c r="R213" s="126">
        <v>176</v>
      </c>
      <c r="S213" s="198">
        <v>13770704.259212762</v>
      </c>
      <c r="T213" s="198">
        <v>14824212.818546847</v>
      </c>
      <c r="U213" s="198">
        <v>16136721.82899113</v>
      </c>
      <c r="V213" s="198">
        <v>10168198.865497828</v>
      </c>
      <c r="W213" s="198">
        <v>1918840.250860855</v>
      </c>
      <c r="X213" s="198">
        <v>7496578.599786818</v>
      </c>
      <c r="Y213" s="198">
        <v>-4309348.1446211338</v>
      </c>
      <c r="Z213" s="198">
        <v>597894.3787932694</v>
      </c>
    </row>
    <row r="214" spans="18:26" ht="15.75" customHeight="1">
      <c r="R214" s="126">
        <v>177</v>
      </c>
      <c r="S214" s="198">
        <v>15126004.430921242</v>
      </c>
      <c r="T214" s="198">
        <v>8473837.4026092291</v>
      </c>
      <c r="U214" s="198">
        <v>8709857.5231876522</v>
      </c>
      <c r="V214" s="198">
        <v>3390240.1613001823</v>
      </c>
      <c r="W214" s="198">
        <v>5128040.9866101891</v>
      </c>
      <c r="X214" s="198">
        <v>6142194.7133136541</v>
      </c>
      <c r="Y214" s="198">
        <v>2437294.4651343822</v>
      </c>
      <c r="Z214" s="198">
        <v>421627.14685046673</v>
      </c>
    </row>
    <row r="215" spans="18:26" ht="15.75" customHeight="1">
      <c r="R215" s="126">
        <v>178</v>
      </c>
      <c r="S215" s="198">
        <v>10914982.985304564</v>
      </c>
      <c r="T215" s="198">
        <v>9552987.2914807498</v>
      </c>
      <c r="U215" s="198">
        <v>5592025.374711588</v>
      </c>
      <c r="V215" s="198">
        <v>2705397.6383741498</v>
      </c>
      <c r="W215" s="198">
        <v>13187772.631209731</v>
      </c>
      <c r="X215" s="198">
        <v>16753654.766950861</v>
      </c>
      <c r="Y215" s="198">
        <v>4455759.7210618705</v>
      </c>
      <c r="Z215" s="198">
        <v>3446034.4154823124</v>
      </c>
    </row>
    <row r="216" spans="18:26" ht="15.75" customHeight="1">
      <c r="R216" s="126">
        <v>179</v>
      </c>
      <c r="S216" s="198">
        <v>4454580.8800872564</v>
      </c>
      <c r="T216" s="198">
        <v>15165853.46141012</v>
      </c>
      <c r="U216" s="198">
        <v>6147796.4033427984</v>
      </c>
      <c r="V216" s="198">
        <v>6043104.0527788401</v>
      </c>
      <c r="W216" s="198">
        <v>7676379.5712991804</v>
      </c>
      <c r="X216" s="198">
        <v>8364609.9552739263</v>
      </c>
      <c r="Y216" s="198">
        <v>401696.894481197</v>
      </c>
      <c r="Z216" s="198">
        <v>12523800.921774209</v>
      </c>
    </row>
    <row r="217" spans="18:26" ht="15.75" customHeight="1">
      <c r="R217" s="126">
        <v>180</v>
      </c>
      <c r="S217" s="198">
        <v>14539921.992883995</v>
      </c>
      <c r="T217" s="198">
        <v>12793247.539078712</v>
      </c>
      <c r="U217" s="198">
        <v>9344659.6716136932</v>
      </c>
      <c r="V217" s="198">
        <v>6250864.6882374734</v>
      </c>
      <c r="W217" s="198">
        <v>-3010720.4070205241</v>
      </c>
      <c r="X217" s="198">
        <v>6035776.1522114873</v>
      </c>
      <c r="Y217" s="198">
        <v>-4713326.0069214106</v>
      </c>
      <c r="Z217" s="198">
        <v>3896349.4649123847</v>
      </c>
    </row>
    <row r="218" spans="18:26" ht="15.75" customHeight="1">
      <c r="R218" s="126">
        <v>181</v>
      </c>
      <c r="S218" s="198">
        <v>7832465.0821870416</v>
      </c>
      <c r="T218" s="198">
        <v>19006152.331712395</v>
      </c>
      <c r="U218" s="198">
        <v>6469609.1134203821</v>
      </c>
      <c r="V218" s="198">
        <v>16358388.484663799</v>
      </c>
      <c r="W218" s="198">
        <v>8761153.0407001674</v>
      </c>
      <c r="X218" s="198">
        <v>4250257.9332338721</v>
      </c>
      <c r="Y218" s="198">
        <v>1232942.7453574091</v>
      </c>
      <c r="Z218" s="198">
        <v>2419590.5780218393</v>
      </c>
    </row>
    <row r="219" spans="18:26" ht="15.75" customHeight="1">
      <c r="R219" s="126">
        <v>182</v>
      </c>
      <c r="S219" s="198">
        <v>5294148.3087614179</v>
      </c>
      <c r="T219" s="198">
        <v>-4713530.1665208638</v>
      </c>
      <c r="U219" s="198">
        <v>3211013.1217775047</v>
      </c>
      <c r="V219" s="198">
        <v>1292009.6369338781</v>
      </c>
      <c r="W219" s="198">
        <v>6030239.1212299466</v>
      </c>
      <c r="X219" s="198">
        <v>-6766782.6495461464</v>
      </c>
      <c r="Y219" s="198">
        <v>1800163.3863166571</v>
      </c>
      <c r="Z219" s="198">
        <v>7860712.899629578</v>
      </c>
    </row>
    <row r="220" spans="18:26" ht="15.75" customHeight="1">
      <c r="R220" s="126">
        <v>183</v>
      </c>
      <c r="S220" s="198">
        <v>3591754.7114457786</v>
      </c>
      <c r="T220" s="198">
        <v>12032396.047752753</v>
      </c>
      <c r="U220" s="198">
        <v>19276481.001592502</v>
      </c>
      <c r="V220" s="198">
        <v>-1083993.2913452089</v>
      </c>
      <c r="W220" s="198">
        <v>5850008.880810827</v>
      </c>
      <c r="X220" s="198">
        <v>9228004.2905549109</v>
      </c>
      <c r="Y220" s="198">
        <v>10460227.089075774</v>
      </c>
      <c r="Z220" s="198">
        <v>4363690.3102653325</v>
      </c>
    </row>
    <row r="221" spans="18:26" ht="15.75" customHeight="1">
      <c r="R221" s="126">
        <v>184</v>
      </c>
      <c r="S221" s="198">
        <v>1819793.0831378996</v>
      </c>
      <c r="T221" s="198">
        <v>5250368.3441179544</v>
      </c>
      <c r="U221" s="198">
        <v>2376057.8593937904</v>
      </c>
      <c r="V221" s="198">
        <v>-1440119.3938954175</v>
      </c>
      <c r="W221" s="198">
        <v>8496775.0955427289</v>
      </c>
      <c r="X221" s="198">
        <v>2385634.699026376</v>
      </c>
      <c r="Y221" s="198">
        <v>9551416.1079255939</v>
      </c>
      <c r="Z221" s="198">
        <v>3406864.0543336421</v>
      </c>
    </row>
    <row r="222" spans="18:26" ht="15.75" customHeight="1">
      <c r="R222" s="126">
        <v>185</v>
      </c>
      <c r="S222" s="198">
        <v>3299101.9636851549</v>
      </c>
      <c r="T222" s="198">
        <v>7515588.1917329878</v>
      </c>
      <c r="U222" s="198">
        <v>11241714.344314963</v>
      </c>
      <c r="V222" s="198">
        <v>8406922.0971444845</v>
      </c>
      <c r="W222" s="198">
        <v>10268493.111913338</v>
      </c>
      <c r="X222" s="198">
        <v>10815538.035419196</v>
      </c>
      <c r="Y222" s="198">
        <v>-4154500.0423663259</v>
      </c>
      <c r="Z222" s="198">
        <v>-7876448.0994100422</v>
      </c>
    </row>
    <row r="223" spans="18:26" ht="15.75" customHeight="1">
      <c r="R223" s="126">
        <v>186</v>
      </c>
      <c r="S223" s="198">
        <v>6504908.6600323319</v>
      </c>
      <c r="T223" s="198">
        <v>-2215190.3563298881</v>
      </c>
      <c r="U223" s="198">
        <v>-3803080.3331059963</v>
      </c>
      <c r="V223" s="198">
        <v>7912664.1842663437</v>
      </c>
      <c r="W223" s="198">
        <v>6228232.1493196636</v>
      </c>
      <c r="X223" s="198">
        <v>2817959.3189780563</v>
      </c>
      <c r="Y223" s="198">
        <v>4374425.1981912851</v>
      </c>
      <c r="Z223" s="198">
        <v>2200466.186863482</v>
      </c>
    </row>
    <row r="224" spans="18:26" ht="15.75" customHeight="1">
      <c r="R224" s="126">
        <v>187</v>
      </c>
      <c r="S224" s="198">
        <v>6628926.5760006011</v>
      </c>
      <c r="T224" s="198">
        <v>15525747.212044209</v>
      </c>
      <c r="U224" s="198">
        <v>5970274.7965171486</v>
      </c>
      <c r="V224" s="198">
        <v>6886285.9111594409</v>
      </c>
      <c r="W224" s="198">
        <v>3188010.3784434348</v>
      </c>
      <c r="X224" s="198">
        <v>10265368.969936579</v>
      </c>
      <c r="Y224" s="198">
        <v>-1174333.7597315609</v>
      </c>
      <c r="Z224" s="198">
        <v>4605688.911492303</v>
      </c>
    </row>
    <row r="225" spans="18:26" ht="15.75" customHeight="1">
      <c r="R225" s="126">
        <v>188</v>
      </c>
      <c r="S225" s="198">
        <v>12367251.507954091</v>
      </c>
      <c r="T225" s="198">
        <v>8045834.8366851807</v>
      </c>
      <c r="U225" s="198">
        <v>6736411.0550781786</v>
      </c>
      <c r="V225" s="198">
        <v>4560510.1889580637</v>
      </c>
      <c r="W225" s="198">
        <v>-6253422.9084457457</v>
      </c>
      <c r="X225" s="198">
        <v>9078907.7980291694</v>
      </c>
      <c r="Y225" s="198">
        <v>-6232240.7611731887</v>
      </c>
      <c r="Z225" s="198">
        <v>6089632.9680980146</v>
      </c>
    </row>
    <row r="226" spans="18:26" ht="15.75" customHeight="1">
      <c r="R226" s="126">
        <v>189</v>
      </c>
      <c r="S226" s="198">
        <v>9108391.5271608531</v>
      </c>
      <c r="T226" s="198">
        <v>2307935.5085424036</v>
      </c>
      <c r="U226" s="198">
        <v>4686523.2281112075</v>
      </c>
      <c r="V226" s="198">
        <v>-3465398.196607098</v>
      </c>
      <c r="W226" s="198">
        <v>-5403408.9104045928</v>
      </c>
      <c r="X226" s="198">
        <v>4728065.7906240076</v>
      </c>
      <c r="Y226" s="198">
        <v>3366451.8616695702</v>
      </c>
      <c r="Z226" s="198">
        <v>9094212.0009679794</v>
      </c>
    </row>
    <row r="227" spans="18:26" ht="15.75" customHeight="1">
      <c r="R227" s="126">
        <v>190</v>
      </c>
      <c r="S227" s="198">
        <v>9543321.8567154855</v>
      </c>
      <c r="T227" s="198">
        <v>-1753874.3216189444</v>
      </c>
      <c r="U227" s="198">
        <v>11610157.976792261</v>
      </c>
      <c r="V227" s="198">
        <v>13271920.182934165</v>
      </c>
      <c r="W227" s="198">
        <v>4198407.7331767827</v>
      </c>
      <c r="X227" s="198">
        <v>12211053.159371927</v>
      </c>
      <c r="Y227" s="198">
        <v>-10651875.134261712</v>
      </c>
      <c r="Z227" s="198">
        <v>-5631384.9367510825</v>
      </c>
    </row>
    <row r="228" spans="18:26" ht="15.75" customHeight="1">
      <c r="R228" s="126">
        <v>191</v>
      </c>
      <c r="S228" s="198">
        <v>14720876.38517262</v>
      </c>
      <c r="T228" s="198">
        <v>5782281.2586607337</v>
      </c>
      <c r="U228" s="198">
        <v>3405180.7582289279</v>
      </c>
      <c r="V228" s="198">
        <v>812204.90109443665</v>
      </c>
      <c r="W228" s="198">
        <v>15307823.302206114</v>
      </c>
      <c r="X228" s="198">
        <v>8627543.6899362653</v>
      </c>
      <c r="Y228" s="198">
        <v>8723240.7539401948</v>
      </c>
      <c r="Z228" s="198">
        <v>-8672055.2970021814</v>
      </c>
    </row>
    <row r="229" spans="18:26" ht="15.75" customHeight="1">
      <c r="R229" s="126">
        <v>192</v>
      </c>
      <c r="S229" s="198">
        <v>2212705.9171010256</v>
      </c>
      <c r="T229" s="198">
        <v>6820725.0560549051</v>
      </c>
      <c r="U229" s="198">
        <v>7532878.1831697077</v>
      </c>
      <c r="V229" s="198">
        <v>4879627.3890680969</v>
      </c>
      <c r="W229" s="198">
        <v>10625327.662620395</v>
      </c>
      <c r="X229" s="198">
        <v>5284499.5675132126</v>
      </c>
      <c r="Y229" s="198">
        <v>4625872.2878625989</v>
      </c>
      <c r="Z229" s="198">
        <v>7344360.4908248782</v>
      </c>
    </row>
    <row r="230" spans="18:26" ht="15.75" customHeight="1">
      <c r="R230" s="126">
        <v>193</v>
      </c>
      <c r="S230" s="198">
        <v>5972694.9823198915</v>
      </c>
      <c r="T230" s="198">
        <v>13558631.80634895</v>
      </c>
      <c r="U230" s="198">
        <v>1460458.0172889531</v>
      </c>
      <c r="V230" s="198">
        <v>-1446776.3145108819</v>
      </c>
      <c r="W230" s="198">
        <v>4525284.8188836426</v>
      </c>
      <c r="X230" s="198">
        <v>2532971.572395578</v>
      </c>
      <c r="Y230" s="198">
        <v>11875762.402603179</v>
      </c>
      <c r="Z230" s="198">
        <v>-3341919.1935959905</v>
      </c>
    </row>
    <row r="231" spans="18:26" ht="15.75" customHeight="1">
      <c r="R231" s="126">
        <v>194</v>
      </c>
      <c r="S231" s="198">
        <v>22790047.412253797</v>
      </c>
      <c r="T231" s="198">
        <v>14369722.182069615</v>
      </c>
      <c r="U231" s="198">
        <v>10342847.091806307</v>
      </c>
      <c r="V231" s="198">
        <v>8897052.7762804627</v>
      </c>
      <c r="W231" s="198">
        <v>-2210865.7540686876</v>
      </c>
      <c r="X231" s="198">
        <v>3123126.7794482559</v>
      </c>
      <c r="Y231" s="198">
        <v>-2469415.2314923108</v>
      </c>
      <c r="Z231" s="198">
        <v>4314283.938168779</v>
      </c>
    </row>
    <row r="232" spans="18:26" ht="15.75" customHeight="1">
      <c r="R232" s="126">
        <v>195</v>
      </c>
      <c r="S232" s="198">
        <v>321046.37516386807</v>
      </c>
      <c r="T232" s="198">
        <v>5060260.9721291959</v>
      </c>
      <c r="U232" s="198">
        <v>14015483.688197687</v>
      </c>
      <c r="V232" s="198">
        <v>-1147051.0335686952</v>
      </c>
      <c r="W232" s="198">
        <v>-2534502.7534260005</v>
      </c>
      <c r="X232" s="198">
        <v>7967187.4166074842</v>
      </c>
      <c r="Y232" s="198">
        <v>8400138.7681843936</v>
      </c>
      <c r="Z232" s="198">
        <v>-6465218.4855690747</v>
      </c>
    </row>
    <row r="233" spans="18:26" ht="15.75" customHeight="1">
      <c r="R233" s="126">
        <v>196</v>
      </c>
      <c r="S233" s="198">
        <v>14286621.565063387</v>
      </c>
      <c r="T233" s="198">
        <v>12451802.010184899</v>
      </c>
      <c r="U233" s="198">
        <v>2967207.0530823767</v>
      </c>
      <c r="V233" s="198">
        <v>4490188.8995816708</v>
      </c>
      <c r="W233" s="198">
        <v>-2616267.4016721398</v>
      </c>
      <c r="X233" s="198">
        <v>12302850.077858478</v>
      </c>
      <c r="Y233" s="198">
        <v>10406313.176818296</v>
      </c>
      <c r="Z233" s="198">
        <v>-285873.46599628031</v>
      </c>
    </row>
    <row r="234" spans="18:26" ht="15.75" customHeight="1">
      <c r="R234" s="126">
        <v>197</v>
      </c>
      <c r="S234" s="198">
        <v>2567089.2523891926</v>
      </c>
      <c r="T234" s="198">
        <v>4738700.795320645</v>
      </c>
      <c r="U234" s="198">
        <v>6315133.6912943125</v>
      </c>
      <c r="V234" s="198">
        <v>11996758.999528944</v>
      </c>
      <c r="W234" s="198">
        <v>1085456.0509567708</v>
      </c>
      <c r="X234" s="198">
        <v>-7442539.0465538949</v>
      </c>
      <c r="Y234" s="198">
        <v>-3785442.3300779462</v>
      </c>
      <c r="Z234" s="198">
        <v>-2309038.4875850976</v>
      </c>
    </row>
    <row r="235" spans="18:26" ht="15.75" customHeight="1">
      <c r="R235" s="126">
        <v>198</v>
      </c>
      <c r="S235" s="198">
        <v>-3455468.8709693551</v>
      </c>
      <c r="T235" s="198">
        <v>11353222.691510946</v>
      </c>
      <c r="U235" s="198">
        <v>2044563.0647482276</v>
      </c>
      <c r="V235" s="198">
        <v>12294811.988061458</v>
      </c>
      <c r="W235" s="198">
        <v>5691061.6756718904</v>
      </c>
      <c r="X235" s="198">
        <v>-1870842.9096617103</v>
      </c>
      <c r="Y235" s="198">
        <v>-5275798.430431962</v>
      </c>
      <c r="Z235" s="198">
        <v>-532902.83038398623</v>
      </c>
    </row>
    <row r="236" spans="18:26" ht="15.75" customHeight="1">
      <c r="R236" s="126">
        <v>199</v>
      </c>
      <c r="S236" s="198">
        <v>6482112.3837694675</v>
      </c>
      <c r="T236" s="198">
        <v>15198293.777902961</v>
      </c>
      <c r="U236" s="198">
        <v>5851121.307611078</v>
      </c>
      <c r="V236" s="198">
        <v>2040011.7853625864</v>
      </c>
      <c r="W236" s="198">
        <v>-3409811.6179101616</v>
      </c>
      <c r="X236" s="198">
        <v>-3078413.2692135125</v>
      </c>
      <c r="Y236" s="198">
        <v>8955638.9167203307</v>
      </c>
      <c r="Z236" s="198">
        <v>-5750034.4739620686</v>
      </c>
    </row>
    <row r="237" spans="18:26" ht="15.75" customHeight="1">
      <c r="R237" s="126">
        <v>200</v>
      </c>
      <c r="S237" s="198">
        <v>13433320.449187428</v>
      </c>
      <c r="T237" s="198">
        <v>4090930.8840474933</v>
      </c>
      <c r="U237" s="198">
        <v>10341690.921841621</v>
      </c>
      <c r="V237" s="198">
        <v>-1571512.4989389032</v>
      </c>
      <c r="W237" s="198">
        <v>4104348.4382847548</v>
      </c>
      <c r="X237" s="198">
        <v>3949905.6465080678</v>
      </c>
      <c r="Y237" s="198">
        <v>2685929.0030767471</v>
      </c>
      <c r="Z237" s="198">
        <v>-3958618.8843783289</v>
      </c>
    </row>
  </sheetData>
  <mergeCells count="2">
    <mergeCell ref="C38:D38"/>
    <mergeCell ref="E38:F38"/>
  </mergeCells>
  <conditionalFormatting sqref="S33:Z3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C212EE70A1B6D44C821EC82D3F1B3010" ma:contentTypeVersion="10" ma:contentTypeDescription="Utwórz nowy dokument." ma:contentTypeScope="" ma:versionID="7a861814c81eb88f0287ab6149e0b4f0">
  <xsd:schema xmlns:xsd="http://www.w3.org/2001/XMLSchema" xmlns:xs="http://www.w3.org/2001/XMLSchema" xmlns:p="http://schemas.microsoft.com/office/2006/metadata/properties" xmlns:ns3="350dd394-6f0d-4eee-8198-1dd585f2e005" targetNamespace="http://schemas.microsoft.com/office/2006/metadata/properties" ma:root="true" ma:fieldsID="d1d167ab669a3684406ad2f123647bcc" ns3:_="">
    <xsd:import namespace="350dd394-6f0d-4eee-8198-1dd585f2e005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MediaServiceDateTaken" minOccurs="0"/>
                <xsd:element ref="ns3:_activity" minOccurs="0"/>
                <xsd:element ref="ns3:MediaServiceSearchProperties" minOccurs="0"/>
                <xsd:element ref="ns3:MediaServiceSystemTags" minOccurs="0"/>
                <xsd:element ref="ns3:MediaServiceGenerationTime" minOccurs="0"/>
                <xsd:element ref="ns3:MediaServiceEventHashCode" minOccurs="0"/>
                <xsd:element ref="ns3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50dd394-6f0d-4eee-8198-1dd585f2e00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_activity" ma:index="12" nillable="true" ma:displayName="_activity" ma:hidden="true" ma:internalName="_activity">
      <xsd:simpleType>
        <xsd:restriction base="dms:Note"/>
      </xsd:simpleType>
    </xsd:element>
    <xsd:element name="MediaServiceSearchProperties" ma:index="13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SystemTags" ma:index="14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 zawartości"/>
        <xsd:element ref="dc:title" minOccurs="0" maxOccurs="1" ma:index="4" ma:displayName="Tytuł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350dd394-6f0d-4eee-8198-1dd585f2e005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1B71D8D-7C67-4117-ABCA-44A1A70E79B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50dd394-6f0d-4eee-8198-1dd585f2e00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072F849-DD5A-4061-980D-E46AF2DEA87B}">
  <ds:schemaRefs>
    <ds:schemaRef ds:uri="http://schemas.microsoft.com/office/2006/metadata/properties"/>
    <ds:schemaRef ds:uri="http://purl.org/dc/dcmitype/"/>
    <ds:schemaRef ds:uri="http://purl.org/dc/terms/"/>
    <ds:schemaRef ds:uri="http://schemas.microsoft.com/office/infopath/2007/PartnerControls"/>
    <ds:schemaRef ds:uri="350dd394-6f0d-4eee-8198-1dd585f2e005"/>
    <ds:schemaRef ds:uri="http://purl.org/dc/elements/1.1/"/>
    <ds:schemaRef ds:uri="http://schemas.microsoft.com/office/2006/documentManagement/types"/>
    <ds:schemaRef ds:uri="http://schemas.openxmlformats.org/package/2006/metadata/core-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4D1ABEF7-735E-418E-96F7-008875030933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164e1b0e-c8e5-41a9-9bbb-6f7ed40eef04}" enabled="0" method="" siteId="{164e1b0e-c8e5-41a9-9bbb-6f7ed40eef04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16</vt:i4>
      </vt:variant>
    </vt:vector>
  </HeadingPairs>
  <TitlesOfParts>
    <vt:vector size="16" baseType="lpstr">
      <vt:lpstr>Podsumowanie</vt:lpstr>
      <vt:lpstr>Analiza dwuczynnikowa final</vt:lpstr>
      <vt:lpstr>Model 150%</vt:lpstr>
      <vt:lpstr>Model 140%</vt:lpstr>
      <vt:lpstr>Model 130%</vt:lpstr>
      <vt:lpstr>Model 120%</vt:lpstr>
      <vt:lpstr>Model 110%</vt:lpstr>
      <vt:lpstr>Model 100%</vt:lpstr>
      <vt:lpstr>Model 90%</vt:lpstr>
      <vt:lpstr>Model 80%</vt:lpstr>
      <vt:lpstr>Model 70%</vt:lpstr>
      <vt:lpstr>Przychody z biletów + analiza</vt:lpstr>
      <vt:lpstr>REGRESJA</vt:lpstr>
      <vt:lpstr>Koszty napraw</vt:lpstr>
      <vt:lpstr>Koszty pracowników</vt:lpstr>
      <vt:lpstr>Koszty paliwa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Józef Nanowski</cp:lastModifiedBy>
  <cp:revision/>
  <dcterms:created xsi:type="dcterms:W3CDTF">2026-01-08T12:57:01Z</dcterms:created>
  <dcterms:modified xsi:type="dcterms:W3CDTF">2026-01-12T21:47:21Z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0x010100C212EE70A1B6D44C821EC82D3F1B3010</vt:lpwstr>
  </property>
</Properties>
</file>